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LSGPRDFS01\Data$\Shared\Analytics\# Pricing\INT\Account Referrals\Marine\Liability\North of England\Non-Pool\Analysis\"/>
    </mc:Choice>
  </mc:AlternateContent>
  <xr:revisionPtr revIDLastSave="0" documentId="13_ncr:1_{52C43065-7415-417D-9BAE-4C37345D4EF3}" xr6:coauthVersionLast="43" xr6:coauthVersionMax="43" xr10:uidLastSave="{00000000-0000-0000-0000-000000000000}"/>
  <bookViews>
    <workbookView xWindow="-120" yWindow="-120" windowWidth="29040" windowHeight="15840" firstSheet="1" activeTab="1" xr2:uid="{6B23A8A4-1EAC-49EC-A28F-CD5F645679B3}"/>
  </bookViews>
  <sheets>
    <sheet name="AuditTrail" sheetId="18" state="hidden" r:id="rId1"/>
    <sheet name="InputTriangles" sheetId="2" r:id="rId2"/>
    <sheet name="InputTrianglesCount" sheetId="19" r:id="rId3"/>
    <sheet name="InputTrianglesACPC" sheetId="20" r:id="rId4"/>
    <sheet name="Mappings" sheetId="4" r:id="rId5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Cuml_ShowHideCol" localSheetId="1">InputTriangles!$C$12:$CS$12</definedName>
    <definedName name="Cuml_ShowHideCol" localSheetId="3">InputTrianglesACPC!$C$12:$CS$12</definedName>
    <definedName name="Cuml_ShowHideCol" localSheetId="2">InputTrianglesCount!$C$12:$CS$12</definedName>
    <definedName name="Cuml_ShowHideRow" localSheetId="1">InputTriangles!$A$14:$A$259</definedName>
    <definedName name="Cuml_ShowHideRow" localSheetId="3">InputTrianglesACPC!$A$14:$A$259</definedName>
    <definedName name="Cuml_ShowHideRow" localSheetId="2">InputTrianglesCount!$A$14:$A$259</definedName>
    <definedName name="CumulativeTrianglesStart" localSheetId="1">InputTriangles!$C$14</definedName>
    <definedName name="CumulativeTrianglesStart" localSheetId="3">InputTrianglesACPC!$C$14</definedName>
    <definedName name="CumulativeTrianglesStart" localSheetId="2">InputTrianglesCount!$C$14</definedName>
    <definedName name="FormatTrianglesStart" localSheetId="1">InputTriangles!$C$42</definedName>
    <definedName name="FormatTrianglesStart" localSheetId="3">InputTrianglesACPC!$C$42</definedName>
    <definedName name="FormatTrianglesStart" localSheetId="2">InputTrianglesCount!$C$42</definedName>
    <definedName name="LinkRatiosStart" localSheetId="1">InputTriangles!$D$69</definedName>
    <definedName name="LinkRatiosStart" localSheetId="3">InputTrianglesACPC!$D$69</definedName>
    <definedName name="LinkRatiosStart" localSheetId="2">InputTrianglesCount!$D$69</definedName>
    <definedName name="LinkRatiosStartDelete" localSheetId="1">InputTriangles!$D$96</definedName>
    <definedName name="LinkRatiosStartDelete" localSheetId="3">InputTrianglesACPC!$D$96</definedName>
    <definedName name="LinkRatiosStartDelete" localSheetId="2">InputTrianglesCount!$D$96</definedName>
    <definedName name="LinkRatiosStartSmooth" localSheetId="1">InputTriangles!$D$123</definedName>
    <definedName name="LinkRatiosStartSmooth" localSheetId="3">InputTrianglesACPC!$D$123</definedName>
    <definedName name="LinkRatiosStartSmooth" localSheetId="2">InputTrianglesCount!$D$123</definedName>
    <definedName name="List_DevPeriod">Mappings!$D$4:$D$7</definedName>
    <definedName name="List_Period">Mappings!$B$4:$B$15</definedName>
    <definedName name="Max_Width" localSheetId="1">InputTriangles!$C$262</definedName>
    <definedName name="Max_Width" localSheetId="3">InputTrianglesACPC!$C$262</definedName>
    <definedName name="Max_Width" localSheetId="2">InputTrianglesCount!$C$262</definedName>
    <definedName name="MaxOfSmoothValue" localSheetId="1">InputTriangles!$E$121</definedName>
    <definedName name="MaxOfSmoothValue" localSheetId="3">InputTrianglesACPC!$E$121</definedName>
    <definedName name="MaxOfSmoothValue" localSheetId="2">InputTrianglesCount!$E$121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tartX" localSheetId="1">InputTriangles!$C$261</definedName>
    <definedName name="StartX" localSheetId="3">InputTrianglesACPC!$C$261</definedName>
    <definedName name="StartX" localSheetId="2">InputTrianglesCount!$C$261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0" i="20" l="1"/>
  <c r="B329" i="20"/>
  <c r="F309" i="20"/>
  <c r="F310" i="20" s="1"/>
  <c r="F311" i="20" s="1"/>
  <c r="A258" i="20"/>
  <c r="G233" i="20"/>
  <c r="H233" i="20" s="1"/>
  <c r="I233" i="20" s="1"/>
  <c r="J233" i="20" s="1"/>
  <c r="K233" i="20" s="1"/>
  <c r="L233" i="20" s="1"/>
  <c r="M233" i="20" s="1"/>
  <c r="N233" i="20" s="1"/>
  <c r="O233" i="20" s="1"/>
  <c r="P233" i="20" s="1"/>
  <c r="Q233" i="20" s="1"/>
  <c r="R233" i="20" s="1"/>
  <c r="S233" i="20" s="1"/>
  <c r="T233" i="20" s="1"/>
  <c r="U233" i="20" s="1"/>
  <c r="V233" i="20" s="1"/>
  <c r="W233" i="20" s="1"/>
  <c r="X233" i="20" s="1"/>
  <c r="Y233" i="20" s="1"/>
  <c r="Z233" i="20" s="1"/>
  <c r="AA233" i="20" s="1"/>
  <c r="AB233" i="20" s="1"/>
  <c r="AC233" i="20" s="1"/>
  <c r="AD233" i="20" s="1"/>
  <c r="AE233" i="20" s="1"/>
  <c r="AF233" i="20" s="1"/>
  <c r="AG233" i="20" s="1"/>
  <c r="AH233" i="20" s="1"/>
  <c r="AI233" i="20" s="1"/>
  <c r="AJ233" i="20" s="1"/>
  <c r="AK233" i="20" s="1"/>
  <c r="AL233" i="20" s="1"/>
  <c r="AM233" i="20" s="1"/>
  <c r="AN233" i="20" s="1"/>
  <c r="AO233" i="20" s="1"/>
  <c r="AP233" i="20" s="1"/>
  <c r="AQ233" i="20" s="1"/>
  <c r="AR233" i="20" s="1"/>
  <c r="AS233" i="20" s="1"/>
  <c r="AT233" i="20" s="1"/>
  <c r="AU233" i="20" s="1"/>
  <c r="AV233" i="20" s="1"/>
  <c r="AW233" i="20" s="1"/>
  <c r="AX233" i="20" s="1"/>
  <c r="AY233" i="20" s="1"/>
  <c r="AZ233" i="20" s="1"/>
  <c r="BA233" i="20" s="1"/>
  <c r="BB233" i="20" s="1"/>
  <c r="BC233" i="20" s="1"/>
  <c r="BD233" i="20" s="1"/>
  <c r="BE233" i="20" s="1"/>
  <c r="BF233" i="20" s="1"/>
  <c r="BG233" i="20" s="1"/>
  <c r="BH233" i="20" s="1"/>
  <c r="BI233" i="20" s="1"/>
  <c r="BJ233" i="20" s="1"/>
  <c r="BK233" i="20" s="1"/>
  <c r="BL233" i="20" s="1"/>
  <c r="BM233" i="20" s="1"/>
  <c r="BN233" i="20" s="1"/>
  <c r="BO233" i="20" s="1"/>
  <c r="BP233" i="20" s="1"/>
  <c r="BQ233" i="20" s="1"/>
  <c r="BR233" i="20" s="1"/>
  <c r="BS233" i="20" s="1"/>
  <c r="BT233" i="20" s="1"/>
  <c r="BU233" i="20" s="1"/>
  <c r="BV233" i="20" s="1"/>
  <c r="BW233" i="20" s="1"/>
  <c r="BX233" i="20" s="1"/>
  <c r="BY233" i="20" s="1"/>
  <c r="BZ233" i="20" s="1"/>
  <c r="CA233" i="20" s="1"/>
  <c r="CB233" i="20" s="1"/>
  <c r="CC233" i="20" s="1"/>
  <c r="CD233" i="20" s="1"/>
  <c r="CE233" i="20" s="1"/>
  <c r="CF233" i="20" s="1"/>
  <c r="CG233" i="20" s="1"/>
  <c r="CH233" i="20" s="1"/>
  <c r="CI233" i="20" s="1"/>
  <c r="CJ233" i="20" s="1"/>
  <c r="CK233" i="20" s="1"/>
  <c r="CL233" i="20" s="1"/>
  <c r="CM233" i="20" s="1"/>
  <c r="CN233" i="20" s="1"/>
  <c r="CO233" i="20" s="1"/>
  <c r="CP233" i="20" s="1"/>
  <c r="CQ233" i="20" s="1"/>
  <c r="CR233" i="20" s="1"/>
  <c r="CS233" i="20" s="1"/>
  <c r="E233" i="20"/>
  <c r="F233" i="20" s="1"/>
  <c r="B229" i="20"/>
  <c r="B228" i="20" s="1"/>
  <c r="B227" i="20" s="1"/>
  <c r="B255" i="20" s="1"/>
  <c r="B328" i="20" s="1"/>
  <c r="M208" i="20"/>
  <c r="M207" i="20"/>
  <c r="B201" i="20"/>
  <c r="CS200" i="20"/>
  <c r="A188" i="20"/>
  <c r="A189" i="20" s="1"/>
  <c r="A190" i="20" s="1"/>
  <c r="A191" i="20" s="1"/>
  <c r="A192" i="20" s="1"/>
  <c r="A193" i="20" s="1"/>
  <c r="A194" i="20" s="1"/>
  <c r="A195" i="20" s="1"/>
  <c r="C184" i="20"/>
  <c r="C180" i="20"/>
  <c r="B149" i="20"/>
  <c r="A147" i="20"/>
  <c r="A146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E121" i="20"/>
  <c r="A121" i="20"/>
  <c r="CP68" i="20"/>
  <c r="CO68" i="20"/>
  <c r="CN68" i="20"/>
  <c r="CM68" i="20"/>
  <c r="CL68" i="20"/>
  <c r="CK68" i="20"/>
  <c r="CJ68" i="20"/>
  <c r="CI68" i="20"/>
  <c r="CH68" i="20"/>
  <c r="CG68" i="20"/>
  <c r="CF68" i="20"/>
  <c r="CE68" i="20"/>
  <c r="CD68" i="20"/>
  <c r="CC68" i="20"/>
  <c r="CB68" i="20"/>
  <c r="CA68" i="20"/>
  <c r="BZ68" i="20"/>
  <c r="BY68" i="20"/>
  <c r="BX68" i="20"/>
  <c r="BW68" i="20"/>
  <c r="BV68" i="20"/>
  <c r="BU68" i="20"/>
  <c r="BT68" i="20"/>
  <c r="BS68" i="20"/>
  <c r="BR68" i="20"/>
  <c r="BQ68" i="20"/>
  <c r="BP68" i="20"/>
  <c r="BO68" i="20"/>
  <c r="BN68" i="20"/>
  <c r="BM68" i="20"/>
  <c r="BL68" i="20"/>
  <c r="BK68" i="20"/>
  <c r="BJ68" i="20"/>
  <c r="BI68" i="20"/>
  <c r="BH68" i="20"/>
  <c r="BG68" i="20"/>
  <c r="BF68" i="20"/>
  <c r="BE68" i="20"/>
  <c r="BD68" i="20"/>
  <c r="BC68" i="20"/>
  <c r="BC186" i="20" s="1"/>
  <c r="BC176" i="20" s="1"/>
  <c r="BB68" i="20"/>
  <c r="BA68" i="20"/>
  <c r="AZ68" i="20"/>
  <c r="AY68" i="20"/>
  <c r="AX68" i="20"/>
  <c r="AW68" i="20"/>
  <c r="AV68" i="20"/>
  <c r="AU68" i="20"/>
  <c r="AT68" i="20"/>
  <c r="AS68" i="20"/>
  <c r="AR68" i="20"/>
  <c r="AQ68" i="20"/>
  <c r="AP68" i="20"/>
  <c r="B65" i="20"/>
  <c r="B64" i="20"/>
  <c r="CQ41" i="20"/>
  <c r="CR41" i="20" s="1"/>
  <c r="L41" i="20"/>
  <c r="D41" i="20"/>
  <c r="E41" i="20" s="1"/>
  <c r="F41" i="20" s="1"/>
  <c r="G41" i="20" s="1"/>
  <c r="H41" i="20" s="1"/>
  <c r="I41" i="20" s="1"/>
  <c r="J41" i="20" s="1"/>
  <c r="K41" i="20" s="1"/>
  <c r="B37" i="20"/>
  <c r="B36" i="20" s="1"/>
  <c r="A36" i="20" s="1"/>
  <c r="A256" i="20" s="1"/>
  <c r="CU13" i="20"/>
  <c r="CQ13" i="20"/>
  <c r="D13" i="20"/>
  <c r="N4" i="20"/>
  <c r="E4" i="20"/>
  <c r="N3" i="20" s="1"/>
  <c r="B330" i="19"/>
  <c r="B329" i="19"/>
  <c r="F309" i="19"/>
  <c r="F310" i="19" s="1"/>
  <c r="A258" i="19"/>
  <c r="E233" i="19"/>
  <c r="F233" i="19" s="1"/>
  <c r="G233" i="19" s="1"/>
  <c r="H233" i="19" s="1"/>
  <c r="I233" i="19" s="1"/>
  <c r="J233" i="19" s="1"/>
  <c r="K233" i="19" s="1"/>
  <c r="L233" i="19" s="1"/>
  <c r="M233" i="19" s="1"/>
  <c r="N233" i="19" s="1"/>
  <c r="O233" i="19" s="1"/>
  <c r="P233" i="19" s="1"/>
  <c r="Q233" i="19" s="1"/>
  <c r="R233" i="19" s="1"/>
  <c r="S233" i="19" s="1"/>
  <c r="T233" i="19" s="1"/>
  <c r="U233" i="19" s="1"/>
  <c r="V233" i="19" s="1"/>
  <c r="W233" i="19" s="1"/>
  <c r="X233" i="19" s="1"/>
  <c r="Y233" i="19" s="1"/>
  <c r="Z233" i="19" s="1"/>
  <c r="AA233" i="19" s="1"/>
  <c r="AB233" i="19" s="1"/>
  <c r="AC233" i="19" s="1"/>
  <c r="AD233" i="19" s="1"/>
  <c r="AE233" i="19" s="1"/>
  <c r="AF233" i="19" s="1"/>
  <c r="AG233" i="19" s="1"/>
  <c r="AH233" i="19" s="1"/>
  <c r="AI233" i="19" s="1"/>
  <c r="AJ233" i="19" s="1"/>
  <c r="AK233" i="19" s="1"/>
  <c r="AL233" i="19" s="1"/>
  <c r="AM233" i="19" s="1"/>
  <c r="AN233" i="19" s="1"/>
  <c r="AO233" i="19" s="1"/>
  <c r="AP233" i="19" s="1"/>
  <c r="AQ233" i="19" s="1"/>
  <c r="AR233" i="19" s="1"/>
  <c r="AS233" i="19" s="1"/>
  <c r="AT233" i="19" s="1"/>
  <c r="AU233" i="19" s="1"/>
  <c r="AV233" i="19" s="1"/>
  <c r="AW233" i="19" s="1"/>
  <c r="AX233" i="19" s="1"/>
  <c r="AY233" i="19" s="1"/>
  <c r="AZ233" i="19" s="1"/>
  <c r="BA233" i="19" s="1"/>
  <c r="BB233" i="19" s="1"/>
  <c r="BC233" i="19" s="1"/>
  <c r="BD233" i="19" s="1"/>
  <c r="BE233" i="19" s="1"/>
  <c r="BF233" i="19" s="1"/>
  <c r="BG233" i="19" s="1"/>
  <c r="BH233" i="19" s="1"/>
  <c r="BI233" i="19" s="1"/>
  <c r="BJ233" i="19" s="1"/>
  <c r="BK233" i="19" s="1"/>
  <c r="BL233" i="19" s="1"/>
  <c r="BM233" i="19" s="1"/>
  <c r="BN233" i="19" s="1"/>
  <c r="BO233" i="19" s="1"/>
  <c r="BP233" i="19" s="1"/>
  <c r="BQ233" i="19" s="1"/>
  <c r="BR233" i="19" s="1"/>
  <c r="BS233" i="19" s="1"/>
  <c r="BT233" i="19" s="1"/>
  <c r="BU233" i="19" s="1"/>
  <c r="BV233" i="19" s="1"/>
  <c r="BW233" i="19" s="1"/>
  <c r="BX233" i="19" s="1"/>
  <c r="BY233" i="19" s="1"/>
  <c r="BZ233" i="19" s="1"/>
  <c r="CA233" i="19" s="1"/>
  <c r="CB233" i="19" s="1"/>
  <c r="CC233" i="19" s="1"/>
  <c r="CD233" i="19" s="1"/>
  <c r="CE233" i="19" s="1"/>
  <c r="CF233" i="19" s="1"/>
  <c r="CG233" i="19" s="1"/>
  <c r="CH233" i="19" s="1"/>
  <c r="CI233" i="19" s="1"/>
  <c r="CJ233" i="19" s="1"/>
  <c r="CK233" i="19" s="1"/>
  <c r="CL233" i="19" s="1"/>
  <c r="CM233" i="19" s="1"/>
  <c r="CN233" i="19" s="1"/>
  <c r="CO233" i="19" s="1"/>
  <c r="CP233" i="19" s="1"/>
  <c r="CQ233" i="19" s="1"/>
  <c r="CR233" i="19" s="1"/>
  <c r="CS233" i="19" s="1"/>
  <c r="B229" i="19"/>
  <c r="B228" i="19" s="1"/>
  <c r="B227" i="19" s="1"/>
  <c r="M208" i="19"/>
  <c r="M207" i="19"/>
  <c r="B201" i="19"/>
  <c r="CS200" i="19"/>
  <c r="A188" i="19"/>
  <c r="A189" i="19" s="1"/>
  <c r="A190" i="19" s="1"/>
  <c r="A191" i="19" s="1"/>
  <c r="A192" i="19" s="1"/>
  <c r="A193" i="19" s="1"/>
  <c r="A194" i="19" s="1"/>
  <c r="A195" i="19" s="1"/>
  <c r="C184" i="19"/>
  <c r="C180" i="19"/>
  <c r="B149" i="19"/>
  <c r="A147" i="19"/>
  <c r="A146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E121" i="19"/>
  <c r="A121" i="19"/>
  <c r="CP68" i="19"/>
  <c r="CO68" i="19"/>
  <c r="CN68" i="19"/>
  <c r="CM68" i="19"/>
  <c r="CL68" i="19"/>
  <c r="CK68" i="19"/>
  <c r="CJ68" i="19"/>
  <c r="CI68" i="19"/>
  <c r="CH68" i="19"/>
  <c r="CG68" i="19"/>
  <c r="CF68" i="19"/>
  <c r="CE68" i="19"/>
  <c r="CD68" i="19"/>
  <c r="CD186" i="19" s="1"/>
  <c r="CD176" i="19" s="1"/>
  <c r="CC68" i="19"/>
  <c r="CB68" i="19"/>
  <c r="CB95" i="19" s="1"/>
  <c r="CB122" i="19" s="1"/>
  <c r="CA68" i="19"/>
  <c r="BZ68" i="19"/>
  <c r="BY68" i="19"/>
  <c r="BX68" i="19"/>
  <c r="BW68" i="19"/>
  <c r="BV68" i="19"/>
  <c r="BV149" i="19" s="1"/>
  <c r="BU68" i="19"/>
  <c r="BT68" i="19"/>
  <c r="BS68" i="19"/>
  <c r="BR68" i="19"/>
  <c r="BQ68" i="19"/>
  <c r="BP68" i="19"/>
  <c r="BO68" i="19"/>
  <c r="BN68" i="19"/>
  <c r="BM68" i="19"/>
  <c r="BL68" i="19"/>
  <c r="BL95" i="19" s="1"/>
  <c r="BL122" i="19" s="1"/>
  <c r="BK68" i="19"/>
  <c r="BJ68" i="19"/>
  <c r="BI68" i="19"/>
  <c r="BH68" i="19"/>
  <c r="BG68" i="19"/>
  <c r="BF68" i="19"/>
  <c r="BE68" i="19"/>
  <c r="BD68" i="19"/>
  <c r="BC68" i="19"/>
  <c r="BB68" i="19"/>
  <c r="BA68" i="19"/>
  <c r="AZ68" i="19"/>
  <c r="AY68" i="19"/>
  <c r="AX68" i="19"/>
  <c r="AX95" i="19" s="1"/>
  <c r="AX122" i="19" s="1"/>
  <c r="AW68" i="19"/>
  <c r="AV68" i="19"/>
  <c r="AV186" i="19" s="1"/>
  <c r="AV176" i="19" s="1"/>
  <c r="AU68" i="19"/>
  <c r="AT68" i="19"/>
  <c r="AS68" i="19"/>
  <c r="AR68" i="19"/>
  <c r="AQ68" i="19"/>
  <c r="AP68" i="19"/>
  <c r="B65" i="19"/>
  <c r="B64" i="19" s="1"/>
  <c r="CQ41" i="19"/>
  <c r="CR41" i="19" s="1"/>
  <c r="CS41" i="19" s="1"/>
  <c r="D41" i="19"/>
  <c r="E41" i="19" s="1"/>
  <c r="F41" i="19" s="1"/>
  <c r="G41" i="19" s="1"/>
  <c r="H41" i="19" s="1"/>
  <c r="I41" i="19" s="1"/>
  <c r="J41" i="19" s="1"/>
  <c r="K41" i="19" s="1"/>
  <c r="L41" i="19" s="1"/>
  <c r="M41" i="19" s="1"/>
  <c r="B37" i="19"/>
  <c r="A37" i="19"/>
  <c r="B36" i="19"/>
  <c r="CU13" i="19"/>
  <c r="CR13" i="19"/>
  <c r="CQ13" i="19"/>
  <c r="CQ68" i="19" s="1"/>
  <c r="D13" i="19"/>
  <c r="D68" i="19" s="1"/>
  <c r="N4" i="19"/>
  <c r="E4" i="19"/>
  <c r="N3" i="19" s="1"/>
  <c r="BO12" i="20"/>
  <c r="B173" i="20"/>
  <c r="B146" i="20"/>
  <c r="B92" i="20"/>
  <c r="A37" i="20"/>
  <c r="AR186" i="20"/>
  <c r="AR176" i="20" s="1"/>
  <c r="AR149" i="20"/>
  <c r="AR95" i="20"/>
  <c r="AR122" i="20" s="1"/>
  <c r="AZ186" i="20"/>
  <c r="AZ176" i="20"/>
  <c r="AZ149" i="20"/>
  <c r="AZ95" i="20"/>
  <c r="AZ122" i="20"/>
  <c r="BH186" i="20"/>
  <c r="BH176" i="20" s="1"/>
  <c r="BH149" i="20"/>
  <c r="BH95" i="20"/>
  <c r="BH122" i="20" s="1"/>
  <c r="BP186" i="20"/>
  <c r="BP176" i="20" s="1"/>
  <c r="BP149" i="20"/>
  <c r="BP95" i="20"/>
  <c r="BP122" i="20" s="1"/>
  <c r="BX186" i="20"/>
  <c r="BX176" i="20" s="1"/>
  <c r="BX149" i="20"/>
  <c r="BX95" i="20"/>
  <c r="BX122" i="20" s="1"/>
  <c r="CF186" i="20"/>
  <c r="CF176" i="20"/>
  <c r="CF149" i="20"/>
  <c r="CF95" i="20"/>
  <c r="CF122" i="20" s="1"/>
  <c r="B119" i="20"/>
  <c r="AS65" i="20"/>
  <c r="BZ65" i="20"/>
  <c r="CA257" i="20" s="1"/>
  <c r="CT65" i="20"/>
  <c r="AT65" i="20" s="1"/>
  <c r="AU257" i="20" s="1"/>
  <c r="AU95" i="20"/>
  <c r="AU122" i="20" s="1"/>
  <c r="BK95" i="20"/>
  <c r="BK122" i="20" s="1"/>
  <c r="CI149" i="20"/>
  <c r="BT95" i="20"/>
  <c r="BT122" i="20" s="1"/>
  <c r="AW186" i="20"/>
  <c r="AW176" i="20"/>
  <c r="AW149" i="20"/>
  <c r="AW95" i="20"/>
  <c r="AW122" i="20" s="1"/>
  <c r="BE186" i="20"/>
  <c r="BE176" i="20"/>
  <c r="BE149" i="20"/>
  <c r="BE95" i="20"/>
  <c r="BE122" i="20"/>
  <c r="BM186" i="20"/>
  <c r="BM176" i="20" s="1"/>
  <c r="BM149" i="20"/>
  <c r="BM95" i="20"/>
  <c r="BM122" i="20"/>
  <c r="BU186" i="20"/>
  <c r="BU176" i="20" s="1"/>
  <c r="BU149" i="20"/>
  <c r="BU95" i="20"/>
  <c r="BU122" i="20" s="1"/>
  <c r="CC186" i="20"/>
  <c r="CC176" i="20" s="1"/>
  <c r="CC149" i="20"/>
  <c r="CC95" i="20"/>
  <c r="CC122" i="20" s="1"/>
  <c r="CK186" i="20"/>
  <c r="CK176" i="20" s="1"/>
  <c r="CK149" i="20"/>
  <c r="CK95" i="20"/>
  <c r="CK122" i="20" s="1"/>
  <c r="AP186" i="20"/>
  <c r="AP176" i="20" s="1"/>
  <c r="AP95" i="20"/>
  <c r="AP122" i="20" s="1"/>
  <c r="AP149" i="20"/>
  <c r="AX186" i="20"/>
  <c r="AX176" i="20" s="1"/>
  <c r="AX95" i="20"/>
  <c r="AX122" i="20" s="1"/>
  <c r="AX149" i="20"/>
  <c r="BF186" i="20"/>
  <c r="BF176" i="20" s="1"/>
  <c r="BF95" i="20"/>
  <c r="BF122" i="20" s="1"/>
  <c r="BF149" i="20"/>
  <c r="BN186" i="20"/>
  <c r="BN176" i="20" s="1"/>
  <c r="BN95" i="20"/>
  <c r="BN122" i="20"/>
  <c r="BN149" i="20"/>
  <c r="BV186" i="20"/>
  <c r="BV176" i="20" s="1"/>
  <c r="BV95" i="20"/>
  <c r="BV122" i="20" s="1"/>
  <c r="BV149" i="20"/>
  <c r="CD186" i="20"/>
  <c r="CD176" i="20" s="1"/>
  <c r="CD95" i="20"/>
  <c r="CD122" i="20"/>
  <c r="CD149" i="20"/>
  <c r="CL186" i="20"/>
  <c r="CL176" i="20" s="1"/>
  <c r="CL95" i="20"/>
  <c r="CL122" i="20"/>
  <c r="CL149" i="20"/>
  <c r="AQ186" i="20"/>
  <c r="AQ176" i="20" s="1"/>
  <c r="AQ149" i="20"/>
  <c r="AQ95" i="20"/>
  <c r="AQ122" i="20" s="1"/>
  <c r="AY186" i="20"/>
  <c r="AY176" i="20" s="1"/>
  <c r="AY95" i="20"/>
  <c r="AY122" i="20" s="1"/>
  <c r="AY149" i="20"/>
  <c r="BG186" i="20"/>
  <c r="BG176" i="20" s="1"/>
  <c r="BG95" i="20"/>
  <c r="BG122" i="20" s="1"/>
  <c r="BG149" i="20"/>
  <c r="BO186" i="20"/>
  <c r="BO176" i="20" s="1"/>
  <c r="BO95" i="20"/>
  <c r="BO122" i="20"/>
  <c r="BO149" i="20"/>
  <c r="BW186" i="20"/>
  <c r="BW176" i="20" s="1"/>
  <c r="BW149" i="20"/>
  <c r="BW95" i="20"/>
  <c r="BW122" i="20" s="1"/>
  <c r="CE186" i="20"/>
  <c r="CE176" i="20"/>
  <c r="CE95" i="20"/>
  <c r="CE122" i="20" s="1"/>
  <c r="CE149" i="20"/>
  <c r="CM186" i="20"/>
  <c r="CM176" i="20" s="1"/>
  <c r="CM95" i="20"/>
  <c r="CM122" i="20" s="1"/>
  <c r="CM149" i="20"/>
  <c r="CN186" i="20"/>
  <c r="CN176" i="20" s="1"/>
  <c r="CN149" i="20"/>
  <c r="AS186" i="20"/>
  <c r="AS176" i="20" s="1"/>
  <c r="AS149" i="20"/>
  <c r="AS95" i="20"/>
  <c r="AS122" i="20" s="1"/>
  <c r="BA186" i="20"/>
  <c r="BA176" i="20" s="1"/>
  <c r="BA149" i="20"/>
  <c r="BA95" i="20"/>
  <c r="BA122" i="20" s="1"/>
  <c r="BI186" i="20"/>
  <c r="BI176" i="20" s="1"/>
  <c r="BI149" i="20"/>
  <c r="BI95" i="20"/>
  <c r="BI122" i="20" s="1"/>
  <c r="BQ186" i="20"/>
  <c r="BQ176" i="20" s="1"/>
  <c r="BQ149" i="20"/>
  <c r="BQ95" i="20"/>
  <c r="BQ122" i="20" s="1"/>
  <c r="BY186" i="20"/>
  <c r="BY176" i="20" s="1"/>
  <c r="BY149" i="20"/>
  <c r="BY95" i="20"/>
  <c r="BY122" i="20" s="1"/>
  <c r="CG186" i="20"/>
  <c r="CG176" i="20" s="1"/>
  <c r="CG149" i="20"/>
  <c r="CG95" i="20"/>
  <c r="CG122" i="20" s="1"/>
  <c r="CO186" i="20"/>
  <c r="CO176" i="20"/>
  <c r="CO149" i="20"/>
  <c r="CO95" i="20"/>
  <c r="CO122" i="20" s="1"/>
  <c r="AT186" i="20"/>
  <c r="AT176" i="20"/>
  <c r="AT149" i="20"/>
  <c r="AT95" i="20"/>
  <c r="AT122" i="20"/>
  <c r="BB186" i="20"/>
  <c r="BB176" i="20" s="1"/>
  <c r="BB149" i="20"/>
  <c r="BB95" i="20"/>
  <c r="BB122" i="20" s="1"/>
  <c r="BJ186" i="20"/>
  <c r="BJ176" i="20" s="1"/>
  <c r="BJ149" i="20"/>
  <c r="BJ95" i="20"/>
  <c r="BJ122" i="20" s="1"/>
  <c r="BR186" i="20"/>
  <c r="BR176" i="20" s="1"/>
  <c r="BR149" i="20"/>
  <c r="BR95" i="20"/>
  <c r="BR122" i="20" s="1"/>
  <c r="BZ186" i="20"/>
  <c r="BZ176" i="20" s="1"/>
  <c r="BZ149" i="20"/>
  <c r="BZ95" i="20"/>
  <c r="BZ122" i="20" s="1"/>
  <c r="CH186" i="20"/>
  <c r="CH176" i="20" s="1"/>
  <c r="CH149" i="20"/>
  <c r="CH95" i="20"/>
  <c r="CH122" i="20" s="1"/>
  <c r="CP186" i="20"/>
  <c r="CP176" i="20" s="1"/>
  <c r="CP149" i="20"/>
  <c r="CP95" i="20"/>
  <c r="CP122" i="20" s="1"/>
  <c r="CN95" i="20"/>
  <c r="CN122" i="20" s="1"/>
  <c r="B226" i="20"/>
  <c r="F312" i="20"/>
  <c r="CR68" i="19"/>
  <c r="CS13" i="19"/>
  <c r="D186" i="19"/>
  <c r="D176" i="19" s="1"/>
  <c r="D95" i="19"/>
  <c r="D122" i="19" s="1"/>
  <c r="D149" i="19"/>
  <c r="E13" i="19"/>
  <c r="CQ149" i="19"/>
  <c r="A257" i="19"/>
  <c r="A229" i="19"/>
  <c r="A92" i="19"/>
  <c r="B172" i="19"/>
  <c r="B145" i="19" s="1"/>
  <c r="B173" i="19"/>
  <c r="B146" i="19" s="1"/>
  <c r="B92" i="19"/>
  <c r="AY186" i="19"/>
  <c r="AY176" i="19" s="1"/>
  <c r="AY95" i="19"/>
  <c r="AY122" i="19" s="1"/>
  <c r="AY149" i="19"/>
  <c r="BG186" i="19"/>
  <c r="BG176" i="19" s="1"/>
  <c r="BG149" i="19"/>
  <c r="BG95" i="19"/>
  <c r="BG122" i="19" s="1"/>
  <c r="BO186" i="19"/>
  <c r="BO176" i="19" s="1"/>
  <c r="BO149" i="19"/>
  <c r="BO95" i="19"/>
  <c r="BO122" i="19" s="1"/>
  <c r="BW186" i="19"/>
  <c r="BW176" i="19" s="1"/>
  <c r="BW149" i="19"/>
  <c r="BW95" i="19"/>
  <c r="BW122" i="19" s="1"/>
  <c r="CE186" i="19"/>
  <c r="CE176" i="19" s="1"/>
  <c r="CE95" i="19"/>
  <c r="CE122" i="19" s="1"/>
  <c r="CE149" i="19"/>
  <c r="CM186" i="19"/>
  <c r="CM176" i="19" s="1"/>
  <c r="CM149" i="19"/>
  <c r="CM95" i="19"/>
  <c r="CM122" i="19"/>
  <c r="CT65" i="19"/>
  <c r="B63" i="19"/>
  <c r="AP65" i="19"/>
  <c r="AQ257" i="19" s="1"/>
  <c r="AS186" i="19"/>
  <c r="AS176" i="19" s="1"/>
  <c r="AS149" i="19"/>
  <c r="AS95" i="19"/>
  <c r="AS122" i="19" s="1"/>
  <c r="BA186" i="19"/>
  <c r="BA176" i="19" s="1"/>
  <c r="BA95" i="19"/>
  <c r="BA122" i="19" s="1"/>
  <c r="BA149" i="19"/>
  <c r="BI186" i="19"/>
  <c r="BI176" i="19" s="1"/>
  <c r="BI149" i="19"/>
  <c r="BI95" i="19"/>
  <c r="BI122" i="19" s="1"/>
  <c r="BQ186" i="19"/>
  <c r="BQ176" i="19" s="1"/>
  <c r="BQ149" i="19"/>
  <c r="BQ95" i="19"/>
  <c r="BQ122" i="19" s="1"/>
  <c r="BY186" i="19"/>
  <c r="BY176" i="19" s="1"/>
  <c r="BY95" i="19"/>
  <c r="BY122" i="19"/>
  <c r="BY149" i="19"/>
  <c r="CG186" i="19"/>
  <c r="CG176" i="19" s="1"/>
  <c r="CG95" i="19"/>
  <c r="CG122" i="19" s="1"/>
  <c r="CG149" i="19"/>
  <c r="CO186" i="19"/>
  <c r="CO176" i="19"/>
  <c r="CO149" i="19"/>
  <c r="CO95" i="19"/>
  <c r="CO122" i="19" s="1"/>
  <c r="B118" i="19"/>
  <c r="BJ64" i="19"/>
  <c r="BK256" i="19" s="1"/>
  <c r="CT64" i="19"/>
  <c r="CI64" i="19" s="1"/>
  <c r="CJ256" i="19" s="1"/>
  <c r="AQ64" i="19"/>
  <c r="AR256" i="19" s="1"/>
  <c r="AU64" i="19"/>
  <c r="AV256" i="19" s="1"/>
  <c r="BG64" i="19"/>
  <c r="BH256" i="19" s="1"/>
  <c r="B119" i="19"/>
  <c r="BS65" i="19"/>
  <c r="BT257" i="19" s="1"/>
  <c r="BC65" i="19"/>
  <c r="BD257" i="19" s="1"/>
  <c r="AU65" i="19"/>
  <c r="AV257" i="19" s="1"/>
  <c r="G65" i="19"/>
  <c r="H257" i="19" s="1"/>
  <c r="CO65" i="19"/>
  <c r="CP257" i="19" s="1"/>
  <c r="CG65" i="19"/>
  <c r="CH257" i="19" s="1"/>
  <c r="BY65" i="19"/>
  <c r="BZ257" i="19" s="1"/>
  <c r="AS65" i="19"/>
  <c r="AT257" i="19" s="1"/>
  <c r="BO65" i="19"/>
  <c r="BP257" i="19" s="1"/>
  <c r="BE65" i="19"/>
  <c r="BF257" i="19" s="1"/>
  <c r="AT65" i="19"/>
  <c r="AU257" i="19" s="1"/>
  <c r="CH65" i="19"/>
  <c r="CI257" i="19" s="1"/>
  <c r="BW65" i="19"/>
  <c r="BX257" i="19" s="1"/>
  <c r="BM65" i="19"/>
  <c r="BN257" i="19" s="1"/>
  <c r="BB65" i="19"/>
  <c r="BC257" i="19" s="1"/>
  <c r="AQ65" i="19"/>
  <c r="AR257" i="19" s="1"/>
  <c r="AR65" i="19"/>
  <c r="AS257" i="19" s="1"/>
  <c r="BG65" i="19"/>
  <c r="BH257" i="19" s="1"/>
  <c r="BU65" i="19"/>
  <c r="BV257" i="19" s="1"/>
  <c r="AV64" i="19"/>
  <c r="AW256" i="19" s="1"/>
  <c r="BI64" i="19"/>
  <c r="BJ256" i="19" s="1"/>
  <c r="BU64" i="19"/>
  <c r="BV256" i="19" s="1"/>
  <c r="AV65" i="19"/>
  <c r="AW257" i="19" s="1"/>
  <c r="BH65" i="19"/>
  <c r="BI257" i="19" s="1"/>
  <c r="BV65" i="19"/>
  <c r="BW257" i="19" s="1"/>
  <c r="CL65" i="19"/>
  <c r="CM257" i="19" s="1"/>
  <c r="AU186" i="19"/>
  <c r="AU176" i="19" s="1"/>
  <c r="AU149" i="19"/>
  <c r="AU95" i="19"/>
  <c r="AU122" i="19" s="1"/>
  <c r="BC186" i="19"/>
  <c r="BC176" i="19" s="1"/>
  <c r="BC149" i="19"/>
  <c r="BC95" i="19"/>
  <c r="BC122" i="19" s="1"/>
  <c r="BK186" i="19"/>
  <c r="BK176" i="19" s="1"/>
  <c r="BK149" i="19"/>
  <c r="BK95" i="19"/>
  <c r="BK122" i="19" s="1"/>
  <c r="BS186" i="19"/>
  <c r="BS176" i="19"/>
  <c r="BS149" i="19"/>
  <c r="BS95" i="19"/>
  <c r="BS122" i="19" s="1"/>
  <c r="CA186" i="19"/>
  <c r="CA176" i="19"/>
  <c r="CA149" i="19"/>
  <c r="CA95" i="19"/>
  <c r="CA122" i="19"/>
  <c r="CI186" i="19"/>
  <c r="CI176" i="19" s="1"/>
  <c r="CI149" i="19"/>
  <c r="CI95" i="19"/>
  <c r="CI122" i="19"/>
  <c r="AX64" i="19"/>
  <c r="AY256" i="19" s="1"/>
  <c r="BK64" i="19"/>
  <c r="BL256" i="19" s="1"/>
  <c r="BV64" i="19"/>
  <c r="BW256" i="19" s="1"/>
  <c r="CK64" i="19"/>
  <c r="CL256" i="19" s="1"/>
  <c r="F65" i="19"/>
  <c r="G257" i="19" s="1"/>
  <c r="AW65" i="19"/>
  <c r="AX257" i="19" s="1"/>
  <c r="BJ65" i="19"/>
  <c r="BK257" i="19" s="1"/>
  <c r="BX65" i="19"/>
  <c r="BY257" i="19" s="1"/>
  <c r="AW186" i="19"/>
  <c r="AW176" i="19" s="1"/>
  <c r="AW149" i="19"/>
  <c r="AW95" i="19"/>
  <c r="AW122" i="19" s="1"/>
  <c r="BE186" i="19"/>
  <c r="BE176" i="19" s="1"/>
  <c r="BE149" i="19"/>
  <c r="BE95" i="19"/>
  <c r="BE122" i="19" s="1"/>
  <c r="BM186" i="19"/>
  <c r="BM176" i="19" s="1"/>
  <c r="BM95" i="19"/>
  <c r="BM122" i="19" s="1"/>
  <c r="BM149" i="19"/>
  <c r="BU186" i="19"/>
  <c r="BU176" i="19" s="1"/>
  <c r="BU95" i="19"/>
  <c r="BU122" i="19" s="1"/>
  <c r="BU149" i="19"/>
  <c r="CC186" i="19"/>
  <c r="CC176" i="19" s="1"/>
  <c r="CC149" i="19"/>
  <c r="CC95" i="19"/>
  <c r="CC122" i="19" s="1"/>
  <c r="CK186" i="19"/>
  <c r="CK176" i="19" s="1"/>
  <c r="CK149" i="19"/>
  <c r="CK95" i="19"/>
  <c r="CK122" i="19" s="1"/>
  <c r="AP186" i="19"/>
  <c r="AP176" i="19" s="1"/>
  <c r="AP149" i="19"/>
  <c r="AP95" i="19"/>
  <c r="AP122" i="19" s="1"/>
  <c r="BN149" i="19"/>
  <c r="AR186" i="19"/>
  <c r="AR176" i="19" s="1"/>
  <c r="AR95" i="19"/>
  <c r="AR122" i="19"/>
  <c r="AR149" i="19"/>
  <c r="AZ186" i="19"/>
  <c r="AZ176" i="19" s="1"/>
  <c r="AZ149" i="19"/>
  <c r="AZ95" i="19"/>
  <c r="AZ122" i="19" s="1"/>
  <c r="BH186" i="19"/>
  <c r="BH176" i="19"/>
  <c r="BH95" i="19"/>
  <c r="BH122" i="19" s="1"/>
  <c r="BH149" i="19"/>
  <c r="BP186" i="19"/>
  <c r="BP176" i="19"/>
  <c r="BP95" i="19"/>
  <c r="BP122" i="19" s="1"/>
  <c r="BP149" i="19"/>
  <c r="BX186" i="19"/>
  <c r="BX176" i="19" s="1"/>
  <c r="BX149" i="19"/>
  <c r="BX95" i="19"/>
  <c r="BX122" i="19"/>
  <c r="CF186" i="19"/>
  <c r="CF176" i="19" s="1"/>
  <c r="CF149" i="19"/>
  <c r="CF95" i="19"/>
  <c r="CF122" i="19"/>
  <c r="CN186" i="19"/>
  <c r="CN176" i="19" s="1"/>
  <c r="CN95" i="19"/>
  <c r="CN122" i="19" s="1"/>
  <c r="CN149" i="19"/>
  <c r="AT186" i="19"/>
  <c r="AT176" i="19" s="1"/>
  <c r="AT149" i="19"/>
  <c r="AT95" i="19"/>
  <c r="AT122" i="19" s="1"/>
  <c r="BB186" i="19"/>
  <c r="BB176" i="19" s="1"/>
  <c r="BB149" i="19"/>
  <c r="BB95" i="19"/>
  <c r="BB122" i="19" s="1"/>
  <c r="BJ186" i="19"/>
  <c r="BJ176" i="19" s="1"/>
  <c r="BJ149" i="19"/>
  <c r="BJ95" i="19"/>
  <c r="BJ122" i="19" s="1"/>
  <c r="BR186" i="19"/>
  <c r="BR176" i="19"/>
  <c r="BR149" i="19"/>
  <c r="BR95" i="19"/>
  <c r="BR122" i="19" s="1"/>
  <c r="BZ186" i="19"/>
  <c r="BZ176" i="19" s="1"/>
  <c r="BZ149" i="19"/>
  <c r="BZ95" i="19"/>
  <c r="BZ122" i="19" s="1"/>
  <c r="CH186" i="19"/>
  <c r="CH176" i="19"/>
  <c r="CH149" i="19"/>
  <c r="CH95" i="19"/>
  <c r="CH122" i="19" s="1"/>
  <c r="CP186" i="19"/>
  <c r="CP176" i="19" s="1"/>
  <c r="CP149" i="19"/>
  <c r="CP95" i="19"/>
  <c r="CP122" i="19"/>
  <c r="BD186" i="19"/>
  <c r="BD176" i="19" s="1"/>
  <c r="BD149" i="19"/>
  <c r="BD95" i="19"/>
  <c r="BD122" i="19"/>
  <c r="BL186" i="19"/>
  <c r="BL176" i="19" s="1"/>
  <c r="BL149" i="19"/>
  <c r="BT186" i="19"/>
  <c r="BT176" i="19" s="1"/>
  <c r="BT149" i="19"/>
  <c r="BT95" i="19"/>
  <c r="BT122" i="19" s="1"/>
  <c r="CB186" i="19"/>
  <c r="CB176" i="19" s="1"/>
  <c r="CB149" i="19"/>
  <c r="CJ186" i="19"/>
  <c r="CJ176" i="19" s="1"/>
  <c r="CJ149" i="19"/>
  <c r="CJ95" i="19"/>
  <c r="CJ122" i="19"/>
  <c r="AV95" i="19"/>
  <c r="AV122" i="19" s="1"/>
  <c r="AV149" i="19"/>
  <c r="B255" i="19"/>
  <c r="B328" i="19" s="1"/>
  <c r="B226" i="19"/>
  <c r="F309" i="2"/>
  <c r="F310" i="2" s="1"/>
  <c r="F311" i="2"/>
  <c r="F312" i="2" s="1"/>
  <c r="F313" i="2"/>
  <c r="F314" i="2" s="1"/>
  <c r="F315" i="2" s="1"/>
  <c r="F316" i="2" s="1"/>
  <c r="F317" i="2" s="1"/>
  <c r="F318" i="2" s="1"/>
  <c r="F319" i="2" s="1"/>
  <c r="F320" i="2" s="1"/>
  <c r="F321" i="2" s="1"/>
  <c r="F322" i="2" s="1"/>
  <c r="F323" i="2" s="1"/>
  <c r="F324" i="2" s="1"/>
  <c r="F325" i="2" s="1"/>
  <c r="F326" i="2" s="1"/>
  <c r="F327" i="2" s="1"/>
  <c r="F328" i="2" s="1"/>
  <c r="F329" i="2" s="1"/>
  <c r="F330" i="2" s="1"/>
  <c r="F331" i="2" s="1"/>
  <c r="F332" i="2" s="1"/>
  <c r="F333" i="2" s="1"/>
  <c r="F334" i="2" s="1"/>
  <c r="F335" i="2" s="1"/>
  <c r="F336" i="2" s="1"/>
  <c r="F337" i="2" s="1"/>
  <c r="F338" i="2" s="1"/>
  <c r="F339" i="2" s="1"/>
  <c r="F340" i="2" s="1"/>
  <c r="F341" i="2" s="1"/>
  <c r="F342" i="2" s="1"/>
  <c r="F343" i="2" s="1"/>
  <c r="F344" i="2" s="1"/>
  <c r="F345" i="2" s="1"/>
  <c r="F346" i="2" s="1"/>
  <c r="F347" i="2" s="1"/>
  <c r="F348" i="2" s="1"/>
  <c r="F349" i="2" s="1"/>
  <c r="F350" i="2" s="1"/>
  <c r="F351" i="2" s="1"/>
  <c r="F352" i="2" s="1"/>
  <c r="F353" i="2" s="1"/>
  <c r="F354" i="2" s="1"/>
  <c r="F355" i="2" s="1"/>
  <c r="F356" i="2" s="1"/>
  <c r="F357" i="2" s="1"/>
  <c r="F358" i="2" s="1"/>
  <c r="F359" i="2" s="1"/>
  <c r="F360" i="2" s="1"/>
  <c r="F361" i="2" s="1"/>
  <c r="F362" i="2" s="1"/>
  <c r="F363" i="2" s="1"/>
  <c r="F364" i="2" s="1"/>
  <c r="F365" i="2" s="1"/>
  <c r="F366" i="2" s="1"/>
  <c r="F367" i="2" s="1"/>
  <c r="F368" i="2" s="1"/>
  <c r="F369" i="2" s="1"/>
  <c r="F370" i="2" s="1"/>
  <c r="F371" i="2" s="1"/>
  <c r="F372" i="2" s="1"/>
  <c r="F373" i="2" s="1"/>
  <c r="F374" i="2" s="1"/>
  <c r="F375" i="2" s="1"/>
  <c r="F376" i="2" s="1"/>
  <c r="F377" i="2" s="1"/>
  <c r="F378" i="2" s="1"/>
  <c r="F379" i="2" s="1"/>
  <c r="F380" i="2" s="1"/>
  <c r="F381" i="2" s="1"/>
  <c r="F382" i="2" s="1"/>
  <c r="F383" i="2" s="1"/>
  <c r="F384" i="2" s="1"/>
  <c r="F385" i="2" s="1"/>
  <c r="F386" i="2" s="1"/>
  <c r="F387" i="2" s="1"/>
  <c r="AW64" i="19"/>
  <c r="AX256" i="19" s="1"/>
  <c r="CJ65" i="20"/>
  <c r="CK257" i="20" s="1"/>
  <c r="D65" i="20"/>
  <c r="BP65" i="20"/>
  <c r="BQ257" i="20" s="1"/>
  <c r="BZ92" i="20"/>
  <c r="BZ173" i="20"/>
  <c r="BN65" i="20"/>
  <c r="BO257" i="20" s="1"/>
  <c r="CF65" i="20"/>
  <c r="CG257" i="20" s="1"/>
  <c r="BA65" i="20"/>
  <c r="BB257" i="20" s="1"/>
  <c r="BD65" i="20"/>
  <c r="BE257" i="20" s="1"/>
  <c r="CN65" i="20"/>
  <c r="CO257" i="20" s="1"/>
  <c r="BI65" i="20"/>
  <c r="BJ257" i="20" s="1"/>
  <c r="F313" i="20"/>
  <c r="AT92" i="20"/>
  <c r="AT173" i="20" s="1"/>
  <c r="E65" i="20"/>
  <c r="F257" i="20" s="1"/>
  <c r="BQ65" i="20"/>
  <c r="BR257" i="20" s="1"/>
  <c r="AR65" i="20"/>
  <c r="AS257" i="20" s="1"/>
  <c r="BY65" i="20"/>
  <c r="BZ257" i="20" s="1"/>
  <c r="A229" i="20"/>
  <c r="CH65" i="20"/>
  <c r="CI257" i="20" s="1"/>
  <c r="BV65" i="20"/>
  <c r="BW257" i="20" s="1"/>
  <c r="BL65" i="20"/>
  <c r="BM257" i="20" s="1"/>
  <c r="BB65" i="20"/>
  <c r="BC257" i="20" s="1"/>
  <c r="AP65" i="20"/>
  <c r="AQ257" i="20" s="1"/>
  <c r="J65" i="20"/>
  <c r="K257" i="20" s="1"/>
  <c r="CQ65" i="20"/>
  <c r="CR257" i="20" s="1"/>
  <c r="CE65" i="20"/>
  <c r="CF257" i="20" s="1"/>
  <c r="BU65" i="20"/>
  <c r="BV257" i="20" s="1"/>
  <c r="BK65" i="20"/>
  <c r="BL257" i="20" s="1"/>
  <c r="AY65" i="20"/>
  <c r="AZ257" i="20" s="1"/>
  <c r="AO65" i="20"/>
  <c r="AP257" i="20" s="1"/>
  <c r="I65" i="20"/>
  <c r="J257" i="20" s="1"/>
  <c r="CP65" i="20"/>
  <c r="CQ257" i="20" s="1"/>
  <c r="CD65" i="20"/>
  <c r="CE257" i="20" s="1"/>
  <c r="BT65" i="20"/>
  <c r="BU257" i="20" s="1"/>
  <c r="BJ65" i="20"/>
  <c r="BK257" i="20" s="1"/>
  <c r="AX65" i="20"/>
  <c r="AY257" i="20" s="1"/>
  <c r="H65" i="20"/>
  <c r="I257" i="20" s="1"/>
  <c r="CM65" i="20"/>
  <c r="CN257" i="20" s="1"/>
  <c r="CC65" i="20"/>
  <c r="CD257" i="20" s="1"/>
  <c r="BS65" i="20"/>
  <c r="BT257" i="20" s="1"/>
  <c r="BG65" i="20"/>
  <c r="BH257" i="20" s="1"/>
  <c r="AW65" i="20"/>
  <c r="AX257" i="20" s="1"/>
  <c r="G65" i="20"/>
  <c r="H257" i="20" s="1"/>
  <c r="CL65" i="20"/>
  <c r="CM257" i="20" s="1"/>
  <c r="CB65" i="20"/>
  <c r="CC257" i="20" s="1"/>
  <c r="BR65" i="20"/>
  <c r="BS257" i="20" s="1"/>
  <c r="BF65" i="20"/>
  <c r="BG257" i="20" s="1"/>
  <c r="AV65" i="20"/>
  <c r="AW257" i="20" s="1"/>
  <c r="F65" i="20"/>
  <c r="G257" i="20" s="1"/>
  <c r="CK65" i="20"/>
  <c r="CL257" i="20" s="1"/>
  <c r="CA65" i="20"/>
  <c r="CB257" i="20" s="1"/>
  <c r="BO65" i="20"/>
  <c r="BP257" i="20" s="1"/>
  <c r="BE65" i="20"/>
  <c r="BF257" i="20" s="1"/>
  <c r="AU65" i="20"/>
  <c r="AV257" i="20" s="1"/>
  <c r="C65" i="20"/>
  <c r="CI65" i="20"/>
  <c r="CJ257" i="20" s="1"/>
  <c r="BW65" i="20"/>
  <c r="BX257" i="20" s="1"/>
  <c r="BM65" i="20"/>
  <c r="BN257" i="20" s="1"/>
  <c r="BC65" i="20"/>
  <c r="BD257" i="20" s="1"/>
  <c r="AQ65" i="20"/>
  <c r="K65" i="20"/>
  <c r="L257" i="20" s="1"/>
  <c r="BH65" i="20"/>
  <c r="BI257" i="20" s="1"/>
  <c r="CO65" i="20"/>
  <c r="CP257" i="20" s="1"/>
  <c r="AQ91" i="19"/>
  <c r="AQ172" i="19" s="1"/>
  <c r="AW92" i="19"/>
  <c r="AW173" i="19" s="1"/>
  <c r="BH92" i="19"/>
  <c r="BH173" i="19" s="1"/>
  <c r="AV91" i="19"/>
  <c r="AV172" i="19" s="1"/>
  <c r="AR92" i="19"/>
  <c r="AR173" i="19" s="1"/>
  <c r="BM92" i="19"/>
  <c r="BM173" i="19"/>
  <c r="AT92" i="19"/>
  <c r="AT173" i="19" s="1"/>
  <c r="CO92" i="19"/>
  <c r="CO173" i="19" s="1"/>
  <c r="BK65" i="19"/>
  <c r="BL257" i="19" s="1"/>
  <c r="BG91" i="19"/>
  <c r="BG172" i="19" s="1"/>
  <c r="H64" i="19"/>
  <c r="I256" i="19" s="1"/>
  <c r="CA64" i="19"/>
  <c r="CB256" i="19" s="1"/>
  <c r="BZ64" i="19"/>
  <c r="CA256" i="19" s="1"/>
  <c r="B117" i="19"/>
  <c r="B62" i="19"/>
  <c r="E63" i="19"/>
  <c r="CT63" i="19"/>
  <c r="AZ63" i="19"/>
  <c r="AV92" i="19"/>
  <c r="AV173" i="19" s="1"/>
  <c r="BW92" i="19"/>
  <c r="BW173" i="19" s="1"/>
  <c r="BE92" i="19"/>
  <c r="BE173" i="19" s="1"/>
  <c r="G92" i="19"/>
  <c r="G173" i="19" s="1"/>
  <c r="BS92" i="19"/>
  <c r="BS173" i="19"/>
  <c r="AU91" i="19"/>
  <c r="AU172" i="19" s="1"/>
  <c r="CP65" i="19"/>
  <c r="CQ257" i="19" s="1"/>
  <c r="CC65" i="19"/>
  <c r="CD257" i="19" s="1"/>
  <c r="BN65" i="19"/>
  <c r="BO257" i="19" s="1"/>
  <c r="AY65" i="19"/>
  <c r="I65" i="19"/>
  <c r="J257" i="19" s="1"/>
  <c r="CN65" i="19"/>
  <c r="CO257" i="19" s="1"/>
  <c r="CB65" i="19"/>
  <c r="CC257" i="19" s="1"/>
  <c r="BL65" i="19"/>
  <c r="BM257" i="19" s="1"/>
  <c r="AX65" i="19"/>
  <c r="AY257" i="19" s="1"/>
  <c r="H65" i="19"/>
  <c r="I257" i="19" s="1"/>
  <c r="BR65" i="19"/>
  <c r="BS257" i="19" s="1"/>
  <c r="BD65" i="19"/>
  <c r="AO65" i="19"/>
  <c r="AP257" i="19" s="1"/>
  <c r="L65" i="19"/>
  <c r="M257" i="19" s="1"/>
  <c r="J65" i="19"/>
  <c r="K257" i="19" s="1"/>
  <c r="I64" i="19"/>
  <c r="J256" i="19" s="1"/>
  <c r="CH92" i="19"/>
  <c r="CH173" i="19" s="1"/>
  <c r="BO92" i="19"/>
  <c r="BO173" i="19" s="1"/>
  <c r="AS92" i="19"/>
  <c r="AS173" i="19" s="1"/>
  <c r="CA65" i="19"/>
  <c r="CB257" i="19" s="1"/>
  <c r="AW91" i="19"/>
  <c r="AW172" i="19" s="1"/>
  <c r="CP64" i="19"/>
  <c r="CQ256" i="19" s="1"/>
  <c r="BS64" i="19"/>
  <c r="BT256" i="19" s="1"/>
  <c r="CE65" i="19"/>
  <c r="CF257" i="19" s="1"/>
  <c r="CO64" i="19"/>
  <c r="CP256" i="19" s="1"/>
  <c r="CS64" i="19"/>
  <c r="CS91" i="19" s="1"/>
  <c r="CS172" i="19" s="1"/>
  <c r="F92" i="19"/>
  <c r="F173" i="19" s="1"/>
  <c r="K65" i="19"/>
  <c r="L257" i="19" s="1"/>
  <c r="CS65" i="19"/>
  <c r="CS92" i="19" s="1"/>
  <c r="CS173" i="19" s="1"/>
  <c r="BZ65" i="19"/>
  <c r="CA257" i="19" s="1"/>
  <c r="BA65" i="19"/>
  <c r="BB257" i="19" s="1"/>
  <c r="CI65" i="19"/>
  <c r="CJ257" i="19" s="1"/>
  <c r="BF64" i="19"/>
  <c r="BG256" i="19" s="1"/>
  <c r="CB64" i="19"/>
  <c r="BE64" i="19"/>
  <c r="BF256" i="19" s="1"/>
  <c r="CQ64" i="19"/>
  <c r="CR256" i="19" s="1"/>
  <c r="CR65" i="19"/>
  <c r="CS257" i="19" s="1"/>
  <c r="CC64" i="19"/>
  <c r="CD256" i="19" s="1"/>
  <c r="CF65" i="19"/>
  <c r="CG257" i="19" s="1"/>
  <c r="F311" i="19"/>
  <c r="B254" i="19"/>
  <c r="B225" i="19"/>
  <c r="CK91" i="19"/>
  <c r="CK172" i="19" s="1"/>
  <c r="D65" i="19"/>
  <c r="E257" i="19" s="1"/>
  <c r="C64" i="19"/>
  <c r="C65" i="19"/>
  <c r="CK65" i="19"/>
  <c r="CL257" i="19" s="1"/>
  <c r="BI65" i="19"/>
  <c r="BJ257" i="19" s="1"/>
  <c r="CQ65" i="19"/>
  <c r="L64" i="19"/>
  <c r="M256" i="19" s="1"/>
  <c r="BO64" i="19"/>
  <c r="BP256" i="19" s="1"/>
  <c r="AP64" i="19"/>
  <c r="AQ256" i="19" s="1"/>
  <c r="AT64" i="19"/>
  <c r="AU256" i="19" s="1"/>
  <c r="CJ64" i="19"/>
  <c r="BT65" i="19"/>
  <c r="BU257" i="19" s="1"/>
  <c r="AS64" i="19"/>
  <c r="AT256" i="19" s="1"/>
  <c r="CD64" i="19"/>
  <c r="CE256" i="19" s="1"/>
  <c r="CD65" i="19"/>
  <c r="CE257" i="19" s="1"/>
  <c r="BN64" i="19"/>
  <c r="BO256" i="19" s="1"/>
  <c r="CM65" i="19"/>
  <c r="CN257" i="19" s="1"/>
  <c r="BV91" i="19"/>
  <c r="BV172" i="19" s="1"/>
  <c r="CG64" i="19"/>
  <c r="CH256" i="19" s="1"/>
  <c r="CJ65" i="19"/>
  <c r="CK257" i="19" s="1"/>
  <c r="E65" i="19"/>
  <c r="BQ65" i="19"/>
  <c r="BR257" i="19" s="1"/>
  <c r="F64" i="19"/>
  <c r="G256" i="19" s="1"/>
  <c r="BX64" i="19"/>
  <c r="BY256" i="19" s="1"/>
  <c r="AY64" i="19"/>
  <c r="AZ256" i="19" s="1"/>
  <c r="BB64" i="19"/>
  <c r="BC256" i="19" s="1"/>
  <c r="CR64" i="19"/>
  <c r="CS256" i="19" s="1"/>
  <c r="BF65" i="19"/>
  <c r="BG257" i="19" s="1"/>
  <c r="BP64" i="19"/>
  <c r="BP65" i="19"/>
  <c r="BQ257" i="19" s="1"/>
  <c r="BC64" i="19"/>
  <c r="BD256" i="19" s="1"/>
  <c r="CS68" i="19"/>
  <c r="CX29" i="19"/>
  <c r="CX14" i="19"/>
  <c r="CX37" i="19"/>
  <c r="CX32" i="19"/>
  <c r="CX24" i="19"/>
  <c r="CX21" i="19"/>
  <c r="CX17" i="19"/>
  <c r="CX35" i="19"/>
  <c r="CX27" i="19"/>
  <c r="CX30" i="19"/>
  <c r="CX22" i="19"/>
  <c r="CX18" i="19"/>
  <c r="CX33" i="19"/>
  <c r="CX25" i="19"/>
  <c r="CX36" i="19"/>
  <c r="CX28" i="19"/>
  <c r="CX19" i="19"/>
  <c r="CX15" i="19"/>
  <c r="CX31" i="19"/>
  <c r="CW31" i="19" s="1" a="1"/>
  <c r="CW31" i="19" s="1"/>
  <c r="CX23" i="19"/>
  <c r="CX34" i="19"/>
  <c r="CX26" i="19"/>
  <c r="CX20" i="19"/>
  <c r="CX16" i="19"/>
  <c r="BX92" i="19"/>
  <c r="BX173" i="19" s="1"/>
  <c r="BK91" i="19"/>
  <c r="BK172" i="19" s="1"/>
  <c r="CL92" i="19"/>
  <c r="CL173" i="19" s="1"/>
  <c r="BU91" i="19"/>
  <c r="BU172" i="19" s="1"/>
  <c r="BU92" i="19"/>
  <c r="BU173" i="19" s="1"/>
  <c r="AQ92" i="19"/>
  <c r="AQ173" i="19" s="1"/>
  <c r="BY92" i="19"/>
  <c r="BY173" i="19"/>
  <c r="AU92" i="19"/>
  <c r="AU173" i="19" s="1"/>
  <c r="CI91" i="19"/>
  <c r="CI172" i="19"/>
  <c r="BJ91" i="19"/>
  <c r="BJ172" i="19" s="1"/>
  <c r="AP92" i="19"/>
  <c r="AP173" i="19" s="1"/>
  <c r="AZ65" i="19"/>
  <c r="BA257" i="19" s="1"/>
  <c r="CR186" i="19"/>
  <c r="CR176" i="19" s="1"/>
  <c r="CR149" i="19"/>
  <c r="CR95" i="19"/>
  <c r="CR122" i="19" s="1"/>
  <c r="BJ92" i="19"/>
  <c r="BJ173" i="19" s="1"/>
  <c r="AX91" i="19"/>
  <c r="AX172" i="19" s="1"/>
  <c r="BV92" i="19"/>
  <c r="BV173" i="19" s="1"/>
  <c r="BI91" i="19"/>
  <c r="BI172" i="19" s="1"/>
  <c r="BG92" i="19"/>
  <c r="BG173" i="19" s="1"/>
  <c r="BB92" i="19"/>
  <c r="BB173" i="19" s="1"/>
  <c r="CG92" i="19"/>
  <c r="CG173" i="19" s="1"/>
  <c r="BC92" i="19"/>
  <c r="BC173" i="19"/>
  <c r="CN64" i="19"/>
  <c r="CO256" i="19" s="1"/>
  <c r="BY64" i="19"/>
  <c r="BZ256" i="19" s="1"/>
  <c r="BM64" i="19"/>
  <c r="BN256" i="19" s="1"/>
  <c r="BA64" i="19"/>
  <c r="BB256" i="19" s="1"/>
  <c r="AO64" i="19"/>
  <c r="AP256" i="19" s="1"/>
  <c r="G64" i="19"/>
  <c r="H256" i="19" s="1"/>
  <c r="CM64" i="19"/>
  <c r="CN256" i="19" s="1"/>
  <c r="BW64" i="19"/>
  <c r="BL64" i="19"/>
  <c r="BM256" i="19" s="1"/>
  <c r="AZ64" i="19"/>
  <c r="BA256" i="19" s="1"/>
  <c r="E64" i="19"/>
  <c r="F256" i="19" s="1"/>
  <c r="BD64" i="19"/>
  <c r="BE256" i="19" s="1"/>
  <c r="AR64" i="19"/>
  <c r="AS256" i="19" s="1"/>
  <c r="J64" i="19"/>
  <c r="K256" i="19" s="1"/>
  <c r="BQ64" i="19"/>
  <c r="BR256" i="19" s="1"/>
  <c r="BR64" i="19"/>
  <c r="BR91" i="19" s="1"/>
  <c r="K64" i="19"/>
  <c r="L256" i="19" s="1"/>
  <c r="B330" i="2"/>
  <c r="B329" i="2"/>
  <c r="E7" i="4"/>
  <c r="B229" i="2"/>
  <c r="B65" i="2"/>
  <c r="B64" i="2" s="1"/>
  <c r="CT64" i="2" s="1"/>
  <c r="N4" i="2"/>
  <c r="E4" i="2"/>
  <c r="N3" i="2" s="1"/>
  <c r="K92" i="20"/>
  <c r="K173" i="20" s="1"/>
  <c r="CA92" i="20"/>
  <c r="CA173" i="20" s="1"/>
  <c r="BR92" i="20"/>
  <c r="BR173" i="20" s="1"/>
  <c r="BG92" i="20"/>
  <c r="BG173" i="20" s="1"/>
  <c r="AX92" i="20"/>
  <c r="AX173" i="20" s="1"/>
  <c r="AO92" i="20"/>
  <c r="AO173" i="20" s="1"/>
  <c r="AR92" i="20"/>
  <c r="AR173" i="20" s="1"/>
  <c r="CN92" i="20"/>
  <c r="CN173" i="20" s="1"/>
  <c r="CJ92" i="20"/>
  <c r="CJ173" i="20"/>
  <c r="C257" i="20"/>
  <c r="CK92" i="20"/>
  <c r="CK173" i="20" s="1"/>
  <c r="CB92" i="20"/>
  <c r="CB173" i="20" s="1"/>
  <c r="BS92" i="20"/>
  <c r="BS173" i="20" s="1"/>
  <c r="BJ92" i="20"/>
  <c r="BJ173" i="20" s="1"/>
  <c r="AY92" i="20"/>
  <c r="AY173" i="20" s="1"/>
  <c r="AP92" i="20"/>
  <c r="AP173" i="20" s="1"/>
  <c r="BQ92" i="20"/>
  <c r="BQ173" i="20" s="1"/>
  <c r="BA92" i="20"/>
  <c r="BA173" i="20"/>
  <c r="F92" i="20"/>
  <c r="F173" i="20" s="1"/>
  <c r="CL92" i="20"/>
  <c r="CL173" i="20" s="1"/>
  <c r="CC92" i="20"/>
  <c r="CC173" i="20" s="1"/>
  <c r="BT92" i="20"/>
  <c r="BT173" i="20" s="1"/>
  <c r="BK92" i="20"/>
  <c r="BK173" i="20" s="1"/>
  <c r="BB92" i="20"/>
  <c r="BB173" i="20"/>
  <c r="E92" i="20"/>
  <c r="E173" i="20"/>
  <c r="BD92" i="20"/>
  <c r="BD173" i="20" s="1"/>
  <c r="CF92" i="20"/>
  <c r="CF173" i="20" s="1"/>
  <c r="AQ92" i="20"/>
  <c r="G92" i="20"/>
  <c r="G173" i="20" s="1"/>
  <c r="CM92" i="20"/>
  <c r="CM173" i="20" s="1"/>
  <c r="CD92" i="20"/>
  <c r="CD173" i="20" s="1"/>
  <c r="BU92" i="20"/>
  <c r="BU173" i="20" s="1"/>
  <c r="BL92" i="20"/>
  <c r="BL173" i="20" s="1"/>
  <c r="CO92" i="20"/>
  <c r="CO173" i="20" s="1"/>
  <c r="BC92" i="20"/>
  <c r="BC173" i="20" s="1"/>
  <c r="H92" i="20"/>
  <c r="H173" i="20" s="1"/>
  <c r="CP92" i="20"/>
  <c r="CP173" i="20" s="1"/>
  <c r="CE92" i="20"/>
  <c r="CE173" i="20" s="1"/>
  <c r="BV92" i="20"/>
  <c r="BV173" i="20" s="1"/>
  <c r="BN92" i="20"/>
  <c r="BN173" i="20" s="1"/>
  <c r="CL63" i="19"/>
  <c r="CM255" i="19" s="1"/>
  <c r="H63" i="19"/>
  <c r="I255" i="19" s="1"/>
  <c r="BM92" i="20"/>
  <c r="BM173" i="20" s="1"/>
  <c r="AU92" i="20"/>
  <c r="AU173" i="20" s="1"/>
  <c r="I92" i="20"/>
  <c r="I173" i="20"/>
  <c r="CQ92" i="20"/>
  <c r="CQ173" i="20" s="1"/>
  <c r="CH92" i="20"/>
  <c r="CH173" i="20" s="1"/>
  <c r="F314" i="20"/>
  <c r="BH92" i="20"/>
  <c r="BH173" i="20" s="1"/>
  <c r="BW92" i="20"/>
  <c r="BW173" i="20" s="1"/>
  <c r="BE92" i="20"/>
  <c r="BE173" i="20" s="1"/>
  <c r="AV92" i="20"/>
  <c r="AV173" i="20" s="1"/>
  <c r="J92" i="20"/>
  <c r="J173" i="20"/>
  <c r="BY92" i="20"/>
  <c r="BY173" i="20" s="1"/>
  <c r="BP92" i="20"/>
  <c r="BP173" i="20" s="1"/>
  <c r="CI92" i="20"/>
  <c r="CI173" i="20" s="1"/>
  <c r="BO92" i="20"/>
  <c r="BO173" i="20" s="1"/>
  <c r="BF92" i="20"/>
  <c r="BF173" i="20" s="1"/>
  <c r="AW92" i="20"/>
  <c r="AW173" i="20" s="1"/>
  <c r="BI92" i="20"/>
  <c r="BI173" i="20" s="1"/>
  <c r="CW21" i="19" a="1"/>
  <c r="CW21" i="19"/>
  <c r="CU21" i="19"/>
  <c r="CT21" i="19"/>
  <c r="CV21" i="19" s="1"/>
  <c r="AS91" i="19"/>
  <c r="AS172" i="19"/>
  <c r="BR92" i="19"/>
  <c r="BR173" i="19" s="1"/>
  <c r="CW34" i="19" a="1"/>
  <c r="CW34" i="19"/>
  <c r="CW24" i="19" a="1"/>
  <c r="CW24" i="19" s="1"/>
  <c r="CU24" i="19"/>
  <c r="CT24" i="19"/>
  <c r="CV24" i="19" s="1"/>
  <c r="BB91" i="19"/>
  <c r="BB172" i="19" s="1"/>
  <c r="H92" i="19"/>
  <c r="H173" i="19" s="1"/>
  <c r="AT63" i="19"/>
  <c r="AU255" i="19" s="1"/>
  <c r="G63" i="19"/>
  <c r="BS63" i="19"/>
  <c r="BT255" i="19" s="1"/>
  <c r="CS63" i="19"/>
  <c r="CS90" i="19" s="1"/>
  <c r="CS171" i="19" s="1"/>
  <c r="J91" i="19"/>
  <c r="J172" i="19"/>
  <c r="AO91" i="19"/>
  <c r="AO172" i="19" s="1"/>
  <c r="CW23" i="19" a="1"/>
  <c r="CW23" i="19" s="1"/>
  <c r="CU23" i="19"/>
  <c r="CT23" i="19"/>
  <c r="CV23" i="19" s="1"/>
  <c r="CW18" i="19" a="1"/>
  <c r="CW18" i="19" s="1"/>
  <c r="CU18" i="19"/>
  <c r="CT18" i="19"/>
  <c r="CV18" i="19" s="1"/>
  <c r="CW32" i="19" a="1"/>
  <c r="CW32" i="19" s="1"/>
  <c r="AY91" i="19"/>
  <c r="AY172" i="19" s="1"/>
  <c r="CJ92" i="19"/>
  <c r="CJ173" i="19" s="1"/>
  <c r="CK92" i="19"/>
  <c r="CK173" i="19"/>
  <c r="B327" i="19"/>
  <c r="BZ92" i="19"/>
  <c r="BZ173" i="19" s="1"/>
  <c r="I91" i="19"/>
  <c r="I172" i="19" s="1"/>
  <c r="K63" i="19"/>
  <c r="L255" i="19" s="1"/>
  <c r="CR63" i="19"/>
  <c r="CS255" i="19" s="1"/>
  <c r="CH63" i="19"/>
  <c r="CI255" i="19" s="1"/>
  <c r="BO63" i="19"/>
  <c r="BP255" i="19" s="1"/>
  <c r="BF63" i="19"/>
  <c r="BG255" i="19" s="1"/>
  <c r="AV63" i="19"/>
  <c r="AW255" i="19" s="1"/>
  <c r="CA63" i="19"/>
  <c r="K91" i="19"/>
  <c r="K172" i="19" s="1"/>
  <c r="CW25" i="19" a="1"/>
  <c r="CW25" i="19"/>
  <c r="CU25" i="19"/>
  <c r="CT25" i="19"/>
  <c r="CV25" i="19" s="1"/>
  <c r="BQ91" i="19"/>
  <c r="BQ172" i="19" s="1"/>
  <c r="AZ91" i="19"/>
  <c r="AZ172" i="19" s="1"/>
  <c r="AZ92" i="19"/>
  <c r="AZ173" i="19" s="1"/>
  <c r="BX91" i="19"/>
  <c r="BX172" i="19"/>
  <c r="AT91" i="19"/>
  <c r="AT172" i="19" s="1"/>
  <c r="BP63" i="19"/>
  <c r="BQ255" i="19" s="1"/>
  <c r="AX63" i="19"/>
  <c r="AY255" i="19" s="1"/>
  <c r="AW63" i="19"/>
  <c r="AX255" i="19" s="1"/>
  <c r="BK92" i="19"/>
  <c r="BK173" i="19" s="1"/>
  <c r="CM91" i="19"/>
  <c r="CM172" i="19"/>
  <c r="CW16" i="19" a="1"/>
  <c r="CW16" i="19" s="1"/>
  <c r="CT16" i="19"/>
  <c r="CV16" i="19" s="1"/>
  <c r="CU16" i="19"/>
  <c r="CR91" i="19"/>
  <c r="CR172" i="19" s="1"/>
  <c r="BA91" i="19"/>
  <c r="BA172" i="19" s="1"/>
  <c r="CU37" i="19"/>
  <c r="BC91" i="19"/>
  <c r="BC172" i="19" s="1"/>
  <c r="CG91" i="19"/>
  <c r="CG172" i="19" s="1"/>
  <c r="C257" i="19"/>
  <c r="J92" i="19"/>
  <c r="J173" i="19" s="1"/>
  <c r="L63" i="19"/>
  <c r="M255" i="19" s="1"/>
  <c r="BY63" i="19"/>
  <c r="BZ255" i="19" s="1"/>
  <c r="BG63" i="19"/>
  <c r="BH255" i="19" s="1"/>
  <c r="CI63" i="19"/>
  <c r="CJ255" i="19" s="1"/>
  <c r="BL91" i="19"/>
  <c r="BL172" i="19" s="1"/>
  <c r="BM91" i="19"/>
  <c r="BM172" i="19"/>
  <c r="CW15" i="19" a="1"/>
  <c r="CW15" i="19" s="1"/>
  <c r="CT15" i="19"/>
  <c r="CV15" i="19" s="1"/>
  <c r="CU15" i="19"/>
  <c r="CW30" i="19" a="1"/>
  <c r="CW30" i="19" s="1"/>
  <c r="CW14" i="19" a="1"/>
  <c r="CW14" i="19" s="1"/>
  <c r="CU14" i="19"/>
  <c r="CT14" i="19"/>
  <c r="CV14" i="19" s="1"/>
  <c r="BP92" i="19"/>
  <c r="BP173" i="19" s="1"/>
  <c r="F91" i="19"/>
  <c r="F172" i="19" s="1"/>
  <c r="AP91" i="19"/>
  <c r="AP172" i="19" s="1"/>
  <c r="F312" i="19"/>
  <c r="K92" i="19"/>
  <c r="K173" i="19" s="1"/>
  <c r="L92" i="19"/>
  <c r="L173" i="19" s="1"/>
  <c r="AX92" i="19"/>
  <c r="AX173" i="19" s="1"/>
  <c r="BN92" i="19"/>
  <c r="BN173" i="19"/>
  <c r="AP63" i="19"/>
  <c r="AQ255" i="19" s="1"/>
  <c r="C63" i="19"/>
  <c r="CJ63" i="19"/>
  <c r="CK255" i="19" s="1"/>
  <c r="BZ63" i="19"/>
  <c r="CA255" i="19" s="1"/>
  <c r="BQ63" i="19"/>
  <c r="BR255" i="19" s="1"/>
  <c r="BH63" i="19"/>
  <c r="BI255" i="19" s="1"/>
  <c r="AY63" i="19"/>
  <c r="AZ255" i="19" s="1"/>
  <c r="CQ63" i="19"/>
  <c r="CR255" i="19" s="1"/>
  <c r="BE63" i="19"/>
  <c r="BF255" i="19" s="1"/>
  <c r="BZ91" i="19"/>
  <c r="BZ172" i="19" s="1"/>
  <c r="CW19" i="19" a="1"/>
  <c r="CW19" i="19"/>
  <c r="CT19" i="19"/>
  <c r="CV19" i="19" s="1"/>
  <c r="CU19" i="19"/>
  <c r="CW27" i="19" a="1"/>
  <c r="CW27" i="19" s="1"/>
  <c r="CU27" i="19"/>
  <c r="CT27" i="19"/>
  <c r="CV27" i="19" s="1"/>
  <c r="CW29" i="19" a="1"/>
  <c r="CW29" i="19" s="1"/>
  <c r="BP91" i="19"/>
  <c r="BN91" i="19"/>
  <c r="BN172" i="19" s="1"/>
  <c r="BO91" i="19"/>
  <c r="BO172" i="19"/>
  <c r="C256" i="19"/>
  <c r="CF92" i="19"/>
  <c r="CF173" i="19"/>
  <c r="BF91" i="19"/>
  <c r="BF172" i="19" s="1"/>
  <c r="CO91" i="19"/>
  <c r="CO172" i="19" s="1"/>
  <c r="BL92" i="19"/>
  <c r="BL173" i="19" s="1"/>
  <c r="CC92" i="19"/>
  <c r="CC173" i="19" s="1"/>
  <c r="CL90" i="19"/>
  <c r="CL171" i="19"/>
  <c r="B116" i="19"/>
  <c r="CT62" i="19"/>
  <c r="AP62" i="19" s="1"/>
  <c r="CR62" i="19"/>
  <c r="CS254" i="19" s="1"/>
  <c r="BT62" i="19"/>
  <c r="BU254" i="19" s="1"/>
  <c r="H62" i="19"/>
  <c r="I254" i="19" s="1"/>
  <c r="AZ62" i="19"/>
  <c r="I62" i="19"/>
  <c r="J254" i="19" s="1"/>
  <c r="BI62" i="19"/>
  <c r="BJ254" i="19" s="1"/>
  <c r="AU62" i="19"/>
  <c r="AV254" i="19" s="1"/>
  <c r="CK62" i="19"/>
  <c r="CL254" i="19" s="1"/>
  <c r="AT62" i="19"/>
  <c r="AU254" i="19" s="1"/>
  <c r="D62" i="19"/>
  <c r="BC62" i="19"/>
  <c r="BD254" i="19" s="1"/>
  <c r="M62" i="19"/>
  <c r="N254" i="19" s="1"/>
  <c r="BX62" i="19"/>
  <c r="BY254" i="19" s="1"/>
  <c r="B61" i="19"/>
  <c r="BK62" i="19"/>
  <c r="BL254" i="19" s="1"/>
  <c r="K62" i="19"/>
  <c r="CA91" i="19"/>
  <c r="CA172" i="19" s="1"/>
  <c r="BD91" i="19"/>
  <c r="BD172" i="19"/>
  <c r="CW35" i="19" a="1"/>
  <c r="CW35" i="19" s="1"/>
  <c r="BQ92" i="19"/>
  <c r="BQ173" i="19" s="1"/>
  <c r="CM92" i="19"/>
  <c r="CM173" i="19" s="1"/>
  <c r="CD92" i="19"/>
  <c r="CD173" i="19" s="1"/>
  <c r="L91" i="19"/>
  <c r="L172" i="19" s="1"/>
  <c r="D92" i="19"/>
  <c r="D173" i="19" s="1"/>
  <c r="CC91" i="19"/>
  <c r="CC172" i="19"/>
  <c r="CE92" i="19"/>
  <c r="CE173" i="19" s="1"/>
  <c r="AO92" i="19"/>
  <c r="AO173" i="19" s="1"/>
  <c r="CB92" i="19"/>
  <c r="CB173" i="19" s="1"/>
  <c r="CP92" i="19"/>
  <c r="CP173" i="19" s="1"/>
  <c r="E90" i="19"/>
  <c r="E171" i="19" s="1"/>
  <c r="BU63" i="19"/>
  <c r="BV255" i="19" s="1"/>
  <c r="H91" i="19"/>
  <c r="H172" i="19" s="1"/>
  <c r="CW28" i="19" a="1"/>
  <c r="CW28" i="19" s="1"/>
  <c r="E91" i="19"/>
  <c r="E172" i="19" s="1"/>
  <c r="G91" i="19"/>
  <c r="G172" i="19" s="1"/>
  <c r="CW20" i="19" a="1"/>
  <c r="CW20" i="19" s="1"/>
  <c r="CU20" i="19"/>
  <c r="CT20" i="19"/>
  <c r="CV20" i="19" s="1"/>
  <c r="CW36" i="19" a="1"/>
  <c r="CW36" i="19" s="1"/>
  <c r="CU36" i="19"/>
  <c r="CT36" i="19"/>
  <c r="D228" i="19" s="1"/>
  <c r="CW17" i="19" a="1"/>
  <c r="CW17" i="19" s="1"/>
  <c r="CU17" i="19"/>
  <c r="CT17" i="19"/>
  <c r="CV17" i="19" s="1"/>
  <c r="CS186" i="19"/>
  <c r="CS176" i="19" s="1"/>
  <c r="CS95" i="19"/>
  <c r="CS122" i="19" s="1"/>
  <c r="CS149" i="19"/>
  <c r="BF92" i="19"/>
  <c r="BF173" i="19" s="1"/>
  <c r="CD91" i="19"/>
  <c r="CD172" i="19" s="1"/>
  <c r="CR92" i="19"/>
  <c r="CR173" i="19" s="1"/>
  <c r="CI92" i="19"/>
  <c r="CI173" i="19"/>
  <c r="BS91" i="19"/>
  <c r="BS172" i="19" s="1"/>
  <c r="CA92" i="19"/>
  <c r="CA173" i="19"/>
  <c r="CN92" i="19"/>
  <c r="CN173" i="19" s="1"/>
  <c r="BV63" i="19"/>
  <c r="BW255" i="19" s="1"/>
  <c r="BL63" i="19"/>
  <c r="BM255" i="19" s="1"/>
  <c r="BB63" i="19"/>
  <c r="BC255" i="19" s="1"/>
  <c r="F63" i="19"/>
  <c r="G255" i="19" s="1"/>
  <c r="CN63" i="19"/>
  <c r="CE63" i="19"/>
  <c r="BC63" i="19"/>
  <c r="CC63" i="19"/>
  <c r="CD255" i="19" s="1"/>
  <c r="BY91" i="19"/>
  <c r="BY172" i="19" s="1"/>
  <c r="CN91" i="19"/>
  <c r="CN172" i="19"/>
  <c r="CQ91" i="19"/>
  <c r="CQ172" i="19" s="1"/>
  <c r="CP91" i="19"/>
  <c r="CP172" i="19"/>
  <c r="I92" i="19"/>
  <c r="I173" i="19" s="1"/>
  <c r="AR91" i="19"/>
  <c r="AR172" i="19" s="1"/>
  <c r="CW26" i="19" a="1"/>
  <c r="CW26" i="19" s="1"/>
  <c r="CU26" i="19"/>
  <c r="CT26" i="19"/>
  <c r="CV26" i="19" s="1"/>
  <c r="CW33" i="19" a="1"/>
  <c r="CW33" i="19" s="1"/>
  <c r="BT92" i="19"/>
  <c r="BT173" i="19" s="1"/>
  <c r="BI92" i="19"/>
  <c r="BI173" i="19" s="1"/>
  <c r="BE91" i="19"/>
  <c r="BE172" i="19" s="1"/>
  <c r="BA92" i="19"/>
  <c r="BA173" i="19" s="1"/>
  <c r="CT65" i="2"/>
  <c r="A258" i="2"/>
  <c r="BN62" i="19"/>
  <c r="BO254" i="19" s="1"/>
  <c r="F315" i="20"/>
  <c r="F316" i="20" s="1"/>
  <c r="F317" i="20" s="1"/>
  <c r="AQ62" i="19"/>
  <c r="AR254" i="19" s="1"/>
  <c r="C62" i="19"/>
  <c r="CI62" i="19"/>
  <c r="CJ254" i="19" s="1"/>
  <c r="BZ62" i="19"/>
  <c r="CA254" i="19" s="1"/>
  <c r="BQ62" i="19"/>
  <c r="BR254" i="19" s="1"/>
  <c r="BH62" i="19"/>
  <c r="BI254" i="19" s="1"/>
  <c r="AY62" i="19"/>
  <c r="AO62" i="19"/>
  <c r="AP254" i="19" s="1"/>
  <c r="CJ62" i="19"/>
  <c r="CK254" i="19" s="1"/>
  <c r="BF62" i="19"/>
  <c r="BG254" i="19" s="1"/>
  <c r="BE90" i="19"/>
  <c r="BE171" i="19" s="1"/>
  <c r="C255" i="19"/>
  <c r="CR90" i="19"/>
  <c r="CR171" i="19"/>
  <c r="F90" i="19"/>
  <c r="F171" i="19" s="1"/>
  <c r="M89" i="19"/>
  <c r="M170" i="19" s="1"/>
  <c r="BI89" i="19"/>
  <c r="BI170" i="19" s="1"/>
  <c r="CR89" i="19"/>
  <c r="CR170" i="19" s="1"/>
  <c r="CQ90" i="19"/>
  <c r="CQ171" i="19" s="1"/>
  <c r="AW90" i="19"/>
  <c r="AW171" i="19" s="1"/>
  <c r="K90" i="19"/>
  <c r="K171" i="19" s="1"/>
  <c r="BS90" i="19"/>
  <c r="BS171" i="19" s="1"/>
  <c r="BK89" i="19"/>
  <c r="BK170" i="19" s="1"/>
  <c r="E62" i="19"/>
  <c r="CM62" i="19"/>
  <c r="CN254" i="19" s="1"/>
  <c r="CC62" i="19"/>
  <c r="CD254" i="19" s="1"/>
  <c r="BS62" i="19"/>
  <c r="BT254" i="19" s="1"/>
  <c r="BJ62" i="19"/>
  <c r="BK254" i="19" s="1"/>
  <c r="J62" i="19"/>
  <c r="K254" i="19" s="1"/>
  <c r="BV62" i="19"/>
  <c r="BW254" i="19" s="1"/>
  <c r="CK89" i="19"/>
  <c r="CK170" i="19" s="1"/>
  <c r="BW62" i="19"/>
  <c r="BB62" i="19"/>
  <c r="BC254" i="19" s="1"/>
  <c r="F62" i="19"/>
  <c r="CN62" i="19"/>
  <c r="CE62" i="19"/>
  <c r="CF254" i="19" s="1"/>
  <c r="BU62" i="19"/>
  <c r="BV254" i="19" s="1"/>
  <c r="AV62" i="19"/>
  <c r="CD62" i="19"/>
  <c r="CE254" i="19" s="1"/>
  <c r="AY90" i="19"/>
  <c r="AY171" i="19" s="1"/>
  <c r="AP90" i="19"/>
  <c r="AP171" i="19" s="1"/>
  <c r="CI90" i="19"/>
  <c r="CI171" i="19" s="1"/>
  <c r="AX90" i="19"/>
  <c r="AX171" i="19" s="1"/>
  <c r="CC90" i="19"/>
  <c r="CC171" i="19" s="1"/>
  <c r="CG62" i="19"/>
  <c r="CH254" i="19" s="1"/>
  <c r="BM62" i="19"/>
  <c r="BN254" i="19" s="1"/>
  <c r="AS62" i="19"/>
  <c r="AT254" i="19" s="1"/>
  <c r="G62" i="19"/>
  <c r="CO62" i="19"/>
  <c r="CP254" i="19" s="1"/>
  <c r="CF62" i="19"/>
  <c r="CG254" i="19" s="1"/>
  <c r="BD62" i="19"/>
  <c r="BE254" i="19" s="1"/>
  <c r="BH90" i="19"/>
  <c r="BH171" i="19" s="1"/>
  <c r="BP90" i="19"/>
  <c r="BP171" i="19"/>
  <c r="AV90" i="19"/>
  <c r="AV171" i="19" s="1"/>
  <c r="BB90" i="19"/>
  <c r="BB171" i="19" s="1"/>
  <c r="BU90" i="19"/>
  <c r="BU171" i="19" s="1"/>
  <c r="BX89" i="19"/>
  <c r="BX170" i="19" s="1"/>
  <c r="BC89" i="19"/>
  <c r="BC170" i="19"/>
  <c r="AT89" i="19"/>
  <c r="AT170" i="19"/>
  <c r="I89" i="19"/>
  <c r="I170" i="19" s="1"/>
  <c r="BQ90" i="19"/>
  <c r="BQ171" i="19" s="1"/>
  <c r="BG90" i="19"/>
  <c r="BG171" i="19" s="1"/>
  <c r="BF90" i="19"/>
  <c r="BF171" i="19" s="1"/>
  <c r="AT90" i="19"/>
  <c r="AT171" i="19" s="1"/>
  <c r="BT89" i="19"/>
  <c r="BT170" i="19" s="1"/>
  <c r="BY90" i="19"/>
  <c r="BY171" i="19" s="1"/>
  <c r="BO90" i="19"/>
  <c r="BO171" i="19" s="1"/>
  <c r="BL90" i="19"/>
  <c r="BL171" i="19" s="1"/>
  <c r="B115" i="19"/>
  <c r="B60" i="19"/>
  <c r="CT61" i="19"/>
  <c r="BB61" i="19" s="1"/>
  <c r="BC253" i="19" s="1"/>
  <c r="AU89" i="19"/>
  <c r="AU170" i="19" s="1"/>
  <c r="H89" i="19"/>
  <c r="H170" i="19" s="1"/>
  <c r="BV90" i="19"/>
  <c r="L62" i="19"/>
  <c r="M254" i="19" s="1"/>
  <c r="CS62" i="19"/>
  <c r="CS89" i="19" s="1"/>
  <c r="BY62" i="19"/>
  <c r="BZ254" i="19" s="1"/>
  <c r="BP62" i="19"/>
  <c r="BG62" i="19"/>
  <c r="BH254" i="19" s="1"/>
  <c r="AW62" i="19"/>
  <c r="AX254" i="19" s="1"/>
  <c r="CB62" i="19"/>
  <c r="CC254" i="19" s="1"/>
  <c r="AX62" i="19"/>
  <c r="AY254" i="19" s="1"/>
  <c r="CJ90" i="19"/>
  <c r="CJ171" i="19" s="1"/>
  <c r="F313" i="19"/>
  <c r="L90" i="19"/>
  <c r="L171" i="19"/>
  <c r="CH90" i="19"/>
  <c r="CH171" i="19" s="1"/>
  <c r="CS200" i="2"/>
  <c r="A123" i="2"/>
  <c r="A124" i="2"/>
  <c r="BJ61" i="19"/>
  <c r="AY61" i="19"/>
  <c r="AZ253" i="19" s="1"/>
  <c r="AX89" i="19"/>
  <c r="BY89" i="19"/>
  <c r="BY170" i="19" s="1"/>
  <c r="F61" i="19"/>
  <c r="F169" i="19" s="1"/>
  <c r="BT61" i="19"/>
  <c r="BT88" i="19" s="1"/>
  <c r="BK61" i="19"/>
  <c r="BL253" i="19" s="1"/>
  <c r="CO89" i="19"/>
  <c r="CO170" i="19" s="1"/>
  <c r="BF89" i="19"/>
  <c r="BF170" i="19" s="1"/>
  <c r="CI89" i="19"/>
  <c r="CI170" i="19" s="1"/>
  <c r="CB89" i="19"/>
  <c r="CB170" i="19" s="1"/>
  <c r="BL61" i="19"/>
  <c r="BM253" i="19" s="1"/>
  <c r="CF61" i="19"/>
  <c r="CG253" i="19" s="1"/>
  <c r="BV61" i="19"/>
  <c r="BW253" i="19" s="1"/>
  <c r="BO61" i="19"/>
  <c r="BB89" i="19"/>
  <c r="BB170" i="19" s="1"/>
  <c r="BS89" i="19"/>
  <c r="BS170" i="19" s="1"/>
  <c r="CJ89" i="19"/>
  <c r="CJ170" i="19"/>
  <c r="C254" i="19"/>
  <c r="BR61" i="19"/>
  <c r="BS253" i="19" s="1"/>
  <c r="AZ61" i="19"/>
  <c r="BA253" i="19" s="1"/>
  <c r="CB61" i="19"/>
  <c r="CC253" i="19" s="1"/>
  <c r="BU89" i="19"/>
  <c r="BU170" i="19" s="1"/>
  <c r="BA61" i="19"/>
  <c r="CK61" i="19"/>
  <c r="CL253" i="19" s="1"/>
  <c r="CG61" i="19"/>
  <c r="K61" i="19"/>
  <c r="L253" i="19" s="1"/>
  <c r="CC89" i="19"/>
  <c r="CC170" i="19" s="1"/>
  <c r="BY61" i="19"/>
  <c r="BZ253" i="19" s="1"/>
  <c r="BD61" i="19"/>
  <c r="BE253" i="19" s="1"/>
  <c r="BE61" i="19"/>
  <c r="BF253" i="19" s="1"/>
  <c r="CE61" i="19"/>
  <c r="CE89" i="19"/>
  <c r="CE170" i="19" s="1"/>
  <c r="CM89" i="19"/>
  <c r="CM170" i="19" s="1"/>
  <c r="AO89" i="19"/>
  <c r="AO170" i="19" s="1"/>
  <c r="AQ89" i="19"/>
  <c r="AQ170" i="19"/>
  <c r="F314" i="19"/>
  <c r="F315" i="19" s="1"/>
  <c r="F316" i="19" s="1"/>
  <c r="L61" i="19"/>
  <c r="M253" i="19" s="1"/>
  <c r="CR61" i="19"/>
  <c r="BP61" i="19"/>
  <c r="BF61" i="19"/>
  <c r="BG253" i="19" s="1"/>
  <c r="B114" i="19"/>
  <c r="CT60" i="19"/>
  <c r="AZ60" i="19" s="1"/>
  <c r="BA252" i="19" s="1"/>
  <c r="CC60" i="19"/>
  <c r="BM61" i="19"/>
  <c r="BN253" i="19" s="1"/>
  <c r="CM61" i="19"/>
  <c r="CN253" i="19" s="1"/>
  <c r="F89" i="19"/>
  <c r="F170" i="19"/>
  <c r="BV89" i="19"/>
  <c r="BV170" i="19" s="1"/>
  <c r="BH89" i="19"/>
  <c r="BH170" i="19" s="1"/>
  <c r="BG89" i="19"/>
  <c r="BG170" i="19" s="1"/>
  <c r="CA61" i="19"/>
  <c r="CB253" i="19" s="1"/>
  <c r="J89" i="19"/>
  <c r="J170" i="19" s="1"/>
  <c r="BQ89" i="19"/>
  <c r="BQ170" i="19" s="1"/>
  <c r="AW89" i="19"/>
  <c r="BZ61" i="19"/>
  <c r="CA253" i="19" s="1"/>
  <c r="AS89" i="19"/>
  <c r="AS170" i="19" s="1"/>
  <c r="AP61" i="19"/>
  <c r="AQ253" i="19" s="1"/>
  <c r="BM89" i="19"/>
  <c r="BM170" i="19" s="1"/>
  <c r="CG89" i="19"/>
  <c r="CG170" i="19" s="1"/>
  <c r="CD89" i="19"/>
  <c r="CD170" i="19" s="1"/>
  <c r="BZ89" i="19"/>
  <c r="BZ170" i="19" s="1"/>
  <c r="AX61" i="19"/>
  <c r="AY253" i="19" s="1"/>
  <c r="I61" i="19"/>
  <c r="BI61" i="19"/>
  <c r="BD89" i="19"/>
  <c r="BD170" i="19" s="1"/>
  <c r="CF89" i="19"/>
  <c r="CF170" i="19" s="1"/>
  <c r="E121" i="2"/>
  <c r="AV60" i="19"/>
  <c r="CH60" i="19"/>
  <c r="CI252" i="19" s="1"/>
  <c r="BR60" i="19"/>
  <c r="BF60" i="19"/>
  <c r="BG252" i="19" s="1"/>
  <c r="CN60" i="19"/>
  <c r="CI60" i="19"/>
  <c r="CJ252" i="19" s="1"/>
  <c r="CA60" i="19"/>
  <c r="CB252" i="19" s="1"/>
  <c r="CQ60" i="19"/>
  <c r="BD60" i="19"/>
  <c r="AZ87" i="19"/>
  <c r="AZ168" i="19" s="1"/>
  <c r="CF88" i="19"/>
  <c r="CF169" i="19" s="1"/>
  <c r="F88" i="19"/>
  <c r="AP88" i="19"/>
  <c r="AP169" i="19" s="1"/>
  <c r="BQ60" i="19"/>
  <c r="BR252" i="19" s="1"/>
  <c r="AW60" i="19"/>
  <c r="BV60" i="19"/>
  <c r="BW252" i="19" s="1"/>
  <c r="L88" i="19"/>
  <c r="L169" i="19" s="1"/>
  <c r="CB60" i="19"/>
  <c r="CC252" i="19" s="1"/>
  <c r="BJ60" i="19"/>
  <c r="BK252" i="19" s="1"/>
  <c r="BA60" i="19"/>
  <c r="BB252" i="19" s="1"/>
  <c r="BB88" i="19"/>
  <c r="BB169" i="19" s="1"/>
  <c r="CA88" i="19"/>
  <c r="CA169" i="19" s="1"/>
  <c r="AX88" i="19"/>
  <c r="AX169" i="19" s="1"/>
  <c r="CM88" i="19"/>
  <c r="CM169" i="19" s="1"/>
  <c r="BC60" i="19"/>
  <c r="BD252" i="19" s="1"/>
  <c r="G60" i="19"/>
  <c r="CE60" i="19"/>
  <c r="CF252" i="19" s="1"/>
  <c r="BL60" i="19"/>
  <c r="BM252" i="19" s="1"/>
  <c r="AP60" i="19"/>
  <c r="AQ252" i="19" s="1"/>
  <c r="BD88" i="19"/>
  <c r="BD169" i="19" s="1"/>
  <c r="CK88" i="19"/>
  <c r="CK169" i="19" s="1"/>
  <c r="AZ88" i="19"/>
  <c r="BT60" i="19"/>
  <c r="BU252" i="19" s="1"/>
  <c r="BK60" i="19"/>
  <c r="BL252" i="19" s="1"/>
  <c r="BZ88" i="19"/>
  <c r="BZ169" i="19" s="1"/>
  <c r="BM60" i="19"/>
  <c r="BN252" i="19" s="1"/>
  <c r="H60" i="19"/>
  <c r="CG60" i="19"/>
  <c r="CH252" i="19" s="1"/>
  <c r="BW60" i="19"/>
  <c r="BX252" i="19" s="1"/>
  <c r="AX60" i="19"/>
  <c r="AY252" i="19" s="1"/>
  <c r="BX60" i="19"/>
  <c r="BY252" i="19" s="1"/>
  <c r="BF88" i="19"/>
  <c r="BF169" i="19" s="1"/>
  <c r="BE88" i="19"/>
  <c r="BE169" i="19" s="1"/>
  <c r="BY88" i="19"/>
  <c r="BY169" i="19" s="1"/>
  <c r="BR88" i="19"/>
  <c r="BR169" i="19" s="1"/>
  <c r="BM88" i="19"/>
  <c r="BM169" i="19" s="1"/>
  <c r="BV88" i="19"/>
  <c r="BV169" i="19"/>
  <c r="BL88" i="19"/>
  <c r="BL169" i="19" s="1"/>
  <c r="CQ41" i="2"/>
  <c r="CR41" i="2" s="1"/>
  <c r="CS41" i="2" s="1"/>
  <c r="CQ13" i="2"/>
  <c r="CQ68" i="2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O41" i="2" s="1"/>
  <c r="P41" i="2" s="1"/>
  <c r="Q41" i="2" s="1"/>
  <c r="R41" i="2" s="1"/>
  <c r="S41" i="2" s="1"/>
  <c r="T41" i="2" s="1"/>
  <c r="U41" i="2" s="1"/>
  <c r="V41" i="2" s="1"/>
  <c r="W41" i="2" s="1"/>
  <c r="X41" i="2" s="1"/>
  <c r="Y41" i="2" s="1"/>
  <c r="Z41" i="2" s="1"/>
  <c r="AA41" i="2" s="1"/>
  <c r="AB41" i="2" s="1"/>
  <c r="AC41" i="2" s="1"/>
  <c r="AD41" i="2" s="1"/>
  <c r="AE41" i="2" s="1"/>
  <c r="AF41" i="2" s="1"/>
  <c r="AG41" i="2" s="1"/>
  <c r="AH41" i="2" s="1"/>
  <c r="AI41" i="2" s="1"/>
  <c r="AJ41" i="2" s="1"/>
  <c r="AK41" i="2" s="1"/>
  <c r="AL41" i="2" s="1"/>
  <c r="AM41" i="2" s="1"/>
  <c r="AN41" i="2" s="1"/>
  <c r="CU13" i="2"/>
  <c r="B37" i="2"/>
  <c r="E233" i="2"/>
  <c r="F233" i="2" s="1"/>
  <c r="G233" i="2" s="1"/>
  <c r="H233" i="2" s="1"/>
  <c r="I233" i="2" s="1"/>
  <c r="J233" i="2" s="1"/>
  <c r="K233" i="2" s="1"/>
  <c r="L233" i="2" s="1"/>
  <c r="M233" i="2" s="1"/>
  <c r="N233" i="2" s="1"/>
  <c r="O233" i="2" s="1"/>
  <c r="P233" i="2" s="1"/>
  <c r="Q233" i="2" s="1"/>
  <c r="R233" i="2" s="1"/>
  <c r="S233" i="2" s="1"/>
  <c r="T233" i="2" s="1"/>
  <c r="U233" i="2" s="1"/>
  <c r="V233" i="2" s="1"/>
  <c r="W233" i="2" s="1"/>
  <c r="X233" i="2" s="1"/>
  <c r="Y233" i="2" s="1"/>
  <c r="Z233" i="2" s="1"/>
  <c r="AA233" i="2" s="1"/>
  <c r="AB233" i="2" s="1"/>
  <c r="AC233" i="2" s="1"/>
  <c r="AD233" i="2" s="1"/>
  <c r="AE233" i="2" s="1"/>
  <c r="AF233" i="2" s="1"/>
  <c r="AG233" i="2" s="1"/>
  <c r="AH233" i="2" s="1"/>
  <c r="AI233" i="2" s="1"/>
  <c r="AJ233" i="2" s="1"/>
  <c r="AK233" i="2" s="1"/>
  <c r="AL233" i="2" s="1"/>
  <c r="AM233" i="2" s="1"/>
  <c r="AN233" i="2" s="1"/>
  <c r="AO233" i="2" s="1"/>
  <c r="AP233" i="2" s="1"/>
  <c r="AQ233" i="2" s="1"/>
  <c r="AR233" i="2" s="1"/>
  <c r="AS233" i="2" s="1"/>
  <c r="AT233" i="2" s="1"/>
  <c r="AU233" i="2" s="1"/>
  <c r="AV233" i="2" s="1"/>
  <c r="AW233" i="2" s="1"/>
  <c r="AX233" i="2" s="1"/>
  <c r="AY233" i="2" s="1"/>
  <c r="AZ233" i="2" s="1"/>
  <c r="BA233" i="2" s="1"/>
  <c r="BB233" i="2" s="1"/>
  <c r="BC233" i="2" s="1"/>
  <c r="BD233" i="2" s="1"/>
  <c r="BE233" i="2" s="1"/>
  <c r="BF233" i="2" s="1"/>
  <c r="BG233" i="2" s="1"/>
  <c r="BH233" i="2" s="1"/>
  <c r="BI233" i="2" s="1"/>
  <c r="BJ233" i="2" s="1"/>
  <c r="BK233" i="2" s="1"/>
  <c r="BL233" i="2" s="1"/>
  <c r="BM233" i="2" s="1"/>
  <c r="BN233" i="2" s="1"/>
  <c r="BO233" i="2" s="1"/>
  <c r="BP233" i="2" s="1"/>
  <c r="BQ233" i="2" s="1"/>
  <c r="BR233" i="2" s="1"/>
  <c r="BS233" i="2" s="1"/>
  <c r="BT233" i="2" s="1"/>
  <c r="BU233" i="2" s="1"/>
  <c r="BV233" i="2" s="1"/>
  <c r="BW233" i="2" s="1"/>
  <c r="BX233" i="2" s="1"/>
  <c r="BY233" i="2" s="1"/>
  <c r="BZ233" i="2" s="1"/>
  <c r="CA233" i="2" s="1"/>
  <c r="CB233" i="2" s="1"/>
  <c r="CC233" i="2" s="1"/>
  <c r="CD233" i="2" s="1"/>
  <c r="CE233" i="2" s="1"/>
  <c r="CF233" i="2" s="1"/>
  <c r="CG233" i="2" s="1"/>
  <c r="CH233" i="2" s="1"/>
  <c r="CI233" i="2" s="1"/>
  <c r="CJ233" i="2" s="1"/>
  <c r="CK233" i="2" s="1"/>
  <c r="CL233" i="2" s="1"/>
  <c r="CM233" i="2" s="1"/>
  <c r="CN233" i="2" s="1"/>
  <c r="CO233" i="2" s="1"/>
  <c r="CP233" i="2" s="1"/>
  <c r="CQ233" i="2" s="1"/>
  <c r="CR233" i="2" s="1"/>
  <c r="CS233" i="2" s="1"/>
  <c r="B201" i="2"/>
  <c r="C184" i="2"/>
  <c r="C180" i="2"/>
  <c r="A188" i="2"/>
  <c r="A189" i="2" s="1"/>
  <c r="A190" i="2" s="1"/>
  <c r="A191" i="2" s="1"/>
  <c r="A192" i="2" s="1"/>
  <c r="A193" i="2" s="1"/>
  <c r="A194" i="2" s="1"/>
  <c r="A195" i="2" s="1"/>
  <c r="CP68" i="2"/>
  <c r="CP186" i="2"/>
  <c r="CP176" i="2" s="1"/>
  <c r="CO68" i="2"/>
  <c r="CO149" i="2" s="1"/>
  <c r="CN68" i="2"/>
  <c r="CM68" i="2"/>
  <c r="CM186" i="2" s="1"/>
  <c r="CL68" i="2"/>
  <c r="CK68" i="2"/>
  <c r="CJ68" i="2"/>
  <c r="CI68" i="2"/>
  <c r="CH68" i="2"/>
  <c r="CG68" i="2"/>
  <c r="CF68" i="2"/>
  <c r="CE68" i="2"/>
  <c r="CD68" i="2"/>
  <c r="CC68" i="2"/>
  <c r="CB68" i="2"/>
  <c r="CA68" i="2"/>
  <c r="BZ68" i="2"/>
  <c r="BY68" i="2"/>
  <c r="BX68" i="2"/>
  <c r="BW68" i="2"/>
  <c r="BW95" i="2" s="1"/>
  <c r="BV68" i="2"/>
  <c r="BU68" i="2"/>
  <c r="BU186" i="2" s="1"/>
  <c r="BU176" i="2" s="1"/>
  <c r="BT68" i="2"/>
  <c r="BS68" i="2"/>
  <c r="BS186" i="2" s="1"/>
  <c r="BS176" i="2" s="1"/>
  <c r="BR68" i="2"/>
  <c r="BQ68" i="2"/>
  <c r="BP68" i="2"/>
  <c r="BO68" i="2"/>
  <c r="BN68" i="2"/>
  <c r="BM68" i="2"/>
  <c r="BM186" i="2" s="1"/>
  <c r="BM176" i="2" s="1"/>
  <c r="BL68" i="2"/>
  <c r="BK68" i="2"/>
  <c r="BK186" i="2" s="1"/>
  <c r="BK176" i="2" s="1"/>
  <c r="BJ68" i="2"/>
  <c r="BI68" i="2"/>
  <c r="BH68" i="2"/>
  <c r="BG68" i="2"/>
  <c r="BF68" i="2"/>
  <c r="BE68" i="2"/>
  <c r="BD68" i="2"/>
  <c r="BC68" i="2"/>
  <c r="BC186" i="2" s="1"/>
  <c r="BC176" i="2" s="1"/>
  <c r="BB68" i="2"/>
  <c r="BA68" i="2"/>
  <c r="AZ68" i="2"/>
  <c r="AY68" i="2"/>
  <c r="AX68" i="2"/>
  <c r="AW68" i="2"/>
  <c r="AW186" i="2" s="1"/>
  <c r="AW176" i="2" s="1"/>
  <c r="AV68" i="2"/>
  <c r="AU68" i="2"/>
  <c r="AT68" i="2"/>
  <c r="AT186" i="2" s="1"/>
  <c r="AS68" i="2"/>
  <c r="AR68" i="2"/>
  <c r="AQ68" i="2"/>
  <c r="AQ186" i="2" s="1"/>
  <c r="AQ176" i="2" s="1"/>
  <c r="AP68" i="2"/>
  <c r="CN149" i="2"/>
  <c r="B149" i="2"/>
  <c r="D13" i="2"/>
  <c r="F318" i="20"/>
  <c r="CG87" i="19"/>
  <c r="CG168" i="19" s="1"/>
  <c r="BK87" i="19"/>
  <c r="BK168" i="19" s="1"/>
  <c r="AP87" i="19"/>
  <c r="AP168" i="19" s="1"/>
  <c r="BX87" i="19"/>
  <c r="BX168" i="19" s="1"/>
  <c r="CB87" i="19"/>
  <c r="CB168" i="19" s="1"/>
  <c r="CE87" i="19"/>
  <c r="CE168" i="19"/>
  <c r="G87" i="19"/>
  <c r="G168" i="19" s="1"/>
  <c r="AX87" i="19"/>
  <c r="AX168" i="19" s="1"/>
  <c r="BQ87" i="19"/>
  <c r="BQ168" i="19" s="1"/>
  <c r="BW87" i="19"/>
  <c r="BW168" i="19" s="1"/>
  <c r="BM87" i="19"/>
  <c r="BM168" i="19"/>
  <c r="BV87" i="19"/>
  <c r="BV168" i="19"/>
  <c r="BT87" i="19"/>
  <c r="BT168" i="19"/>
  <c r="BC87" i="19"/>
  <c r="BC168" i="19" s="1"/>
  <c r="BA87" i="19"/>
  <c r="BA168" i="19"/>
  <c r="H87" i="19"/>
  <c r="H168" i="19" s="1"/>
  <c r="BJ87" i="19"/>
  <c r="BJ168" i="19" s="1"/>
  <c r="BL87" i="19"/>
  <c r="BL168" i="19" s="1"/>
  <c r="CM12" i="2"/>
  <c r="AZ186" i="2"/>
  <c r="AZ176" i="2"/>
  <c r="BH186" i="2"/>
  <c r="BH176" i="2" s="1"/>
  <c r="BL186" i="2"/>
  <c r="BL176" i="2" s="1"/>
  <c r="BP186" i="2"/>
  <c r="BP176" i="2" s="1"/>
  <c r="BT186" i="2"/>
  <c r="BT176" i="2" s="1"/>
  <c r="BX186" i="2"/>
  <c r="BX176" i="2" s="1"/>
  <c r="CB186" i="2"/>
  <c r="CB176" i="2" s="1"/>
  <c r="CF186" i="2"/>
  <c r="CF176" i="2" s="1"/>
  <c r="CJ186" i="2"/>
  <c r="CJ176" i="2"/>
  <c r="CN186" i="2"/>
  <c r="CN176" i="2" s="1"/>
  <c r="BD186" i="2"/>
  <c r="BD176" i="2" s="1"/>
  <c r="AS186" i="2"/>
  <c r="AS176" i="2" s="1"/>
  <c r="BA186" i="2"/>
  <c r="BA176" i="2" s="1"/>
  <c r="BE186" i="2"/>
  <c r="BE176" i="2" s="1"/>
  <c r="BI186" i="2"/>
  <c r="BI176" i="2" s="1"/>
  <c r="BQ186" i="2"/>
  <c r="BQ176" i="2" s="1"/>
  <c r="BY186" i="2"/>
  <c r="BY176" i="2" s="1"/>
  <c r="CC186" i="2"/>
  <c r="CC176" i="2" s="1"/>
  <c r="CG186" i="2"/>
  <c r="CG176" i="2" s="1"/>
  <c r="CK186" i="2"/>
  <c r="CK176" i="2" s="1"/>
  <c r="CO186" i="2"/>
  <c r="CO176" i="2" s="1"/>
  <c r="CQ149" i="2"/>
  <c r="CQ186" i="2"/>
  <c r="CQ176" i="2"/>
  <c r="AV186" i="2"/>
  <c r="AV176" i="2" s="1"/>
  <c r="AP186" i="2"/>
  <c r="AP176" i="2"/>
  <c r="AT176" i="2"/>
  <c r="AX186" i="2"/>
  <c r="AX176" i="2" s="1"/>
  <c r="BB186" i="2"/>
  <c r="BB176" i="2" s="1"/>
  <c r="BF186" i="2"/>
  <c r="BF176" i="2" s="1"/>
  <c r="BJ186" i="2"/>
  <c r="BJ176" i="2" s="1"/>
  <c r="BN186" i="2"/>
  <c r="BN176" i="2" s="1"/>
  <c r="BR186" i="2"/>
  <c r="BR176" i="2" s="1"/>
  <c r="BV186" i="2"/>
  <c r="BV176" i="2"/>
  <c r="BZ186" i="2"/>
  <c r="BZ176" i="2"/>
  <c r="CD186" i="2"/>
  <c r="CD176" i="2"/>
  <c r="CH186" i="2"/>
  <c r="CH176" i="2" s="1"/>
  <c r="CL186" i="2"/>
  <c r="CL176" i="2"/>
  <c r="AR186" i="2"/>
  <c r="AR176" i="2" s="1"/>
  <c r="AU186" i="2"/>
  <c r="AU176" i="2" s="1"/>
  <c r="BW186" i="2"/>
  <c r="BW176" i="2" s="1"/>
  <c r="CA186" i="2"/>
  <c r="CA176" i="2" s="1"/>
  <c r="CI186" i="2"/>
  <c r="CI176" i="2" s="1"/>
  <c r="CM176" i="2"/>
  <c r="CP95" i="2"/>
  <c r="CP122" i="2" s="1"/>
  <c r="CL95" i="2"/>
  <c r="CL122" i="2" s="1"/>
  <c r="CH95" i="2"/>
  <c r="CH122" i="2" s="1"/>
  <c r="CD95" i="2"/>
  <c r="CD122" i="2"/>
  <c r="BZ95" i="2"/>
  <c r="BZ122" i="2" s="1"/>
  <c r="BV95" i="2"/>
  <c r="BV122" i="2"/>
  <c r="BR95" i="2"/>
  <c r="BR122" i="2"/>
  <c r="BN95" i="2"/>
  <c r="BN122" i="2" s="1"/>
  <c r="BJ95" i="2"/>
  <c r="BJ122" i="2" s="1"/>
  <c r="BF95" i="2"/>
  <c r="BF122" i="2" s="1"/>
  <c r="BB95" i="2"/>
  <c r="BB122" i="2" s="1"/>
  <c r="AX95" i="2"/>
  <c r="AX122" i="2" s="1"/>
  <c r="AT95" i="2"/>
  <c r="AT122" i="2" s="1"/>
  <c r="AP95" i="2"/>
  <c r="AP122" i="2"/>
  <c r="CO95" i="2"/>
  <c r="CO122" i="2"/>
  <c r="CK95" i="2"/>
  <c r="CK122" i="2"/>
  <c r="CG95" i="2"/>
  <c r="CG122" i="2" s="1"/>
  <c r="CC95" i="2"/>
  <c r="CC122" i="2"/>
  <c r="BY95" i="2"/>
  <c r="BY122" i="2" s="1"/>
  <c r="BU95" i="2"/>
  <c r="BU122" i="2" s="1"/>
  <c r="BQ95" i="2"/>
  <c r="BQ122" i="2" s="1"/>
  <c r="BM95" i="2"/>
  <c r="BM122" i="2" s="1"/>
  <c r="BI95" i="2"/>
  <c r="BI122" i="2"/>
  <c r="BE95" i="2"/>
  <c r="BE122" i="2"/>
  <c r="BA95" i="2"/>
  <c r="BA122" i="2" s="1"/>
  <c r="AW95" i="2"/>
  <c r="AW122" i="2"/>
  <c r="AS95" i="2"/>
  <c r="AS122" i="2"/>
  <c r="CN95" i="2"/>
  <c r="CN122" i="2" s="1"/>
  <c r="CJ95" i="2"/>
  <c r="CJ122" i="2" s="1"/>
  <c r="CF95" i="2"/>
  <c r="CF122" i="2"/>
  <c r="CB95" i="2"/>
  <c r="CB122" i="2" s="1"/>
  <c r="BX95" i="2"/>
  <c r="BX122" i="2"/>
  <c r="BT95" i="2"/>
  <c r="BT122" i="2" s="1"/>
  <c r="BP95" i="2"/>
  <c r="BP122" i="2" s="1"/>
  <c r="BL95" i="2"/>
  <c r="BL122" i="2" s="1"/>
  <c r="BH95" i="2"/>
  <c r="BH122" i="2" s="1"/>
  <c r="BD95" i="2"/>
  <c r="BD122" i="2" s="1"/>
  <c r="AZ95" i="2"/>
  <c r="AZ122" i="2" s="1"/>
  <c r="AV95" i="2"/>
  <c r="AV122" i="2"/>
  <c r="AR95" i="2"/>
  <c r="AR122" i="2" s="1"/>
  <c r="CQ95" i="2"/>
  <c r="CQ122" i="2" s="1"/>
  <c r="CM95" i="2"/>
  <c r="CM122" i="2"/>
  <c r="CI95" i="2"/>
  <c r="CI122" i="2" s="1"/>
  <c r="CE95" i="2"/>
  <c r="CE122" i="2"/>
  <c r="CA95" i="2"/>
  <c r="CA122" i="2" s="1"/>
  <c r="BW122" i="2"/>
  <c r="BS95" i="2"/>
  <c r="BS122" i="2"/>
  <c r="BK95" i="2"/>
  <c r="BK122" i="2" s="1"/>
  <c r="BC95" i="2"/>
  <c r="BC122" i="2"/>
  <c r="AU95" i="2"/>
  <c r="AU122" i="2" s="1"/>
  <c r="CP149" i="2"/>
  <c r="AR149" i="2"/>
  <c r="BH149" i="2"/>
  <c r="BX149" i="2"/>
  <c r="AO12" i="2"/>
  <c r="CA12" i="2"/>
  <c r="BK12" i="2"/>
  <c r="AX12" i="2"/>
  <c r="CF12" i="2"/>
  <c r="BP12" i="2"/>
  <c r="CQ12" i="2"/>
  <c r="CP12" i="2"/>
  <c r="BZ12" i="2"/>
  <c r="BJ12" i="2"/>
  <c r="AU12" i="2"/>
  <c r="CG12" i="2"/>
  <c r="BQ12" i="2"/>
  <c r="CR13" i="2"/>
  <c r="CB149" i="2"/>
  <c r="AZ149" i="2"/>
  <c r="BP149" i="2"/>
  <c r="CF149" i="2"/>
  <c r="AV149" i="2"/>
  <c r="BL149" i="2"/>
  <c r="BD149" i="2"/>
  <c r="BT149" i="2"/>
  <c r="CJ149" i="2"/>
  <c r="BI149" i="2"/>
  <c r="BA149" i="2"/>
  <c r="BY149" i="2"/>
  <c r="CG149" i="2"/>
  <c r="AS149" i="2"/>
  <c r="BQ149" i="2"/>
  <c r="AW149" i="2"/>
  <c r="BE149" i="2"/>
  <c r="BM149" i="2"/>
  <c r="BU149" i="2"/>
  <c r="CC149" i="2"/>
  <c r="CK149" i="2"/>
  <c r="AX149" i="2"/>
  <c r="BZ149" i="2"/>
  <c r="AT149" i="2"/>
  <c r="BF149" i="2"/>
  <c r="BN149" i="2"/>
  <c r="BR149" i="2"/>
  <c r="CD149" i="2"/>
  <c r="CH149" i="2"/>
  <c r="CL149" i="2"/>
  <c r="AQ149" i="2"/>
  <c r="AU149" i="2"/>
  <c r="BC149" i="2"/>
  <c r="BK149" i="2"/>
  <c r="BS149" i="2"/>
  <c r="BW149" i="2"/>
  <c r="CA149" i="2"/>
  <c r="CI149" i="2"/>
  <c r="CM149" i="2"/>
  <c r="AP149" i="2"/>
  <c r="BB149" i="2"/>
  <c r="BJ149" i="2"/>
  <c r="BV149" i="2"/>
  <c r="D68" i="2"/>
  <c r="D95" i="2" s="1"/>
  <c r="D122" i="2" s="1"/>
  <c r="E13" i="2"/>
  <c r="E12" i="2"/>
  <c r="F319" i="20"/>
  <c r="F320" i="20" s="1"/>
  <c r="F317" i="19"/>
  <c r="F318" i="19" s="1"/>
  <c r="F319" i="19" s="1"/>
  <c r="F320" i="19" s="1"/>
  <c r="BU12" i="2"/>
  <c r="AY12" i="2"/>
  <c r="CD12" i="2"/>
  <c r="AR12" i="2"/>
  <c r="CJ12" i="2"/>
  <c r="BO12" i="2"/>
  <c r="CE12" i="2"/>
  <c r="BI12" i="2"/>
  <c r="BY12" i="2"/>
  <c r="CO12" i="2"/>
  <c r="BB12" i="2"/>
  <c r="BR12" i="2"/>
  <c r="CH12" i="2"/>
  <c r="AV12" i="2"/>
  <c r="BH12" i="2"/>
  <c r="BX12" i="2"/>
  <c r="CN12" i="2"/>
  <c r="BC12" i="2"/>
  <c r="BS12" i="2"/>
  <c r="CI12" i="2"/>
  <c r="BA12" i="2"/>
  <c r="CK12" i="2"/>
  <c r="BN12" i="2"/>
  <c r="BD12" i="2"/>
  <c r="C12" i="2"/>
  <c r="AW12" i="2"/>
  <c r="BM12" i="2"/>
  <c r="CC12" i="2"/>
  <c r="AQ12" i="2"/>
  <c r="BF12" i="2"/>
  <c r="BV12" i="2"/>
  <c r="CL12" i="2"/>
  <c r="AZ12" i="2"/>
  <c r="BL12" i="2"/>
  <c r="CB12" i="2"/>
  <c r="AT12" i="2"/>
  <c r="BG12" i="2"/>
  <c r="BW12" i="2"/>
  <c r="BT12" i="2"/>
  <c r="AS12" i="2"/>
  <c r="AP12" i="2"/>
  <c r="D12" i="2"/>
  <c r="B119" i="2"/>
  <c r="B118" i="2"/>
  <c r="CQ64" i="2"/>
  <c r="CR256" i="2" s="1"/>
  <c r="BE12" i="2"/>
  <c r="A147" i="2"/>
  <c r="A146" i="2"/>
  <c r="B63" i="2"/>
  <c r="CT63" i="2" s="1"/>
  <c r="D186" i="2"/>
  <c r="D176" i="2" s="1"/>
  <c r="D149" i="2"/>
  <c r="E68" i="2"/>
  <c r="E95" i="2" s="1"/>
  <c r="E122" i="2" s="1"/>
  <c r="F13" i="2"/>
  <c r="F12" i="2" s="1"/>
  <c r="CQ91" i="2"/>
  <c r="CQ172" i="2" s="1"/>
  <c r="B117" i="2"/>
  <c r="CP63" i="2"/>
  <c r="CQ255" i="2" s="1"/>
  <c r="A144" i="2"/>
  <c r="BN64" i="2"/>
  <c r="BO256" i="2" s="1"/>
  <c r="BD64" i="2"/>
  <c r="BE256" i="2" s="1"/>
  <c r="AI64" i="2"/>
  <c r="AF64" i="2"/>
  <c r="AG256" i="2" s="1"/>
  <c r="AB64" i="2"/>
  <c r="AC256" i="2" s="1"/>
  <c r="AW64" i="2"/>
  <c r="AX256" i="2" s="1"/>
  <c r="CD64" i="2"/>
  <c r="CE256" i="2" s="1"/>
  <c r="AY64" i="2"/>
  <c r="AZ256" i="2" s="1"/>
  <c r="BN65" i="2"/>
  <c r="BO257" i="2" s="1"/>
  <c r="AD65" i="2"/>
  <c r="AY65" i="2"/>
  <c r="AZ257" i="2" s="1"/>
  <c r="T65" i="2"/>
  <c r="U257" i="2" s="1"/>
  <c r="CF65" i="2"/>
  <c r="CG257" i="2" s="1"/>
  <c r="BA65" i="2"/>
  <c r="BB257" i="2" s="1"/>
  <c r="BF65" i="2"/>
  <c r="BG257" i="2" s="1"/>
  <c r="D65" i="2"/>
  <c r="E257" i="2" s="1"/>
  <c r="BP65" i="2"/>
  <c r="AK65" i="2"/>
  <c r="AL257" i="2" s="1"/>
  <c r="T64" i="2"/>
  <c r="U256" i="2" s="1"/>
  <c r="CN64" i="2"/>
  <c r="CO256" i="2" s="1"/>
  <c r="BM64" i="2"/>
  <c r="BN256" i="2" s="1"/>
  <c r="C64" i="2"/>
  <c r="C256" i="2" s="1"/>
  <c r="BO64" i="2"/>
  <c r="BP256" i="2" s="1"/>
  <c r="V65" i="2"/>
  <c r="CP65" i="2"/>
  <c r="CQ257" i="2" s="1"/>
  <c r="BO65" i="2"/>
  <c r="BP257" i="2" s="1"/>
  <c r="AJ65" i="2"/>
  <c r="AK257" i="2" s="1"/>
  <c r="E65" i="2"/>
  <c r="F257" i="2" s="1"/>
  <c r="BQ65" i="2"/>
  <c r="BR257" i="2" s="1"/>
  <c r="CF64" i="2"/>
  <c r="CG256" i="2" s="1"/>
  <c r="Q64" i="2"/>
  <c r="R256" i="2" s="1"/>
  <c r="CC64" i="2"/>
  <c r="CD256" i="2" s="1"/>
  <c r="AX64" i="2"/>
  <c r="AY256" i="2" s="1"/>
  <c r="S64" i="2"/>
  <c r="T256" i="2" s="1"/>
  <c r="CE64" i="2"/>
  <c r="CF256" i="2" s="1"/>
  <c r="CH65" i="2"/>
  <c r="CI257" i="2" s="1"/>
  <c r="S65" i="2"/>
  <c r="T257" i="2" s="1"/>
  <c r="CE65" i="2"/>
  <c r="CF257" i="2" s="1"/>
  <c r="AZ65" i="2"/>
  <c r="BA257" i="2" s="1"/>
  <c r="U65" i="2"/>
  <c r="CG65" i="2"/>
  <c r="CH257" i="2" s="1"/>
  <c r="BL64" i="2"/>
  <c r="BM256" i="2" s="1"/>
  <c r="CR64" i="2"/>
  <c r="CS256" i="2" s="1"/>
  <c r="H64" i="2"/>
  <c r="I256" i="2" s="1"/>
  <c r="BT64" i="2"/>
  <c r="BU256" i="2" s="1"/>
  <c r="AR64" i="2"/>
  <c r="AS256" i="2" s="1"/>
  <c r="E64" i="2"/>
  <c r="U64" i="2"/>
  <c r="V256" i="2" s="1"/>
  <c r="AK64" i="2"/>
  <c r="AL256" i="2" s="1"/>
  <c r="BA64" i="2"/>
  <c r="BB256" i="2" s="1"/>
  <c r="BQ64" i="2"/>
  <c r="BR256" i="2" s="1"/>
  <c r="CG64" i="2"/>
  <c r="CH256" i="2" s="1"/>
  <c r="F64" i="2"/>
  <c r="G256" i="2" s="1"/>
  <c r="V64" i="2"/>
  <c r="W256" i="2" s="1"/>
  <c r="AL64" i="2"/>
  <c r="BB64" i="2"/>
  <c r="BC256" i="2" s="1"/>
  <c r="BR64" i="2"/>
  <c r="BS256" i="2" s="1"/>
  <c r="CH64" i="2"/>
  <c r="CI256" i="2" s="1"/>
  <c r="G64" i="2"/>
  <c r="H256" i="2" s="1"/>
  <c r="W64" i="2"/>
  <c r="X256" i="2" s="1"/>
  <c r="AM64" i="2"/>
  <c r="AN256" i="2" s="1"/>
  <c r="BC64" i="2"/>
  <c r="BD256" i="2" s="1"/>
  <c r="BS64" i="2"/>
  <c r="CI64" i="2"/>
  <c r="CJ256" i="2" s="1"/>
  <c r="C65" i="2"/>
  <c r="C257" i="2" s="1"/>
  <c r="R65" i="2"/>
  <c r="S257" i="2" s="1"/>
  <c r="J65" i="2"/>
  <c r="K257" i="2" s="1"/>
  <c r="BV65" i="2"/>
  <c r="BW257" i="2" s="1"/>
  <c r="AT65" i="2"/>
  <c r="AU257" i="2" s="1"/>
  <c r="G65" i="2"/>
  <c r="W65" i="2"/>
  <c r="X257" i="2" s="1"/>
  <c r="AM65" i="2"/>
  <c r="AN257" i="2" s="1"/>
  <c r="BC65" i="2"/>
  <c r="BD257" i="2" s="1"/>
  <c r="BS65" i="2"/>
  <c r="BT257" i="2" s="1"/>
  <c r="CI65" i="2"/>
  <c r="CJ257" i="2" s="1"/>
  <c r="H65" i="2"/>
  <c r="I257" i="2" s="1"/>
  <c r="X65" i="2"/>
  <c r="Y257" i="2" s="1"/>
  <c r="AN65" i="2"/>
  <c r="BD65" i="2"/>
  <c r="BE257" i="2" s="1"/>
  <c r="BT65" i="2"/>
  <c r="BU257" i="2" s="1"/>
  <c r="CJ65" i="2"/>
  <c r="CK257" i="2" s="1"/>
  <c r="I65" i="2"/>
  <c r="J257" i="2" s="1"/>
  <c r="Y65" i="2"/>
  <c r="Z257" i="2" s="1"/>
  <c r="AO65" i="2"/>
  <c r="AP257" i="2" s="1"/>
  <c r="BE65" i="2"/>
  <c r="BF257" i="2" s="1"/>
  <c r="BU65" i="2"/>
  <c r="CK65" i="2"/>
  <c r="CL257" i="2" s="1"/>
  <c r="P64" i="2"/>
  <c r="Q256" i="2" s="1"/>
  <c r="AV64" i="2"/>
  <c r="AW256" i="2" s="1"/>
  <c r="AZ64" i="2"/>
  <c r="BA256" i="2" s="1"/>
  <c r="X64" i="2"/>
  <c r="Y256" i="2" s="1"/>
  <c r="CJ64" i="2"/>
  <c r="CK256" i="2" s="1"/>
  <c r="BH64" i="2"/>
  <c r="BI256" i="2" s="1"/>
  <c r="I64" i="2"/>
  <c r="Y64" i="2"/>
  <c r="Z256" i="2" s="1"/>
  <c r="AO64" i="2"/>
  <c r="AP256" i="2" s="1"/>
  <c r="BE64" i="2"/>
  <c r="BF256" i="2" s="1"/>
  <c r="BU64" i="2"/>
  <c r="BV256" i="2" s="1"/>
  <c r="CK64" i="2"/>
  <c r="CL256" i="2" s="1"/>
  <c r="J64" i="2"/>
  <c r="K256" i="2" s="1"/>
  <c r="Z64" i="2"/>
  <c r="AA256" i="2" s="1"/>
  <c r="AP64" i="2"/>
  <c r="AQ256" i="2" s="1"/>
  <c r="BF64" i="2"/>
  <c r="BG256" i="2" s="1"/>
  <c r="BV64" i="2"/>
  <c r="BW256" i="2" s="1"/>
  <c r="CL64" i="2"/>
  <c r="CM256" i="2" s="1"/>
  <c r="K64" i="2"/>
  <c r="L256" i="2" s="1"/>
  <c r="AA64" i="2"/>
  <c r="AB256" i="2" s="1"/>
  <c r="AQ64" i="2"/>
  <c r="AR256" i="2" s="1"/>
  <c r="BG64" i="2"/>
  <c r="BH256" i="2" s="1"/>
  <c r="BW64" i="2"/>
  <c r="CM64" i="2"/>
  <c r="CN256" i="2" s="1"/>
  <c r="AH65" i="2"/>
  <c r="AI257" i="2" s="1"/>
  <c r="CD65" i="2"/>
  <c r="CE257" i="2" s="1"/>
  <c r="BB65" i="2"/>
  <c r="BC257" i="2" s="1"/>
  <c r="Z65" i="2"/>
  <c r="AA257" i="2" s="1"/>
  <c r="CL65" i="2"/>
  <c r="CM257" i="2" s="1"/>
  <c r="BJ65" i="2"/>
  <c r="BK257" i="2" s="1"/>
  <c r="K65" i="2"/>
  <c r="AA65" i="2"/>
  <c r="AB257" i="2" s="1"/>
  <c r="AQ65" i="2"/>
  <c r="AR257" i="2" s="1"/>
  <c r="BG65" i="2"/>
  <c r="BH257" i="2" s="1"/>
  <c r="BW65" i="2"/>
  <c r="BX257" i="2" s="1"/>
  <c r="CM65" i="2"/>
  <c r="CN257" i="2" s="1"/>
  <c r="L65" i="2"/>
  <c r="M257" i="2" s="1"/>
  <c r="AB65" i="2"/>
  <c r="AC257" i="2" s="1"/>
  <c r="AR65" i="2"/>
  <c r="BH65" i="2"/>
  <c r="BI257" i="2" s="1"/>
  <c r="BX65" i="2"/>
  <c r="BY257" i="2" s="1"/>
  <c r="CN65" i="2"/>
  <c r="CO257" i="2" s="1"/>
  <c r="M65" i="2"/>
  <c r="N257" i="2" s="1"/>
  <c r="AC65" i="2"/>
  <c r="AD257" i="2" s="1"/>
  <c r="AS65" i="2"/>
  <c r="AT257" i="2" s="1"/>
  <c r="BI65" i="2"/>
  <c r="BJ257" i="2" s="1"/>
  <c r="BY65" i="2"/>
  <c r="CO65" i="2"/>
  <c r="CP257" i="2" s="1"/>
  <c r="CB64" i="2"/>
  <c r="CC256" i="2" s="1"/>
  <c r="D64" i="2"/>
  <c r="D91" i="2" s="1"/>
  <c r="D172" i="2" s="1"/>
  <c r="BP64" i="2"/>
  <c r="BQ256" i="2" s="1"/>
  <c r="AN64" i="2"/>
  <c r="AO256" i="2" s="1"/>
  <c r="L64" i="2"/>
  <c r="M256" i="2" s="1"/>
  <c r="BX64" i="2"/>
  <c r="BY256" i="2" s="1"/>
  <c r="M64" i="2"/>
  <c r="AC64" i="2"/>
  <c r="AD256" i="2" s="1"/>
  <c r="AS64" i="2"/>
  <c r="AT256" i="2" s="1"/>
  <c r="BI64" i="2"/>
  <c r="BJ256" i="2" s="1"/>
  <c r="BY64" i="2"/>
  <c r="BZ256" i="2" s="1"/>
  <c r="CO64" i="2"/>
  <c r="CP256" i="2" s="1"/>
  <c r="N64" i="2"/>
  <c r="O256" i="2" s="1"/>
  <c r="AD64" i="2"/>
  <c r="AE256" i="2" s="1"/>
  <c r="AT64" i="2"/>
  <c r="BJ64" i="2"/>
  <c r="BK256" i="2" s="1"/>
  <c r="BZ64" i="2"/>
  <c r="CA256" i="2" s="1"/>
  <c r="CP64" i="2"/>
  <c r="CQ256" i="2" s="1"/>
  <c r="O64" i="2"/>
  <c r="P256" i="2" s="1"/>
  <c r="AE64" i="2"/>
  <c r="AF256" i="2" s="1"/>
  <c r="AU64" i="2"/>
  <c r="AV256" i="2" s="1"/>
  <c r="BK64" i="2"/>
  <c r="BL256" i="2" s="1"/>
  <c r="CA64" i="2"/>
  <c r="AX65" i="2"/>
  <c r="AY257" i="2" s="1"/>
  <c r="F65" i="2"/>
  <c r="G257" i="2" s="1"/>
  <c r="BR65" i="2"/>
  <c r="BS257" i="2" s="1"/>
  <c r="AP65" i="2"/>
  <c r="AQ257" i="2" s="1"/>
  <c r="N65" i="2"/>
  <c r="O257" i="2" s="1"/>
  <c r="BZ65" i="2"/>
  <c r="CA257" i="2" s="1"/>
  <c r="O65" i="2"/>
  <c r="P257" i="2" s="1"/>
  <c r="AE65" i="2"/>
  <c r="AF257" i="2" s="1"/>
  <c r="AU65" i="2"/>
  <c r="AV257" i="2" s="1"/>
  <c r="BK65" i="2"/>
  <c r="BL257" i="2" s="1"/>
  <c r="CA65" i="2"/>
  <c r="CB257" i="2" s="1"/>
  <c r="CQ65" i="2"/>
  <c r="CR257" i="2" s="1"/>
  <c r="P65" i="2"/>
  <c r="Q257" i="2" s="1"/>
  <c r="AF65" i="2"/>
  <c r="AG257" i="2" s="1"/>
  <c r="AV65" i="2"/>
  <c r="AW257" i="2" s="1"/>
  <c r="BL65" i="2"/>
  <c r="CB65" i="2"/>
  <c r="CC257" i="2" s="1"/>
  <c r="CR65" i="2"/>
  <c r="CS257" i="2" s="1"/>
  <c r="Q65" i="2"/>
  <c r="R257" i="2" s="1"/>
  <c r="AG65" i="2"/>
  <c r="AH257" i="2" s="1"/>
  <c r="AW65" i="2"/>
  <c r="AX257" i="2" s="1"/>
  <c r="BM65" i="2"/>
  <c r="BN257" i="2" s="1"/>
  <c r="CC65" i="2"/>
  <c r="CD257" i="2" s="1"/>
  <c r="B62" i="2"/>
  <c r="E186" i="2"/>
  <c r="E176" i="2" s="1"/>
  <c r="E149" i="2"/>
  <c r="F68" i="2"/>
  <c r="F95" i="2" s="1"/>
  <c r="F122" i="2" s="1"/>
  <c r="G13" i="2"/>
  <c r="G12" i="2" s="1"/>
  <c r="F321" i="20"/>
  <c r="CQ92" i="2"/>
  <c r="CQ173" i="2"/>
  <c r="CR91" i="2"/>
  <c r="CR172" i="2" s="1"/>
  <c r="CR92" i="2"/>
  <c r="CR173" i="2" s="1"/>
  <c r="E92" i="2"/>
  <c r="E173" i="2" s="1"/>
  <c r="D92" i="2"/>
  <c r="D173" i="2"/>
  <c r="B116" i="2"/>
  <c r="CP90" i="2"/>
  <c r="CP171" i="2" s="1"/>
  <c r="BM92" i="2"/>
  <c r="BM173" i="2"/>
  <c r="BZ92" i="2"/>
  <c r="BZ173" i="2" s="1"/>
  <c r="AU91" i="2"/>
  <c r="AU172" i="2" s="1"/>
  <c r="N91" i="2"/>
  <c r="N172" i="2"/>
  <c r="L91" i="2"/>
  <c r="L172" i="2" s="1"/>
  <c r="AS92" i="2"/>
  <c r="AS173" i="2" s="1"/>
  <c r="L92" i="2"/>
  <c r="L173" i="2" s="1"/>
  <c r="J91" i="2"/>
  <c r="J172" i="2" s="1"/>
  <c r="CJ91" i="2"/>
  <c r="CJ172" i="2" s="1"/>
  <c r="BE92" i="2"/>
  <c r="BE173" i="2" s="1"/>
  <c r="X92" i="2"/>
  <c r="X173" i="2" s="1"/>
  <c r="AT92" i="2"/>
  <c r="AT173" i="2" s="1"/>
  <c r="BC91" i="2"/>
  <c r="BC172" i="2" s="1"/>
  <c r="CE91" i="2"/>
  <c r="BN92" i="2"/>
  <c r="BN173" i="2" s="1"/>
  <c r="AW92" i="2"/>
  <c r="AW173" i="2" s="1"/>
  <c r="CB92" i="2"/>
  <c r="CB173" i="2" s="1"/>
  <c r="P92" i="2"/>
  <c r="P173" i="2" s="1"/>
  <c r="AU92" i="2"/>
  <c r="AU173" i="2" s="1"/>
  <c r="N92" i="2"/>
  <c r="N173" i="2" s="1"/>
  <c r="AE91" i="2"/>
  <c r="AE172" i="2"/>
  <c r="BJ91" i="2"/>
  <c r="BJ172" i="2" s="1"/>
  <c r="CO91" i="2"/>
  <c r="CO172" i="2" s="1"/>
  <c r="AC91" i="2"/>
  <c r="AC172" i="2" s="1"/>
  <c r="AN91" i="2"/>
  <c r="AN172" i="2" s="1"/>
  <c r="AC92" i="2"/>
  <c r="AC173" i="2" s="1"/>
  <c r="BH92" i="2"/>
  <c r="BH173" i="2" s="1"/>
  <c r="CM92" i="2"/>
  <c r="CM173" i="2"/>
  <c r="Z92" i="2"/>
  <c r="Z173" i="2" s="1"/>
  <c r="AA91" i="2"/>
  <c r="AA172" i="2"/>
  <c r="BF91" i="2"/>
  <c r="BF172" i="2" s="1"/>
  <c r="CK91" i="2"/>
  <c r="CK172" i="2" s="1"/>
  <c r="X91" i="2"/>
  <c r="X172" i="2"/>
  <c r="AO92" i="2"/>
  <c r="AO173" i="2" s="1"/>
  <c r="H92" i="2"/>
  <c r="H173" i="2" s="1"/>
  <c r="AM91" i="2"/>
  <c r="AM172" i="2" s="1"/>
  <c r="BR91" i="2"/>
  <c r="BR172" i="2" s="1"/>
  <c r="AK91" i="2"/>
  <c r="AK172" i="2" s="1"/>
  <c r="BT91" i="2"/>
  <c r="BT172" i="2" s="1"/>
  <c r="BL91" i="2"/>
  <c r="BL172" i="2" s="1"/>
  <c r="CE92" i="2"/>
  <c r="CE173" i="2" s="1"/>
  <c r="S91" i="2"/>
  <c r="S172" i="2"/>
  <c r="CF91" i="2"/>
  <c r="CF172" i="2" s="1"/>
  <c r="BO92" i="2"/>
  <c r="BO173" i="2" s="1"/>
  <c r="T91" i="2"/>
  <c r="T172" i="2"/>
  <c r="T92" i="2"/>
  <c r="T173" i="2" s="1"/>
  <c r="AY91" i="2"/>
  <c r="AY172" i="2" s="1"/>
  <c r="AB91" i="2"/>
  <c r="AB172" i="2" s="1"/>
  <c r="BN91" i="2"/>
  <c r="BN172" i="2"/>
  <c r="BK92" i="2"/>
  <c r="BK173" i="2" s="1"/>
  <c r="F92" i="2"/>
  <c r="F173" i="2" s="1"/>
  <c r="BZ91" i="2"/>
  <c r="BZ172" i="2"/>
  <c r="AS91" i="2"/>
  <c r="AS172" i="2" s="1"/>
  <c r="CB91" i="2"/>
  <c r="CB172" i="2" s="1"/>
  <c r="BX92" i="2"/>
  <c r="BX173" i="2" s="1"/>
  <c r="AQ92" i="2"/>
  <c r="AQ173" i="2" s="1"/>
  <c r="BV91" i="2"/>
  <c r="BV172" i="2" s="1"/>
  <c r="AO91" i="2"/>
  <c r="AO172" i="2" s="1"/>
  <c r="P91" i="2"/>
  <c r="P172" i="2" s="1"/>
  <c r="BC92" i="2"/>
  <c r="BC173" i="2" s="1"/>
  <c r="R92" i="2"/>
  <c r="R173" i="2" s="1"/>
  <c r="CH91" i="2"/>
  <c r="CH172" i="2"/>
  <c r="V91" i="2"/>
  <c r="V172" i="2" s="1"/>
  <c r="AR91" i="2"/>
  <c r="AR172" i="2" s="1"/>
  <c r="AZ92" i="2"/>
  <c r="AZ173" i="2" s="1"/>
  <c r="Q91" i="2"/>
  <c r="Q172" i="2"/>
  <c r="AJ92" i="2"/>
  <c r="AJ173" i="2" s="1"/>
  <c r="BO91" i="2"/>
  <c r="BO172" i="2" s="1"/>
  <c r="CN91" i="2"/>
  <c r="CN172" i="2"/>
  <c r="CF92" i="2"/>
  <c r="CF173" i="2" s="1"/>
  <c r="AW91" i="2"/>
  <c r="AW172" i="2" s="1"/>
  <c r="BD91" i="2"/>
  <c r="BD172" i="2" s="1"/>
  <c r="AG92" i="2"/>
  <c r="AG173" i="2" s="1"/>
  <c r="AE92" i="2"/>
  <c r="AE173" i="2" s="1"/>
  <c r="AP92" i="2"/>
  <c r="AP173" i="2" s="1"/>
  <c r="O91" i="2"/>
  <c r="O172" i="2" s="1"/>
  <c r="BY91" i="2"/>
  <c r="BY172" i="2" s="1"/>
  <c r="M91" i="2"/>
  <c r="BP91" i="2"/>
  <c r="BP172" i="2"/>
  <c r="M92" i="2"/>
  <c r="M173" i="2" s="1"/>
  <c r="BW92" i="2"/>
  <c r="BW173" i="2" s="1"/>
  <c r="BB92" i="2"/>
  <c r="BB173" i="2" s="1"/>
  <c r="K91" i="2"/>
  <c r="K172" i="2"/>
  <c r="AP91" i="2"/>
  <c r="AP172" i="2" s="1"/>
  <c r="BU91" i="2"/>
  <c r="BU172" i="2" s="1"/>
  <c r="AZ91" i="2"/>
  <c r="AZ172" i="2"/>
  <c r="Y92" i="2"/>
  <c r="Y173" i="2" s="1"/>
  <c r="BD92" i="2"/>
  <c r="BD173" i="2" s="1"/>
  <c r="CI92" i="2"/>
  <c r="CI173" i="2" s="1"/>
  <c r="W92" i="2"/>
  <c r="W173" i="2"/>
  <c r="J92" i="2"/>
  <c r="J173" i="2" s="1"/>
  <c r="CI91" i="2"/>
  <c r="CI172" i="2" s="1"/>
  <c r="W91" i="2"/>
  <c r="W172" i="2"/>
  <c r="BB91" i="2"/>
  <c r="BB172" i="2" s="1"/>
  <c r="CG91" i="2"/>
  <c r="CG172" i="2" s="1"/>
  <c r="U91" i="2"/>
  <c r="U172" i="2" s="1"/>
  <c r="CG92" i="2"/>
  <c r="CG173" i="2"/>
  <c r="S92" i="2"/>
  <c r="S173" i="2"/>
  <c r="BQ92" i="2"/>
  <c r="BQ173" i="2" s="1"/>
  <c r="CP92" i="2"/>
  <c r="CP173" i="2" s="1"/>
  <c r="AK92" i="2"/>
  <c r="AK173" i="2" s="1"/>
  <c r="BF92" i="2"/>
  <c r="BF173" i="2" s="1"/>
  <c r="AY92" i="2"/>
  <c r="AY173" i="2"/>
  <c r="CD91" i="2"/>
  <c r="CD172" i="2" s="1"/>
  <c r="CC92" i="2"/>
  <c r="CC173" i="2" s="1"/>
  <c r="AV92" i="2"/>
  <c r="AV173" i="2"/>
  <c r="CA92" i="2"/>
  <c r="CA173" i="2" s="1"/>
  <c r="O92" i="2"/>
  <c r="O173" i="2" s="1"/>
  <c r="BR92" i="2"/>
  <c r="BR173" i="2"/>
  <c r="BK91" i="2"/>
  <c r="BK172" i="2"/>
  <c r="AD91" i="2"/>
  <c r="AD172" i="2" s="1"/>
  <c r="BI91" i="2"/>
  <c r="BI172" i="2" s="1"/>
  <c r="BX91" i="2"/>
  <c r="BX172" i="2"/>
  <c r="BI92" i="2"/>
  <c r="BI173" i="2" s="1"/>
  <c r="CN92" i="2"/>
  <c r="CN173" i="2" s="1"/>
  <c r="AB92" i="2"/>
  <c r="AB173" i="2"/>
  <c r="BG92" i="2"/>
  <c r="BG173" i="2" s="1"/>
  <c r="BJ92" i="2"/>
  <c r="BJ173" i="2" s="1"/>
  <c r="CD92" i="2"/>
  <c r="CD173" i="2" s="1"/>
  <c r="BG91" i="2"/>
  <c r="BG172" i="2"/>
  <c r="CL91" i="2"/>
  <c r="CL172" i="2"/>
  <c r="Z91" i="2"/>
  <c r="Z172" i="2" s="1"/>
  <c r="BE91" i="2"/>
  <c r="BE172" i="2" s="1"/>
  <c r="BH91" i="2"/>
  <c r="BH172" i="2"/>
  <c r="AV91" i="2"/>
  <c r="AV172" i="2"/>
  <c r="I92" i="2"/>
  <c r="I173" i="2" s="1"/>
  <c r="AN92" i="2"/>
  <c r="BS92" i="2"/>
  <c r="BS173" i="2"/>
  <c r="AL91" i="2"/>
  <c r="BQ91" i="2"/>
  <c r="BQ172" i="2" s="1"/>
  <c r="CH92" i="2"/>
  <c r="CH173" i="2"/>
  <c r="CC91" i="2"/>
  <c r="CC172" i="2" s="1"/>
  <c r="BM91" i="2"/>
  <c r="BM172" i="2"/>
  <c r="BA92" i="2"/>
  <c r="BA173" i="2" s="1"/>
  <c r="G91" i="2"/>
  <c r="G172" i="2" s="1"/>
  <c r="F91" i="2"/>
  <c r="F172" i="2"/>
  <c r="I91" i="2"/>
  <c r="H91" i="2"/>
  <c r="H172" i="2" s="1"/>
  <c r="A143" i="2"/>
  <c r="AU63" i="2"/>
  <c r="AV255" i="2" s="1"/>
  <c r="BO63" i="2"/>
  <c r="BP255" i="2" s="1"/>
  <c r="K63" i="2"/>
  <c r="L255" i="2" s="1"/>
  <c r="AR63" i="2"/>
  <c r="AS255" i="2" s="1"/>
  <c r="BX63" i="2"/>
  <c r="BY255" i="2" s="1"/>
  <c r="CA63" i="2"/>
  <c r="CB255" i="2" s="1"/>
  <c r="W63" i="2"/>
  <c r="X255" i="2" s="1"/>
  <c r="BG63" i="2"/>
  <c r="BH255" i="2" s="1"/>
  <c r="X63" i="2"/>
  <c r="Y255" i="2" s="1"/>
  <c r="BD63" i="2"/>
  <c r="BE255" i="2" s="1"/>
  <c r="CN63" i="2"/>
  <c r="CO255" i="2" s="1"/>
  <c r="CC63" i="2"/>
  <c r="CD255" i="2" s="1"/>
  <c r="C63" i="2"/>
  <c r="AM63" i="2"/>
  <c r="AN255" i="2" s="1"/>
  <c r="BW63" i="2"/>
  <c r="BX255" i="2" s="1"/>
  <c r="AB63" i="2"/>
  <c r="AC255" i="2" s="1"/>
  <c r="BH63" i="2"/>
  <c r="BI255" i="2" s="1"/>
  <c r="CR63" i="2"/>
  <c r="CS255" i="2" s="1"/>
  <c r="AD63" i="2"/>
  <c r="AE255" i="2" s="1"/>
  <c r="L63" i="2"/>
  <c r="M255" i="2" s="1"/>
  <c r="AS63" i="2"/>
  <c r="CQ63" i="2"/>
  <c r="CR255" i="2" s="1"/>
  <c r="AY63" i="2"/>
  <c r="AZ255" i="2" s="1"/>
  <c r="CI63" i="2"/>
  <c r="CJ255" i="2" s="1"/>
  <c r="H63" i="2"/>
  <c r="I255" i="2" s="1"/>
  <c r="AN63" i="2"/>
  <c r="AO255" i="2" s="1"/>
  <c r="BT63" i="2"/>
  <c r="BU255" i="2" s="1"/>
  <c r="AK63" i="2"/>
  <c r="AL255" i="2" s="1"/>
  <c r="CH63" i="2"/>
  <c r="BK63" i="2"/>
  <c r="BL255" i="2" s="1"/>
  <c r="S63" i="2"/>
  <c r="T255" i="2" s="1"/>
  <c r="CE63" i="2"/>
  <c r="CF255" i="2" s="1"/>
  <c r="BC63" i="2"/>
  <c r="BD255" i="2" s="1"/>
  <c r="AA63" i="2"/>
  <c r="AB255" i="2" s="1"/>
  <c r="CM63" i="2"/>
  <c r="CN255" i="2" s="1"/>
  <c r="P63" i="2"/>
  <c r="AF63" i="2"/>
  <c r="AG255" i="2" s="1"/>
  <c r="AV63" i="2"/>
  <c r="AW255" i="2" s="1"/>
  <c r="BL63" i="2"/>
  <c r="BM255" i="2" s="1"/>
  <c r="CB63" i="2"/>
  <c r="CC255" i="2" s="1"/>
  <c r="Q63" i="2"/>
  <c r="R255" i="2" s="1"/>
  <c r="BI63" i="2"/>
  <c r="BJ255" i="2" s="1"/>
  <c r="F63" i="2"/>
  <c r="G255" i="2" s="1"/>
  <c r="BB63" i="2"/>
  <c r="BB90" i="2" s="1"/>
  <c r="CG63" i="2"/>
  <c r="CH255" i="2" s="1"/>
  <c r="AH63" i="2"/>
  <c r="AI255" i="2" s="1"/>
  <c r="AE63" i="2"/>
  <c r="AF255" i="2" s="1"/>
  <c r="O63" i="2"/>
  <c r="P255" i="2" s="1"/>
  <c r="AI63" i="2"/>
  <c r="AJ255" i="2" s="1"/>
  <c r="G63" i="2"/>
  <c r="H255" i="2" s="1"/>
  <c r="BS63" i="2"/>
  <c r="BT255" i="2" s="1"/>
  <c r="AQ63" i="2"/>
  <c r="AR255" i="2" s="1"/>
  <c r="D63" i="2"/>
  <c r="T63" i="2"/>
  <c r="U255" i="2" s="1"/>
  <c r="AJ63" i="2"/>
  <c r="AK255" i="2" s="1"/>
  <c r="AZ63" i="2"/>
  <c r="BA255" i="2" s="1"/>
  <c r="BP63" i="2"/>
  <c r="BQ255" i="2" s="1"/>
  <c r="CF63" i="2"/>
  <c r="CG255" i="2" s="1"/>
  <c r="U63" i="2"/>
  <c r="V255" i="2" s="1"/>
  <c r="BM63" i="2"/>
  <c r="N63" i="2"/>
  <c r="O255" i="2" s="1"/>
  <c r="BN63" i="2"/>
  <c r="BO255" i="2" s="1"/>
  <c r="E63" i="2"/>
  <c r="E90" i="2" s="1"/>
  <c r="E171" i="2" s="1"/>
  <c r="AC63" i="2"/>
  <c r="AD255" i="2" s="1"/>
  <c r="AW63" i="2"/>
  <c r="AX255" i="2" s="1"/>
  <c r="BQ63" i="2"/>
  <c r="BR255" i="2" s="1"/>
  <c r="CO63" i="2"/>
  <c r="CP255" i="2" s="1"/>
  <c r="R63" i="2"/>
  <c r="AL63" i="2"/>
  <c r="AM255" i="2" s="1"/>
  <c r="BR63" i="2"/>
  <c r="BS255" i="2" s="1"/>
  <c r="M63" i="2"/>
  <c r="N255" i="2" s="1"/>
  <c r="AG63" i="2"/>
  <c r="AH255" i="2" s="1"/>
  <c r="BA63" i="2"/>
  <c r="BB255" i="2" s="1"/>
  <c r="BY63" i="2"/>
  <c r="BZ255" i="2" s="1"/>
  <c r="V63" i="2"/>
  <c r="AX63" i="2"/>
  <c r="AY255" i="2" s="1"/>
  <c r="CD63" i="2"/>
  <c r="CE255" i="2" s="1"/>
  <c r="CJ63" i="2"/>
  <c r="CK255" i="2" s="1"/>
  <c r="I63" i="2"/>
  <c r="J255" i="2" s="1"/>
  <c r="Y63" i="2"/>
  <c r="Z255" i="2" s="1"/>
  <c r="AO63" i="2"/>
  <c r="AP255" i="2" s="1"/>
  <c r="BE63" i="2"/>
  <c r="BF255" i="2" s="1"/>
  <c r="BU63" i="2"/>
  <c r="CK63" i="2"/>
  <c r="CL255" i="2" s="1"/>
  <c r="J63" i="2"/>
  <c r="K255" i="2" s="1"/>
  <c r="Z63" i="2"/>
  <c r="AA255" i="2" s="1"/>
  <c r="AP63" i="2"/>
  <c r="AQ255" i="2" s="1"/>
  <c r="BF63" i="2"/>
  <c r="BG255" i="2" s="1"/>
  <c r="BV63" i="2"/>
  <c r="BW255" i="2" s="1"/>
  <c r="CL63" i="2"/>
  <c r="CM255" i="2" s="1"/>
  <c r="AT63" i="2"/>
  <c r="BJ63" i="2"/>
  <c r="BK255" i="2" s="1"/>
  <c r="BZ63" i="2"/>
  <c r="CA255" i="2" s="1"/>
  <c r="G68" i="2"/>
  <c r="H13" i="2"/>
  <c r="H12" i="2"/>
  <c r="F186" i="2"/>
  <c r="F176" i="2" s="1"/>
  <c r="F149" i="2"/>
  <c r="F322" i="20"/>
  <c r="CR90" i="2"/>
  <c r="CR171" i="2" s="1"/>
  <c r="U90" i="2"/>
  <c r="U171" i="2" s="1"/>
  <c r="AE90" i="2"/>
  <c r="AE171" i="2"/>
  <c r="AN90" i="2"/>
  <c r="AN171" i="2" s="1"/>
  <c r="BV90" i="2"/>
  <c r="BV171" i="2"/>
  <c r="AO90" i="2"/>
  <c r="AO171" i="2" s="1"/>
  <c r="BR90" i="2"/>
  <c r="CF90" i="2"/>
  <c r="CF171" i="2" s="1"/>
  <c r="BX90" i="2"/>
  <c r="BX171" i="2" s="1"/>
  <c r="BF90" i="2"/>
  <c r="BF171" i="2" s="1"/>
  <c r="Y90" i="2"/>
  <c r="Y171" i="2"/>
  <c r="AX90" i="2"/>
  <c r="AX171" i="2" s="1"/>
  <c r="BA90" i="2"/>
  <c r="BA171" i="2" s="1"/>
  <c r="AW90" i="2"/>
  <c r="AW171" i="2" s="1"/>
  <c r="BP90" i="2"/>
  <c r="BP171" i="2" s="1"/>
  <c r="AI90" i="2"/>
  <c r="AI171" i="2"/>
  <c r="CG90" i="2"/>
  <c r="CG171" i="2"/>
  <c r="Q90" i="2"/>
  <c r="Q171" i="2"/>
  <c r="BC90" i="2"/>
  <c r="BC171" i="2" s="1"/>
  <c r="AK90" i="2"/>
  <c r="AK171" i="2" s="1"/>
  <c r="AB90" i="2"/>
  <c r="AB171" i="2" s="1"/>
  <c r="CC90" i="2"/>
  <c r="CC171" i="2" s="1"/>
  <c r="AR90" i="2"/>
  <c r="AR171" i="2"/>
  <c r="CL90" i="2"/>
  <c r="CL171" i="2" s="1"/>
  <c r="CJ90" i="2"/>
  <c r="CJ171" i="2" s="1"/>
  <c r="BY90" i="2"/>
  <c r="BY171" i="2" s="1"/>
  <c r="BQ90" i="2"/>
  <c r="BQ171" i="2" s="1"/>
  <c r="T90" i="2"/>
  <c r="T171" i="2" s="1"/>
  <c r="BI90" i="2"/>
  <c r="BI171" i="2" s="1"/>
  <c r="AV90" i="2"/>
  <c r="AV171" i="2"/>
  <c r="BK90" i="2"/>
  <c r="BK171" i="2"/>
  <c r="BH90" i="2"/>
  <c r="BH171" i="2" s="1"/>
  <c r="AT90" i="2"/>
  <c r="AP90" i="2"/>
  <c r="AP171" i="2" s="1"/>
  <c r="AG90" i="2"/>
  <c r="AG171" i="2" s="1"/>
  <c r="AC90" i="2"/>
  <c r="AC171" i="2" s="1"/>
  <c r="AZ90" i="2"/>
  <c r="AZ171" i="2"/>
  <c r="AQ90" i="2"/>
  <c r="O90" i="2"/>
  <c r="O171" i="2" s="1"/>
  <c r="CB90" i="2"/>
  <c r="CB171" i="2"/>
  <c r="CE90" i="2"/>
  <c r="CE171" i="2" s="1"/>
  <c r="BT90" i="2"/>
  <c r="BT171" i="2"/>
  <c r="AY90" i="2"/>
  <c r="AY171" i="2" s="1"/>
  <c r="AD90" i="2"/>
  <c r="AD171" i="2"/>
  <c r="BW90" i="2"/>
  <c r="BW171" i="2" s="1"/>
  <c r="CN90" i="2"/>
  <c r="CN171" i="2" s="1"/>
  <c r="W90" i="2"/>
  <c r="W171" i="2" s="1"/>
  <c r="AM90" i="2"/>
  <c r="AM171" i="2" s="1"/>
  <c r="BD90" i="2"/>
  <c r="BD171" i="2"/>
  <c r="BO90" i="2"/>
  <c r="BO171" i="2" s="1"/>
  <c r="BE90" i="2"/>
  <c r="BE171" i="2"/>
  <c r="CO90" i="2"/>
  <c r="CO171" i="2" s="1"/>
  <c r="BS90" i="2"/>
  <c r="BS171" i="2" s="1"/>
  <c r="CM90" i="2"/>
  <c r="CM171" i="2" s="1"/>
  <c r="BN90" i="2"/>
  <c r="BN171" i="2" s="1"/>
  <c r="AA90" i="2"/>
  <c r="AA171" i="2"/>
  <c r="X90" i="2"/>
  <c r="X171" i="2" s="1"/>
  <c r="AU90" i="2"/>
  <c r="AU171" i="2" s="1"/>
  <c r="G95" i="2"/>
  <c r="G122" i="2" s="1"/>
  <c r="G186" i="2"/>
  <c r="G176" i="2"/>
  <c r="I90" i="2"/>
  <c r="I171" i="2" s="1"/>
  <c r="F90" i="2"/>
  <c r="F171" i="2" s="1"/>
  <c r="K90" i="2"/>
  <c r="K171" i="2"/>
  <c r="J90" i="2"/>
  <c r="J171" i="2" s="1"/>
  <c r="G90" i="2"/>
  <c r="G171" i="2" s="1"/>
  <c r="H90" i="2"/>
  <c r="H171" i="2"/>
  <c r="D90" i="2"/>
  <c r="D171" i="2" s="1"/>
  <c r="L90" i="2"/>
  <c r="L171" i="2" s="1"/>
  <c r="A142" i="2"/>
  <c r="H68" i="2"/>
  <c r="I13" i="2"/>
  <c r="I12" i="2"/>
  <c r="G149" i="2"/>
  <c r="F323" i="20"/>
  <c r="F321" i="19"/>
  <c r="H95" i="2"/>
  <c r="H122" i="2"/>
  <c r="H186" i="2"/>
  <c r="H176" i="2" s="1"/>
  <c r="A141" i="2"/>
  <c r="H149" i="2"/>
  <c r="I68" i="2"/>
  <c r="J13" i="2"/>
  <c r="J12" i="2" s="1"/>
  <c r="F324" i="20"/>
  <c r="F322" i="19"/>
  <c r="I95" i="2"/>
  <c r="I122" i="2" s="1"/>
  <c r="I186" i="2"/>
  <c r="I176" i="2" s="1"/>
  <c r="A140" i="2"/>
  <c r="I149" i="2"/>
  <c r="J68" i="2"/>
  <c r="K13" i="2"/>
  <c r="K12" i="2" s="1"/>
  <c r="F325" i="20"/>
  <c r="F323" i="19"/>
  <c r="J95" i="2"/>
  <c r="J122" i="2"/>
  <c r="J186" i="2"/>
  <c r="J176" i="2" s="1"/>
  <c r="A139" i="2"/>
  <c r="K68" i="2"/>
  <c r="L13" i="2"/>
  <c r="L12" i="2" s="1"/>
  <c r="J149" i="2"/>
  <c r="F326" i="20"/>
  <c r="F324" i="19"/>
  <c r="K95" i="2"/>
  <c r="K122" i="2" s="1"/>
  <c r="K186" i="2"/>
  <c r="A138" i="2"/>
  <c r="L68" i="2"/>
  <c r="M13" i="2"/>
  <c r="K176" i="2"/>
  <c r="K149" i="2"/>
  <c r="F327" i="20"/>
  <c r="F325" i="19"/>
  <c r="L95" i="2"/>
  <c r="L122" i="2" s="1"/>
  <c r="L186" i="2"/>
  <c r="L176" i="2" s="1"/>
  <c r="A137" i="2"/>
  <c r="L149" i="2"/>
  <c r="F328" i="20"/>
  <c r="F326" i="19"/>
  <c r="F327" i="19" s="1"/>
  <c r="F328" i="19" s="1"/>
  <c r="A136" i="2"/>
  <c r="F329" i="20"/>
  <c r="A135" i="2"/>
  <c r="F330" i="20"/>
  <c r="A134" i="2"/>
  <c r="F331" i="20"/>
  <c r="F329" i="19"/>
  <c r="A133" i="2"/>
  <c r="F332" i="20"/>
  <c r="F330" i="19"/>
  <c r="A132" i="2"/>
  <c r="F333" i="20"/>
  <c r="F331" i="19"/>
  <c r="A131" i="2"/>
  <c r="F334" i="20"/>
  <c r="F332" i="19"/>
  <c r="A130" i="2"/>
  <c r="F335" i="20"/>
  <c r="F333" i="19"/>
  <c r="A129" i="2"/>
  <c r="F336" i="20"/>
  <c r="F337" i="20" s="1"/>
  <c r="F338" i="20" s="1"/>
  <c r="F339" i="20" s="1"/>
  <c r="F334" i="19"/>
  <c r="A128" i="2"/>
  <c r="F335" i="19"/>
  <c r="A127" i="2"/>
  <c r="F336" i="19"/>
  <c r="A126" i="2"/>
  <c r="F337" i="19"/>
  <c r="A125" i="2"/>
  <c r="F340" i="20"/>
  <c r="F341" i="20" s="1"/>
  <c r="F342" i="20" s="1"/>
  <c r="F343" i="20" s="1"/>
  <c r="F344" i="20" s="1"/>
  <c r="F345" i="20" s="1"/>
  <c r="F346" i="20" s="1"/>
  <c r="F347" i="20" s="1"/>
  <c r="F348" i="20" s="1"/>
  <c r="F338" i="19"/>
  <c r="A122" i="2"/>
  <c r="B92" i="2"/>
  <c r="B173" i="2"/>
  <c r="B146" i="2"/>
  <c r="F339" i="19"/>
  <c r="A121" i="2"/>
  <c r="B228" i="2"/>
  <c r="B227" i="2" s="1"/>
  <c r="M207" i="2"/>
  <c r="M208" i="2"/>
  <c r="CV36" i="19" l="1"/>
  <c r="B255" i="2"/>
  <c r="B226" i="2"/>
  <c r="M12" i="2"/>
  <c r="M68" i="2"/>
  <c r="N13" i="2"/>
  <c r="AU255" i="2"/>
  <c r="AT171" i="2"/>
  <c r="BV255" i="2"/>
  <c r="BU90" i="2"/>
  <c r="BU171" i="2" s="1"/>
  <c r="W255" i="2"/>
  <c r="V90" i="2"/>
  <c r="V171" i="2"/>
  <c r="V257" i="2"/>
  <c r="U92" i="2"/>
  <c r="U173" i="2" s="1"/>
  <c r="W257" i="2"/>
  <c r="V92" i="2"/>
  <c r="V173" i="2" s="1"/>
  <c r="CS65" i="2"/>
  <c r="CS64" i="2"/>
  <c r="CS91" i="2" s="1"/>
  <c r="CS172" i="2" s="1"/>
  <c r="CS63" i="2"/>
  <c r="CS90" i="2" s="1"/>
  <c r="CS171" i="2" s="1"/>
  <c r="BT256" i="2"/>
  <c r="BS91" i="2"/>
  <c r="BS172" i="2" s="1"/>
  <c r="AM256" i="2"/>
  <c r="AL172" i="2"/>
  <c r="E91" i="2"/>
  <c r="E172" i="2" s="1"/>
  <c r="F256" i="2"/>
  <c r="CT62" i="2"/>
  <c r="M62" i="2" s="1"/>
  <c r="B61" i="2"/>
  <c r="AW62" i="2"/>
  <c r="AG62" i="2"/>
  <c r="AO62" i="2"/>
  <c r="BZ62" i="2"/>
  <c r="CA62" i="2"/>
  <c r="BU62" i="2"/>
  <c r="BW62" i="2"/>
  <c r="CO62" i="2"/>
  <c r="U62" i="2"/>
  <c r="CE62" i="2"/>
  <c r="T62" i="2"/>
  <c r="V62" i="2"/>
  <c r="BD62" i="2"/>
  <c r="Y62" i="2"/>
  <c r="AE62" i="2"/>
  <c r="AC62" i="2"/>
  <c r="CM62" i="2"/>
  <c r="AK62" i="2"/>
  <c r="BF62" i="2"/>
  <c r="N62" i="2"/>
  <c r="CL62" i="2"/>
  <c r="CJ62" i="2"/>
  <c r="F62" i="2"/>
  <c r="F89" i="2" s="1"/>
  <c r="F170" i="2" s="1"/>
  <c r="BB62" i="2"/>
  <c r="G62" i="2"/>
  <c r="CH62" i="2"/>
  <c r="BH62" i="2"/>
  <c r="CQ62" i="2"/>
  <c r="BT62" i="2"/>
  <c r="AJ62" i="2"/>
  <c r="AL62" i="2"/>
  <c r="AM62" i="2"/>
  <c r="J62" i="2"/>
  <c r="BP62" i="2"/>
  <c r="K62" i="2"/>
  <c r="BX62" i="2"/>
  <c r="BM257" i="2"/>
  <c r="BL92" i="2"/>
  <c r="BL173" i="2" s="1"/>
  <c r="CB256" i="2"/>
  <c r="CA91" i="2"/>
  <c r="CA172" i="2" s="1"/>
  <c r="AU256" i="2"/>
  <c r="AT91" i="2"/>
  <c r="AT172" i="2" s="1"/>
  <c r="N256" i="2"/>
  <c r="M172" i="2"/>
  <c r="BZ257" i="2"/>
  <c r="BY92" i="2"/>
  <c r="BY173" i="2" s="1"/>
  <c r="AS257" i="2"/>
  <c r="AR92" i="2"/>
  <c r="AR173" i="2" s="1"/>
  <c r="L257" i="2"/>
  <c r="K92" i="2"/>
  <c r="K173" i="2" s="1"/>
  <c r="BX256" i="2"/>
  <c r="BW91" i="2"/>
  <c r="BW172" i="2" s="1"/>
  <c r="J256" i="2"/>
  <c r="I172" i="2"/>
  <c r="BV257" i="2"/>
  <c r="BU92" i="2"/>
  <c r="BU173" i="2" s="1"/>
  <c r="AO257" i="2"/>
  <c r="AN173" i="2"/>
  <c r="H257" i="2"/>
  <c r="G92" i="2"/>
  <c r="G173" i="2" s="1"/>
  <c r="AJ256" i="2"/>
  <c r="AI91" i="2"/>
  <c r="AI172" i="2" s="1"/>
  <c r="CM12" i="19"/>
  <c r="BN12" i="19"/>
  <c r="BA12" i="19"/>
  <c r="BX12" i="19"/>
  <c r="BZ12" i="19"/>
  <c r="BY12" i="19"/>
  <c r="BC12" i="19"/>
  <c r="CK12" i="19"/>
  <c r="CP12" i="19"/>
  <c r="CN12" i="19"/>
  <c r="AS12" i="19"/>
  <c r="AW12" i="19"/>
  <c r="BQ12" i="19"/>
  <c r="BP12" i="19"/>
  <c r="AT12" i="19"/>
  <c r="CC12" i="19"/>
  <c r="AO12" i="19"/>
  <c r="CD12" i="19"/>
  <c r="CJ12" i="19"/>
  <c r="AZ12" i="19"/>
  <c r="BH12" i="19"/>
  <c r="BG12" i="19"/>
  <c r="BU12" i="19"/>
  <c r="CO12" i="19"/>
  <c r="BK12" i="19"/>
  <c r="CA12" i="19"/>
  <c r="BO12" i="19"/>
  <c r="AY12" i="19"/>
  <c r="AX12" i="19"/>
  <c r="BM12" i="19"/>
  <c r="AV12" i="19"/>
  <c r="CL12" i="19"/>
  <c r="BR12" i="19"/>
  <c r="BD12" i="19"/>
  <c r="AQ12" i="19"/>
  <c r="AP12" i="19"/>
  <c r="CR12" i="19"/>
  <c r="BE12" i="19"/>
  <c r="CE12" i="19"/>
  <c r="CB12" i="19"/>
  <c r="BI12" i="19"/>
  <c r="BV12" i="19"/>
  <c r="C12" i="19"/>
  <c r="CG12" i="19"/>
  <c r="BW12" i="19"/>
  <c r="AU12" i="19"/>
  <c r="BS12" i="19"/>
  <c r="AR12" i="19"/>
  <c r="BT12" i="19"/>
  <c r="CQ12" i="19"/>
  <c r="BF12" i="19"/>
  <c r="D12" i="19"/>
  <c r="CI12" i="19"/>
  <c r="CH12" i="19"/>
  <c r="E12" i="19"/>
  <c r="CF12" i="19"/>
  <c r="CS12" i="19"/>
  <c r="BL12" i="19"/>
  <c r="BB12" i="19"/>
  <c r="BJ12" i="19"/>
  <c r="AQ171" i="2"/>
  <c r="CI255" i="2"/>
  <c r="CH90" i="2"/>
  <c r="CH171" i="2" s="1"/>
  <c r="AT255" i="2"/>
  <c r="AS90" i="2"/>
  <c r="AS171" i="2" s="1"/>
  <c r="AE257" i="2"/>
  <c r="AD92" i="2"/>
  <c r="AD173" i="2" s="1"/>
  <c r="H255" i="19"/>
  <c r="G90" i="19"/>
  <c r="G171" i="19" s="1"/>
  <c r="S255" i="2"/>
  <c r="R90" i="2"/>
  <c r="R171" i="2" s="1"/>
  <c r="BN255" i="2"/>
  <c r="BM90" i="2"/>
  <c r="BM171" i="2" s="1"/>
  <c r="BC255" i="2"/>
  <c r="BB171" i="2"/>
  <c r="Q255" i="2"/>
  <c r="P90" i="2"/>
  <c r="P171" i="2" s="1"/>
  <c r="BQ257" i="2"/>
  <c r="BP92" i="2"/>
  <c r="BP173" i="2"/>
  <c r="CR68" i="2"/>
  <c r="CS13" i="2"/>
  <c r="CR12" i="2"/>
  <c r="D89" i="19"/>
  <c r="D170" i="19"/>
  <c r="BE257" i="19"/>
  <c r="BD92" i="19"/>
  <c r="BD173" i="19"/>
  <c r="AZ257" i="19"/>
  <c r="AY92" i="19"/>
  <c r="AY173" i="19" s="1"/>
  <c r="S171" i="2"/>
  <c r="AY149" i="2"/>
  <c r="AY186" i="2"/>
  <c r="AY176" i="2" s="1"/>
  <c r="BG186" i="2"/>
  <c r="BG176" i="2" s="1"/>
  <c r="BG95" i="2"/>
  <c r="BG122" i="2" s="1"/>
  <c r="BO95" i="2"/>
  <c r="BO122" i="2" s="1"/>
  <c r="BO149" i="2"/>
  <c r="CE186" i="2"/>
  <c r="CE176" i="2" s="1"/>
  <c r="CE149" i="2"/>
  <c r="E89" i="19"/>
  <c r="E170" i="19"/>
  <c r="AR257" i="20"/>
  <c r="AQ173" i="20"/>
  <c r="M90" i="2"/>
  <c r="M171" i="2" s="1"/>
  <c r="S90" i="2"/>
  <c r="AF90" i="2"/>
  <c r="AF171" i="2" s="1"/>
  <c r="AH90" i="2"/>
  <c r="AH171" i="2" s="1"/>
  <c r="CP91" i="2"/>
  <c r="CP172" i="2" s="1"/>
  <c r="BA91" i="2"/>
  <c r="BA172" i="2" s="1"/>
  <c r="CJ92" i="2"/>
  <c r="CJ173" i="2" s="1"/>
  <c r="CM91" i="2"/>
  <c r="CM172" i="2" s="1"/>
  <c r="CO92" i="2"/>
  <c r="CO173" i="2" s="1"/>
  <c r="AI65" i="2"/>
  <c r="AQ95" i="2"/>
  <c r="AQ122" i="2" s="1"/>
  <c r="BO186" i="2"/>
  <c r="BO176" i="2" s="1"/>
  <c r="CG88" i="19"/>
  <c r="CG169" i="19" s="1"/>
  <c r="CH253" i="19"/>
  <c r="BZ90" i="19"/>
  <c r="BZ171" i="19" s="1"/>
  <c r="AZ254" i="19"/>
  <c r="AY89" i="19"/>
  <c r="AY170" i="19" s="1"/>
  <c r="CO255" i="19"/>
  <c r="CN90" i="19"/>
  <c r="CN171" i="19" s="1"/>
  <c r="L254" i="19"/>
  <c r="K89" i="19"/>
  <c r="K170" i="19" s="1"/>
  <c r="AQ254" i="19"/>
  <c r="AP89" i="19"/>
  <c r="AP170" i="19" s="1"/>
  <c r="B253" i="19"/>
  <c r="B224" i="19"/>
  <c r="CC256" i="19"/>
  <c r="CB91" i="19"/>
  <c r="CB172" i="19" s="1"/>
  <c r="BZ90" i="2"/>
  <c r="BZ171" i="2" s="1"/>
  <c r="AJ90" i="2"/>
  <c r="AJ171" i="2" s="1"/>
  <c r="BG90" i="2"/>
  <c r="BG171" i="2" s="1"/>
  <c r="CK90" i="2"/>
  <c r="CK171" i="2" s="1"/>
  <c r="CQ90" i="2"/>
  <c r="CQ171" i="2" s="1"/>
  <c r="CK173" i="2"/>
  <c r="Y91" i="2"/>
  <c r="Y172" i="2" s="1"/>
  <c r="AX92" i="2"/>
  <c r="AX173" i="2" s="1"/>
  <c r="AH64" i="2"/>
  <c r="J253" i="19"/>
  <c r="I88" i="19"/>
  <c r="I169" i="19" s="1"/>
  <c r="AW254" i="19"/>
  <c r="AV89" i="19"/>
  <c r="AV170" i="19"/>
  <c r="CR257" i="19"/>
  <c r="CQ92" i="19"/>
  <c r="CQ173" i="19" s="1"/>
  <c r="AZ90" i="19"/>
  <c r="AZ171" i="19" s="1"/>
  <c r="BA255" i="19"/>
  <c r="CA90" i="2"/>
  <c r="CA171" i="2" s="1"/>
  <c r="AL90" i="2"/>
  <c r="AL171" i="2" s="1"/>
  <c r="BR171" i="2"/>
  <c r="BL90" i="2"/>
  <c r="BL171" i="2" s="1"/>
  <c r="Q92" i="2"/>
  <c r="Q173" i="2" s="1"/>
  <c r="CK92" i="2"/>
  <c r="AA92" i="2"/>
  <c r="AA173" i="2" s="1"/>
  <c r="CE172" i="2"/>
  <c r="AL65" i="2"/>
  <c r="AJ64" i="2"/>
  <c r="R64" i="2"/>
  <c r="AG64" i="2"/>
  <c r="BG149" i="2"/>
  <c r="AY95" i="2"/>
  <c r="AY122" i="2" s="1"/>
  <c r="BK253" i="19"/>
  <c r="BJ88" i="19"/>
  <c r="BJ169" i="19" s="1"/>
  <c r="BQ256" i="19"/>
  <c r="BP172" i="19"/>
  <c r="F257" i="19"/>
  <c r="E92" i="19"/>
  <c r="E173" i="19" s="1"/>
  <c r="E257" i="20"/>
  <c r="D92" i="20"/>
  <c r="D173" i="20" s="1"/>
  <c r="AX252" i="19"/>
  <c r="AW87" i="19"/>
  <c r="AW168" i="19" s="1"/>
  <c r="BQ254" i="19"/>
  <c r="BP89" i="19"/>
  <c r="BP170" i="19" s="1"/>
  <c r="BJ90" i="2"/>
  <c r="BJ171" i="2" s="1"/>
  <c r="BP253" i="19"/>
  <c r="BO88" i="19"/>
  <c r="BO169" i="19" s="1"/>
  <c r="BA254" i="19"/>
  <c r="AZ89" i="19"/>
  <c r="AZ170" i="19" s="1"/>
  <c r="CB255" i="19"/>
  <c r="CA90" i="19"/>
  <c r="CA171" i="19" s="1"/>
  <c r="CW22" i="19" a="1"/>
  <c r="CW22" i="19" s="1"/>
  <c r="CU22" i="19"/>
  <c r="CT22" i="19"/>
  <c r="CV22" i="19" s="1"/>
  <c r="CT37" i="19"/>
  <c r="D229" i="19" s="1"/>
  <c r="CW37" i="19" a="1"/>
  <c r="CW37" i="19" s="1"/>
  <c r="CD252" i="19"/>
  <c r="CC87" i="19"/>
  <c r="CC168" i="19" s="1"/>
  <c r="BU253" i="19"/>
  <c r="BT169" i="19"/>
  <c r="G89" i="19"/>
  <c r="G170" i="19" s="1"/>
  <c r="H254" i="19"/>
  <c r="BS256" i="19"/>
  <c r="BR172" i="19"/>
  <c r="BX256" i="19"/>
  <c r="BW91" i="19"/>
  <c r="BW172" i="19" s="1"/>
  <c r="BD87" i="19"/>
  <c r="BD168" i="19" s="1"/>
  <c r="BE252" i="19"/>
  <c r="CQ61" i="19"/>
  <c r="H61" i="19"/>
  <c r="BW61" i="19"/>
  <c r="BX253" i="19" s="1"/>
  <c r="C61" i="19"/>
  <c r="CD61" i="19"/>
  <c r="CL61" i="19"/>
  <c r="AZ169" i="19"/>
  <c r="BK88" i="19"/>
  <c r="BK169" i="19" s="1"/>
  <c r="AY88" i="19"/>
  <c r="AY169" i="19" s="1"/>
  <c r="BN60" i="19"/>
  <c r="BG61" i="19"/>
  <c r="CC61" i="19"/>
  <c r="BH61" i="19"/>
  <c r="AU61" i="19"/>
  <c r="L89" i="19"/>
  <c r="L170" i="19" s="1"/>
  <c r="BN61" i="19"/>
  <c r="AO61" i="19"/>
  <c r="CN61" i="19"/>
  <c r="CS170" i="19"/>
  <c r="BN89" i="19"/>
  <c r="BN170" i="19" s="1"/>
  <c r="CQ62" i="19"/>
  <c r="BE62" i="19"/>
  <c r="BL62" i="19"/>
  <c r="BA12" i="20"/>
  <c r="CK12" i="20"/>
  <c r="BV12" i="20"/>
  <c r="CL12" i="20"/>
  <c r="AV12" i="20"/>
  <c r="AY12" i="20"/>
  <c r="BN12" i="20"/>
  <c r="CD12" i="20"/>
  <c r="CA12" i="20"/>
  <c r="BK12" i="20"/>
  <c r="CS41" i="20"/>
  <c r="CS65" i="20" s="1"/>
  <c r="CS92" i="20" s="1"/>
  <c r="CS173" i="20" s="1"/>
  <c r="CR65" i="20"/>
  <c r="CN89" i="19"/>
  <c r="CN170" i="19" s="1"/>
  <c r="CO254" i="19"/>
  <c r="CJ91" i="19"/>
  <c r="CJ172" i="19" s="1"/>
  <c r="CK256" i="19"/>
  <c r="A92" i="20"/>
  <c r="A257" i="20"/>
  <c r="CQ95" i="19"/>
  <c r="CQ122" i="19" s="1"/>
  <c r="CQ186" i="19"/>
  <c r="CQ176" i="19" s="1"/>
  <c r="B63" i="20"/>
  <c r="B118" i="20"/>
  <c r="CT64" i="20"/>
  <c r="I64" i="20" s="1"/>
  <c r="CK64" i="20"/>
  <c r="BQ64" i="20"/>
  <c r="AV149" i="20"/>
  <c r="AV95" i="20"/>
  <c r="AV122" i="20" s="1"/>
  <c r="AV186" i="20"/>
  <c r="AV176" i="20" s="1"/>
  <c r="BD186" i="20"/>
  <c r="BD176" i="20" s="1"/>
  <c r="BD149" i="20"/>
  <c r="BD95" i="20"/>
  <c r="BD122" i="20" s="1"/>
  <c r="BL186" i="20"/>
  <c r="BL176" i="20" s="1"/>
  <c r="BL149" i="20"/>
  <c r="BL95" i="20"/>
  <c r="BL122" i="20" s="1"/>
  <c r="BT186" i="20"/>
  <c r="BT176" i="20" s="1"/>
  <c r="BT149" i="20"/>
  <c r="CB186" i="20"/>
  <c r="CB176" i="20" s="1"/>
  <c r="CB149" i="20"/>
  <c r="CB95" i="20"/>
  <c r="CB122" i="20" s="1"/>
  <c r="CJ186" i="20"/>
  <c r="CJ176" i="20" s="1"/>
  <c r="CJ149" i="20"/>
  <c r="CJ95" i="20"/>
  <c r="CJ122" i="20" s="1"/>
  <c r="CQ87" i="19"/>
  <c r="CQ168" i="19" s="1"/>
  <c r="CR252" i="19"/>
  <c r="CN87" i="19"/>
  <c r="CN168" i="19" s="1"/>
  <c r="CO252" i="19"/>
  <c r="BP88" i="19"/>
  <c r="BP169" i="19" s="1"/>
  <c r="BQ253" i="19"/>
  <c r="BA88" i="19"/>
  <c r="BA169" i="19" s="1"/>
  <c r="BB253" i="19"/>
  <c r="B254" i="20"/>
  <c r="B225" i="20"/>
  <c r="AT257" i="20"/>
  <c r="AS92" i="20"/>
  <c r="AS173" i="20" s="1"/>
  <c r="CL186" i="19"/>
  <c r="CL176" i="19" s="1"/>
  <c r="CL149" i="19"/>
  <c r="CL95" i="19"/>
  <c r="CL122" i="19" s="1"/>
  <c r="CH87" i="19"/>
  <c r="CH168" i="19" s="1"/>
  <c r="CB88" i="19"/>
  <c r="CB169" i="19" s="1"/>
  <c r="K88" i="19"/>
  <c r="K169" i="19" s="1"/>
  <c r="BY60" i="19"/>
  <c r="AR60" i="19"/>
  <c r="AR61" i="19"/>
  <c r="AW170" i="19"/>
  <c r="CI61" i="19"/>
  <c r="BS61" i="19"/>
  <c r="BC61" i="19"/>
  <c r="BJ89" i="19"/>
  <c r="BJ170" i="19" s="1"/>
  <c r="AX170" i="19"/>
  <c r="BV171" i="19"/>
  <c r="CH62" i="19"/>
  <c r="BR62" i="19"/>
  <c r="AQ186" i="19"/>
  <c r="AQ176" i="19" s="1"/>
  <c r="AQ149" i="19"/>
  <c r="AQ95" i="19"/>
  <c r="AQ122" i="19" s="1"/>
  <c r="BR87" i="19"/>
  <c r="BR168" i="19" s="1"/>
  <c r="BS252" i="19"/>
  <c r="CR88" i="19"/>
  <c r="CR169" i="19" s="1"/>
  <c r="CS253" i="19"/>
  <c r="BW89" i="19"/>
  <c r="BW170" i="19" s="1"/>
  <c r="BX254" i="19"/>
  <c r="BC90" i="19"/>
  <c r="BC171" i="19" s="1"/>
  <c r="BD255" i="19"/>
  <c r="A36" i="19"/>
  <c r="B91" i="19"/>
  <c r="B35" i="19"/>
  <c r="AV87" i="19"/>
  <c r="AV168" i="19" s="1"/>
  <c r="AW252" i="19"/>
  <c r="BI88" i="19"/>
  <c r="BI169" i="19" s="1"/>
  <c r="BJ253" i="19"/>
  <c r="CE88" i="19"/>
  <c r="CE169" i="19" s="1"/>
  <c r="CF253" i="19"/>
  <c r="CE90" i="19"/>
  <c r="CE171" i="19" s="1"/>
  <c r="CF255" i="19"/>
  <c r="A228" i="20"/>
  <c r="A91" i="20"/>
  <c r="CE64" i="19"/>
  <c r="BH64" i="19"/>
  <c r="CL64" i="19"/>
  <c r="F349" i="20"/>
  <c r="F340" i="19"/>
  <c r="AH92" i="2"/>
  <c r="AH173" i="2" s="1"/>
  <c r="BT92" i="2"/>
  <c r="BT173" i="2" s="1"/>
  <c r="AX91" i="2"/>
  <c r="AX172" i="2" s="1"/>
  <c r="AF91" i="2"/>
  <c r="AF172" i="2" s="1"/>
  <c r="CD90" i="2"/>
  <c r="CD171" i="2" s="1"/>
  <c r="N90" i="2"/>
  <c r="N171" i="2" s="1"/>
  <c r="CI90" i="2"/>
  <c r="CI171" i="2" s="1"/>
  <c r="Z90" i="2"/>
  <c r="Z171" i="2" s="1"/>
  <c r="AM92" i="2"/>
  <c r="AM173" i="2" s="1"/>
  <c r="CL92" i="2"/>
  <c r="CL173" i="2" s="1"/>
  <c r="AQ91" i="2"/>
  <c r="AQ172" i="2" s="1"/>
  <c r="BV92" i="2"/>
  <c r="BV173" i="2" s="1"/>
  <c r="AF92" i="2"/>
  <c r="AF173" i="2" s="1"/>
  <c r="CI87" i="19"/>
  <c r="CI168" i="19" s="1"/>
  <c r="BF87" i="19"/>
  <c r="BF168" i="19" s="1"/>
  <c r="CA87" i="19"/>
  <c r="CA168" i="19" s="1"/>
  <c r="B36" i="2"/>
  <c r="A37" i="2"/>
  <c r="CP60" i="19"/>
  <c r="CQ252" i="19" s="1"/>
  <c r="BU60" i="19"/>
  <c r="BV252" i="19" s="1"/>
  <c r="BS60" i="19"/>
  <c r="BT252" i="19" s="1"/>
  <c r="BG60" i="19"/>
  <c r="BH252" i="19" s="1"/>
  <c r="CM60" i="19"/>
  <c r="CN252" i="19" s="1"/>
  <c r="CO60" i="19"/>
  <c r="CP252" i="19" s="1"/>
  <c r="CK60" i="19"/>
  <c r="CL252" i="19" s="1"/>
  <c r="BZ60" i="19"/>
  <c r="CA252" i="19" s="1"/>
  <c r="K60" i="19"/>
  <c r="L252" i="19" s="1"/>
  <c r="BI60" i="19"/>
  <c r="BJ252" i="19" s="1"/>
  <c r="AU60" i="19"/>
  <c r="AV252" i="19" s="1"/>
  <c r="CR60" i="19"/>
  <c r="CS252" i="19" s="1"/>
  <c r="M60" i="19"/>
  <c r="N252" i="19" s="1"/>
  <c r="E60" i="19"/>
  <c r="CL60" i="19"/>
  <c r="CM252" i="19" s="1"/>
  <c r="I60" i="19"/>
  <c r="J252" i="19" s="1"/>
  <c r="L60" i="19"/>
  <c r="M252" i="19" s="1"/>
  <c r="BP60" i="19"/>
  <c r="BQ252" i="19" s="1"/>
  <c r="BW88" i="19"/>
  <c r="BW169" i="19" s="1"/>
  <c r="BH60" i="19"/>
  <c r="BI252" i="19" s="1"/>
  <c r="J60" i="19"/>
  <c r="K252" i="19" s="1"/>
  <c r="AO60" i="19"/>
  <c r="AP252" i="19" s="1"/>
  <c r="CJ60" i="19"/>
  <c r="CK252" i="19" s="1"/>
  <c r="BO60" i="19"/>
  <c r="BP252" i="19" s="1"/>
  <c r="AS60" i="19"/>
  <c r="AT252" i="19" s="1"/>
  <c r="CF60" i="19"/>
  <c r="CG252" i="19" s="1"/>
  <c r="AT60" i="19"/>
  <c r="AU252" i="19" s="1"/>
  <c r="BB60" i="19"/>
  <c r="BC252" i="19" s="1"/>
  <c r="D60" i="19"/>
  <c r="AQ60" i="19"/>
  <c r="AR252" i="19" s="1"/>
  <c r="CS60" i="19"/>
  <c r="CS87" i="19" s="1"/>
  <c r="CS168" i="19" s="1"/>
  <c r="C60" i="19"/>
  <c r="BE60" i="19"/>
  <c r="BF252" i="19" s="1"/>
  <c r="F60" i="19"/>
  <c r="CH61" i="19"/>
  <c r="CI253" i="19" s="1"/>
  <c r="AT61" i="19"/>
  <c r="AU253" i="19" s="1"/>
  <c r="E61" i="19"/>
  <c r="AW61" i="19"/>
  <c r="AX253" i="19" s="1"/>
  <c r="CO61" i="19"/>
  <c r="CP253" i="19" s="1"/>
  <c r="CS61" i="19"/>
  <c r="CS88" i="19" s="1"/>
  <c r="CS169" i="19" s="1"/>
  <c r="AS61" i="19"/>
  <c r="AT253" i="19" s="1"/>
  <c r="BU61" i="19"/>
  <c r="BV253" i="19" s="1"/>
  <c r="CD60" i="19"/>
  <c r="CE252" i="19" s="1"/>
  <c r="AY60" i="19"/>
  <c r="AZ252" i="19" s="1"/>
  <c r="D61" i="19"/>
  <c r="BQ61" i="19"/>
  <c r="BR253" i="19" s="1"/>
  <c r="B59" i="19"/>
  <c r="AV61" i="19"/>
  <c r="AW253" i="19" s="1"/>
  <c r="J61" i="19"/>
  <c r="K253" i="19" s="1"/>
  <c r="BX61" i="19"/>
  <c r="BY253" i="19" s="1"/>
  <c r="CJ61" i="19"/>
  <c r="CK253" i="19" s="1"/>
  <c r="CP61" i="19"/>
  <c r="CQ253" i="19" s="1"/>
  <c r="AQ61" i="19"/>
  <c r="AR253" i="19" s="1"/>
  <c r="M61" i="19"/>
  <c r="N253" i="19" s="1"/>
  <c r="G61" i="19"/>
  <c r="H90" i="19"/>
  <c r="H171" i="19" s="1"/>
  <c r="A228" i="19"/>
  <c r="A91" i="19"/>
  <c r="A256" i="19"/>
  <c r="CL62" i="19"/>
  <c r="CM254" i="19" s="1"/>
  <c r="CP62" i="19"/>
  <c r="CQ254" i="19" s="1"/>
  <c r="AR62" i="19"/>
  <c r="AS254" i="19" s="1"/>
  <c r="CA62" i="19"/>
  <c r="CB254" i="19" s="1"/>
  <c r="BO62" i="19"/>
  <c r="BP254" i="19" s="1"/>
  <c r="BA62" i="19"/>
  <c r="BB254" i="19" s="1"/>
  <c r="BA63" i="19"/>
  <c r="BB255" i="19" s="1"/>
  <c r="I63" i="19"/>
  <c r="J255" i="19" s="1"/>
  <c r="AO63" i="19"/>
  <c r="AP255" i="19" s="1"/>
  <c r="AQ63" i="19"/>
  <c r="AR255" i="19" s="1"/>
  <c r="CD63" i="19"/>
  <c r="CE255" i="19" s="1"/>
  <c r="BX63" i="19"/>
  <c r="BY255" i="19" s="1"/>
  <c r="CP63" i="19"/>
  <c r="CQ255" i="19" s="1"/>
  <c r="BK63" i="19"/>
  <c r="BL255" i="19" s="1"/>
  <c r="BR63" i="19"/>
  <c r="BS255" i="19" s="1"/>
  <c r="D63" i="19"/>
  <c r="BN63" i="19"/>
  <c r="BO255" i="19" s="1"/>
  <c r="CF63" i="19"/>
  <c r="CG255" i="19" s="1"/>
  <c r="AU63" i="19"/>
  <c r="AV255" i="19" s="1"/>
  <c r="BD63" i="19"/>
  <c r="BE255" i="19" s="1"/>
  <c r="AR63" i="19"/>
  <c r="AS255" i="19" s="1"/>
  <c r="BJ63" i="19"/>
  <c r="BK255" i="19" s="1"/>
  <c r="CK63" i="19"/>
  <c r="CL255" i="19" s="1"/>
  <c r="CO63" i="19"/>
  <c r="CP255" i="19" s="1"/>
  <c r="CB63" i="19"/>
  <c r="CC255" i="19" s="1"/>
  <c r="CG63" i="19"/>
  <c r="CH255" i="19" s="1"/>
  <c r="J63" i="19"/>
  <c r="K255" i="19" s="1"/>
  <c r="BM63" i="19"/>
  <c r="BN255" i="19" s="1"/>
  <c r="BT63" i="19"/>
  <c r="BU255" i="19" s="1"/>
  <c r="M63" i="19"/>
  <c r="N255" i="19" s="1"/>
  <c r="BW63" i="19"/>
  <c r="BX255" i="19" s="1"/>
  <c r="AS63" i="19"/>
  <c r="AT255" i="19" s="1"/>
  <c r="E68" i="19"/>
  <c r="F13" i="19"/>
  <c r="M41" i="20"/>
  <c r="L64" i="20"/>
  <c r="M256" i="20" s="1"/>
  <c r="CM63" i="19"/>
  <c r="CN255" i="19" s="1"/>
  <c r="BI63" i="19"/>
  <c r="BJ255" i="19" s="1"/>
  <c r="AX149" i="19"/>
  <c r="AX186" i="19"/>
  <c r="AX176" i="19" s="1"/>
  <c r="BF186" i="19"/>
  <c r="BF176" i="19" s="1"/>
  <c r="BF149" i="19"/>
  <c r="BF95" i="19"/>
  <c r="BF122" i="19" s="1"/>
  <c r="BN186" i="19"/>
  <c r="BN176" i="19" s="1"/>
  <c r="BN95" i="19"/>
  <c r="BN122" i="19" s="1"/>
  <c r="BV95" i="19"/>
  <c r="BV122" i="19" s="1"/>
  <c r="BV186" i="19"/>
  <c r="BV176" i="19" s="1"/>
  <c r="CD149" i="19"/>
  <c r="CD95" i="19"/>
  <c r="CD122" i="19" s="1"/>
  <c r="N41" i="19"/>
  <c r="N63" i="19" s="1"/>
  <c r="O255" i="19" s="1"/>
  <c r="M65" i="19"/>
  <c r="N257" i="19" s="1"/>
  <c r="M64" i="19"/>
  <c r="N256" i="19" s="1"/>
  <c r="CF64" i="19"/>
  <c r="CG256" i="19" s="1"/>
  <c r="CH64" i="19"/>
  <c r="CI256" i="19" s="1"/>
  <c r="BU64" i="20"/>
  <c r="BV256" i="20" s="1"/>
  <c r="BS12" i="20"/>
  <c r="AR12" i="20"/>
  <c r="CG12" i="20"/>
  <c r="BE12" i="20"/>
  <c r="AP12" i="20"/>
  <c r="BM12" i="20"/>
  <c r="CO12" i="20"/>
  <c r="BC12" i="20"/>
  <c r="BJ12" i="20"/>
  <c r="BY12" i="20"/>
  <c r="CH12" i="20"/>
  <c r="AO12" i="20"/>
  <c r="BH12" i="20"/>
  <c r="BD12" i="20"/>
  <c r="AQ12" i="20"/>
  <c r="AU12" i="20"/>
  <c r="BU12" i="20"/>
  <c r="CJ12" i="20"/>
  <c r="AW12" i="20"/>
  <c r="AX12" i="20"/>
  <c r="BR12" i="20"/>
  <c r="AT12" i="20"/>
  <c r="AZ12" i="20"/>
  <c r="CM12" i="20"/>
  <c r="CF12" i="20"/>
  <c r="AS12" i="20"/>
  <c r="BF12" i="20"/>
  <c r="BG12" i="20"/>
  <c r="CC12" i="20"/>
  <c r="BI12" i="20"/>
  <c r="CE12" i="20"/>
  <c r="CP12" i="20"/>
  <c r="BB12" i="20"/>
  <c r="BP12" i="20"/>
  <c r="BQ12" i="20"/>
  <c r="CN12" i="20"/>
  <c r="C12" i="20"/>
  <c r="BT12" i="20"/>
  <c r="CI12" i="20"/>
  <c r="BW12" i="20"/>
  <c r="BL12" i="20"/>
  <c r="BX12" i="20"/>
  <c r="BZ12" i="20"/>
  <c r="CB12" i="20"/>
  <c r="D64" i="19"/>
  <c r="BT64" i="19"/>
  <c r="BU256" i="19" s="1"/>
  <c r="CN64" i="20"/>
  <c r="CO256" i="20" s="1"/>
  <c r="CH64" i="20"/>
  <c r="CI256" i="20" s="1"/>
  <c r="H64" i="20"/>
  <c r="I256" i="20" s="1"/>
  <c r="AU64" i="20"/>
  <c r="AV256" i="20" s="1"/>
  <c r="BE64" i="20"/>
  <c r="BF256" i="20" s="1"/>
  <c r="AX64" i="20"/>
  <c r="AY256" i="20" s="1"/>
  <c r="BO64" i="20"/>
  <c r="BP256" i="20" s="1"/>
  <c r="BH64" i="20"/>
  <c r="BI256" i="20" s="1"/>
  <c r="D68" i="20"/>
  <c r="D12" i="20"/>
  <c r="E13" i="20"/>
  <c r="AU186" i="20"/>
  <c r="AU176" i="20" s="1"/>
  <c r="AU149" i="20"/>
  <c r="BC149" i="20"/>
  <c r="BC95" i="20"/>
  <c r="BC122" i="20" s="1"/>
  <c r="BK149" i="20"/>
  <c r="BK186" i="20"/>
  <c r="BK176" i="20" s="1"/>
  <c r="BS186" i="20"/>
  <c r="BS176" i="20" s="1"/>
  <c r="BS149" i="20"/>
  <c r="BS95" i="20"/>
  <c r="BS122" i="20" s="1"/>
  <c r="CA186" i="20"/>
  <c r="CA176" i="20" s="1"/>
  <c r="CA149" i="20"/>
  <c r="CA95" i="20"/>
  <c r="CA122" i="20" s="1"/>
  <c r="CI95" i="20"/>
  <c r="CI122" i="20" s="1"/>
  <c r="CI186" i="20"/>
  <c r="CI176" i="20" s="1"/>
  <c r="CQ68" i="20"/>
  <c r="CR13" i="20"/>
  <c r="CQ12" i="20"/>
  <c r="B91" i="20"/>
  <c r="B35" i="20"/>
  <c r="B172" i="20"/>
  <c r="B145" i="20" s="1"/>
  <c r="L65" i="20"/>
  <c r="M257" i="20" s="1"/>
  <c r="AZ65" i="20"/>
  <c r="BA257" i="20" s="1"/>
  <c r="B34" i="19"/>
  <c r="CG65" i="20"/>
  <c r="CH257" i="20" s="1"/>
  <c r="BX65" i="20"/>
  <c r="BY257" i="20" s="1"/>
  <c r="CV37" i="19" l="1"/>
  <c r="J256" i="20"/>
  <c r="I91" i="20"/>
  <c r="I172" i="20" s="1"/>
  <c r="N254" i="2"/>
  <c r="M89" i="2"/>
  <c r="M170" i="2" s="1"/>
  <c r="CM256" i="19"/>
  <c r="CL91" i="19"/>
  <c r="CL172" i="19" s="1"/>
  <c r="B253" i="20"/>
  <c r="B326" i="20" s="1"/>
  <c r="B224" i="20"/>
  <c r="BW64" i="20"/>
  <c r="CQ64" i="20"/>
  <c r="F64" i="20"/>
  <c r="BB64" i="20"/>
  <c r="CG64" i="20"/>
  <c r="BN64" i="20"/>
  <c r="B62" i="20"/>
  <c r="BM63" i="20"/>
  <c r="AO63" i="20"/>
  <c r="J63" i="20"/>
  <c r="BT63" i="20"/>
  <c r="CE63" i="20"/>
  <c r="AV63" i="20"/>
  <c r="BO63" i="20"/>
  <c r="CF63" i="20"/>
  <c r="BH63" i="20"/>
  <c r="AU63" i="20"/>
  <c r="B117" i="20"/>
  <c r="CJ63" i="20"/>
  <c r="BV63" i="20"/>
  <c r="F63" i="20"/>
  <c r="BP63" i="20"/>
  <c r="AP63" i="20"/>
  <c r="CT63" i="20"/>
  <c r="L63" i="20" s="1"/>
  <c r="M255" i="20" s="1"/>
  <c r="BR63" i="20"/>
  <c r="CR254" i="19"/>
  <c r="CQ89" i="19"/>
  <c r="CQ170" i="19"/>
  <c r="BH88" i="19"/>
  <c r="BH169" i="19" s="1"/>
  <c r="BI253" i="19"/>
  <c r="CM253" i="19"/>
  <c r="CL88" i="19"/>
  <c r="CL169" i="19" s="1"/>
  <c r="AH256" i="2"/>
  <c r="AG91" i="2"/>
  <c r="AG172" i="2" s="1"/>
  <c r="K254" i="2"/>
  <c r="J89" i="2"/>
  <c r="J170" i="2" s="1"/>
  <c r="BI254" i="2"/>
  <c r="BH89" i="2"/>
  <c r="BH170" i="2" s="1"/>
  <c r="CM254" i="2"/>
  <c r="CL89" i="2"/>
  <c r="CL170" i="2"/>
  <c r="AF254" i="2"/>
  <c r="AE89" i="2"/>
  <c r="AE170" i="2" s="1"/>
  <c r="V254" i="2"/>
  <c r="U89" i="2"/>
  <c r="U170" i="2" s="1"/>
  <c r="AP254" i="2"/>
  <c r="AO89" i="2"/>
  <c r="AO170" i="2" s="1"/>
  <c r="BI256" i="19"/>
  <c r="BH91" i="19"/>
  <c r="BH172" i="19" s="1"/>
  <c r="BD253" i="19"/>
  <c r="BC88" i="19"/>
  <c r="BC169" i="19" s="1"/>
  <c r="B327" i="20"/>
  <c r="AT64" i="20"/>
  <c r="BT64" i="20"/>
  <c r="CE64" i="20"/>
  <c r="BK64" i="20"/>
  <c r="AO64" i="20"/>
  <c r="CS257" i="20"/>
  <c r="CR92" i="20"/>
  <c r="CR173" i="20" s="1"/>
  <c r="CD253" i="19"/>
  <c r="CC88" i="19"/>
  <c r="CC169" i="19" s="1"/>
  <c r="CE253" i="19"/>
  <c r="CD88" i="19"/>
  <c r="CD169" i="19" s="1"/>
  <c r="S256" i="2"/>
  <c r="R172" i="2"/>
  <c r="R91" i="2"/>
  <c r="AN254" i="2"/>
  <c r="AM89" i="2"/>
  <c r="AM170" i="2" s="1"/>
  <c r="CI254" i="2"/>
  <c r="CH89" i="2"/>
  <c r="CH170" i="2" s="1"/>
  <c r="O254" i="2"/>
  <c r="N89" i="2"/>
  <c r="N170" i="2"/>
  <c r="Z254" i="2"/>
  <c r="Y170" i="2"/>
  <c r="Y89" i="2"/>
  <c r="CP254" i="2"/>
  <c r="CO89" i="2"/>
  <c r="CO170" i="2"/>
  <c r="AH254" i="2"/>
  <c r="AG89" i="2"/>
  <c r="AG170" i="2" s="1"/>
  <c r="BT253" i="19"/>
  <c r="BS88" i="19"/>
  <c r="BS169" i="19" s="1"/>
  <c r="BR256" i="20"/>
  <c r="BQ91" i="20"/>
  <c r="BQ172" i="20" s="1"/>
  <c r="CL256" i="20"/>
  <c r="CK91" i="20"/>
  <c r="CK172" i="20"/>
  <c r="C64" i="20"/>
  <c r="C256" i="20" s="1"/>
  <c r="AZ64" i="20"/>
  <c r="G64" i="20"/>
  <c r="CP64" i="20"/>
  <c r="BX64" i="20"/>
  <c r="BA64" i="20"/>
  <c r="BM64" i="20"/>
  <c r="AY64" i="20"/>
  <c r="CL64" i="20"/>
  <c r="BH253" i="19"/>
  <c r="BG88" i="19"/>
  <c r="BG169" i="19" s="1"/>
  <c r="AK256" i="2"/>
  <c r="AJ91" i="2"/>
  <c r="AJ172" i="2" s="1"/>
  <c r="CS68" i="2"/>
  <c r="CX36" i="2"/>
  <c r="CW36" i="2" s="1" a="1"/>
  <c r="CW36" i="2" s="1"/>
  <c r="CS12" i="2"/>
  <c r="CX37" i="2"/>
  <c r="CX35" i="2"/>
  <c r="CW35" i="2" s="1" a="1"/>
  <c r="CW35" i="2" s="1"/>
  <c r="CX32" i="2"/>
  <c r="CW32" i="2" s="1" a="1"/>
  <c r="CW32" i="2" s="1"/>
  <c r="CX33" i="2"/>
  <c r="CW33" i="2" s="1" a="1"/>
  <c r="CW33" i="2" s="1"/>
  <c r="CX31" i="2"/>
  <c r="CW31" i="2" s="1" a="1"/>
  <c r="CW31" i="2" s="1"/>
  <c r="CX28" i="2"/>
  <c r="CW28" i="2" s="1" a="1"/>
  <c r="CW28" i="2" s="1"/>
  <c r="CX29" i="2"/>
  <c r="CW29" i="2" s="1" a="1"/>
  <c r="CW29" i="2" s="1"/>
  <c r="CX30" i="2"/>
  <c r="CW30" i="2" s="1" a="1"/>
  <c r="CW30" i="2" s="1"/>
  <c r="CX27" i="2"/>
  <c r="CX34" i="2"/>
  <c r="CW34" i="2" s="1" a="1"/>
  <c r="CW34" i="2" s="1"/>
  <c r="CX16" i="2"/>
  <c r="CX24" i="2"/>
  <c r="CX21" i="2"/>
  <c r="CX19" i="2"/>
  <c r="CX17" i="2"/>
  <c r="CX22" i="2"/>
  <c r="CX15" i="2"/>
  <c r="CX25" i="2"/>
  <c r="CX23" i="2"/>
  <c r="CX18" i="2"/>
  <c r="CX14" i="2"/>
  <c r="CX20" i="2"/>
  <c r="CX26" i="2"/>
  <c r="AM254" i="2"/>
  <c r="AL89" i="2"/>
  <c r="AL170" i="2"/>
  <c r="H254" i="2"/>
  <c r="G89" i="2"/>
  <c r="G170" i="2" s="1"/>
  <c r="BG254" i="2"/>
  <c r="BF89" i="2"/>
  <c r="BF170" i="2"/>
  <c r="BE254" i="2"/>
  <c r="BD89" i="2"/>
  <c r="BD170" i="2" s="1"/>
  <c r="BX254" i="2"/>
  <c r="BW89" i="2"/>
  <c r="BW170" i="2"/>
  <c r="AX254" i="2"/>
  <c r="AW89" i="2"/>
  <c r="AW170" i="2" s="1"/>
  <c r="CF256" i="19"/>
  <c r="CE91" i="19"/>
  <c r="CE172" i="19" s="1"/>
  <c r="CJ253" i="19"/>
  <c r="CI88" i="19"/>
  <c r="CI169" i="19" s="1"/>
  <c r="D64" i="20"/>
  <c r="D91" i="20" s="1"/>
  <c r="D172" i="20" s="1"/>
  <c r="BY64" i="20"/>
  <c r="CJ64" i="20"/>
  <c r="BP64" i="20"/>
  <c r="CB64" i="20"/>
  <c r="AP64" i="20"/>
  <c r="CO253" i="19"/>
  <c r="CN88" i="19"/>
  <c r="CN169" i="19" s="1"/>
  <c r="BN87" i="19"/>
  <c r="BN168" i="19" s="1"/>
  <c r="BO252" i="19"/>
  <c r="AM257" i="2"/>
  <c r="AL92" i="2"/>
  <c r="AL173" i="2" s="1"/>
  <c r="CR95" i="2"/>
  <c r="CR122" i="2" s="1"/>
  <c r="CR186" i="2"/>
  <c r="CR176" i="2" s="1"/>
  <c r="CR149" i="2"/>
  <c r="BM62" i="2"/>
  <c r="AZ62" i="2"/>
  <c r="AR62" i="2"/>
  <c r="D62" i="2"/>
  <c r="D89" i="2" s="1"/>
  <c r="D170" i="2" s="1"/>
  <c r="CT61" i="2"/>
  <c r="CS61" i="2" s="1"/>
  <c r="B60" i="2"/>
  <c r="AH61" i="2"/>
  <c r="BP61" i="2"/>
  <c r="AN61" i="2"/>
  <c r="S61" i="2"/>
  <c r="CG61" i="2"/>
  <c r="BD61" i="2"/>
  <c r="AL61" i="2"/>
  <c r="CM61" i="2"/>
  <c r="AC61" i="2"/>
  <c r="BB61" i="2"/>
  <c r="CQ61" i="2"/>
  <c r="AG61" i="2"/>
  <c r="E61" i="2"/>
  <c r="AD61" i="2"/>
  <c r="BT61" i="2"/>
  <c r="AY61" i="2"/>
  <c r="N61" i="2"/>
  <c r="CJ61" i="2"/>
  <c r="J61" i="2"/>
  <c r="L61" i="2"/>
  <c r="AS61" i="2"/>
  <c r="Z61" i="2"/>
  <c r="P61" i="2"/>
  <c r="AW61" i="2"/>
  <c r="B115" i="2"/>
  <c r="AX61" i="2"/>
  <c r="I61" i="2"/>
  <c r="CE61" i="2"/>
  <c r="V61" i="2"/>
  <c r="Y61" i="2"/>
  <c r="BV61" i="2"/>
  <c r="AB61" i="2"/>
  <c r="BI61" i="2"/>
  <c r="CL61" i="2"/>
  <c r="AF61" i="2"/>
  <c r="BM61" i="2"/>
  <c r="CH61" i="2"/>
  <c r="AO61" i="2"/>
  <c r="T61" i="2"/>
  <c r="BF61" i="2"/>
  <c r="BE61" i="2"/>
  <c r="K61" i="2"/>
  <c r="AR61" i="2"/>
  <c r="BY61" i="2"/>
  <c r="O61" i="2"/>
  <c r="AV61" i="2"/>
  <c r="CC61" i="2"/>
  <c r="AK61" i="2"/>
  <c r="C61" i="2"/>
  <c r="G61" i="2"/>
  <c r="BU61" i="2"/>
  <c r="AZ61" i="2"/>
  <c r="W61" i="2"/>
  <c r="CK61" i="2"/>
  <c r="AA61" i="2"/>
  <c r="BH61" i="2"/>
  <c r="CO61" i="2"/>
  <c r="AE61" i="2"/>
  <c r="BL61" i="2"/>
  <c r="BR61" i="2"/>
  <c r="AJ61" i="2"/>
  <c r="AM61" i="2"/>
  <c r="BJ61" i="2"/>
  <c r="CF61" i="2"/>
  <c r="BC61" i="2"/>
  <c r="CP61" i="2"/>
  <c r="AQ61" i="2"/>
  <c r="BX61" i="2"/>
  <c r="AT61" i="2"/>
  <c r="AU61" i="2"/>
  <c r="CB61" i="2"/>
  <c r="BO61" i="2"/>
  <c r="BQ61" i="2"/>
  <c r="BS61" i="2"/>
  <c r="F61" i="2"/>
  <c r="U61" i="2"/>
  <c r="CI61" i="2"/>
  <c r="BZ61" i="2"/>
  <c r="BG61" i="2"/>
  <c r="CN61" i="2"/>
  <c r="R61" i="2"/>
  <c r="BK61" i="2"/>
  <c r="CR61" i="2"/>
  <c r="D61" i="2"/>
  <c r="D88" i="2" s="1"/>
  <c r="D169" i="2" s="1"/>
  <c r="AI61" i="2"/>
  <c r="H61" i="2"/>
  <c r="AP61" i="2"/>
  <c r="BA61" i="2"/>
  <c r="X61" i="2"/>
  <c r="BN61" i="2"/>
  <c r="BW61" i="2"/>
  <c r="M61" i="2"/>
  <c r="CD61" i="2"/>
  <c r="CA61" i="2"/>
  <c r="Q61" i="2"/>
  <c r="N12" i="2"/>
  <c r="N68" i="2"/>
  <c r="O13" i="2"/>
  <c r="BS254" i="19"/>
  <c r="BR89" i="19"/>
  <c r="BR170" i="19" s="1"/>
  <c r="BG64" i="20"/>
  <c r="E64" i="20"/>
  <c r="BF64" i="20"/>
  <c r="CM64" i="20"/>
  <c r="J64" i="20"/>
  <c r="BC64" i="20"/>
  <c r="AP253" i="19"/>
  <c r="AO88" i="19"/>
  <c r="AO169" i="19"/>
  <c r="H88" i="19"/>
  <c r="H169" i="19" s="1"/>
  <c r="I253" i="19"/>
  <c r="AS64" i="20"/>
  <c r="B223" i="19"/>
  <c r="B252" i="19"/>
  <c r="B325" i="19" s="1"/>
  <c r="AJ257" i="2"/>
  <c r="AI173" i="2"/>
  <c r="AI92" i="2"/>
  <c r="BY254" i="2"/>
  <c r="BX89" i="2"/>
  <c r="BX170" i="2" s="1"/>
  <c r="AK254" i="2"/>
  <c r="AJ89" i="2"/>
  <c r="AJ170" i="2" s="1"/>
  <c r="BC254" i="2"/>
  <c r="BB89" i="2"/>
  <c r="BB170" i="2" s="1"/>
  <c r="AL254" i="2"/>
  <c r="AK170" i="2"/>
  <c r="AK89" i="2"/>
  <c r="W254" i="2"/>
  <c r="V89" i="2"/>
  <c r="V170" i="2"/>
  <c r="BV254" i="2"/>
  <c r="BU89" i="2"/>
  <c r="BU170" i="2" s="1"/>
  <c r="CG62" i="2"/>
  <c r="I62" i="2"/>
  <c r="AU62" i="2"/>
  <c r="CR62" i="2"/>
  <c r="BG62" i="2"/>
  <c r="E62" i="2"/>
  <c r="CD62" i="2"/>
  <c r="AV62" i="2"/>
  <c r="CS62" i="2"/>
  <c r="AT62" i="2"/>
  <c r="CF62" i="2"/>
  <c r="AH62" i="2"/>
  <c r="BK62" i="2"/>
  <c r="CB62" i="2"/>
  <c r="O62" i="2"/>
  <c r="P62" i="2"/>
  <c r="AS62" i="2"/>
  <c r="BV62" i="2"/>
  <c r="CC62" i="2"/>
  <c r="BE62" i="2"/>
  <c r="W62" i="2"/>
  <c r="AF62" i="2"/>
  <c r="BI62" i="2"/>
  <c r="AY62" i="2"/>
  <c r="BJ62" i="2"/>
  <c r="CK62" i="2"/>
  <c r="L62" i="2"/>
  <c r="BN62" i="2"/>
  <c r="BY62" i="2"/>
  <c r="BO62" i="2"/>
  <c r="S62" i="2"/>
  <c r="Q62" i="2"/>
  <c r="BC62" i="2"/>
  <c r="Z62" i="2"/>
  <c r="H62" i="2"/>
  <c r="CN62" i="2"/>
  <c r="AA62" i="2"/>
  <c r="BR62" i="2"/>
  <c r="CI62" i="2"/>
  <c r="AP62" i="2"/>
  <c r="X62" i="2"/>
  <c r="BA62" i="2"/>
  <c r="AB62" i="2"/>
  <c r="AD62" i="2"/>
  <c r="BL62" i="2"/>
  <c r="AQ62" i="2"/>
  <c r="AN62" i="2"/>
  <c r="BQ62" i="2"/>
  <c r="M149" i="2"/>
  <c r="M95" i="2"/>
  <c r="M122" i="2" s="1"/>
  <c r="M186" i="2"/>
  <c r="M176" i="2" s="1"/>
  <c r="CI254" i="19"/>
  <c r="CH89" i="19"/>
  <c r="CH170" i="19" s="1"/>
  <c r="AS253" i="19"/>
  <c r="AR88" i="19"/>
  <c r="AR169" i="19" s="1"/>
  <c r="BI64" i="20"/>
  <c r="BV64" i="20"/>
  <c r="AV64" i="20"/>
  <c r="CC64" i="20"/>
  <c r="K64" i="20"/>
  <c r="AQ64" i="20"/>
  <c r="BZ64" i="20"/>
  <c r="BO253" i="19"/>
  <c r="BN88" i="19"/>
  <c r="BN169" i="19" s="1"/>
  <c r="CR253" i="19"/>
  <c r="CQ88" i="19"/>
  <c r="CQ169" i="19" s="1"/>
  <c r="B326" i="19"/>
  <c r="C253" i="19"/>
  <c r="R62" i="2"/>
  <c r="BS62" i="2"/>
  <c r="AI62" i="2"/>
  <c r="C62" i="2"/>
  <c r="CP62" i="2"/>
  <c r="AX62" i="2"/>
  <c r="B254" i="2"/>
  <c r="B225" i="2"/>
  <c r="A35" i="19"/>
  <c r="B171" i="19"/>
  <c r="B144" i="19" s="1"/>
  <c r="B90" i="19"/>
  <c r="CU35" i="19"/>
  <c r="CT35" i="19"/>
  <c r="AS252" i="19"/>
  <c r="AR87" i="19"/>
  <c r="AR168" i="19" s="1"/>
  <c r="AW64" i="20"/>
  <c r="CI64" i="20"/>
  <c r="BS64" i="20"/>
  <c r="CR64" i="20"/>
  <c r="CS64" i="20"/>
  <c r="CD64" i="20"/>
  <c r="CA64" i="20"/>
  <c r="BM254" i="19"/>
  <c r="BL89" i="19"/>
  <c r="BL170" i="19" s="1"/>
  <c r="L254" i="2"/>
  <c r="K89" i="2"/>
  <c r="K170" i="2" s="1"/>
  <c r="BU254" i="2"/>
  <c r="BT170" i="2"/>
  <c r="BT89" i="2"/>
  <c r="CN254" i="2"/>
  <c r="CM89" i="2"/>
  <c r="CM170" i="2" s="1"/>
  <c r="U254" i="2"/>
  <c r="T89" i="2"/>
  <c r="T170" i="2"/>
  <c r="CB254" i="2"/>
  <c r="CA89" i="2"/>
  <c r="CA170" i="2" s="1"/>
  <c r="CS92" i="2"/>
  <c r="CS173" i="2" s="1"/>
  <c r="C255" i="2"/>
  <c r="B328" i="2"/>
  <c r="BY87" i="19"/>
  <c r="BY168" i="19" s="1"/>
  <c r="BZ252" i="19"/>
  <c r="BL64" i="20"/>
  <c r="BR64" i="20"/>
  <c r="CF64" i="20"/>
  <c r="AR64" i="20"/>
  <c r="BJ64" i="20"/>
  <c r="CO64" i="20"/>
  <c r="BD64" i="20"/>
  <c r="BF254" i="19"/>
  <c r="BE89" i="19"/>
  <c r="BE170" i="19" s="1"/>
  <c r="AV253" i="19"/>
  <c r="AU88" i="19"/>
  <c r="AU169" i="19" s="1"/>
  <c r="AI256" i="2"/>
  <c r="AH91" i="2"/>
  <c r="AH172" i="2" s="1"/>
  <c r="BQ254" i="2"/>
  <c r="BP89" i="2"/>
  <c r="BP170" i="2" s="1"/>
  <c r="CR254" i="2"/>
  <c r="CQ89" i="2"/>
  <c r="CQ170" i="2"/>
  <c r="CK254" i="2"/>
  <c r="CJ89" i="2"/>
  <c r="CJ170" i="2" s="1"/>
  <c r="AD254" i="2"/>
  <c r="AC89" i="2"/>
  <c r="AC170" i="2"/>
  <c r="CF254" i="2"/>
  <c r="CE89" i="2"/>
  <c r="CE170" i="2" s="1"/>
  <c r="CA254" i="2"/>
  <c r="BZ89" i="2"/>
  <c r="BZ170" i="2" s="1"/>
  <c r="N90" i="19"/>
  <c r="N171" i="19" s="1"/>
  <c r="CF90" i="19"/>
  <c r="CF171" i="19" s="1"/>
  <c r="D91" i="19"/>
  <c r="D172" i="19" s="1"/>
  <c r="BO91" i="20"/>
  <c r="BO172" i="20" s="1"/>
  <c r="BX92" i="20"/>
  <c r="BX173" i="20" s="1"/>
  <c r="A35" i="20"/>
  <c r="B34" i="20"/>
  <c r="B171" i="20"/>
  <c r="B144" i="20" s="1"/>
  <c r="B90" i="20"/>
  <c r="CH91" i="20"/>
  <c r="CH172" i="20" s="1"/>
  <c r="CG92" i="20"/>
  <c r="CG173" i="20" s="1"/>
  <c r="BE91" i="20"/>
  <c r="BE172" i="20" s="1"/>
  <c r="CN91" i="20"/>
  <c r="CN172" i="20" s="1"/>
  <c r="BU91" i="20"/>
  <c r="BU172" i="20" s="1"/>
  <c r="M91" i="19"/>
  <c r="M172" i="19" s="1"/>
  <c r="AU90" i="19"/>
  <c r="AU171" i="19" s="1"/>
  <c r="BO89" i="19"/>
  <c r="BO170" i="19" s="1"/>
  <c r="CL89" i="19"/>
  <c r="CL170" i="19" s="1"/>
  <c r="AQ88" i="19"/>
  <c r="AQ169" i="19" s="1"/>
  <c r="D88" i="19"/>
  <c r="D169" i="19" s="1"/>
  <c r="CO88" i="19"/>
  <c r="CO169" i="19" s="1"/>
  <c r="BO87" i="19"/>
  <c r="BO168" i="19" s="1"/>
  <c r="E87" i="19"/>
  <c r="E168" i="19" s="1"/>
  <c r="BZ87" i="19"/>
  <c r="BZ168" i="19" s="1"/>
  <c r="A36" i="2"/>
  <c r="B35" i="2"/>
  <c r="CT36" i="2"/>
  <c r="CU36" i="2"/>
  <c r="B91" i="2"/>
  <c r="B172" i="2"/>
  <c r="B145" i="2" s="1"/>
  <c r="A34" i="19"/>
  <c r="B33" i="19"/>
  <c r="B89" i="19"/>
  <c r="B170" i="19"/>
  <c r="B143" i="19" s="1"/>
  <c r="CU34" i="19"/>
  <c r="CT34" i="19"/>
  <c r="CP88" i="19"/>
  <c r="CP169" i="19" s="1"/>
  <c r="AZ92" i="20"/>
  <c r="AZ173" i="20" s="1"/>
  <c r="CS13" i="20"/>
  <c r="CR68" i="20"/>
  <c r="CR12" i="20"/>
  <c r="E68" i="20"/>
  <c r="F13" i="20"/>
  <c r="E12" i="20"/>
  <c r="AU91" i="20"/>
  <c r="AU172" i="20" s="1"/>
  <c r="O41" i="19"/>
  <c r="N64" i="19"/>
  <c r="O256" i="19" s="1"/>
  <c r="N65" i="19"/>
  <c r="O257" i="19" s="1"/>
  <c r="N61" i="19"/>
  <c r="O253" i="19" s="1"/>
  <c r="N60" i="19"/>
  <c r="O252" i="19" s="1"/>
  <c r="M90" i="19"/>
  <c r="M171" i="19" s="1"/>
  <c r="CO90" i="19"/>
  <c r="CO171" i="19" s="1"/>
  <c r="BN90" i="19"/>
  <c r="BN171" i="19" s="1"/>
  <c r="AQ90" i="19"/>
  <c r="AQ171" i="19" s="1"/>
  <c r="CJ88" i="19"/>
  <c r="CJ169" i="19" s="1"/>
  <c r="CD87" i="19"/>
  <c r="CD168" i="19" s="1"/>
  <c r="AW88" i="19"/>
  <c r="AW169" i="19" s="1"/>
  <c r="BP87" i="19"/>
  <c r="BP168" i="19" s="1"/>
  <c r="M87" i="19"/>
  <c r="M168" i="19" s="1"/>
  <c r="CK87" i="19"/>
  <c r="CK168" i="19" s="1"/>
  <c r="CQ186" i="20"/>
  <c r="CQ176" i="20" s="1"/>
  <c r="CQ149" i="20"/>
  <c r="CQ95" i="20"/>
  <c r="CQ122" i="20" s="1"/>
  <c r="CF91" i="19"/>
  <c r="CF172" i="19" s="1"/>
  <c r="L90" i="20"/>
  <c r="L171" i="20" s="1"/>
  <c r="F12" i="19"/>
  <c r="F68" i="19"/>
  <c r="G13" i="19"/>
  <c r="CK90" i="19"/>
  <c r="CK171" i="19" s="1"/>
  <c r="D90" i="19"/>
  <c r="D171" i="19" s="1"/>
  <c r="AO90" i="19"/>
  <c r="AO171" i="19" s="1"/>
  <c r="BX88" i="19"/>
  <c r="BX169" i="19" s="1"/>
  <c r="E88" i="19"/>
  <c r="E169" i="19" s="1"/>
  <c r="D87" i="19"/>
  <c r="D168" i="19" s="1"/>
  <c r="AO87" i="19"/>
  <c r="AO168" i="19" s="1"/>
  <c r="CO87" i="19"/>
  <c r="CO168" i="19" s="1"/>
  <c r="BG87" i="19"/>
  <c r="BG168" i="19" s="1"/>
  <c r="CB90" i="19"/>
  <c r="CB171" i="19" s="1"/>
  <c r="AQ87" i="19"/>
  <c r="AQ168" i="19" s="1"/>
  <c r="L92" i="20"/>
  <c r="L173" i="20" s="1"/>
  <c r="AR89" i="19"/>
  <c r="AR170" i="19" s="1"/>
  <c r="AY87" i="19"/>
  <c r="AY168" i="19" s="1"/>
  <c r="AT88" i="19"/>
  <c r="AT169" i="19" s="1"/>
  <c r="CH91" i="19"/>
  <c r="CH172" i="19" s="1"/>
  <c r="E186" i="19"/>
  <c r="E176" i="19" s="1"/>
  <c r="E149" i="19"/>
  <c r="E95" i="19"/>
  <c r="E122" i="19" s="1"/>
  <c r="BR90" i="19"/>
  <c r="BR171" i="19" s="1"/>
  <c r="J88" i="19"/>
  <c r="J169" i="19" s="1"/>
  <c r="BE87" i="19"/>
  <c r="BE168" i="19" s="1"/>
  <c r="BS87" i="19"/>
  <c r="BS168" i="19" s="1"/>
  <c r="BH91" i="20"/>
  <c r="BH172" i="20" s="1"/>
  <c r="H91" i="20"/>
  <c r="H172" i="20" s="1"/>
  <c r="N41" i="20"/>
  <c r="M65" i="20"/>
  <c r="N257" i="20" s="1"/>
  <c r="M63" i="20"/>
  <c r="N255" i="20" s="1"/>
  <c r="M64" i="20"/>
  <c r="N256" i="20" s="1"/>
  <c r="AS90" i="19"/>
  <c r="AS171" i="19" s="1"/>
  <c r="BM90" i="19"/>
  <c r="BM171" i="19" s="1"/>
  <c r="AR90" i="19"/>
  <c r="AR171" i="19" s="1"/>
  <c r="BK90" i="19"/>
  <c r="BK171" i="19" s="1"/>
  <c r="N62" i="19"/>
  <c r="O254" i="19" s="1"/>
  <c r="AV88" i="19"/>
  <c r="AV169" i="19" s="1"/>
  <c r="BU88" i="19"/>
  <c r="BU169" i="19" s="1"/>
  <c r="CH88" i="19"/>
  <c r="CH169" i="19" s="1"/>
  <c r="C252" i="19"/>
  <c r="AT87" i="19"/>
  <c r="AT168" i="19" s="1"/>
  <c r="L87" i="19"/>
  <c r="L168" i="19" s="1"/>
  <c r="AU87" i="19"/>
  <c r="AU168" i="19" s="1"/>
  <c r="BU87" i="19"/>
  <c r="BU168" i="19" s="1"/>
  <c r="M92" i="19"/>
  <c r="M173" i="19" s="1"/>
  <c r="BW90" i="19"/>
  <c r="BW171" i="19" s="1"/>
  <c r="CA89" i="19"/>
  <c r="CA170" i="19" s="1"/>
  <c r="CJ87" i="19"/>
  <c r="CJ168" i="19" s="1"/>
  <c r="D186" i="20"/>
  <c r="D176" i="20" s="1"/>
  <c r="D149" i="20"/>
  <c r="D95" i="20"/>
  <c r="D122" i="20" s="1"/>
  <c r="BT90" i="19"/>
  <c r="BT171" i="19" s="1"/>
  <c r="J87" i="19"/>
  <c r="J168" i="19" s="1"/>
  <c r="J90" i="19"/>
  <c r="J171" i="19" s="1"/>
  <c r="BD90" i="19"/>
  <c r="BD171" i="19" s="1"/>
  <c r="CP90" i="19"/>
  <c r="CP171" i="19" s="1"/>
  <c r="I90" i="19"/>
  <c r="I171" i="19" s="1"/>
  <c r="BA89" i="19"/>
  <c r="BA170" i="19" s="1"/>
  <c r="G88" i="19"/>
  <c r="G169" i="19" s="1"/>
  <c r="B113" i="19"/>
  <c r="CT59" i="19"/>
  <c r="BT59" i="19" s="1"/>
  <c r="BU251" i="19" s="1"/>
  <c r="BR59" i="19"/>
  <c r="BS251" i="19" s="1"/>
  <c r="AZ59" i="19"/>
  <c r="BA251" i="19" s="1"/>
  <c r="F59" i="19"/>
  <c r="CN59" i="19"/>
  <c r="CO251" i="19" s="1"/>
  <c r="BG59" i="19"/>
  <c r="BH251" i="19" s="1"/>
  <c r="CI59" i="19"/>
  <c r="CJ251" i="19" s="1"/>
  <c r="AT59" i="19"/>
  <c r="AU251" i="19" s="1"/>
  <c r="BY59" i="19"/>
  <c r="BZ251" i="19" s="1"/>
  <c r="B58" i="19"/>
  <c r="AY59" i="19"/>
  <c r="AZ251" i="19" s="1"/>
  <c r="CO59" i="19"/>
  <c r="CP251" i="19" s="1"/>
  <c r="BM59" i="19"/>
  <c r="BN251" i="19" s="1"/>
  <c r="BV59" i="19"/>
  <c r="BW251" i="19" s="1"/>
  <c r="BF59" i="19"/>
  <c r="BG251" i="19" s="1"/>
  <c r="CJ59" i="19"/>
  <c r="CK251" i="19" s="1"/>
  <c r="K59" i="19"/>
  <c r="L251" i="19" s="1"/>
  <c r="CF59" i="19"/>
  <c r="CG251" i="19" s="1"/>
  <c r="CK59" i="19"/>
  <c r="CL251" i="19" s="1"/>
  <c r="BW59" i="19"/>
  <c r="BX251" i="19" s="1"/>
  <c r="CS59" i="19"/>
  <c r="CS86" i="19" s="1"/>
  <c r="CS167" i="19" s="1"/>
  <c r="CR59" i="19"/>
  <c r="CS251" i="19" s="1"/>
  <c r="BJ59" i="19"/>
  <c r="BK251" i="19" s="1"/>
  <c r="BZ59" i="19"/>
  <c r="CA251" i="19" s="1"/>
  <c r="BX59" i="19"/>
  <c r="BY251" i="19" s="1"/>
  <c r="AS88" i="19"/>
  <c r="AS169" i="19" s="1"/>
  <c r="F87" i="19"/>
  <c r="F168" i="19" s="1"/>
  <c r="CF87" i="19"/>
  <c r="CF168" i="19" s="1"/>
  <c r="I87" i="19"/>
  <c r="I168" i="19" s="1"/>
  <c r="BI87" i="19"/>
  <c r="BI168" i="19" s="1"/>
  <c r="CP87" i="19"/>
  <c r="CP168" i="19" s="1"/>
  <c r="F350" i="20"/>
  <c r="BT91" i="19"/>
  <c r="BT172" i="19" s="1"/>
  <c r="CD90" i="19"/>
  <c r="CD171" i="19" s="1"/>
  <c r="BI90" i="19"/>
  <c r="BI171" i="19" s="1"/>
  <c r="L91" i="20"/>
  <c r="L172" i="20" s="1"/>
  <c r="BJ90" i="19"/>
  <c r="BJ171" i="19" s="1"/>
  <c r="BB87" i="19"/>
  <c r="BB168" i="19" s="1"/>
  <c r="CR87" i="19"/>
  <c r="CR168" i="19" s="1"/>
  <c r="AX91" i="20"/>
  <c r="AX172" i="20" s="1"/>
  <c r="CM90" i="19"/>
  <c r="CM171" i="19" s="1"/>
  <c r="CG90" i="19"/>
  <c r="CG171" i="19" s="1"/>
  <c r="BX90" i="19"/>
  <c r="BX171" i="19" s="1"/>
  <c r="BA90" i="19"/>
  <c r="BA171" i="19" s="1"/>
  <c r="CP89" i="19"/>
  <c r="CP170" i="19" s="1"/>
  <c r="M88" i="19"/>
  <c r="M169" i="19" s="1"/>
  <c r="BQ88" i="19"/>
  <c r="BQ169" i="19" s="1"/>
  <c r="AS87" i="19"/>
  <c r="AS168" i="19" s="1"/>
  <c r="BH87" i="19"/>
  <c r="BH168" i="19" s="1"/>
  <c r="CL87" i="19"/>
  <c r="CL168" i="19" s="1"/>
  <c r="K87" i="19"/>
  <c r="K168" i="19" s="1"/>
  <c r="CM87" i="19"/>
  <c r="CM168" i="19" s="1"/>
  <c r="A229" i="2"/>
  <c r="A92" i="2"/>
  <c r="A257" i="2"/>
  <c r="F341" i="19"/>
  <c r="BK256" i="20" l="1"/>
  <c r="BJ172" i="20"/>
  <c r="BJ91" i="20"/>
  <c r="CS256" i="20"/>
  <c r="CR91" i="20"/>
  <c r="CR172" i="20" s="1"/>
  <c r="B253" i="2"/>
  <c r="B224" i="2"/>
  <c r="AJ254" i="2"/>
  <c r="AI89" i="2"/>
  <c r="AI170" i="2" s="1"/>
  <c r="BJ256" i="20"/>
  <c r="BI172" i="20"/>
  <c r="BI91" i="20"/>
  <c r="BM254" i="2"/>
  <c r="BL89" i="2"/>
  <c r="BL170" i="2" s="1"/>
  <c r="AB254" i="2"/>
  <c r="AA89" i="2"/>
  <c r="AA170" i="2"/>
  <c r="BZ254" i="2"/>
  <c r="BY89" i="2"/>
  <c r="BY170" i="2" s="1"/>
  <c r="X254" i="2"/>
  <c r="W89" i="2"/>
  <c r="W170" i="2" s="1"/>
  <c r="BL254" i="2"/>
  <c r="BK89" i="2"/>
  <c r="BK170" i="2" s="1"/>
  <c r="BH254" i="2"/>
  <c r="BG89" i="2"/>
  <c r="BG170" i="2"/>
  <c r="BH256" i="20"/>
  <c r="BG91" i="20"/>
  <c r="BG172" i="20" s="1"/>
  <c r="CB253" i="2"/>
  <c r="CA88" i="2"/>
  <c r="CA169" i="2" s="1"/>
  <c r="I253" i="2"/>
  <c r="H88" i="2"/>
  <c r="H169" i="2" s="1"/>
  <c r="CA253" i="2"/>
  <c r="BZ88" i="2"/>
  <c r="BZ169" i="2"/>
  <c r="AV253" i="2"/>
  <c r="AU88" i="2"/>
  <c r="AU169" i="2" s="1"/>
  <c r="AN253" i="2"/>
  <c r="AM88" i="2"/>
  <c r="AM169" i="2" s="1"/>
  <c r="CL253" i="2"/>
  <c r="CK88" i="2"/>
  <c r="CK169" i="2"/>
  <c r="AW253" i="2"/>
  <c r="AV88" i="2"/>
  <c r="AV169" i="2" s="1"/>
  <c r="AP253" i="2"/>
  <c r="AO88" i="2"/>
  <c r="AO169" i="2"/>
  <c r="Z253" i="2"/>
  <c r="Y88" i="2"/>
  <c r="Y169" i="2" s="1"/>
  <c r="AA253" i="2"/>
  <c r="Z88" i="2"/>
  <c r="Z169" i="2"/>
  <c r="AE253" i="2"/>
  <c r="AD169" i="2"/>
  <c r="AD88" i="2"/>
  <c r="BE253" i="2"/>
  <c r="BD88" i="2"/>
  <c r="BD169" i="2" s="1"/>
  <c r="BQ256" i="20"/>
  <c r="BP91" i="20"/>
  <c r="BP172" i="20"/>
  <c r="CU18" i="2"/>
  <c r="CT18" i="2"/>
  <c r="CV18" i="2" s="1"/>
  <c r="CW18" i="2" a="1"/>
  <c r="CW18" i="2" s="1"/>
  <c r="CT24" i="2"/>
  <c r="CV24" i="2" s="1"/>
  <c r="CU24" i="2"/>
  <c r="CW24" i="2" a="1"/>
  <c r="CW24" i="2" s="1"/>
  <c r="CQ256" i="20"/>
  <c r="CP91" i="20"/>
  <c r="CP172" i="20" s="1"/>
  <c r="BS255" i="20"/>
  <c r="BR90" i="20"/>
  <c r="BR171" i="20" s="1"/>
  <c r="BQ255" i="20"/>
  <c r="BP90" i="20"/>
  <c r="BP171" i="20" s="1"/>
  <c r="BW255" i="20"/>
  <c r="BV90" i="20"/>
  <c r="BV171" i="20"/>
  <c r="BI255" i="20"/>
  <c r="BH90" i="20"/>
  <c r="BH171" i="20" s="1"/>
  <c r="BP255" i="20"/>
  <c r="BO90" i="20"/>
  <c r="BO171" i="20" s="1"/>
  <c r="CF255" i="20"/>
  <c r="CE90" i="20"/>
  <c r="CE171" i="20"/>
  <c r="K255" i="20"/>
  <c r="J90" i="20"/>
  <c r="J171" i="20" s="1"/>
  <c r="BN255" i="20"/>
  <c r="BM90" i="20"/>
  <c r="BM171" i="20" s="1"/>
  <c r="CR256" i="20"/>
  <c r="CQ91" i="20"/>
  <c r="CQ172" i="20"/>
  <c r="AS256" i="20"/>
  <c r="AR91" i="20"/>
  <c r="AR172" i="20" s="1"/>
  <c r="BT256" i="20"/>
  <c r="BS91" i="20"/>
  <c r="BS172" i="20"/>
  <c r="B327" i="2"/>
  <c r="C254" i="2"/>
  <c r="BT254" i="2"/>
  <c r="BS89" i="2"/>
  <c r="BS170" i="2" s="1"/>
  <c r="AE254" i="2"/>
  <c r="AD89" i="2"/>
  <c r="AD170" i="2"/>
  <c r="CO254" i="2"/>
  <c r="CN89" i="2"/>
  <c r="CN170" i="2" s="1"/>
  <c r="BO254" i="2"/>
  <c r="BN89" i="2"/>
  <c r="BN170" i="2"/>
  <c r="BF254" i="2"/>
  <c r="BE89" i="2"/>
  <c r="BE170" i="2" s="1"/>
  <c r="AI254" i="2"/>
  <c r="AH89" i="2"/>
  <c r="AH170" i="2"/>
  <c r="CS254" i="2"/>
  <c r="CR89" i="2"/>
  <c r="CR170" i="2" s="1"/>
  <c r="CE253" i="2"/>
  <c r="CD88" i="2"/>
  <c r="CD169" i="2"/>
  <c r="AJ253" i="2"/>
  <c r="AI88" i="2"/>
  <c r="AI169" i="2" s="1"/>
  <c r="CJ253" i="2"/>
  <c r="CI88" i="2"/>
  <c r="CI169" i="2" s="1"/>
  <c r="AU253" i="2"/>
  <c r="AT88" i="2"/>
  <c r="AT169" i="2" s="1"/>
  <c r="AK253" i="2"/>
  <c r="AJ88" i="2"/>
  <c r="AJ169" i="2"/>
  <c r="X253" i="2"/>
  <c r="W88" i="2"/>
  <c r="W169" i="2" s="1"/>
  <c r="P253" i="2"/>
  <c r="O88" i="2"/>
  <c r="O169" i="2"/>
  <c r="CI253" i="2"/>
  <c r="CH88" i="2"/>
  <c r="CH169" i="2" s="1"/>
  <c r="W253" i="2"/>
  <c r="V88" i="2"/>
  <c r="V169" i="2" s="1"/>
  <c r="AT253" i="2"/>
  <c r="AS88" i="2"/>
  <c r="AS169" i="2"/>
  <c r="E88" i="2"/>
  <c r="E169" i="2"/>
  <c r="CH253" i="2"/>
  <c r="CG88" i="2"/>
  <c r="CG169" i="2" s="1"/>
  <c r="AS254" i="2"/>
  <c r="AR89" i="2"/>
  <c r="AR170" i="2"/>
  <c r="CK256" i="20"/>
  <c r="CJ91" i="20"/>
  <c r="CJ172" i="20" s="1"/>
  <c r="CU23" i="2"/>
  <c r="CT23" i="2"/>
  <c r="CV23" i="2" s="1"/>
  <c r="CW23" i="2" a="1"/>
  <c r="CW23" i="2" s="1"/>
  <c r="CT16" i="2"/>
  <c r="CV16" i="2" s="1"/>
  <c r="CW16" i="2" a="1"/>
  <c r="CW16" i="2" s="1"/>
  <c r="CU16" i="2"/>
  <c r="H256" i="20"/>
  <c r="G91" i="20"/>
  <c r="G172" i="20" s="1"/>
  <c r="C63" i="20"/>
  <c r="C255" i="20" s="1"/>
  <c r="AQ63" i="20"/>
  <c r="CN63" i="20"/>
  <c r="CA63" i="20"/>
  <c r="CI63" i="20"/>
  <c r="AZ63" i="20"/>
  <c r="BX63" i="20"/>
  <c r="AS63" i="20"/>
  <c r="AX63" i="20"/>
  <c r="BX256" i="20"/>
  <c r="BW91" i="20"/>
  <c r="BW172" i="20" s="1"/>
  <c r="CA59" i="19"/>
  <c r="CB251" i="19" s="1"/>
  <c r="H59" i="19"/>
  <c r="C59" i="19"/>
  <c r="AP59" i="19"/>
  <c r="AQ251" i="19" s="1"/>
  <c r="BP59" i="19"/>
  <c r="BQ251" i="19" s="1"/>
  <c r="CG256" i="20"/>
  <c r="CF91" i="20"/>
  <c r="CF172" i="20" s="1"/>
  <c r="CJ256" i="20"/>
  <c r="CI91" i="20"/>
  <c r="CI172" i="20" s="1"/>
  <c r="A255" i="19"/>
  <c r="A227" i="19"/>
  <c r="A90" i="19"/>
  <c r="S254" i="2"/>
  <c r="R89" i="2"/>
  <c r="R170" i="2" s="1"/>
  <c r="CA256" i="20"/>
  <c r="BZ91" i="20"/>
  <c r="BZ172" i="20"/>
  <c r="AC254" i="2"/>
  <c r="AB89" i="2"/>
  <c r="AB170" i="2"/>
  <c r="I254" i="2"/>
  <c r="H89" i="2"/>
  <c r="H170" i="2" s="1"/>
  <c r="M254" i="2"/>
  <c r="L89" i="2"/>
  <c r="L170" i="2" s="1"/>
  <c r="CD254" i="2"/>
  <c r="CC89" i="2"/>
  <c r="CC170" i="2"/>
  <c r="CG254" i="2"/>
  <c r="CF89" i="2"/>
  <c r="CF170" i="2" s="1"/>
  <c r="AV254" i="2"/>
  <c r="AU89" i="2"/>
  <c r="AU170" i="2"/>
  <c r="N253" i="2"/>
  <c r="M88" i="2"/>
  <c r="M169" i="2" s="1"/>
  <c r="V253" i="2"/>
  <c r="U88" i="2"/>
  <c r="U169" i="2" s="1"/>
  <c r="BY253" i="2"/>
  <c r="BX88" i="2"/>
  <c r="BX169" i="2" s="1"/>
  <c r="BS253" i="2"/>
  <c r="BR88" i="2"/>
  <c r="BR169" i="2" s="1"/>
  <c r="BA253" i="2"/>
  <c r="AZ169" i="2"/>
  <c r="AZ88" i="2"/>
  <c r="BZ253" i="2"/>
  <c r="BY88" i="2"/>
  <c r="BY169" i="2"/>
  <c r="BN253" i="2"/>
  <c r="BM88" i="2"/>
  <c r="BM169" i="2" s="1"/>
  <c r="CF253" i="2"/>
  <c r="CE88" i="2"/>
  <c r="CE169" i="2" s="1"/>
  <c r="M253" i="2"/>
  <c r="L88" i="2"/>
  <c r="L169" i="2" s="1"/>
  <c r="AH253" i="2"/>
  <c r="AG88" i="2"/>
  <c r="AG169" i="2"/>
  <c r="T253" i="2"/>
  <c r="S88" i="2"/>
  <c r="S169" i="2" s="1"/>
  <c r="BA254" i="2"/>
  <c r="AZ89" i="2"/>
  <c r="AZ170" i="2"/>
  <c r="BZ256" i="20"/>
  <c r="BY172" i="20"/>
  <c r="BY91" i="20"/>
  <c r="CU25" i="2"/>
  <c r="CW25" i="2" a="1"/>
  <c r="CW25" i="2" s="1"/>
  <c r="CT25" i="2"/>
  <c r="CV25" i="2" s="1"/>
  <c r="BA256" i="20"/>
  <c r="AZ91" i="20"/>
  <c r="AZ172" i="20" s="1"/>
  <c r="AP256" i="20"/>
  <c r="AO91" i="20"/>
  <c r="AO172" i="20" s="1"/>
  <c r="CD63" i="20"/>
  <c r="CB63" i="20"/>
  <c r="BC63" i="20"/>
  <c r="BI63" i="20"/>
  <c r="AT63" i="20"/>
  <c r="BB63" i="20"/>
  <c r="D63" i="20"/>
  <c r="D90" i="20" s="1"/>
  <c r="D171" i="20" s="1"/>
  <c r="CL63" i="20"/>
  <c r="B61" i="20"/>
  <c r="B116" i="20"/>
  <c r="CQ62" i="20"/>
  <c r="BY62" i="20"/>
  <c r="BF62" i="20"/>
  <c r="BC62" i="20"/>
  <c r="AT62" i="20"/>
  <c r="CG62" i="20"/>
  <c r="CE62" i="20"/>
  <c r="J62" i="20"/>
  <c r="CP62" i="20"/>
  <c r="CH62" i="20"/>
  <c r="CT62" i="20"/>
  <c r="E62" i="20" s="1"/>
  <c r="E89" i="20" s="1"/>
  <c r="E170" i="20" s="1"/>
  <c r="H62" i="20"/>
  <c r="BO62" i="20"/>
  <c r="G62" i="20"/>
  <c r="BT62" i="20"/>
  <c r="AU62" i="20"/>
  <c r="AS62" i="20"/>
  <c r="CO62" i="20"/>
  <c r="CB62" i="20"/>
  <c r="AY62" i="20"/>
  <c r="BQ62" i="20"/>
  <c r="B252" i="20"/>
  <c r="B223" i="20"/>
  <c r="BS256" i="20"/>
  <c r="BR91" i="20"/>
  <c r="BR172" i="20" s="1"/>
  <c r="AX256" i="20"/>
  <c r="AW91" i="20"/>
  <c r="AW172" i="20" s="1"/>
  <c r="AR256" i="20"/>
  <c r="AQ91" i="20"/>
  <c r="AQ172" i="20" s="1"/>
  <c r="BB254" i="2"/>
  <c r="BA89" i="2"/>
  <c r="BA170" i="2"/>
  <c r="AA254" i="2"/>
  <c r="Z89" i="2"/>
  <c r="Z170" i="2" s="1"/>
  <c r="CL254" i="2"/>
  <c r="CK89" i="2"/>
  <c r="CK170" i="2"/>
  <c r="BW254" i="2"/>
  <c r="BV89" i="2"/>
  <c r="BV170" i="2" s="1"/>
  <c r="AU254" i="2"/>
  <c r="AT89" i="2"/>
  <c r="AT170" i="2"/>
  <c r="J254" i="2"/>
  <c r="I89" i="2"/>
  <c r="I170" i="2" s="1"/>
  <c r="B251" i="19"/>
  <c r="B324" i="19" s="1"/>
  <c r="B222" i="19"/>
  <c r="BD256" i="20"/>
  <c r="BC91" i="20"/>
  <c r="BC172" i="20" s="1"/>
  <c r="BX253" i="2"/>
  <c r="BW88" i="2"/>
  <c r="BW169" i="2"/>
  <c r="CS253" i="2"/>
  <c r="CR88" i="2"/>
  <c r="CR169" i="2" s="1"/>
  <c r="F88" i="2"/>
  <c r="F169" i="2" s="1"/>
  <c r="AR253" i="2"/>
  <c r="AQ88" i="2"/>
  <c r="AQ169" i="2" s="1"/>
  <c r="BM253" i="2"/>
  <c r="BL88" i="2"/>
  <c r="BL169" i="2" s="1"/>
  <c r="BV253" i="2"/>
  <c r="BU88" i="2"/>
  <c r="BU169" i="2" s="1"/>
  <c r="AS253" i="2"/>
  <c r="AR88" i="2"/>
  <c r="AR169" i="2"/>
  <c r="AG253" i="2"/>
  <c r="AF88" i="2"/>
  <c r="AF169" i="2" s="1"/>
  <c r="J253" i="2"/>
  <c r="I169" i="2"/>
  <c r="I88" i="2"/>
  <c r="K253" i="2"/>
  <c r="J88" i="2"/>
  <c r="J169" i="2" s="1"/>
  <c r="CR253" i="2"/>
  <c r="CQ88" i="2"/>
  <c r="CQ169" i="2" s="1"/>
  <c r="AO253" i="2"/>
  <c r="AN88" i="2"/>
  <c r="AN169" i="2" s="1"/>
  <c r="BN254" i="2"/>
  <c r="BM89" i="2"/>
  <c r="BM170" i="2" s="1"/>
  <c r="CT15" i="2"/>
  <c r="CV15" i="2" s="1"/>
  <c r="CU15" i="2"/>
  <c r="CW15" i="2" a="1"/>
  <c r="CW15" i="2" s="1"/>
  <c r="CU27" i="2"/>
  <c r="CT27" i="2"/>
  <c r="CV27" i="2" s="1"/>
  <c r="CW27" i="2" a="1"/>
  <c r="CW27" i="2" s="1"/>
  <c r="CW37" i="2" a="1"/>
  <c r="CW37" i="2" s="1"/>
  <c r="CT37" i="2"/>
  <c r="CU37" i="2"/>
  <c r="CM256" i="20"/>
  <c r="CL91" i="20"/>
  <c r="CL172" i="20" s="1"/>
  <c r="BL256" i="20"/>
  <c r="BK91" i="20"/>
  <c r="BK172" i="20" s="1"/>
  <c r="BE63" i="20"/>
  <c r="BA63" i="20"/>
  <c r="CH63" i="20"/>
  <c r="BS63" i="20"/>
  <c r="CC63" i="20"/>
  <c r="CO63" i="20"/>
  <c r="BG63" i="20"/>
  <c r="BY63" i="20"/>
  <c r="BS59" i="19"/>
  <c r="BT251" i="19" s="1"/>
  <c r="BC59" i="19"/>
  <c r="BD251" i="19" s="1"/>
  <c r="AO59" i="19"/>
  <c r="AP251" i="19" s="1"/>
  <c r="BH59" i="19"/>
  <c r="BI251" i="19" s="1"/>
  <c r="BM256" i="20"/>
  <c r="BL91" i="20"/>
  <c r="BL172" i="20"/>
  <c r="L256" i="20"/>
  <c r="K172" i="20"/>
  <c r="K91" i="20"/>
  <c r="Y254" i="2"/>
  <c r="X89" i="2"/>
  <c r="X170" i="2" s="1"/>
  <c r="BD254" i="2"/>
  <c r="BC89" i="2"/>
  <c r="BC170" i="2" s="1"/>
  <c r="BK254" i="2"/>
  <c r="BJ89" i="2"/>
  <c r="BJ170" i="2" s="1"/>
  <c r="AT254" i="2"/>
  <c r="AS89" i="2"/>
  <c r="AS170" i="2"/>
  <c r="CS170" i="2"/>
  <c r="CS89" i="2"/>
  <c r="CH254" i="2"/>
  <c r="CG89" i="2"/>
  <c r="CG170" i="2" s="1"/>
  <c r="AT256" i="20"/>
  <c r="AS91" i="20"/>
  <c r="AS172" i="20" s="1"/>
  <c r="K256" i="20"/>
  <c r="J91" i="20"/>
  <c r="J172" i="20" s="1"/>
  <c r="O12" i="2"/>
  <c r="O68" i="2"/>
  <c r="P13" i="2"/>
  <c r="BO253" i="2"/>
  <c r="BN88" i="2"/>
  <c r="BN169" i="2" s="1"/>
  <c r="BL253" i="2"/>
  <c r="BK88" i="2"/>
  <c r="BK169" i="2"/>
  <c r="BT253" i="2"/>
  <c r="BS88" i="2"/>
  <c r="BS169" i="2" s="1"/>
  <c r="CQ253" i="2"/>
  <c r="CP88" i="2"/>
  <c r="CP169" i="2" s="1"/>
  <c r="AF253" i="2"/>
  <c r="AE88" i="2"/>
  <c r="AE169" i="2" s="1"/>
  <c r="G88" i="2"/>
  <c r="G169" i="2" s="1"/>
  <c r="L253" i="2"/>
  <c r="K88" i="2"/>
  <c r="K169" i="2" s="1"/>
  <c r="CM253" i="2"/>
  <c r="CL88" i="2"/>
  <c r="CL169" i="2"/>
  <c r="AY253" i="2"/>
  <c r="AX88" i="2"/>
  <c r="AX169" i="2" s="1"/>
  <c r="CK253" i="2"/>
  <c r="CJ88" i="2"/>
  <c r="CJ169" i="2" s="1"/>
  <c r="BC253" i="2"/>
  <c r="BB88" i="2"/>
  <c r="BB169" i="2" s="1"/>
  <c r="BQ253" i="2"/>
  <c r="BP88" i="2"/>
  <c r="BP169" i="2" s="1"/>
  <c r="CW22" i="2" a="1"/>
  <c r="CW22" i="2" s="1"/>
  <c r="CT22" i="2"/>
  <c r="CV22" i="2" s="1"/>
  <c r="CU22" i="2"/>
  <c r="AZ256" i="20"/>
  <c r="AY91" i="20"/>
  <c r="AY172" i="20" s="1"/>
  <c r="CF256" i="20"/>
  <c r="CE91" i="20"/>
  <c r="CE172" i="20" s="1"/>
  <c r="AQ255" i="20"/>
  <c r="AP90" i="20"/>
  <c r="AP171" i="20" s="1"/>
  <c r="G255" i="20"/>
  <c r="F90" i="20"/>
  <c r="F171" i="20" s="1"/>
  <c r="CK255" i="20"/>
  <c r="CJ90" i="20"/>
  <c r="CJ171" i="20" s="1"/>
  <c r="AV255" i="20"/>
  <c r="AU90" i="20"/>
  <c r="AU171" i="20" s="1"/>
  <c r="CG255" i="20"/>
  <c r="CF90" i="20"/>
  <c r="CF171" i="20" s="1"/>
  <c r="AV90" i="20"/>
  <c r="AV171" i="20" s="1"/>
  <c r="AW255" i="20"/>
  <c r="BU255" i="20"/>
  <c r="BT90" i="20"/>
  <c r="BT171" i="20" s="1"/>
  <c r="AP255" i="20"/>
  <c r="AO90" i="20"/>
  <c r="AO171" i="20"/>
  <c r="BO256" i="20"/>
  <c r="BN91" i="20"/>
  <c r="BN172" i="20" s="1"/>
  <c r="CB256" i="20"/>
  <c r="CA91" i="20"/>
  <c r="CA172" i="20" s="1"/>
  <c r="AY254" i="2"/>
  <c r="AX89" i="2"/>
  <c r="AX170" i="2" s="1"/>
  <c r="CD256" i="20"/>
  <c r="CC91" i="20"/>
  <c r="CC172" i="20" s="1"/>
  <c r="BR254" i="2"/>
  <c r="BQ89" i="2"/>
  <c r="BQ170" i="2" s="1"/>
  <c r="AQ254" i="2"/>
  <c r="AP89" i="2"/>
  <c r="AP170" i="2"/>
  <c r="R254" i="2"/>
  <c r="Q89" i="2"/>
  <c r="Q170" i="2" s="1"/>
  <c r="AZ254" i="2"/>
  <c r="AY89" i="2"/>
  <c r="AY170" i="2" s="1"/>
  <c r="Q254" i="2"/>
  <c r="P89" i="2"/>
  <c r="P170" i="2"/>
  <c r="AW254" i="2"/>
  <c r="AV89" i="2"/>
  <c r="AV170" i="2" s="1"/>
  <c r="CN256" i="20"/>
  <c r="CM91" i="20"/>
  <c r="CM172" i="20" s="1"/>
  <c r="N149" i="2"/>
  <c r="N95" i="2"/>
  <c r="N122" i="2" s="1"/>
  <c r="N186" i="2"/>
  <c r="N176" i="2" s="1"/>
  <c r="Y253" i="2"/>
  <c r="X88" i="2"/>
  <c r="X169" i="2" s="1"/>
  <c r="S253" i="2"/>
  <c r="R88" i="2"/>
  <c r="R169" i="2"/>
  <c r="BR253" i="2"/>
  <c r="BQ88" i="2"/>
  <c r="BQ169" i="2" s="1"/>
  <c r="BD253" i="2"/>
  <c r="BC88" i="2"/>
  <c r="BC169" i="2" s="1"/>
  <c r="CP253" i="2"/>
  <c r="CO88" i="2"/>
  <c r="CO169" i="2"/>
  <c r="BF253" i="2"/>
  <c r="BE88" i="2"/>
  <c r="BE169" i="2" s="1"/>
  <c r="BJ253" i="2"/>
  <c r="BI88" i="2"/>
  <c r="BI169" i="2" s="1"/>
  <c r="O253" i="2"/>
  <c r="N88" i="2"/>
  <c r="N169" i="2" s="1"/>
  <c r="AD253" i="2"/>
  <c r="AC88" i="2"/>
  <c r="AC169" i="2" s="1"/>
  <c r="AI253" i="2"/>
  <c r="AH88" i="2"/>
  <c r="AH169" i="2" s="1"/>
  <c r="CW26" i="2" a="1"/>
  <c r="CW26" i="2" s="1"/>
  <c r="CU26" i="2"/>
  <c r="CT26" i="2"/>
  <c r="CV26" i="2" s="1"/>
  <c r="CW17" i="2" a="1"/>
  <c r="CW17" i="2" s="1"/>
  <c r="CU17" i="2"/>
  <c r="CT17" i="2"/>
  <c r="CV17" i="2" s="1"/>
  <c r="BN256" i="20"/>
  <c r="BM91" i="20"/>
  <c r="BM172" i="20"/>
  <c r="BU256" i="20"/>
  <c r="BT91" i="20"/>
  <c r="BT172" i="20" s="1"/>
  <c r="CK63" i="20"/>
  <c r="BW63" i="20"/>
  <c r="CQ63" i="20"/>
  <c r="AW63" i="20"/>
  <c r="BN63" i="20"/>
  <c r="G63" i="20"/>
  <c r="E63" i="20"/>
  <c r="E90" i="20" s="1"/>
  <c r="E171" i="20" s="1"/>
  <c r="CM63" i="20"/>
  <c r="CH256" i="20"/>
  <c r="CG91" i="20"/>
  <c r="CG172" i="20" s="1"/>
  <c r="I59" i="19"/>
  <c r="BO59" i="19"/>
  <c r="BP251" i="19" s="1"/>
  <c r="BB59" i="19"/>
  <c r="BC251" i="19" s="1"/>
  <c r="BE256" i="20"/>
  <c r="BD91" i="20"/>
  <c r="BD172" i="20"/>
  <c r="CE256" i="20"/>
  <c r="CD91" i="20"/>
  <c r="CD172" i="20" s="1"/>
  <c r="CV35" i="19"/>
  <c r="D227" i="19"/>
  <c r="CQ254" i="2"/>
  <c r="CP89" i="2"/>
  <c r="CP170" i="2"/>
  <c r="AW256" i="20"/>
  <c r="AV91" i="20"/>
  <c r="AV172" i="20" s="1"/>
  <c r="AO254" i="2"/>
  <c r="AN89" i="2"/>
  <c r="AN170" i="2" s="1"/>
  <c r="CJ254" i="2"/>
  <c r="CI89" i="2"/>
  <c r="CI170" i="2"/>
  <c r="T254" i="2"/>
  <c r="S89" i="2"/>
  <c r="S170" i="2" s="1"/>
  <c r="BJ254" i="2"/>
  <c r="BI89" i="2"/>
  <c r="BI170" i="2" s="1"/>
  <c r="P254" i="2"/>
  <c r="O170" i="2"/>
  <c r="O89" i="2"/>
  <c r="CE254" i="2"/>
  <c r="CD89" i="2"/>
  <c r="CD170" i="2" s="1"/>
  <c r="BG256" i="20"/>
  <c r="BF91" i="20"/>
  <c r="BF172" i="20" s="1"/>
  <c r="BB253" i="2"/>
  <c r="BA169" i="2"/>
  <c r="BA88" i="2"/>
  <c r="CO253" i="2"/>
  <c r="CN88" i="2"/>
  <c r="CN169" i="2"/>
  <c r="BP253" i="2"/>
  <c r="BO88" i="2"/>
  <c r="BO169" i="2" s="1"/>
  <c r="CG253" i="2"/>
  <c r="CF88" i="2"/>
  <c r="CF169" i="2" s="1"/>
  <c r="BI253" i="2"/>
  <c r="BH88" i="2"/>
  <c r="BH169" i="2"/>
  <c r="AL253" i="2"/>
  <c r="AK88" i="2"/>
  <c r="AK169" i="2" s="1"/>
  <c r="BG253" i="2"/>
  <c r="BF88" i="2"/>
  <c r="BF169" i="2"/>
  <c r="AC253" i="2"/>
  <c r="AB88" i="2"/>
  <c r="AB169" i="2" s="1"/>
  <c r="AX253" i="2"/>
  <c r="AW88" i="2"/>
  <c r="AW169" i="2"/>
  <c r="AZ253" i="2"/>
  <c r="AY88" i="2"/>
  <c r="AY169" i="2" s="1"/>
  <c r="CN253" i="2"/>
  <c r="CM88" i="2"/>
  <c r="CM169" i="2" s="1"/>
  <c r="B114" i="2"/>
  <c r="CT60" i="2"/>
  <c r="CR60" i="2"/>
  <c r="BE60" i="2"/>
  <c r="AW60" i="2"/>
  <c r="X60" i="2"/>
  <c r="O60" i="2"/>
  <c r="CD60" i="2"/>
  <c r="AR60" i="2"/>
  <c r="BV60" i="2"/>
  <c r="CF60" i="2"/>
  <c r="CP60" i="2"/>
  <c r="W60" i="2"/>
  <c r="CH60" i="2"/>
  <c r="AV60" i="2"/>
  <c r="Z60" i="2"/>
  <c r="Q60" i="2"/>
  <c r="AN60" i="2"/>
  <c r="BQ60" i="2"/>
  <c r="AA60" i="2"/>
  <c r="BH60" i="2"/>
  <c r="CL60" i="2"/>
  <c r="BI60" i="2"/>
  <c r="BC60" i="2"/>
  <c r="CG60" i="2"/>
  <c r="AE60" i="2"/>
  <c r="BL60" i="2"/>
  <c r="BF60" i="2"/>
  <c r="N60" i="2"/>
  <c r="BD60" i="2"/>
  <c r="Y60" i="2"/>
  <c r="AQ60" i="2"/>
  <c r="BX60" i="2"/>
  <c r="AY60" i="2"/>
  <c r="AC60" i="2"/>
  <c r="CI60" i="2"/>
  <c r="AO60" i="2"/>
  <c r="AU60" i="2"/>
  <c r="CB60" i="2"/>
  <c r="AS60" i="2"/>
  <c r="AI60" i="2"/>
  <c r="AT60" i="2"/>
  <c r="CJ60" i="2"/>
  <c r="CK60" i="2"/>
  <c r="BG60" i="2"/>
  <c r="CN60" i="2"/>
  <c r="CE60" i="2"/>
  <c r="G60" i="2"/>
  <c r="G87" i="2" s="1"/>
  <c r="G168" i="2" s="1"/>
  <c r="BT60" i="2"/>
  <c r="F60" i="2"/>
  <c r="BK60" i="2"/>
  <c r="BO60" i="2"/>
  <c r="T60" i="2"/>
  <c r="BZ60" i="2"/>
  <c r="K60" i="2"/>
  <c r="R60" i="2"/>
  <c r="BW60" i="2"/>
  <c r="CS60" i="2"/>
  <c r="D60" i="2"/>
  <c r="BA60" i="2"/>
  <c r="S60" i="2"/>
  <c r="V60" i="2"/>
  <c r="CA60" i="2"/>
  <c r="B59" i="2"/>
  <c r="BY60" i="2"/>
  <c r="E60" i="2"/>
  <c r="AM60" i="2"/>
  <c r="CO60" i="2"/>
  <c r="AH60" i="2"/>
  <c r="CM60" i="2"/>
  <c r="I60" i="2"/>
  <c r="AJ60" i="2"/>
  <c r="BU60" i="2"/>
  <c r="C60" i="2"/>
  <c r="AL60" i="2"/>
  <c r="CQ60" i="2"/>
  <c r="AG60" i="2"/>
  <c r="BS60" i="2"/>
  <c r="M60" i="2"/>
  <c r="AX60" i="2"/>
  <c r="L60" i="2"/>
  <c r="J60" i="2"/>
  <c r="AZ60" i="2"/>
  <c r="AD60" i="2"/>
  <c r="U60" i="2"/>
  <c r="BB60" i="2"/>
  <c r="P60" i="2"/>
  <c r="AK60" i="2"/>
  <c r="H60" i="2"/>
  <c r="H87" i="2" s="1"/>
  <c r="H168" i="2" s="1"/>
  <c r="BM60" i="2"/>
  <c r="BN60" i="2"/>
  <c r="AB60" i="2"/>
  <c r="AP60" i="2"/>
  <c r="BP60" i="2"/>
  <c r="BJ60" i="2"/>
  <c r="CC60" i="2"/>
  <c r="BR60" i="2"/>
  <c r="AF60" i="2"/>
  <c r="AQ256" i="20"/>
  <c r="AP91" i="20"/>
  <c r="AP172" i="20" s="1"/>
  <c r="CU20" i="2"/>
  <c r="CT20" i="2"/>
  <c r="CV20" i="2" s="1"/>
  <c r="CW20" i="2" a="1"/>
  <c r="CW20" i="2" s="1"/>
  <c r="CT19" i="2"/>
  <c r="CV19" i="2" s="1"/>
  <c r="CU19" i="2"/>
  <c r="CW19" i="2" a="1"/>
  <c r="CW19" i="2" s="1"/>
  <c r="CS186" i="2"/>
  <c r="CS176" i="2" s="1"/>
  <c r="CS149" i="2"/>
  <c r="CS95" i="2"/>
  <c r="CS122" i="2" s="1"/>
  <c r="BB256" i="20"/>
  <c r="BA91" i="20"/>
  <c r="BA172" i="20" s="1"/>
  <c r="AU256" i="20"/>
  <c r="AT91" i="20"/>
  <c r="AT172" i="20" s="1"/>
  <c r="AY63" i="20"/>
  <c r="AR63" i="20"/>
  <c r="BQ63" i="20"/>
  <c r="CS63" i="20"/>
  <c r="CS90" i="20" s="1"/>
  <c r="CS171" i="20" s="1"/>
  <c r="BZ63" i="20"/>
  <c r="BK63" i="20"/>
  <c r="BF63" i="20"/>
  <c r="BD63" i="20"/>
  <c r="BC256" i="20"/>
  <c r="BB91" i="20"/>
  <c r="BB172" i="20" s="1"/>
  <c r="CP256" i="20"/>
  <c r="CO172" i="20"/>
  <c r="CO91" i="20"/>
  <c r="CS91" i="20"/>
  <c r="CS172" i="20"/>
  <c r="BW256" i="20"/>
  <c r="BV91" i="20"/>
  <c r="BV172" i="20" s="1"/>
  <c r="AR254" i="2"/>
  <c r="AQ89" i="2"/>
  <c r="AQ170" i="2"/>
  <c r="BS254" i="2"/>
  <c r="BR89" i="2"/>
  <c r="BR170" i="2" s="1"/>
  <c r="BP254" i="2"/>
  <c r="BO89" i="2"/>
  <c r="BO170" i="2" s="1"/>
  <c r="AG254" i="2"/>
  <c r="AF89" i="2"/>
  <c r="AF170" i="2" s="1"/>
  <c r="CC254" i="2"/>
  <c r="CB89" i="2"/>
  <c r="CB170" i="2"/>
  <c r="E89" i="2"/>
  <c r="E170" i="2" s="1"/>
  <c r="F256" i="20"/>
  <c r="E91" i="20"/>
  <c r="E172" i="20" s="1"/>
  <c r="R253" i="2"/>
  <c r="Q88" i="2"/>
  <c r="Q169" i="2" s="1"/>
  <c r="AQ253" i="2"/>
  <c r="AP88" i="2"/>
  <c r="AP169" i="2" s="1"/>
  <c r="BH253" i="2"/>
  <c r="BG88" i="2"/>
  <c r="BG169" i="2" s="1"/>
  <c r="CC253" i="2"/>
  <c r="CB88" i="2"/>
  <c r="CB169" i="2" s="1"/>
  <c r="BK253" i="2"/>
  <c r="BJ88" i="2"/>
  <c r="BJ169" i="2"/>
  <c r="AB253" i="2"/>
  <c r="AA88" i="2"/>
  <c r="AA169" i="2" s="1"/>
  <c r="CD253" i="2"/>
  <c r="CC88" i="2"/>
  <c r="CC169" i="2" s="1"/>
  <c r="U253" i="2"/>
  <c r="T88" i="2"/>
  <c r="T169" i="2" s="1"/>
  <c r="BW253" i="2"/>
  <c r="BV88" i="2"/>
  <c r="BV169" i="2" s="1"/>
  <c r="Q253" i="2"/>
  <c r="P88" i="2"/>
  <c r="P169" i="2" s="1"/>
  <c r="BU253" i="2"/>
  <c r="BT88" i="2"/>
  <c r="BT169" i="2" s="1"/>
  <c r="AM253" i="2"/>
  <c r="AL88" i="2"/>
  <c r="AL169" i="2"/>
  <c r="CS88" i="2"/>
  <c r="CS169" i="2" s="1"/>
  <c r="CC256" i="20"/>
  <c r="CB91" i="20"/>
  <c r="CB172" i="20" s="1"/>
  <c r="CU14" i="2"/>
  <c r="CT14" i="2"/>
  <c r="CV14" i="2" s="1"/>
  <c r="CW14" i="2" a="1"/>
  <c r="CW14" i="2" s="1"/>
  <c r="CT21" i="2"/>
  <c r="CV21" i="2" s="1"/>
  <c r="CU21" i="2"/>
  <c r="CW21" i="2" a="1"/>
  <c r="CW21" i="2" s="1"/>
  <c r="BY256" i="20"/>
  <c r="BX91" i="20"/>
  <c r="BX172" i="20" s="1"/>
  <c r="BL63" i="20"/>
  <c r="H63" i="20"/>
  <c r="K63" i="20"/>
  <c r="CG63" i="20"/>
  <c r="BJ63" i="20"/>
  <c r="I63" i="20"/>
  <c r="BU63" i="20"/>
  <c r="CP63" i="20"/>
  <c r="CR63" i="20"/>
  <c r="G256" i="20"/>
  <c r="F91" i="20"/>
  <c r="F172" i="20"/>
  <c r="BT86" i="19"/>
  <c r="BT167" i="19" s="1"/>
  <c r="CR86" i="19"/>
  <c r="CR167" i="19" s="1"/>
  <c r="CJ86" i="19"/>
  <c r="CJ167" i="19" s="1"/>
  <c r="AT86" i="19"/>
  <c r="AT167" i="19" s="1"/>
  <c r="BR86" i="19"/>
  <c r="BR167" i="19" s="1"/>
  <c r="J59" i="19"/>
  <c r="K251" i="19" s="1"/>
  <c r="N59" i="19"/>
  <c r="O251" i="19" s="1"/>
  <c r="CQ59" i="19"/>
  <c r="CR251" i="19" s="1"/>
  <c r="BK59" i="19"/>
  <c r="BL251" i="19" s="1"/>
  <c r="BL59" i="19"/>
  <c r="BM251" i="19" s="1"/>
  <c r="BU59" i="19"/>
  <c r="BV251" i="19" s="1"/>
  <c r="CC59" i="19"/>
  <c r="CD251" i="19" s="1"/>
  <c r="CM59" i="19"/>
  <c r="CN251" i="19" s="1"/>
  <c r="AR59" i="19"/>
  <c r="AS251" i="19" s="1"/>
  <c r="BA59" i="19"/>
  <c r="BB251" i="19" s="1"/>
  <c r="AQ59" i="19"/>
  <c r="AR251" i="19" s="1"/>
  <c r="P41" i="19"/>
  <c r="P58" i="19" s="1"/>
  <c r="Q250" i="19" s="1"/>
  <c r="O65" i="19"/>
  <c r="P257" i="19" s="1"/>
  <c r="O63" i="19"/>
  <c r="P255" i="19" s="1"/>
  <c r="O62" i="19"/>
  <c r="P254" i="19" s="1"/>
  <c r="O61" i="19"/>
  <c r="P253" i="19" s="1"/>
  <c r="O60" i="19"/>
  <c r="P252" i="19" s="1"/>
  <c r="O64" i="19"/>
  <c r="P256" i="19" s="1"/>
  <c r="A35" i="2"/>
  <c r="B34" i="2"/>
  <c r="CT35" i="2"/>
  <c r="CU35" i="2"/>
  <c r="B90" i="2"/>
  <c r="B171" i="2"/>
  <c r="B144" i="2" s="1"/>
  <c r="BV86" i="19"/>
  <c r="BV167" i="19" s="1"/>
  <c r="B57" i="19"/>
  <c r="G58" i="19"/>
  <c r="N58" i="19"/>
  <c r="O250" i="19" s="1"/>
  <c r="AP58" i="19"/>
  <c r="AQ250" i="19" s="1"/>
  <c r="CT58" i="19"/>
  <c r="AT58" i="19" s="1"/>
  <c r="AU250" i="19" s="1"/>
  <c r="CK58" i="19"/>
  <c r="CL250" i="19" s="1"/>
  <c r="BI58" i="19"/>
  <c r="BJ250" i="19" s="1"/>
  <c r="B112" i="19"/>
  <c r="BX58" i="19"/>
  <c r="BY250" i="19" s="1"/>
  <c r="CA58" i="19"/>
  <c r="CB250" i="19" s="1"/>
  <c r="BP58" i="19"/>
  <c r="BQ250" i="19" s="1"/>
  <c r="CG58" i="19"/>
  <c r="CH250" i="19" s="1"/>
  <c r="BW58" i="19"/>
  <c r="BX250" i="19" s="1"/>
  <c r="CI58" i="19"/>
  <c r="CJ250" i="19" s="1"/>
  <c r="BY58" i="19"/>
  <c r="BZ250" i="19" s="1"/>
  <c r="CJ58" i="19"/>
  <c r="CK250" i="19" s="1"/>
  <c r="BT58" i="19"/>
  <c r="BU250" i="19" s="1"/>
  <c r="AS58" i="19"/>
  <c r="AT250" i="19" s="1"/>
  <c r="BD58" i="19"/>
  <c r="BE250" i="19" s="1"/>
  <c r="CM58" i="19"/>
  <c r="CN250" i="19" s="1"/>
  <c r="AX58" i="19"/>
  <c r="AY250" i="19" s="1"/>
  <c r="AZ58" i="19"/>
  <c r="BA250" i="19" s="1"/>
  <c r="BK58" i="19"/>
  <c r="BL250" i="19" s="1"/>
  <c r="F58" i="19"/>
  <c r="BL58" i="19"/>
  <c r="BM250" i="19" s="1"/>
  <c r="BF58" i="19"/>
  <c r="BG250" i="19" s="1"/>
  <c r="BA58" i="19"/>
  <c r="BB250" i="19" s="1"/>
  <c r="CF58" i="19"/>
  <c r="CG250" i="19" s="1"/>
  <c r="CN58" i="19"/>
  <c r="CO250" i="19" s="1"/>
  <c r="CD58" i="19"/>
  <c r="CE250" i="19" s="1"/>
  <c r="CH58" i="19"/>
  <c r="CI250" i="19" s="1"/>
  <c r="H58" i="19"/>
  <c r="BB58" i="19"/>
  <c r="BC250" i="19" s="1"/>
  <c r="K58" i="19"/>
  <c r="L250" i="19" s="1"/>
  <c r="O58" i="19"/>
  <c r="P250" i="19" s="1"/>
  <c r="J58" i="19"/>
  <c r="CS58" i="19"/>
  <c r="CS85" i="19" s="1"/>
  <c r="CS166" i="19" s="1"/>
  <c r="E58" i="19"/>
  <c r="D58" i="19"/>
  <c r="CE58" i="19"/>
  <c r="CF250" i="19" s="1"/>
  <c r="CC58" i="19"/>
  <c r="CD250" i="19" s="1"/>
  <c r="BC58" i="19"/>
  <c r="BD250" i="19" s="1"/>
  <c r="BE58" i="19"/>
  <c r="BF250" i="19" s="1"/>
  <c r="F351" i="20"/>
  <c r="BS86" i="19"/>
  <c r="BS167" i="19" s="1"/>
  <c r="M90" i="20"/>
  <c r="M171" i="20" s="1"/>
  <c r="CA86" i="19"/>
  <c r="CA167" i="19" s="1"/>
  <c r="AW59" i="19"/>
  <c r="AX251" i="19" s="1"/>
  <c r="E59" i="19"/>
  <c r="CB59" i="19"/>
  <c r="CC251" i="19" s="1"/>
  <c r="CE59" i="19"/>
  <c r="CF251" i="19" s="1"/>
  <c r="CL59" i="19"/>
  <c r="CM251" i="19" s="1"/>
  <c r="BQ59" i="19"/>
  <c r="BR251" i="19" s="1"/>
  <c r="O59" i="19"/>
  <c r="P251" i="19" s="1"/>
  <c r="AX59" i="19"/>
  <c r="AY251" i="19" s="1"/>
  <c r="M59" i="19"/>
  <c r="N251" i="19" s="1"/>
  <c r="BD59" i="19"/>
  <c r="BE251" i="19" s="1"/>
  <c r="BE59" i="19"/>
  <c r="BF251" i="19" s="1"/>
  <c r="CP59" i="19"/>
  <c r="CQ251" i="19" s="1"/>
  <c r="A256" i="2"/>
  <c r="A91" i="2"/>
  <c r="A228" i="2"/>
  <c r="H86" i="19"/>
  <c r="H167" i="19" s="1"/>
  <c r="CO86" i="19"/>
  <c r="CO167" i="19" s="1"/>
  <c r="BH86" i="19"/>
  <c r="BH167" i="19" s="1"/>
  <c r="N89" i="19"/>
  <c r="N170" i="19" s="1"/>
  <c r="K86" i="19"/>
  <c r="K167" i="19" s="1"/>
  <c r="BM86" i="19"/>
  <c r="BM167" i="19" s="1"/>
  <c r="AO86" i="19"/>
  <c r="AO167" i="19" s="1"/>
  <c r="F86" i="19"/>
  <c r="F167" i="19" s="1"/>
  <c r="F342" i="19"/>
  <c r="CG59" i="19"/>
  <c r="CH251" i="19" s="1"/>
  <c r="L59" i="19"/>
  <c r="M251" i="19" s="1"/>
  <c r="D59" i="19"/>
  <c r="BI59" i="19"/>
  <c r="BJ251" i="19" s="1"/>
  <c r="CD59" i="19"/>
  <c r="CE251" i="19" s="1"/>
  <c r="AU59" i="19"/>
  <c r="AV251" i="19" s="1"/>
  <c r="AV59" i="19"/>
  <c r="AW251" i="19" s="1"/>
  <c r="CH59" i="19"/>
  <c r="CI251" i="19" s="1"/>
  <c r="AS59" i="19"/>
  <c r="AT251" i="19" s="1"/>
  <c r="H13" i="19"/>
  <c r="G68" i="19"/>
  <c r="G12" i="19"/>
  <c r="CV34" i="19"/>
  <c r="D226" i="19"/>
  <c r="BX86" i="19"/>
  <c r="BX167" i="19" s="1"/>
  <c r="I86" i="19"/>
  <c r="I167" i="19" s="1"/>
  <c r="CF86" i="19"/>
  <c r="CF167" i="19" s="1"/>
  <c r="BC86" i="19"/>
  <c r="BC167" i="19" s="1"/>
  <c r="BF86" i="19"/>
  <c r="BF167" i="19" s="1"/>
  <c r="AY86" i="19"/>
  <c r="AY167" i="19" s="1"/>
  <c r="CN86" i="19"/>
  <c r="CN167" i="19" s="1"/>
  <c r="AZ86" i="19"/>
  <c r="AZ167" i="19" s="1"/>
  <c r="M91" i="20"/>
  <c r="M172" i="20" s="1"/>
  <c r="F186" i="19"/>
  <c r="F176" i="19" s="1"/>
  <c r="F95" i="19"/>
  <c r="F122" i="19" s="1"/>
  <c r="F149" i="19"/>
  <c r="F12" i="20"/>
  <c r="F68" i="20"/>
  <c r="G13" i="20"/>
  <c r="N87" i="19"/>
  <c r="N168" i="19" s="1"/>
  <c r="E95" i="20"/>
  <c r="E122" i="20" s="1"/>
  <c r="E186" i="20"/>
  <c r="E176" i="20" s="1"/>
  <c r="E149" i="20"/>
  <c r="BW86" i="19"/>
  <c r="BW167" i="19" s="1"/>
  <c r="BY86" i="19"/>
  <c r="BY167" i="19" s="1"/>
  <c r="BB86" i="19"/>
  <c r="BB167" i="19" s="1"/>
  <c r="N88" i="19"/>
  <c r="N169" i="19" s="1"/>
  <c r="B170" i="20"/>
  <c r="B143" i="20" s="1"/>
  <c r="B89" i="20"/>
  <c r="A34" i="20"/>
  <c r="B33" i="20"/>
  <c r="BZ86" i="19"/>
  <c r="BZ167" i="19" s="1"/>
  <c r="C251" i="19"/>
  <c r="BG86" i="19"/>
  <c r="BG167" i="19" s="1"/>
  <c r="BJ86" i="19"/>
  <c r="BJ167" i="19" s="1"/>
  <c r="BP86" i="19"/>
  <c r="BP167" i="19" s="1"/>
  <c r="M92" i="20"/>
  <c r="M173" i="20" s="1"/>
  <c r="N92" i="19"/>
  <c r="N173" i="19" s="1"/>
  <c r="CR149" i="20"/>
  <c r="CR186" i="20"/>
  <c r="CR176" i="20" s="1"/>
  <c r="CR95" i="20"/>
  <c r="CR122" i="20" s="1"/>
  <c r="B32" i="19"/>
  <c r="A33" i="19"/>
  <c r="B169" i="19"/>
  <c r="B142" i="19" s="1"/>
  <c r="B88" i="19"/>
  <c r="CU33" i="19"/>
  <c r="CT33" i="19"/>
  <c r="A255" i="20"/>
  <c r="A227" i="20"/>
  <c r="A90" i="20"/>
  <c r="CK86" i="19"/>
  <c r="CK167" i="19" s="1"/>
  <c r="BO86" i="19"/>
  <c r="BO167" i="19" s="1"/>
  <c r="CI86" i="19"/>
  <c r="CI167" i="19" s="1"/>
  <c r="BN59" i="19"/>
  <c r="BO251" i="19" s="1"/>
  <c r="G59" i="19"/>
  <c r="O41" i="20"/>
  <c r="N63" i="20"/>
  <c r="O255" i="20" s="1"/>
  <c r="N64" i="20"/>
  <c r="O256" i="20" s="1"/>
  <c r="N65" i="20"/>
  <c r="O257" i="20" s="1"/>
  <c r="N62" i="20"/>
  <c r="O254" i="20" s="1"/>
  <c r="N91" i="19"/>
  <c r="N172" i="19" s="1"/>
  <c r="CX32" i="20"/>
  <c r="CX24" i="20"/>
  <c r="CX16" i="20"/>
  <c r="CS68" i="20"/>
  <c r="CX30" i="20"/>
  <c r="CX22" i="20"/>
  <c r="CX14" i="20"/>
  <c r="CX37" i="20"/>
  <c r="CX29" i="20"/>
  <c r="CS12" i="20"/>
  <c r="CX18" i="20"/>
  <c r="CX36" i="20"/>
  <c r="CX28" i="20"/>
  <c r="CX17" i="20"/>
  <c r="CX35" i="20"/>
  <c r="CX27" i="20"/>
  <c r="CX21" i="20"/>
  <c r="CX34" i="20"/>
  <c r="CX26" i="20"/>
  <c r="CX15" i="20"/>
  <c r="CX23" i="20"/>
  <c r="CX20" i="20"/>
  <c r="CX19" i="20"/>
  <c r="CX33" i="20"/>
  <c r="CX31" i="20"/>
  <c r="CX25" i="20"/>
  <c r="A254" i="19"/>
  <c r="A226" i="19"/>
  <c r="A89" i="19"/>
  <c r="CV36" i="2"/>
  <c r="D228" i="2"/>
  <c r="CH255" i="20" l="1"/>
  <c r="CG90" i="20"/>
  <c r="CG171" i="20"/>
  <c r="AZ255" i="20"/>
  <c r="AY90" i="20"/>
  <c r="AY171" i="20" s="1"/>
  <c r="AQ252" i="2"/>
  <c r="AP87" i="2"/>
  <c r="AP168" i="2"/>
  <c r="V252" i="2"/>
  <c r="U87" i="2"/>
  <c r="U168" i="2" s="1"/>
  <c r="AH252" i="2"/>
  <c r="AG87" i="2"/>
  <c r="AG168" i="2" s="1"/>
  <c r="AI252" i="2"/>
  <c r="AH87" i="2"/>
  <c r="AH168" i="2"/>
  <c r="T252" i="2"/>
  <c r="S168" i="2"/>
  <c r="S87" i="2"/>
  <c r="U252" i="2"/>
  <c r="T87" i="2"/>
  <c r="T168" i="2" s="1"/>
  <c r="BH252" i="2"/>
  <c r="BG87" i="2"/>
  <c r="BG168" i="2"/>
  <c r="AP252" i="2"/>
  <c r="AO87" i="2"/>
  <c r="AO168" i="2" s="1"/>
  <c r="O252" i="2"/>
  <c r="N87" i="2"/>
  <c r="N168" i="2" s="1"/>
  <c r="BI252" i="2"/>
  <c r="BH87" i="2"/>
  <c r="BH168" i="2" s="1"/>
  <c r="X252" i="2"/>
  <c r="W87" i="2"/>
  <c r="W168" i="2" s="1"/>
  <c r="AX252" i="2"/>
  <c r="AW168" i="2"/>
  <c r="AW87" i="2"/>
  <c r="CN255" i="20"/>
  <c r="CM90" i="20"/>
  <c r="CM171" i="20" s="1"/>
  <c r="O186" i="2"/>
  <c r="O176" i="2" s="1"/>
  <c r="O95" i="2"/>
  <c r="O122" i="2" s="1"/>
  <c r="O149" i="2"/>
  <c r="CP255" i="20"/>
  <c r="CO90" i="20"/>
  <c r="CO171" i="20" s="1"/>
  <c r="B251" i="20"/>
  <c r="B222" i="20"/>
  <c r="CP254" i="20"/>
  <c r="CO89" i="20"/>
  <c r="CO170" i="20"/>
  <c r="BU254" i="20"/>
  <c r="BT89" i="20"/>
  <c r="BT170" i="20" s="1"/>
  <c r="I254" i="20"/>
  <c r="H89" i="20"/>
  <c r="H170" i="20" s="1"/>
  <c r="CQ254" i="20"/>
  <c r="CP89" i="20"/>
  <c r="CP170" i="20" s="1"/>
  <c r="CF254" i="20"/>
  <c r="CE89" i="20"/>
  <c r="CE170" i="20" s="1"/>
  <c r="AU254" i="20"/>
  <c r="AT89" i="20"/>
  <c r="AT170" i="20"/>
  <c r="BG254" i="20"/>
  <c r="BF89" i="20"/>
  <c r="BF170" i="20"/>
  <c r="CR254" i="20"/>
  <c r="CQ89" i="20"/>
  <c r="CQ170" i="20" s="1"/>
  <c r="BY255" i="20"/>
  <c r="BX90" i="20"/>
  <c r="BX171" i="20"/>
  <c r="M58" i="19"/>
  <c r="N250" i="19" s="1"/>
  <c r="L255" i="20"/>
  <c r="K90" i="20"/>
  <c r="K171" i="20" s="1"/>
  <c r="BE255" i="20"/>
  <c r="BD90" i="20"/>
  <c r="BD171" i="20" s="1"/>
  <c r="AC252" i="2"/>
  <c r="AB87" i="2"/>
  <c r="AB168" i="2" s="1"/>
  <c r="AE252" i="2"/>
  <c r="AD87" i="2"/>
  <c r="AD168" i="2" s="1"/>
  <c r="CR252" i="2"/>
  <c r="CQ87" i="2"/>
  <c r="CQ168" i="2" s="1"/>
  <c r="CP252" i="2"/>
  <c r="CO87" i="2"/>
  <c r="CO168" i="2" s="1"/>
  <c r="BB252" i="2"/>
  <c r="BA87" i="2"/>
  <c r="BA168" i="2"/>
  <c r="BP252" i="2"/>
  <c r="BO87" i="2"/>
  <c r="BO168" i="2" s="1"/>
  <c r="CL252" i="2"/>
  <c r="CK168" i="2"/>
  <c r="CK87" i="2"/>
  <c r="CJ252" i="2"/>
  <c r="CI87" i="2"/>
  <c r="CI168" i="2" s="1"/>
  <c r="BG252" i="2"/>
  <c r="BF87" i="2"/>
  <c r="BF168" i="2" s="1"/>
  <c r="AB252" i="2"/>
  <c r="AA87" i="2"/>
  <c r="AA168" i="2" s="1"/>
  <c r="CQ252" i="2"/>
  <c r="CP87" i="2"/>
  <c r="CP168" i="2"/>
  <c r="BF252" i="2"/>
  <c r="BE168" i="2"/>
  <c r="BE87" i="2"/>
  <c r="CD255" i="20"/>
  <c r="CC90" i="20"/>
  <c r="CC171" i="20" s="1"/>
  <c r="D229" i="2"/>
  <c r="CV37" i="2"/>
  <c r="B325" i="20"/>
  <c r="BS62" i="20"/>
  <c r="BN62" i="20"/>
  <c r="BW62" i="20"/>
  <c r="BD62" i="20"/>
  <c r="BU62" i="20"/>
  <c r="BB62" i="20"/>
  <c r="BL62" i="20"/>
  <c r="CF62" i="20"/>
  <c r="BC255" i="20"/>
  <c r="BB90" i="20"/>
  <c r="BB171" i="20" s="1"/>
  <c r="BA255" i="20"/>
  <c r="AZ90" i="20"/>
  <c r="AZ171" i="20" s="1"/>
  <c r="B252" i="2"/>
  <c r="B223" i="2"/>
  <c r="I255" i="20"/>
  <c r="H90" i="20"/>
  <c r="H171" i="20" s="1"/>
  <c r="BG255" i="20"/>
  <c r="BF90" i="20"/>
  <c r="BF171" i="20"/>
  <c r="BO252" i="2"/>
  <c r="BN87" i="2"/>
  <c r="BN168" i="2" s="1"/>
  <c r="BA252" i="2"/>
  <c r="AZ87" i="2"/>
  <c r="AZ168" i="2" s="1"/>
  <c r="AM252" i="2"/>
  <c r="AL87" i="2"/>
  <c r="AL168" i="2" s="1"/>
  <c r="AN252" i="2"/>
  <c r="AM87" i="2"/>
  <c r="AM168" i="2" s="1"/>
  <c r="D87" i="2"/>
  <c r="D168" i="2" s="1"/>
  <c r="BL252" i="2"/>
  <c r="BK87" i="2"/>
  <c r="BK168" i="2" s="1"/>
  <c r="CK252" i="2"/>
  <c r="CJ87" i="2"/>
  <c r="CJ168" i="2" s="1"/>
  <c r="AD252" i="2"/>
  <c r="AC87" i="2"/>
  <c r="AC168" i="2"/>
  <c r="BM252" i="2"/>
  <c r="BL87" i="2"/>
  <c r="BL168" i="2" s="1"/>
  <c r="BR252" i="2"/>
  <c r="BQ87" i="2"/>
  <c r="BQ168" i="2" s="1"/>
  <c r="CG252" i="2"/>
  <c r="CF87" i="2"/>
  <c r="CF168" i="2" s="1"/>
  <c r="CS252" i="2"/>
  <c r="CR87" i="2"/>
  <c r="CR168" i="2" s="1"/>
  <c r="H255" i="20"/>
  <c r="G90" i="20"/>
  <c r="G171" i="20" s="1"/>
  <c r="BT255" i="20"/>
  <c r="BS90" i="20"/>
  <c r="BS171" i="20" s="1"/>
  <c r="AP62" i="20"/>
  <c r="AX62" i="20"/>
  <c r="I62" i="20"/>
  <c r="BA62" i="20"/>
  <c r="BV62" i="20"/>
  <c r="CR62" i="20"/>
  <c r="CN62" i="20"/>
  <c r="BM62" i="20"/>
  <c r="AV62" i="20"/>
  <c r="AU255" i="20"/>
  <c r="AT90" i="20"/>
  <c r="AT171" i="20" s="1"/>
  <c r="CJ255" i="20"/>
  <c r="CI90" i="20"/>
  <c r="CI171" i="20" s="1"/>
  <c r="C253" i="2"/>
  <c r="B326" i="2"/>
  <c r="AP86" i="19"/>
  <c r="AP167" i="19" s="1"/>
  <c r="CS255" i="20"/>
  <c r="CR90" i="20"/>
  <c r="CR171" i="20" s="1"/>
  <c r="BM255" i="20"/>
  <c r="BL90" i="20"/>
  <c r="BL171" i="20" s="1"/>
  <c r="BL255" i="20"/>
  <c r="BK90" i="20"/>
  <c r="BK171" i="20" s="1"/>
  <c r="AG252" i="2"/>
  <c r="AF87" i="2"/>
  <c r="AF168" i="2"/>
  <c r="BN252" i="2"/>
  <c r="BM87" i="2"/>
  <c r="BM168" i="2" s="1"/>
  <c r="K252" i="2"/>
  <c r="J87" i="2"/>
  <c r="J168" i="2" s="1"/>
  <c r="E87" i="2"/>
  <c r="E168" i="2" s="1"/>
  <c r="CS87" i="2"/>
  <c r="CS168" i="2" s="1"/>
  <c r="F87" i="2"/>
  <c r="F168" i="2"/>
  <c r="AU252" i="2"/>
  <c r="AT87" i="2"/>
  <c r="AT168" i="2" s="1"/>
  <c r="AZ252" i="2"/>
  <c r="AY87" i="2"/>
  <c r="AY168" i="2" s="1"/>
  <c r="AF252" i="2"/>
  <c r="AE87" i="2"/>
  <c r="AE168" i="2"/>
  <c r="AO252" i="2"/>
  <c r="AN87" i="2"/>
  <c r="AN168" i="2" s="1"/>
  <c r="BW252" i="2"/>
  <c r="BV87" i="2"/>
  <c r="BV168" i="2" s="1"/>
  <c r="BO255" i="20"/>
  <c r="BN90" i="20"/>
  <c r="BN171" i="20" s="1"/>
  <c r="CI255" i="20"/>
  <c r="CH90" i="20"/>
  <c r="CH171" i="20" s="1"/>
  <c r="L62" i="20"/>
  <c r="CA62" i="20"/>
  <c r="AR62" i="20"/>
  <c r="AQ62" i="20"/>
  <c r="BJ62" i="20"/>
  <c r="CL62" i="20"/>
  <c r="CD62" i="20"/>
  <c r="F62" i="20"/>
  <c r="F89" i="20" s="1"/>
  <c r="F170" i="20" s="1"/>
  <c r="BJ255" i="20"/>
  <c r="BI90" i="20"/>
  <c r="BI171" i="20" s="1"/>
  <c r="CB255" i="20"/>
  <c r="CA90" i="20"/>
  <c r="CA171" i="20" s="1"/>
  <c r="CQ255" i="20"/>
  <c r="CP90" i="20"/>
  <c r="CP171" i="20" s="1"/>
  <c r="CA255" i="20"/>
  <c r="BZ90" i="20"/>
  <c r="BZ171" i="20" s="1"/>
  <c r="BS252" i="2"/>
  <c r="BR87" i="2"/>
  <c r="BR168" i="2" s="1"/>
  <c r="M252" i="2"/>
  <c r="L87" i="2"/>
  <c r="L168" i="2" s="1"/>
  <c r="BV252" i="2"/>
  <c r="BU87" i="2"/>
  <c r="BU168" i="2" s="1"/>
  <c r="BZ252" i="2"/>
  <c r="BY87" i="2"/>
  <c r="BY168" i="2" s="1"/>
  <c r="BX252" i="2"/>
  <c r="BW87" i="2"/>
  <c r="BW168" i="2" s="1"/>
  <c r="BU252" i="2"/>
  <c r="BT168" i="2"/>
  <c r="BT87" i="2"/>
  <c r="AJ252" i="2"/>
  <c r="AI87" i="2"/>
  <c r="AI168" i="2" s="1"/>
  <c r="BY252" i="2"/>
  <c r="BX87" i="2"/>
  <c r="BX168" i="2"/>
  <c r="CH252" i="2"/>
  <c r="CG87" i="2"/>
  <c r="CG168" i="2" s="1"/>
  <c r="R252" i="2"/>
  <c r="Q87" i="2"/>
  <c r="Q168" i="2" s="1"/>
  <c r="AS252" i="2"/>
  <c r="AR87" i="2"/>
  <c r="AR168" i="2"/>
  <c r="AX255" i="20"/>
  <c r="AW171" i="20"/>
  <c r="AW90" i="20"/>
  <c r="BB255" i="20"/>
  <c r="BA90" i="20"/>
  <c r="BA171" i="20"/>
  <c r="BR254" i="20"/>
  <c r="BQ89" i="20"/>
  <c r="BQ170" i="20" s="1"/>
  <c r="AT254" i="20"/>
  <c r="AS89" i="20"/>
  <c r="AS170" i="20" s="1"/>
  <c r="H254" i="20"/>
  <c r="G89" i="20"/>
  <c r="G170" i="20" s="1"/>
  <c r="BH62" i="20"/>
  <c r="M62" i="20"/>
  <c r="CC62" i="20"/>
  <c r="CJ62" i="20"/>
  <c r="BK62" i="20"/>
  <c r="CM62" i="20"/>
  <c r="BD255" i="20"/>
  <c r="BC90" i="20"/>
  <c r="BC171" i="20"/>
  <c r="CO255" i="20"/>
  <c r="CN90" i="20"/>
  <c r="CN171" i="20" s="1"/>
  <c r="BV255" i="20"/>
  <c r="BU90" i="20"/>
  <c r="BU171" i="20" s="1"/>
  <c r="CD252" i="2"/>
  <c r="CC87" i="2"/>
  <c r="CC168" i="2"/>
  <c r="AL252" i="2"/>
  <c r="AK87" i="2"/>
  <c r="AK168" i="2" s="1"/>
  <c r="AY252" i="2"/>
  <c r="AX87" i="2"/>
  <c r="AX168" i="2"/>
  <c r="AK252" i="2"/>
  <c r="AJ87" i="2"/>
  <c r="AJ168" i="2"/>
  <c r="CT59" i="2"/>
  <c r="CN59" i="2" s="1"/>
  <c r="T59" i="2"/>
  <c r="BG59" i="2"/>
  <c r="U59" i="2"/>
  <c r="CO59" i="2"/>
  <c r="AL59" i="2"/>
  <c r="AJ59" i="2"/>
  <c r="AK59" i="2"/>
  <c r="BZ59" i="2"/>
  <c r="B113" i="2"/>
  <c r="AZ59" i="2"/>
  <c r="H59" i="2"/>
  <c r="H86" i="2" s="1"/>
  <c r="H167" i="2" s="1"/>
  <c r="BA59" i="2"/>
  <c r="CE59" i="2"/>
  <c r="CS59" i="2"/>
  <c r="W59" i="2"/>
  <c r="X59" i="2"/>
  <c r="BK59" i="2"/>
  <c r="Y59" i="2"/>
  <c r="B58" i="2"/>
  <c r="CI59" i="2"/>
  <c r="CM59" i="2"/>
  <c r="BB59" i="2"/>
  <c r="CF59" i="2"/>
  <c r="CH59" i="2"/>
  <c r="BF59" i="2"/>
  <c r="K59" i="2"/>
  <c r="AH59" i="2"/>
  <c r="L59" i="2"/>
  <c r="N59" i="2"/>
  <c r="V59" i="2"/>
  <c r="AA59" i="2"/>
  <c r="AB59" i="2"/>
  <c r="AS59" i="2"/>
  <c r="CD59" i="2"/>
  <c r="AQ59" i="2"/>
  <c r="BR59" i="2"/>
  <c r="AR59" i="2"/>
  <c r="S252" i="2"/>
  <c r="R87" i="2"/>
  <c r="R168" i="2"/>
  <c r="AT252" i="2"/>
  <c r="AS87" i="2"/>
  <c r="AS168" i="2"/>
  <c r="AR252" i="2"/>
  <c r="AQ87" i="2"/>
  <c r="AQ168" i="2" s="1"/>
  <c r="BD252" i="2"/>
  <c r="BC87" i="2"/>
  <c r="BC168" i="2" s="1"/>
  <c r="AA252" i="2"/>
  <c r="Z87" i="2"/>
  <c r="Z168" i="2" s="1"/>
  <c r="CE252" i="2"/>
  <c r="CD87" i="2"/>
  <c r="CD168" i="2" s="1"/>
  <c r="CR255" i="20"/>
  <c r="CQ90" i="20"/>
  <c r="CQ171" i="20" s="1"/>
  <c r="BF255" i="20"/>
  <c r="BE90" i="20"/>
  <c r="BE171" i="20"/>
  <c r="AZ254" i="20"/>
  <c r="AY89" i="20"/>
  <c r="AY170" i="20" s="1"/>
  <c r="AZ62" i="20"/>
  <c r="BI62" i="20"/>
  <c r="BR62" i="20"/>
  <c r="BX62" i="20"/>
  <c r="CS62" i="20"/>
  <c r="CS89" i="20" s="1"/>
  <c r="CS170" i="20" s="1"/>
  <c r="D62" i="20"/>
  <c r="D89" i="20" s="1"/>
  <c r="D170" i="20" s="1"/>
  <c r="CK62" i="20"/>
  <c r="BZ62" i="20"/>
  <c r="CC255" i="20"/>
  <c r="CB90" i="20"/>
  <c r="CB171" i="20" s="1"/>
  <c r="AR255" i="20"/>
  <c r="AQ90" i="20"/>
  <c r="AQ171" i="20" s="1"/>
  <c r="J255" i="20"/>
  <c r="I90" i="20"/>
  <c r="I171" i="20" s="1"/>
  <c r="BR255" i="20"/>
  <c r="BQ171" i="20"/>
  <c r="BQ90" i="20"/>
  <c r="BK252" i="2"/>
  <c r="BJ87" i="2"/>
  <c r="BJ168" i="2" s="1"/>
  <c r="Q252" i="2"/>
  <c r="P87" i="2"/>
  <c r="P168" i="2" s="1"/>
  <c r="N252" i="2"/>
  <c r="M87" i="2"/>
  <c r="M168" i="2" s="1"/>
  <c r="J252" i="2"/>
  <c r="I87" i="2"/>
  <c r="I168" i="2" s="1"/>
  <c r="CB252" i="2"/>
  <c r="CA87" i="2"/>
  <c r="CA168" i="2" s="1"/>
  <c r="L252" i="2"/>
  <c r="K87" i="2"/>
  <c r="K168" i="2" s="1"/>
  <c r="CF252" i="2"/>
  <c r="CE87" i="2"/>
  <c r="CE168" i="2" s="1"/>
  <c r="CC252" i="2"/>
  <c r="CB87" i="2"/>
  <c r="CB168" i="2" s="1"/>
  <c r="Z252" i="2"/>
  <c r="Y87" i="2"/>
  <c r="Y168" i="2" s="1"/>
  <c r="BJ252" i="2"/>
  <c r="BI87" i="2"/>
  <c r="BI168" i="2" s="1"/>
  <c r="AW252" i="2"/>
  <c r="AV87" i="2"/>
  <c r="AV168" i="2" s="1"/>
  <c r="P252" i="2"/>
  <c r="O87" i="2"/>
  <c r="O168" i="2" s="1"/>
  <c r="BW90" i="20"/>
  <c r="BW171" i="20" s="1"/>
  <c r="BX255" i="20"/>
  <c r="BY90" i="20"/>
  <c r="BY171" i="20" s="1"/>
  <c r="BZ255" i="20"/>
  <c r="B250" i="19"/>
  <c r="B323" i="19" s="1"/>
  <c r="B221" i="19"/>
  <c r="CC254" i="20"/>
  <c r="CB89" i="20"/>
  <c r="CB170" i="20" s="1"/>
  <c r="AV254" i="20"/>
  <c r="AU89" i="20"/>
  <c r="AU170" i="20" s="1"/>
  <c r="BP254" i="20"/>
  <c r="BO89" i="20"/>
  <c r="BO170" i="20" s="1"/>
  <c r="CI254" i="20"/>
  <c r="CH89" i="20"/>
  <c r="CH170" i="20" s="1"/>
  <c r="K254" i="20"/>
  <c r="J89" i="20"/>
  <c r="J170" i="20"/>
  <c r="CH254" i="20"/>
  <c r="CG89" i="20"/>
  <c r="CG170" i="20" s="1"/>
  <c r="BD254" i="20"/>
  <c r="BC89" i="20"/>
  <c r="BC170" i="20" s="1"/>
  <c r="BZ254" i="20"/>
  <c r="BY89" i="20"/>
  <c r="BY170" i="20" s="1"/>
  <c r="AR61" i="20"/>
  <c r="B115" i="20"/>
  <c r="B60" i="20"/>
  <c r="BY61" i="20"/>
  <c r="CT61" i="20"/>
  <c r="AV61" i="20" s="1"/>
  <c r="AS61" i="20"/>
  <c r="BF61" i="20"/>
  <c r="AQ61" i="20"/>
  <c r="CF61" i="20"/>
  <c r="CG61" i="20"/>
  <c r="F61" i="20"/>
  <c r="F88" i="20" s="1"/>
  <c r="F169" i="20" s="1"/>
  <c r="G61" i="20"/>
  <c r="G88" i="20" s="1"/>
  <c r="G169" i="20" s="1"/>
  <c r="M61" i="20"/>
  <c r="BQ61" i="20"/>
  <c r="CP61" i="20"/>
  <c r="CJ61" i="20"/>
  <c r="BX61" i="20"/>
  <c r="BO61" i="20"/>
  <c r="BK61" i="20"/>
  <c r="AO61" i="20"/>
  <c r="BR61" i="20"/>
  <c r="H61" i="20"/>
  <c r="CE255" i="20"/>
  <c r="CD90" i="20"/>
  <c r="CD171" i="20"/>
  <c r="AY255" i="20"/>
  <c r="AX90" i="20"/>
  <c r="AX171" i="20" s="1"/>
  <c r="BK255" i="20"/>
  <c r="BJ90" i="20"/>
  <c r="BJ171" i="20" s="1"/>
  <c r="AS255" i="20"/>
  <c r="AR90" i="20"/>
  <c r="AR171" i="20" s="1"/>
  <c r="BQ252" i="2"/>
  <c r="BP87" i="2"/>
  <c r="BP168" i="2" s="1"/>
  <c r="BC252" i="2"/>
  <c r="BB87" i="2"/>
  <c r="BB168" i="2" s="1"/>
  <c r="BT252" i="2"/>
  <c r="BS87" i="2"/>
  <c r="BS168" i="2" s="1"/>
  <c r="CN252" i="2"/>
  <c r="CM87" i="2"/>
  <c r="CM168" i="2" s="1"/>
  <c r="W252" i="2"/>
  <c r="V87" i="2"/>
  <c r="V168" i="2" s="1"/>
  <c r="CA252" i="2"/>
  <c r="BZ87" i="2"/>
  <c r="BZ168" i="2" s="1"/>
  <c r="CO252" i="2"/>
  <c r="CN87" i="2"/>
  <c r="CN168" i="2" s="1"/>
  <c r="AV252" i="2"/>
  <c r="AU87" i="2"/>
  <c r="AU168" i="2"/>
  <c r="BE252" i="2"/>
  <c r="BD87" i="2"/>
  <c r="BD168" i="2" s="1"/>
  <c r="CM252" i="2"/>
  <c r="CL87" i="2"/>
  <c r="CL168" i="2" s="1"/>
  <c r="CI252" i="2"/>
  <c r="CH87" i="2"/>
  <c r="CH168" i="2" s="1"/>
  <c r="Y252" i="2"/>
  <c r="X87" i="2"/>
  <c r="X168" i="2"/>
  <c r="CL255" i="20"/>
  <c r="CK90" i="20"/>
  <c r="CK171" i="20" s="1"/>
  <c r="P12" i="2"/>
  <c r="P68" i="2"/>
  <c r="Q13" i="2"/>
  <c r="BH255" i="20"/>
  <c r="BG90" i="20"/>
  <c r="BG171" i="20" s="1"/>
  <c r="C62" i="20"/>
  <c r="C254" i="20" s="1"/>
  <c r="BG62" i="20"/>
  <c r="BP62" i="20"/>
  <c r="BE62" i="20"/>
  <c r="CI62" i="20"/>
  <c r="AW62" i="20"/>
  <c r="K62" i="20"/>
  <c r="AO62" i="20"/>
  <c r="CM255" i="20"/>
  <c r="CL90" i="20"/>
  <c r="CL171" i="20" s="1"/>
  <c r="AT255" i="20"/>
  <c r="AS90" i="20"/>
  <c r="AS171" i="20"/>
  <c r="AT85" i="19"/>
  <c r="AT166" i="19" s="1"/>
  <c r="A253" i="19"/>
  <c r="A225" i="19"/>
  <c r="A88" i="19"/>
  <c r="CW31" i="20" a="1"/>
  <c r="CW31" i="20" s="1"/>
  <c r="CW21" i="20" a="1"/>
  <c r="CW21" i="20" s="1"/>
  <c r="CT21" i="20"/>
  <c r="CV21" i="20" s="1"/>
  <c r="CU21" i="20"/>
  <c r="CW29" i="20" a="1"/>
  <c r="CW29" i="20" s="1"/>
  <c r="CW32" i="20" a="1"/>
  <c r="CW32" i="20" s="1"/>
  <c r="N91" i="20"/>
  <c r="N172" i="20" s="1"/>
  <c r="B31" i="19"/>
  <c r="B168" i="19"/>
  <c r="B141" i="19" s="1"/>
  <c r="A32" i="19"/>
  <c r="B87" i="19"/>
  <c r="CT32" i="19"/>
  <c r="CU32" i="19"/>
  <c r="G12" i="20"/>
  <c r="G68" i="20"/>
  <c r="H13" i="20"/>
  <c r="AS86" i="19"/>
  <c r="AS167" i="19" s="1"/>
  <c r="L86" i="19"/>
  <c r="L167" i="19" s="1"/>
  <c r="BQ86" i="19"/>
  <c r="BQ167" i="19" s="1"/>
  <c r="F352" i="20"/>
  <c r="E85" i="19"/>
  <c r="E166" i="19" s="1"/>
  <c r="K85" i="19"/>
  <c r="K166" i="19" s="1"/>
  <c r="P85" i="19"/>
  <c r="P166" i="19" s="1"/>
  <c r="AZ85" i="19"/>
  <c r="AZ166" i="19" s="1"/>
  <c r="BW85" i="19"/>
  <c r="BW166" i="19" s="1"/>
  <c r="G85" i="19"/>
  <c r="G166" i="19" s="1"/>
  <c r="A255" i="2"/>
  <c r="A90" i="2"/>
  <c r="A227" i="2"/>
  <c r="Q41" i="19"/>
  <c r="P64" i="19"/>
  <c r="Q256" i="19" s="1"/>
  <c r="P65" i="19"/>
  <c r="Q257" i="19" s="1"/>
  <c r="P63" i="19"/>
  <c r="Q255" i="19" s="1"/>
  <c r="P62" i="19"/>
  <c r="Q254" i="19" s="1"/>
  <c r="P61" i="19"/>
  <c r="Q253" i="19" s="1"/>
  <c r="P60" i="19"/>
  <c r="Q252" i="19" s="1"/>
  <c r="P59" i="19"/>
  <c r="Q251" i="19" s="1"/>
  <c r="BK86" i="19"/>
  <c r="BK167" i="19" s="1"/>
  <c r="CW15" i="20" a="1"/>
  <c r="CW15" i="20" s="1"/>
  <c r="CU15" i="20"/>
  <c r="CT15" i="20"/>
  <c r="CV15" i="20" s="1"/>
  <c r="N92" i="20"/>
  <c r="N173" i="20" s="1"/>
  <c r="A226" i="20"/>
  <c r="A89" i="20"/>
  <c r="A254" i="20"/>
  <c r="CW33" i="20" a="1"/>
  <c r="CW33" i="20" s="1"/>
  <c r="CT33" i="20"/>
  <c r="CU33" i="20"/>
  <c r="CU27" i="20"/>
  <c r="CW27" i="20" a="1"/>
  <c r="CW27" i="20" s="1"/>
  <c r="CT27" i="20"/>
  <c r="CV27" i="20" s="1"/>
  <c r="CW37" i="20" a="1"/>
  <c r="CW37" i="20" s="1"/>
  <c r="CT37" i="20"/>
  <c r="CU37" i="20"/>
  <c r="N90" i="20"/>
  <c r="N171" i="20" s="1"/>
  <c r="F95" i="20"/>
  <c r="F122" i="20" s="1"/>
  <c r="F186" i="20"/>
  <c r="F176" i="20" s="1"/>
  <c r="F149" i="20"/>
  <c r="CH86" i="19"/>
  <c r="CH167" i="19" s="1"/>
  <c r="CL86" i="19"/>
  <c r="CL167" i="19" s="1"/>
  <c r="CC85" i="19"/>
  <c r="CC166" i="19" s="1"/>
  <c r="CH85" i="19"/>
  <c r="CH166" i="19" s="1"/>
  <c r="CF85" i="19"/>
  <c r="CF166" i="19" s="1"/>
  <c r="F85" i="19"/>
  <c r="F166" i="19" s="1"/>
  <c r="AX85" i="19"/>
  <c r="AX166" i="19" s="1"/>
  <c r="BT85" i="19"/>
  <c r="BT166" i="19" s="1"/>
  <c r="CG85" i="19"/>
  <c r="CG166" i="19" s="1"/>
  <c r="CK85" i="19"/>
  <c r="CK166" i="19" s="1"/>
  <c r="CT57" i="19"/>
  <c r="K57" i="19" s="1"/>
  <c r="J57" i="19"/>
  <c r="CP57" i="19"/>
  <c r="CQ249" i="19" s="1"/>
  <c r="BR57" i="19"/>
  <c r="BS249" i="19" s="1"/>
  <c r="B111" i="19"/>
  <c r="CR57" i="19"/>
  <c r="CS249" i="19" s="1"/>
  <c r="AY57" i="19"/>
  <c r="AZ249" i="19" s="1"/>
  <c r="B56" i="19"/>
  <c r="AU57" i="19"/>
  <c r="AV249" i="19" s="1"/>
  <c r="CQ86" i="19"/>
  <c r="CQ167" i="19" s="1"/>
  <c r="CU36" i="20"/>
  <c r="CW36" i="20" a="1"/>
  <c r="CW36" i="20" s="1"/>
  <c r="CT36" i="20"/>
  <c r="CW34" i="20" a="1"/>
  <c r="CW34" i="20" s="1"/>
  <c r="CT34" i="20"/>
  <c r="CU34" i="20"/>
  <c r="CU19" i="20"/>
  <c r="CW19" i="20" a="1"/>
  <c r="CW19" i="20" s="1"/>
  <c r="CT19" i="20"/>
  <c r="CV19" i="20" s="1"/>
  <c r="CU35" i="20"/>
  <c r="CT35" i="20"/>
  <c r="CW35" i="20" a="1"/>
  <c r="CW35" i="20" s="1"/>
  <c r="CW14" i="20" a="1"/>
  <c r="CW14" i="20" s="1"/>
  <c r="CU14" i="20"/>
  <c r="CT14" i="20"/>
  <c r="CV14" i="20" s="1"/>
  <c r="P41" i="20"/>
  <c r="O64" i="20"/>
  <c r="P256" i="20" s="1"/>
  <c r="O63" i="20"/>
  <c r="P255" i="20" s="1"/>
  <c r="O65" i="20"/>
  <c r="P257" i="20" s="1"/>
  <c r="O62" i="20"/>
  <c r="P254" i="20" s="1"/>
  <c r="O61" i="20"/>
  <c r="P253" i="20" s="1"/>
  <c r="AV86" i="19"/>
  <c r="AV167" i="19" s="1"/>
  <c r="CG86" i="19"/>
  <c r="CG167" i="19" s="1"/>
  <c r="CP86" i="19"/>
  <c r="CP167" i="19" s="1"/>
  <c r="CE86" i="19"/>
  <c r="CE167" i="19" s="1"/>
  <c r="BM58" i="19"/>
  <c r="BN250" i="19" s="1"/>
  <c r="BS58" i="19"/>
  <c r="BT250" i="19" s="1"/>
  <c r="Q58" i="19"/>
  <c r="R250" i="19" s="1"/>
  <c r="CP58" i="19"/>
  <c r="CQ250" i="19" s="1"/>
  <c r="BV58" i="19"/>
  <c r="BW250" i="19" s="1"/>
  <c r="C58" i="19"/>
  <c r="AY58" i="19"/>
  <c r="AZ250" i="19" s="1"/>
  <c r="O91" i="19"/>
  <c r="O172" i="19" s="1"/>
  <c r="CC86" i="19"/>
  <c r="CC167" i="19" s="1"/>
  <c r="BN86" i="19"/>
  <c r="BN167" i="19" s="1"/>
  <c r="CU18" i="20"/>
  <c r="CT18" i="20"/>
  <c r="CV18" i="20" s="1"/>
  <c r="CW18" i="20" a="1"/>
  <c r="CW18" i="20" s="1"/>
  <c r="N89" i="20"/>
  <c r="N170" i="20" s="1"/>
  <c r="CT20" i="20"/>
  <c r="CV20" i="20" s="1"/>
  <c r="CW20" i="20" a="1"/>
  <c r="CW20" i="20" s="1"/>
  <c r="CU20" i="20"/>
  <c r="CT22" i="20"/>
  <c r="CV22" i="20" s="1"/>
  <c r="CW22" i="20" a="1"/>
  <c r="CW22" i="20" s="1"/>
  <c r="CU22" i="20"/>
  <c r="G86" i="19"/>
  <c r="G167" i="19" s="1"/>
  <c r="CV33" i="19"/>
  <c r="D225" i="19"/>
  <c r="AU86" i="19"/>
  <c r="AU167" i="19" s="1"/>
  <c r="BE86" i="19"/>
  <c r="BE167" i="19" s="1"/>
  <c r="CB86" i="19"/>
  <c r="CB167" i="19" s="1"/>
  <c r="J85" i="19"/>
  <c r="J166" i="19" s="1"/>
  <c r="CD85" i="19"/>
  <c r="CD166" i="19" s="1"/>
  <c r="BA85" i="19"/>
  <c r="BA166" i="19" s="1"/>
  <c r="CM85" i="19"/>
  <c r="CM166" i="19" s="1"/>
  <c r="CJ85" i="19"/>
  <c r="CJ166" i="19" s="1"/>
  <c r="BP85" i="19"/>
  <c r="BP166" i="19" s="1"/>
  <c r="BI85" i="19"/>
  <c r="BI166" i="19" s="1"/>
  <c r="AW58" i="19"/>
  <c r="AX250" i="19" s="1"/>
  <c r="O87" i="19"/>
  <c r="O168" i="19" s="1"/>
  <c r="AQ86" i="19"/>
  <c r="AQ167" i="19" s="1"/>
  <c r="CS186" i="20"/>
  <c r="CS176" i="20" s="1"/>
  <c r="CS149" i="20"/>
  <c r="CS95" i="20"/>
  <c r="CS122" i="20" s="1"/>
  <c r="CT26" i="20"/>
  <c r="CV26" i="20" s="1"/>
  <c r="CU26" i="20"/>
  <c r="CW26" i="20" a="1"/>
  <c r="CW26" i="20" s="1"/>
  <c r="CW16" i="20" a="1"/>
  <c r="CW16" i="20" s="1"/>
  <c r="CU16" i="20"/>
  <c r="CT16" i="20"/>
  <c r="CV16" i="20" s="1"/>
  <c r="B88" i="20"/>
  <c r="A33" i="20"/>
  <c r="B169" i="20"/>
  <c r="B142" i="20" s="1"/>
  <c r="B32" i="20"/>
  <c r="CU25" i="20"/>
  <c r="CT25" i="20"/>
  <c r="CV25" i="20" s="1"/>
  <c r="CW25" i="20" a="1"/>
  <c r="CW25" i="20" s="1"/>
  <c r="CT24" i="20"/>
  <c r="CV24" i="20" s="1"/>
  <c r="CW24" i="20" a="1"/>
  <c r="CW24" i="20" s="1"/>
  <c r="CU24" i="20"/>
  <c r="CT17" i="20"/>
  <c r="CV17" i="20" s="1"/>
  <c r="CW17" i="20" a="1"/>
  <c r="CW17" i="20" s="1"/>
  <c r="CU17" i="20"/>
  <c r="CT23" i="20"/>
  <c r="CV23" i="20" s="1"/>
  <c r="CW23" i="20" a="1"/>
  <c r="CW23" i="20" s="1"/>
  <c r="CU23" i="20"/>
  <c r="CW28" i="20" a="1"/>
  <c r="CW28" i="20" s="1"/>
  <c r="CW30" i="20" a="1"/>
  <c r="CW30" i="20" s="1"/>
  <c r="CD86" i="19"/>
  <c r="CD167" i="19" s="1"/>
  <c r="BD86" i="19"/>
  <c r="BD167" i="19" s="1"/>
  <c r="E86" i="19"/>
  <c r="E167" i="19" s="1"/>
  <c r="BQ58" i="19"/>
  <c r="BR250" i="19" s="1"/>
  <c r="CR58" i="19"/>
  <c r="CS250" i="19" s="1"/>
  <c r="I58" i="19"/>
  <c r="BJ58" i="19"/>
  <c r="BK250" i="19" s="1"/>
  <c r="L58" i="19"/>
  <c r="M250" i="19" s="1"/>
  <c r="AU58" i="19"/>
  <c r="AV250" i="19" s="1"/>
  <c r="BG58" i="19"/>
  <c r="BH250" i="19" s="1"/>
  <c r="CL58" i="19"/>
  <c r="CM250" i="19" s="1"/>
  <c r="AR58" i="19"/>
  <c r="AS250" i="19" s="1"/>
  <c r="AQ58" i="19"/>
  <c r="AR250" i="19" s="1"/>
  <c r="O88" i="19"/>
  <c r="O169" i="19" s="1"/>
  <c r="BA86" i="19"/>
  <c r="BA167" i="19" s="1"/>
  <c r="BU86" i="19"/>
  <c r="BU167" i="19" s="1"/>
  <c r="G186" i="19"/>
  <c r="G176" i="19" s="1"/>
  <c r="G149" i="19"/>
  <c r="G95" i="19"/>
  <c r="G122" i="19" s="1"/>
  <c r="BI86" i="19"/>
  <c r="BI167" i="19" s="1"/>
  <c r="M86" i="19"/>
  <c r="M167" i="19" s="1"/>
  <c r="AW86" i="19"/>
  <c r="AW167" i="19" s="1"/>
  <c r="BN58" i="19"/>
  <c r="BO250" i="19" s="1"/>
  <c r="CQ58" i="19"/>
  <c r="CR250" i="19" s="1"/>
  <c r="CO58" i="19"/>
  <c r="CP250" i="19" s="1"/>
  <c r="BR58" i="19"/>
  <c r="BS250" i="19" s="1"/>
  <c r="AO58" i="19"/>
  <c r="AP250" i="19" s="1"/>
  <c r="AV58" i="19"/>
  <c r="AW250" i="19" s="1"/>
  <c r="BU58" i="19"/>
  <c r="BV250" i="19" s="1"/>
  <c r="BH58" i="19"/>
  <c r="BI250" i="19" s="1"/>
  <c r="BO58" i="19"/>
  <c r="BP250" i="19" s="1"/>
  <c r="CB58" i="19"/>
  <c r="CC250" i="19" s="1"/>
  <c r="BZ58" i="19"/>
  <c r="CA250" i="19" s="1"/>
  <c r="O89" i="19"/>
  <c r="O170" i="19" s="1"/>
  <c r="AR86" i="19"/>
  <c r="AR167" i="19" s="1"/>
  <c r="BL86" i="19"/>
  <c r="BL167" i="19" s="1"/>
  <c r="N86" i="19"/>
  <c r="N167" i="19" s="1"/>
  <c r="I13" i="19"/>
  <c r="H68" i="19"/>
  <c r="H12" i="19"/>
  <c r="AX86" i="19"/>
  <c r="AX167" i="19" s="1"/>
  <c r="BE85" i="19"/>
  <c r="BE166" i="19" s="1"/>
  <c r="CE85" i="19"/>
  <c r="CE166" i="19" s="1"/>
  <c r="BB85" i="19"/>
  <c r="BB166" i="19" s="1"/>
  <c r="BF85" i="19"/>
  <c r="BF166" i="19" s="1"/>
  <c r="BD85" i="19"/>
  <c r="BD166" i="19" s="1"/>
  <c r="BY85" i="19"/>
  <c r="BY166" i="19" s="1"/>
  <c r="CA85" i="19"/>
  <c r="CA166" i="19" s="1"/>
  <c r="AP85" i="19"/>
  <c r="AP166" i="19" s="1"/>
  <c r="CV35" i="2"/>
  <c r="D227" i="2"/>
  <c r="O90" i="19"/>
  <c r="O171" i="19" s="1"/>
  <c r="D86" i="19"/>
  <c r="D167" i="19" s="1"/>
  <c r="F343" i="19"/>
  <c r="O86" i="19"/>
  <c r="O167" i="19" s="1"/>
  <c r="BC85" i="19"/>
  <c r="BC166" i="19" s="1"/>
  <c r="D85" i="19"/>
  <c r="D166" i="19" s="1"/>
  <c r="O85" i="19"/>
  <c r="O166" i="19" s="1"/>
  <c r="H85" i="19"/>
  <c r="H166" i="19" s="1"/>
  <c r="CN85" i="19"/>
  <c r="CN166" i="19" s="1"/>
  <c r="BL85" i="19"/>
  <c r="BL166" i="19" s="1"/>
  <c r="BK85" i="19"/>
  <c r="BK166" i="19" s="1"/>
  <c r="AS85" i="19"/>
  <c r="AS166" i="19" s="1"/>
  <c r="CI85" i="19"/>
  <c r="CI166" i="19" s="1"/>
  <c r="BX85" i="19"/>
  <c r="BX166" i="19" s="1"/>
  <c r="M85" i="19"/>
  <c r="M166" i="19" s="1"/>
  <c r="N85" i="19"/>
  <c r="N166" i="19" s="1"/>
  <c r="A34" i="2"/>
  <c r="B33" i="2"/>
  <c r="CT34" i="2"/>
  <c r="CU34" i="2"/>
  <c r="B89" i="2"/>
  <c r="B170" i="2"/>
  <c r="B143" i="2" s="1"/>
  <c r="O92" i="19"/>
  <c r="O173" i="19" s="1"/>
  <c r="CM86" i="19"/>
  <c r="CM167" i="19" s="1"/>
  <c r="J86" i="19"/>
  <c r="J167" i="19" s="1"/>
  <c r="AW253" i="20" l="1"/>
  <c r="AV169" i="20"/>
  <c r="AV88" i="20"/>
  <c r="CO251" i="2"/>
  <c r="CN86" i="2"/>
  <c r="CN167" i="2" s="1"/>
  <c r="AP254" i="20"/>
  <c r="AO89" i="20"/>
  <c r="AO170" i="20" s="1"/>
  <c r="AP253" i="20"/>
  <c r="AO88" i="20"/>
  <c r="AO169" i="20" s="1"/>
  <c r="BY253" i="20"/>
  <c r="BX88" i="20"/>
  <c r="BX169" i="20" s="1"/>
  <c r="BR253" i="20"/>
  <c r="BQ88" i="20"/>
  <c r="BQ169" i="20" s="1"/>
  <c r="AR253" i="20"/>
  <c r="AQ88" i="20"/>
  <c r="AQ169" i="20" s="1"/>
  <c r="AT253" i="20"/>
  <c r="AS88" i="20"/>
  <c r="AS169" i="20" s="1"/>
  <c r="BZ253" i="20"/>
  <c r="BY88" i="20"/>
  <c r="BY169" i="20" s="1"/>
  <c r="AS253" i="20"/>
  <c r="AR88" i="20"/>
  <c r="AR169" i="20" s="1"/>
  <c r="BJ254" i="20"/>
  <c r="BI89" i="20"/>
  <c r="BI170" i="20"/>
  <c r="BS251" i="2"/>
  <c r="BR86" i="2"/>
  <c r="BR167" i="2" s="1"/>
  <c r="AT251" i="2"/>
  <c r="AS86" i="2"/>
  <c r="AS167" i="2" s="1"/>
  <c r="W251" i="2"/>
  <c r="V86" i="2"/>
  <c r="V167" i="2"/>
  <c r="AI251" i="2"/>
  <c r="AH86" i="2"/>
  <c r="AH167" i="2" s="1"/>
  <c r="CI251" i="2"/>
  <c r="CH167" i="2"/>
  <c r="CH86" i="2"/>
  <c r="CN251" i="2"/>
  <c r="CM86" i="2"/>
  <c r="CM167" i="2" s="1"/>
  <c r="BL251" i="2"/>
  <c r="BK86" i="2"/>
  <c r="BK167" i="2" s="1"/>
  <c r="CS86" i="2"/>
  <c r="CS167" i="2" s="1"/>
  <c r="CA251" i="2"/>
  <c r="BZ86" i="2"/>
  <c r="BZ167" i="2" s="1"/>
  <c r="AM251" i="2"/>
  <c r="AL86" i="2"/>
  <c r="AL167" i="2" s="1"/>
  <c r="BH251" i="2"/>
  <c r="BG167" i="2"/>
  <c r="BG86" i="2"/>
  <c r="CK254" i="20"/>
  <c r="CJ89" i="20"/>
  <c r="CJ170" i="20" s="1"/>
  <c r="CB254" i="20"/>
  <c r="CA89" i="20"/>
  <c r="CA170" i="20" s="1"/>
  <c r="CS254" i="20"/>
  <c r="CR89" i="20"/>
  <c r="CR170" i="20" s="1"/>
  <c r="B325" i="2"/>
  <c r="C252" i="2"/>
  <c r="BO254" i="20"/>
  <c r="BN89" i="20"/>
  <c r="BN170" i="20" s="1"/>
  <c r="CO57" i="19"/>
  <c r="CP249" i="19" s="1"/>
  <c r="BJ57" i="19"/>
  <c r="BK249" i="19" s="1"/>
  <c r="CG57" i="19"/>
  <c r="CH249" i="19" s="1"/>
  <c r="L254" i="20"/>
  <c r="K89" i="20"/>
  <c r="K170" i="20" s="1"/>
  <c r="BC61" i="20"/>
  <c r="BW61" i="20"/>
  <c r="CO61" i="20"/>
  <c r="CL61" i="20"/>
  <c r="AU61" i="20"/>
  <c r="BB61" i="20"/>
  <c r="AX61" i="20"/>
  <c r="BU61" i="20"/>
  <c r="BA254" i="20"/>
  <c r="AZ89" i="20"/>
  <c r="AZ170" i="20" s="1"/>
  <c r="CQ59" i="2"/>
  <c r="BO59" i="2"/>
  <c r="AG59" i="2"/>
  <c r="CK59" i="2"/>
  <c r="S59" i="2"/>
  <c r="CP59" i="2"/>
  <c r="BV59" i="2"/>
  <c r="AV59" i="2"/>
  <c r="R59" i="2"/>
  <c r="AE59" i="2"/>
  <c r="CB59" i="2"/>
  <c r="J59" i="2"/>
  <c r="CD254" i="20"/>
  <c r="CC89" i="20"/>
  <c r="CC170" i="20" s="1"/>
  <c r="M254" i="20"/>
  <c r="L89" i="20"/>
  <c r="L170" i="20" s="1"/>
  <c r="BW254" i="20"/>
  <c r="BV89" i="20"/>
  <c r="BV170" i="20" s="1"/>
  <c r="BT254" i="20"/>
  <c r="BS89" i="20"/>
  <c r="BS170" i="20" s="1"/>
  <c r="BA57" i="19"/>
  <c r="BB249" i="19" s="1"/>
  <c r="AW57" i="19"/>
  <c r="AX249" i="19" s="1"/>
  <c r="CF57" i="19"/>
  <c r="CG249" i="19" s="1"/>
  <c r="AX254" i="20"/>
  <c r="AW89" i="20"/>
  <c r="AW170" i="20" s="1"/>
  <c r="BN61" i="20"/>
  <c r="BV61" i="20"/>
  <c r="CN61" i="20"/>
  <c r="CH61" i="20"/>
  <c r="BD61" i="20"/>
  <c r="CC61" i="20"/>
  <c r="CR61" i="20"/>
  <c r="BA61" i="20"/>
  <c r="CA254" i="20"/>
  <c r="BZ89" i="20"/>
  <c r="BZ170" i="20"/>
  <c r="E59" i="2"/>
  <c r="BU59" i="2"/>
  <c r="BS59" i="2"/>
  <c r="BD59" i="2"/>
  <c r="AO59" i="2"/>
  <c r="AM59" i="2"/>
  <c r="BQ59" i="2"/>
  <c r="BJ59" i="2"/>
  <c r="CG59" i="2"/>
  <c r="AX59" i="2"/>
  <c r="P59" i="2"/>
  <c r="BM59" i="2"/>
  <c r="N254" i="20"/>
  <c r="M89" i="20"/>
  <c r="M170" i="20" s="1"/>
  <c r="BB254" i="20"/>
  <c r="BA89" i="20"/>
  <c r="BA170" i="20" s="1"/>
  <c r="CG254" i="20"/>
  <c r="CF89" i="20"/>
  <c r="CF170" i="20"/>
  <c r="CL57" i="19"/>
  <c r="CM249" i="19" s="1"/>
  <c r="Q57" i="19"/>
  <c r="R249" i="19" s="1"/>
  <c r="BT57" i="19"/>
  <c r="BU249" i="19" s="1"/>
  <c r="CJ254" i="20"/>
  <c r="CI89" i="20"/>
  <c r="CI170" i="20" s="1"/>
  <c r="Q12" i="2"/>
  <c r="Q68" i="2"/>
  <c r="R13" i="2"/>
  <c r="I253" i="20"/>
  <c r="H88" i="20"/>
  <c r="H169" i="20" s="1"/>
  <c r="BL253" i="20"/>
  <c r="BK88" i="20"/>
  <c r="BK169" i="20" s="1"/>
  <c r="CK253" i="20"/>
  <c r="CJ88" i="20"/>
  <c r="CJ169" i="20" s="1"/>
  <c r="N253" i="20"/>
  <c r="M88" i="20"/>
  <c r="M169" i="20" s="1"/>
  <c r="CH253" i="20"/>
  <c r="CG88" i="20"/>
  <c r="CG169" i="20" s="1"/>
  <c r="BI61" i="20"/>
  <c r="AP61" i="20"/>
  <c r="CD61" i="20"/>
  <c r="I61" i="20"/>
  <c r="CL254" i="20"/>
  <c r="CK89" i="20"/>
  <c r="CK170" i="20" s="1"/>
  <c r="AR251" i="2"/>
  <c r="AQ86" i="2"/>
  <c r="AQ167" i="2" s="1"/>
  <c r="AC251" i="2"/>
  <c r="AB167" i="2"/>
  <c r="AB86" i="2"/>
  <c r="O251" i="2"/>
  <c r="N86" i="2"/>
  <c r="N167" i="2" s="1"/>
  <c r="L251" i="2"/>
  <c r="K86" i="2"/>
  <c r="K167" i="2" s="1"/>
  <c r="CG251" i="2"/>
  <c r="CF86" i="2"/>
  <c r="CF167" i="2" s="1"/>
  <c r="CJ251" i="2"/>
  <c r="CI86" i="2"/>
  <c r="CI167" i="2" s="1"/>
  <c r="Y251" i="2"/>
  <c r="X86" i="2"/>
  <c r="X167" i="2" s="1"/>
  <c r="CF251" i="2"/>
  <c r="CE86" i="2"/>
  <c r="CE167" i="2"/>
  <c r="BA251" i="2"/>
  <c r="AZ86" i="2"/>
  <c r="AZ167" i="2" s="1"/>
  <c r="AL251" i="2"/>
  <c r="AK86" i="2"/>
  <c r="AK167" i="2" s="1"/>
  <c r="CP251" i="2"/>
  <c r="CO86" i="2"/>
  <c r="CO167" i="2" s="1"/>
  <c r="U251" i="2"/>
  <c r="T86" i="2"/>
  <c r="T167" i="2" s="1"/>
  <c r="BI254" i="20"/>
  <c r="BH89" i="20"/>
  <c r="BH170" i="20" s="1"/>
  <c r="CE254" i="20"/>
  <c r="CD89" i="20"/>
  <c r="CD170" i="20" s="1"/>
  <c r="J254" i="20"/>
  <c r="I89" i="20"/>
  <c r="I170" i="20" s="1"/>
  <c r="BL89" i="20"/>
  <c r="BL170" i="20" s="1"/>
  <c r="BM254" i="20"/>
  <c r="AS57" i="19"/>
  <c r="AT249" i="19" s="1"/>
  <c r="G57" i="19"/>
  <c r="BF254" i="20"/>
  <c r="BE89" i="20"/>
  <c r="BE170" i="20" s="1"/>
  <c r="P149" i="2"/>
  <c r="P95" i="2"/>
  <c r="P122" i="2" s="1"/>
  <c r="P186" i="2"/>
  <c r="P176" i="2" s="1"/>
  <c r="AZ61" i="20"/>
  <c r="CA61" i="20"/>
  <c r="AW61" i="20"/>
  <c r="CB61" i="20"/>
  <c r="CK61" i="20"/>
  <c r="C61" i="20"/>
  <c r="C253" i="20" s="1"/>
  <c r="BZ61" i="20"/>
  <c r="C60" i="20"/>
  <c r="C252" i="20" s="1"/>
  <c r="CQ60" i="20"/>
  <c r="B114" i="20"/>
  <c r="CF60" i="20"/>
  <c r="CT60" i="20"/>
  <c r="B59" i="20"/>
  <c r="AW60" i="20"/>
  <c r="BI60" i="20"/>
  <c r="CM60" i="20"/>
  <c r="AV60" i="20"/>
  <c r="BZ60" i="20"/>
  <c r="F60" i="20"/>
  <c r="F87" i="20" s="1"/>
  <c r="F168" i="20" s="1"/>
  <c r="BO60" i="20"/>
  <c r="BL60" i="20"/>
  <c r="CP60" i="20"/>
  <c r="BY60" i="20"/>
  <c r="CH60" i="20"/>
  <c r="CS60" i="20"/>
  <c r="CS87" i="20" s="1"/>
  <c r="CS168" i="20" s="1"/>
  <c r="AP60" i="20"/>
  <c r="BX60" i="20"/>
  <c r="CJ60" i="20"/>
  <c r="CC60" i="20"/>
  <c r="BB60" i="20"/>
  <c r="BD60" i="20"/>
  <c r="H60" i="20"/>
  <c r="H87" i="20" s="1"/>
  <c r="H168" i="20" s="1"/>
  <c r="AZ60" i="20"/>
  <c r="CR60" i="20"/>
  <c r="BA60" i="20"/>
  <c r="E60" i="20"/>
  <c r="E87" i="20" s="1"/>
  <c r="E168" i="20" s="1"/>
  <c r="BV60" i="20"/>
  <c r="L60" i="20"/>
  <c r="G60" i="20"/>
  <c r="G87" i="20" s="1"/>
  <c r="G168" i="20" s="1"/>
  <c r="AX60" i="20"/>
  <c r="CN60" i="20"/>
  <c r="BG60" i="20"/>
  <c r="BS60" i="20"/>
  <c r="BR60" i="20"/>
  <c r="CB60" i="20"/>
  <c r="BN60" i="20"/>
  <c r="AS60" i="20"/>
  <c r="BJ60" i="20"/>
  <c r="AT60" i="20"/>
  <c r="BE60" i="20"/>
  <c r="BF60" i="20"/>
  <c r="BH60" i="20"/>
  <c r="BM60" i="20"/>
  <c r="BK60" i="20"/>
  <c r="BC60" i="20"/>
  <c r="CD60" i="20"/>
  <c r="BW60" i="20"/>
  <c r="AR60" i="20"/>
  <c r="CA60" i="20"/>
  <c r="AO60" i="20"/>
  <c r="CI60" i="20"/>
  <c r="I60" i="20"/>
  <c r="BT60" i="20"/>
  <c r="CG60" i="20"/>
  <c r="D60" i="20"/>
  <c r="D87" i="20" s="1"/>
  <c r="D168" i="20" s="1"/>
  <c r="BP60" i="20"/>
  <c r="BQ60" i="20"/>
  <c r="K60" i="20"/>
  <c r="AU60" i="20"/>
  <c r="AQ60" i="20"/>
  <c r="CE60" i="20"/>
  <c r="BU60" i="20"/>
  <c r="CK60" i="20"/>
  <c r="J60" i="20"/>
  <c r="AY60" i="20"/>
  <c r="CO60" i="20"/>
  <c r="M60" i="20"/>
  <c r="N60" i="20"/>
  <c r="E61" i="20"/>
  <c r="B249" i="19"/>
  <c r="B322" i="19" s="1"/>
  <c r="B220" i="19"/>
  <c r="AI59" i="2"/>
  <c r="F59" i="2"/>
  <c r="AC59" i="2"/>
  <c r="Z59" i="2"/>
  <c r="AT59" i="2"/>
  <c r="BL59" i="2"/>
  <c r="CL59" i="2"/>
  <c r="I59" i="2"/>
  <c r="I86" i="2" s="1"/>
  <c r="I167" i="2" s="1"/>
  <c r="G59" i="2"/>
  <c r="G86" i="2" s="1"/>
  <c r="G167" i="2" s="1"/>
  <c r="BX59" i="2"/>
  <c r="BH59" i="2"/>
  <c r="BN59" i="2"/>
  <c r="CM254" i="20"/>
  <c r="CL89" i="20"/>
  <c r="CL170" i="20" s="1"/>
  <c r="AY254" i="20"/>
  <c r="AX89" i="20"/>
  <c r="AX170" i="20" s="1"/>
  <c r="BC254" i="20"/>
  <c r="BB89" i="20"/>
  <c r="BB170" i="20"/>
  <c r="BQ254" i="20"/>
  <c r="BP89" i="20"/>
  <c r="BP170" i="20" s="1"/>
  <c r="D61" i="20"/>
  <c r="D88" i="20" s="1"/>
  <c r="D169" i="20" s="1"/>
  <c r="AY61" i="20"/>
  <c r="CI61" i="20"/>
  <c r="K61" i="20"/>
  <c r="CE61" i="20"/>
  <c r="CS61" i="20"/>
  <c r="CS88" i="20" s="1"/>
  <c r="CS169" i="20" s="1"/>
  <c r="BP61" i="20"/>
  <c r="BS61" i="20"/>
  <c r="L61" i="20"/>
  <c r="AW59" i="2"/>
  <c r="CA59" i="2"/>
  <c r="AY59" i="2"/>
  <c r="Q59" i="2"/>
  <c r="CR59" i="2"/>
  <c r="C59" i="2"/>
  <c r="BW59" i="2"/>
  <c r="AU59" i="2"/>
  <c r="CC59" i="2"/>
  <c r="AD59" i="2"/>
  <c r="O59" i="2"/>
  <c r="BI59" i="2"/>
  <c r="BK254" i="20"/>
  <c r="BJ89" i="20"/>
  <c r="BJ170" i="20"/>
  <c r="AW254" i="20"/>
  <c r="AV89" i="20"/>
  <c r="AV170" i="20"/>
  <c r="AQ254" i="20"/>
  <c r="AP89" i="20"/>
  <c r="AP170" i="20" s="1"/>
  <c r="BV254" i="20"/>
  <c r="BU89" i="20"/>
  <c r="BU170" i="20" s="1"/>
  <c r="BZ57" i="19"/>
  <c r="CA249" i="19" s="1"/>
  <c r="BH254" i="20"/>
  <c r="BG89" i="20"/>
  <c r="BG170" i="20" s="1"/>
  <c r="AT61" i="20"/>
  <c r="BT61" i="20"/>
  <c r="CQ61" i="20"/>
  <c r="J61" i="20"/>
  <c r="BH61" i="20"/>
  <c r="BL61" i="20"/>
  <c r="CM61" i="20"/>
  <c r="BM61" i="20"/>
  <c r="BY254" i="20"/>
  <c r="BX89" i="20"/>
  <c r="BX170" i="20"/>
  <c r="BY59" i="2"/>
  <c r="D59" i="2"/>
  <c r="BT59" i="2"/>
  <c r="BE59" i="2"/>
  <c r="BC59" i="2"/>
  <c r="AN59" i="2"/>
  <c r="B112" i="2"/>
  <c r="CJ58" i="2"/>
  <c r="BH58" i="2"/>
  <c r="BK58" i="2"/>
  <c r="B57" i="2"/>
  <c r="CL58" i="2"/>
  <c r="CT58" i="2"/>
  <c r="K58" i="2" s="1"/>
  <c r="BX58" i="2"/>
  <c r="BV58" i="2"/>
  <c r="CN58" i="2"/>
  <c r="AW58" i="2"/>
  <c r="AF58" i="2"/>
  <c r="L58" i="2"/>
  <c r="AP58" i="2"/>
  <c r="BY58" i="2"/>
  <c r="CR58" i="2"/>
  <c r="BO58" i="2"/>
  <c r="CF58" i="2"/>
  <c r="BC58" i="2"/>
  <c r="BT58" i="2"/>
  <c r="E58" i="2"/>
  <c r="CK58" i="2"/>
  <c r="AX58" i="2"/>
  <c r="BU58" i="2"/>
  <c r="AL58" i="2"/>
  <c r="BE58" i="2"/>
  <c r="CA58" i="2"/>
  <c r="AC58" i="2"/>
  <c r="D58" i="2"/>
  <c r="D85" i="2" s="1"/>
  <c r="D166" i="2" s="1"/>
  <c r="AO58" i="2"/>
  <c r="CI58" i="2"/>
  <c r="BF58" i="2"/>
  <c r="N58" i="2"/>
  <c r="CO58" i="2"/>
  <c r="CD58" i="2"/>
  <c r="BR58" i="2"/>
  <c r="AQ58" i="2"/>
  <c r="AA58" i="2"/>
  <c r="P58" i="2"/>
  <c r="BM58" i="2"/>
  <c r="T58" i="2"/>
  <c r="CH58" i="2"/>
  <c r="AG58" i="2"/>
  <c r="BJ58" i="2"/>
  <c r="AV58" i="2"/>
  <c r="S58" i="2"/>
  <c r="CC58" i="2"/>
  <c r="G58" i="2"/>
  <c r="G85" i="2" s="1"/>
  <c r="G166" i="2" s="1"/>
  <c r="BG58" i="2"/>
  <c r="Y58" i="2"/>
  <c r="BL58" i="2"/>
  <c r="AI58" i="2"/>
  <c r="AZ58" i="2"/>
  <c r="W58" i="2"/>
  <c r="AN58" i="2"/>
  <c r="BD58" i="2"/>
  <c r="CB58" i="2"/>
  <c r="R58" i="2"/>
  <c r="BP58" i="2"/>
  <c r="F58" i="2"/>
  <c r="AM58" i="2"/>
  <c r="BP59" i="2"/>
  <c r="M59" i="2"/>
  <c r="AF59" i="2"/>
  <c r="CJ59" i="2"/>
  <c r="AP59" i="2"/>
  <c r="CN254" i="20"/>
  <c r="CM89" i="20"/>
  <c r="CM170" i="20"/>
  <c r="AR254" i="20"/>
  <c r="AQ89" i="20"/>
  <c r="AQ170" i="20" s="1"/>
  <c r="BN254" i="20"/>
  <c r="BM89" i="20"/>
  <c r="BM170" i="20" s="1"/>
  <c r="BE254" i="20"/>
  <c r="BD89" i="20"/>
  <c r="BD170" i="20" s="1"/>
  <c r="B250" i="20"/>
  <c r="B221" i="20"/>
  <c r="BS253" i="20"/>
  <c r="BR88" i="20"/>
  <c r="BR169" i="20" s="1"/>
  <c r="BP253" i="20"/>
  <c r="BO88" i="20"/>
  <c r="BO169" i="20" s="1"/>
  <c r="CQ253" i="20"/>
  <c r="CP88" i="20"/>
  <c r="CP169" i="20" s="1"/>
  <c r="CG253" i="20"/>
  <c r="CF88" i="20"/>
  <c r="CF169" i="20" s="1"/>
  <c r="BG253" i="20"/>
  <c r="BF88" i="20"/>
  <c r="BF169" i="20" s="1"/>
  <c r="BE61" i="20"/>
  <c r="N61" i="20"/>
  <c r="BJ61" i="20"/>
  <c r="BG61" i="20"/>
  <c r="BS254" i="20"/>
  <c r="BR170" i="20"/>
  <c r="BR89" i="20"/>
  <c r="AS251" i="2"/>
  <c r="AR86" i="2"/>
  <c r="AR167" i="2" s="1"/>
  <c r="CE251" i="2"/>
  <c r="CD86" i="2"/>
  <c r="CD167" i="2" s="1"/>
  <c r="AB251" i="2"/>
  <c r="AA86" i="2"/>
  <c r="AA167" i="2" s="1"/>
  <c r="M251" i="2"/>
  <c r="L86" i="2"/>
  <c r="L167" i="2"/>
  <c r="BG251" i="2"/>
  <c r="BF86" i="2"/>
  <c r="BF167" i="2" s="1"/>
  <c r="BC251" i="2"/>
  <c r="BB86" i="2"/>
  <c r="BB167" i="2" s="1"/>
  <c r="Z251" i="2"/>
  <c r="Y86" i="2"/>
  <c r="Y167" i="2"/>
  <c r="X251" i="2"/>
  <c r="W86" i="2"/>
  <c r="W167" i="2" s="1"/>
  <c r="BB251" i="2"/>
  <c r="BA86" i="2"/>
  <c r="BA167" i="2" s="1"/>
  <c r="AK251" i="2"/>
  <c r="AJ86" i="2"/>
  <c r="AJ167" i="2"/>
  <c r="V251" i="2"/>
  <c r="U86" i="2"/>
  <c r="U167" i="2" s="1"/>
  <c r="BL254" i="20"/>
  <c r="BK89" i="20"/>
  <c r="BK170" i="20"/>
  <c r="AS254" i="20"/>
  <c r="AR89" i="20"/>
  <c r="AR170" i="20" s="1"/>
  <c r="CO254" i="20"/>
  <c r="CN89" i="20"/>
  <c r="CN170" i="20" s="1"/>
  <c r="B222" i="2"/>
  <c r="B251" i="2"/>
  <c r="BX254" i="20"/>
  <c r="BW89" i="20"/>
  <c r="BW170" i="20" s="1"/>
  <c r="B324" i="20"/>
  <c r="K84" i="19"/>
  <c r="K165" i="19" s="1"/>
  <c r="F344" i="19"/>
  <c r="A33" i="2"/>
  <c r="B32" i="2"/>
  <c r="CT33" i="2"/>
  <c r="CU33" i="2"/>
  <c r="B88" i="2"/>
  <c r="B169" i="2"/>
  <c r="B142" i="2" s="1"/>
  <c r="AR85" i="19"/>
  <c r="AR166" i="19" s="1"/>
  <c r="BJ85" i="19"/>
  <c r="BJ166" i="19" s="1"/>
  <c r="CP85" i="19"/>
  <c r="CP166" i="19" s="1"/>
  <c r="O89" i="20"/>
  <c r="O170" i="20" s="1"/>
  <c r="BN57" i="19"/>
  <c r="BO249" i="19" s="1"/>
  <c r="CE57" i="19"/>
  <c r="CF249" i="19" s="1"/>
  <c r="BH57" i="19"/>
  <c r="BI249" i="19" s="1"/>
  <c r="BI57" i="19"/>
  <c r="BJ249" i="19" s="1"/>
  <c r="D57" i="19"/>
  <c r="AQ57" i="19"/>
  <c r="AR249" i="19" s="1"/>
  <c r="BK57" i="19"/>
  <c r="BL249" i="19" s="1"/>
  <c r="E57" i="19"/>
  <c r="I57" i="19"/>
  <c r="P91" i="19"/>
  <c r="P172" i="19" s="1"/>
  <c r="H68" i="20"/>
  <c r="I13" i="20"/>
  <c r="H12" i="20"/>
  <c r="AO85" i="19"/>
  <c r="AO166" i="19" s="1"/>
  <c r="I85" i="19"/>
  <c r="I166" i="19" s="1"/>
  <c r="O92" i="20"/>
  <c r="O173" i="20" s="1"/>
  <c r="CJ57" i="19"/>
  <c r="CK249" i="19" s="1"/>
  <c r="BE57" i="19"/>
  <c r="BF249" i="19" s="1"/>
  <c r="BC57" i="19"/>
  <c r="BD249" i="19" s="1"/>
  <c r="BG57" i="19"/>
  <c r="BH249" i="19" s="1"/>
  <c r="H57" i="19"/>
  <c r="BP57" i="19"/>
  <c r="BQ249" i="19" s="1"/>
  <c r="R41" i="19"/>
  <c r="Q64" i="19"/>
  <c r="R256" i="19" s="1"/>
  <c r="Q65" i="19"/>
  <c r="R257" i="19" s="1"/>
  <c r="Q63" i="19"/>
  <c r="R255" i="19" s="1"/>
  <c r="Q62" i="19"/>
  <c r="R254" i="19" s="1"/>
  <c r="Q61" i="19"/>
  <c r="R253" i="19" s="1"/>
  <c r="Q60" i="19"/>
  <c r="R252" i="19" s="1"/>
  <c r="Q59" i="19"/>
  <c r="R251" i="19" s="1"/>
  <c r="G186" i="20"/>
  <c r="G176" i="20" s="1"/>
  <c r="G149" i="20"/>
  <c r="G95" i="20"/>
  <c r="G122" i="20" s="1"/>
  <c r="CV32" i="19"/>
  <c r="D224" i="19"/>
  <c r="CV34" i="2"/>
  <c r="D226" i="2"/>
  <c r="BZ85" i="19"/>
  <c r="BZ166" i="19" s="1"/>
  <c r="BR85" i="19"/>
  <c r="BR166" i="19" s="1"/>
  <c r="CL85" i="19"/>
  <c r="CL166" i="19" s="1"/>
  <c r="CR85" i="19"/>
  <c r="CR166" i="19" s="1"/>
  <c r="O90" i="20"/>
  <c r="O171" i="20" s="1"/>
  <c r="CO84" i="19"/>
  <c r="CO165" i="19" s="1"/>
  <c r="CL84" i="19"/>
  <c r="CL165" i="19" s="1"/>
  <c r="AU84" i="19"/>
  <c r="AU165" i="19" s="1"/>
  <c r="AY84" i="19"/>
  <c r="AY165" i="19" s="1"/>
  <c r="AW84" i="19"/>
  <c r="AW165" i="19" s="1"/>
  <c r="BR84" i="19"/>
  <c r="BR165" i="19" s="1"/>
  <c r="CG84" i="19"/>
  <c r="CG165" i="19" s="1"/>
  <c r="CF84" i="19"/>
  <c r="CF165" i="19" s="1"/>
  <c r="BT84" i="19"/>
  <c r="BT165" i="19" s="1"/>
  <c r="CV33" i="20"/>
  <c r="P86" i="19"/>
  <c r="P167" i="19" s="1"/>
  <c r="A254" i="2"/>
  <c r="A89" i="2"/>
  <c r="A226" i="2"/>
  <c r="H149" i="19"/>
  <c r="H186" i="19"/>
  <c r="H176" i="19" s="1"/>
  <c r="H95" i="19"/>
  <c r="H122" i="19" s="1"/>
  <c r="J13" i="19"/>
  <c r="I68" i="19"/>
  <c r="I12" i="19"/>
  <c r="CB85" i="19"/>
  <c r="CB166" i="19" s="1"/>
  <c r="BG85" i="19"/>
  <c r="BG166" i="19" s="1"/>
  <c r="BQ85" i="19"/>
  <c r="BQ166" i="19" s="1"/>
  <c r="AW85" i="19"/>
  <c r="AW166" i="19" s="1"/>
  <c r="Q85" i="19"/>
  <c r="Q166" i="19" s="1"/>
  <c r="O91" i="20"/>
  <c r="O172" i="20" s="1"/>
  <c r="D227" i="20"/>
  <c r="CV35" i="20"/>
  <c r="AV57" i="19"/>
  <c r="AW249" i="19" s="1"/>
  <c r="AT57" i="19"/>
  <c r="AU249" i="19" s="1"/>
  <c r="AR57" i="19"/>
  <c r="AS249" i="19" s="1"/>
  <c r="AO57" i="19"/>
  <c r="AP249" i="19" s="1"/>
  <c r="CI57" i="19"/>
  <c r="CJ249" i="19" s="1"/>
  <c r="BU57" i="19"/>
  <c r="BV249" i="19" s="1"/>
  <c r="AP57" i="19"/>
  <c r="AQ249" i="19" s="1"/>
  <c r="CS57" i="19"/>
  <c r="CS84" i="19" s="1"/>
  <c r="CS165" i="19" s="1"/>
  <c r="P57" i="19"/>
  <c r="Q249" i="19" s="1"/>
  <c r="BB57" i="19"/>
  <c r="BC249" i="19" s="1"/>
  <c r="BV57" i="19"/>
  <c r="BW249" i="19" s="1"/>
  <c r="CQ57" i="19"/>
  <c r="CR249" i="19" s="1"/>
  <c r="P87" i="19"/>
  <c r="P168" i="19" s="1"/>
  <c r="F353" i="20"/>
  <c r="A252" i="19"/>
  <c r="A224" i="19"/>
  <c r="A87" i="19"/>
  <c r="BO85" i="19"/>
  <c r="BO166" i="19" s="1"/>
  <c r="CO85" i="19"/>
  <c r="CO166" i="19" s="1"/>
  <c r="O88" i="20"/>
  <c r="O169" i="20" s="1"/>
  <c r="Q41" i="20"/>
  <c r="P65" i="20"/>
  <c r="Q257" i="20" s="1"/>
  <c r="P63" i="20"/>
  <c r="Q255" i="20" s="1"/>
  <c r="P64" i="20"/>
  <c r="Q256" i="20" s="1"/>
  <c r="P62" i="20"/>
  <c r="Q254" i="20" s="1"/>
  <c r="P60" i="20"/>
  <c r="Q252" i="20" s="1"/>
  <c r="P61" i="20"/>
  <c r="Q253" i="20" s="1"/>
  <c r="BY57" i="19"/>
  <c r="BZ249" i="19" s="1"/>
  <c r="BS57" i="19"/>
  <c r="BT249" i="19" s="1"/>
  <c r="CD57" i="19"/>
  <c r="CE249" i="19" s="1"/>
  <c r="C57" i="19"/>
  <c r="CM57" i="19"/>
  <c r="CN249" i="19" s="1"/>
  <c r="M57" i="19"/>
  <c r="N249" i="19" s="1"/>
  <c r="R57" i="19"/>
  <c r="S249" i="19" s="1"/>
  <c r="AZ57" i="19"/>
  <c r="BA249" i="19" s="1"/>
  <c r="BX57" i="19"/>
  <c r="BY249" i="19" s="1"/>
  <c r="CV37" i="20"/>
  <c r="D229" i="20"/>
  <c r="P88" i="19"/>
  <c r="P169" i="19" s="1"/>
  <c r="BH85" i="19"/>
  <c r="BH166" i="19" s="1"/>
  <c r="CQ85" i="19"/>
  <c r="CQ166" i="19" s="1"/>
  <c r="AU85" i="19"/>
  <c r="AU166" i="19" s="1"/>
  <c r="B168" i="20"/>
  <c r="B141" i="20" s="1"/>
  <c r="B87" i="20"/>
  <c r="A32" i="20"/>
  <c r="B31" i="20"/>
  <c r="AY85" i="19"/>
  <c r="AY166" i="19" s="1"/>
  <c r="BA84" i="19"/>
  <c r="BA165" i="19" s="1"/>
  <c r="AS84" i="19"/>
  <c r="AS165" i="19" s="1"/>
  <c r="CR84" i="19"/>
  <c r="CR165" i="19" s="1"/>
  <c r="BJ84" i="19"/>
  <c r="BJ165" i="19" s="1"/>
  <c r="Q84" i="19"/>
  <c r="Q165" i="19" s="1"/>
  <c r="BZ84" i="19"/>
  <c r="BZ165" i="19" s="1"/>
  <c r="CP84" i="19"/>
  <c r="CP165" i="19" s="1"/>
  <c r="J84" i="19"/>
  <c r="J165" i="19" s="1"/>
  <c r="G84" i="19"/>
  <c r="G165" i="19" s="1"/>
  <c r="P89" i="19"/>
  <c r="P170" i="19" s="1"/>
  <c r="A31" i="19"/>
  <c r="B30" i="19"/>
  <c r="B167" i="19"/>
  <c r="B140" i="19" s="1"/>
  <c r="B86" i="19"/>
  <c r="CT31" i="19"/>
  <c r="CU31" i="19"/>
  <c r="BU85" i="19"/>
  <c r="BU166" i="19" s="1"/>
  <c r="BN85" i="19"/>
  <c r="BN166" i="19" s="1"/>
  <c r="C250" i="19"/>
  <c r="BS85" i="19"/>
  <c r="BS166" i="19" s="1"/>
  <c r="CV36" i="20"/>
  <c r="D228" i="20"/>
  <c r="CB57" i="19"/>
  <c r="CC249" i="19" s="1"/>
  <c r="B110" i="19"/>
  <c r="B55" i="19"/>
  <c r="CT56" i="19"/>
  <c r="BJ56" i="19" s="1"/>
  <c r="BK248" i="19" s="1"/>
  <c r="BW56" i="19"/>
  <c r="BX248" i="19" s="1"/>
  <c r="M56" i="19"/>
  <c r="N248" i="19" s="1"/>
  <c r="P56" i="19"/>
  <c r="Q248" i="19" s="1"/>
  <c r="AP56" i="19"/>
  <c r="AQ248" i="19" s="1"/>
  <c r="BL57" i="19"/>
  <c r="BM249" i="19" s="1"/>
  <c r="CK57" i="19"/>
  <c r="CL249" i="19" s="1"/>
  <c r="BO57" i="19"/>
  <c r="BP249" i="19" s="1"/>
  <c r="CH57" i="19"/>
  <c r="CI249" i="19" s="1"/>
  <c r="L57" i="19"/>
  <c r="M249" i="19" s="1"/>
  <c r="N57" i="19"/>
  <c r="O249" i="19" s="1"/>
  <c r="P90" i="19"/>
  <c r="P171" i="19" s="1"/>
  <c r="CU32" i="20"/>
  <c r="AV85" i="19"/>
  <c r="AV166" i="19" s="1"/>
  <c r="AQ85" i="19"/>
  <c r="AQ166" i="19" s="1"/>
  <c r="L85" i="19"/>
  <c r="L166" i="19" s="1"/>
  <c r="A225" i="20"/>
  <c r="A88" i="20"/>
  <c r="A253" i="20"/>
  <c r="BV85" i="19"/>
  <c r="BV166" i="19" s="1"/>
  <c r="BM85" i="19"/>
  <c r="BM166" i="19" s="1"/>
  <c r="CV34" i="20"/>
  <c r="D226" i="20"/>
  <c r="BF57" i="19"/>
  <c r="BG249" i="19" s="1"/>
  <c r="CN57" i="19"/>
  <c r="CO249" i="19" s="1"/>
  <c r="BW57" i="19"/>
  <c r="BX249" i="19" s="1"/>
  <c r="AX57" i="19"/>
  <c r="AY249" i="19" s="1"/>
  <c r="BM57" i="19"/>
  <c r="BN249" i="19" s="1"/>
  <c r="CC57" i="19"/>
  <c r="CD249" i="19" s="1"/>
  <c r="CA57" i="19"/>
  <c r="CB249" i="19" s="1"/>
  <c r="BD57" i="19"/>
  <c r="BE249" i="19" s="1"/>
  <c r="BQ57" i="19"/>
  <c r="BR249" i="19" s="1"/>
  <c r="O57" i="19"/>
  <c r="P249" i="19" s="1"/>
  <c r="F57" i="19"/>
  <c r="P92" i="19"/>
  <c r="P173" i="19" s="1"/>
  <c r="CT32" i="20"/>
  <c r="L250" i="2" l="1"/>
  <c r="K85" i="2"/>
  <c r="K166" i="2"/>
  <c r="BH253" i="20"/>
  <c r="BG88" i="20"/>
  <c r="BG169" i="20" s="1"/>
  <c r="BQ251" i="2"/>
  <c r="BP167" i="2"/>
  <c r="BP86" i="2"/>
  <c r="O58" i="2"/>
  <c r="CG58" i="2"/>
  <c r="AJ58" i="2"/>
  <c r="Q58" i="2"/>
  <c r="H58" i="2"/>
  <c r="H85" i="2" s="1"/>
  <c r="H166" i="2" s="1"/>
  <c r="J58" i="2"/>
  <c r="BQ58" i="2"/>
  <c r="AU58" i="2"/>
  <c r="AH58" i="2"/>
  <c r="CP58" i="2"/>
  <c r="BW58" i="2"/>
  <c r="Z58" i="2"/>
  <c r="BZ251" i="2"/>
  <c r="BY86" i="2"/>
  <c r="BY167" i="2" s="1"/>
  <c r="BU253" i="20"/>
  <c r="BT88" i="20"/>
  <c r="BT169" i="20" s="1"/>
  <c r="BQ253" i="20"/>
  <c r="BP88" i="20"/>
  <c r="BP169" i="20" s="1"/>
  <c r="BI251" i="2"/>
  <c r="BH86" i="2"/>
  <c r="BH167" i="2" s="1"/>
  <c r="AD251" i="2"/>
  <c r="AC167" i="2"/>
  <c r="AC86" i="2"/>
  <c r="CP252" i="20"/>
  <c r="CO87" i="20"/>
  <c r="CO168" i="20" s="1"/>
  <c r="L252" i="20"/>
  <c r="K87" i="20"/>
  <c r="K168" i="20" s="1"/>
  <c r="AP252" i="20"/>
  <c r="AO87" i="20"/>
  <c r="AO168" i="20" s="1"/>
  <c r="BI252" i="20"/>
  <c r="BH87" i="20"/>
  <c r="BH168" i="20" s="1"/>
  <c r="BS252" i="20"/>
  <c r="BR87" i="20"/>
  <c r="BR168" i="20" s="1"/>
  <c r="CK252" i="20"/>
  <c r="CJ87" i="20"/>
  <c r="CJ168" i="20" s="1"/>
  <c r="BO87" i="20"/>
  <c r="BP252" i="20"/>
  <c r="BO168" i="20"/>
  <c r="CL60" i="20"/>
  <c r="O60" i="20"/>
  <c r="CC253" i="20"/>
  <c r="CB88" i="20"/>
  <c r="CB169" i="20" s="1"/>
  <c r="BJ253" i="20"/>
  <c r="BI88" i="20"/>
  <c r="BI169" i="20" s="1"/>
  <c r="BR251" i="2"/>
  <c r="BQ86" i="2"/>
  <c r="BQ167" i="2" s="1"/>
  <c r="BW253" i="20"/>
  <c r="BV88" i="20"/>
  <c r="BV169" i="20" s="1"/>
  <c r="S251" i="2"/>
  <c r="R86" i="2"/>
  <c r="R167" i="2" s="1"/>
  <c r="CR251" i="2"/>
  <c r="CQ86" i="2"/>
  <c r="CQ167" i="2"/>
  <c r="BC253" i="20"/>
  <c r="BB88" i="20"/>
  <c r="BB169" i="20" s="1"/>
  <c r="B249" i="20"/>
  <c r="B220" i="20"/>
  <c r="AG251" i="2"/>
  <c r="AF86" i="2"/>
  <c r="AF167" i="2"/>
  <c r="S250" i="2"/>
  <c r="R85" i="2"/>
  <c r="R166" i="2" s="1"/>
  <c r="BA250" i="2"/>
  <c r="AZ85" i="2"/>
  <c r="AZ166" i="2"/>
  <c r="AB250" i="2"/>
  <c r="AA85" i="2"/>
  <c r="AA166" i="2" s="1"/>
  <c r="BO252" i="20"/>
  <c r="BN87" i="20"/>
  <c r="BN168" i="20" s="1"/>
  <c r="BK253" i="20"/>
  <c r="BJ88" i="20"/>
  <c r="BJ169" i="20"/>
  <c r="AN250" i="2"/>
  <c r="AM85" i="2"/>
  <c r="AM166" i="2"/>
  <c r="BE250" i="2"/>
  <c r="BD85" i="2"/>
  <c r="BD166" i="2" s="1"/>
  <c r="BM250" i="2"/>
  <c r="BL85" i="2"/>
  <c r="BL166" i="2"/>
  <c r="T250" i="2"/>
  <c r="S85" i="2"/>
  <c r="S166" i="2" s="1"/>
  <c r="U250" i="2"/>
  <c r="T85" i="2"/>
  <c r="T166" i="2" s="1"/>
  <c r="BS250" i="2"/>
  <c r="BR85" i="2"/>
  <c r="BR166" i="2" s="1"/>
  <c r="CJ250" i="2"/>
  <c r="CI85" i="2"/>
  <c r="CI166" i="2" s="1"/>
  <c r="BF250" i="2"/>
  <c r="BE85" i="2"/>
  <c r="BE166" i="2" s="1"/>
  <c r="E85" i="2"/>
  <c r="E166" i="2" s="1"/>
  <c r="CS250" i="2"/>
  <c r="CR85" i="2"/>
  <c r="CR166" i="2" s="1"/>
  <c r="AX250" i="2"/>
  <c r="AW85" i="2"/>
  <c r="AW166" i="2" s="1"/>
  <c r="CM250" i="2"/>
  <c r="CL85" i="2"/>
  <c r="CL166" i="2" s="1"/>
  <c r="CK250" i="2"/>
  <c r="CJ85" i="2"/>
  <c r="CJ166" i="2" s="1"/>
  <c r="AU253" i="20"/>
  <c r="AT88" i="20"/>
  <c r="AT169" i="20" s="1"/>
  <c r="CS251" i="2"/>
  <c r="CR86" i="2"/>
  <c r="CR167" i="2" s="1"/>
  <c r="BY251" i="2"/>
  <c r="BX86" i="2"/>
  <c r="BX167" i="2"/>
  <c r="F86" i="2"/>
  <c r="F167" i="2"/>
  <c r="AZ252" i="20"/>
  <c r="AY87" i="20"/>
  <c r="AY168" i="20" s="1"/>
  <c r="BR252" i="20"/>
  <c r="BQ87" i="20"/>
  <c r="BQ168" i="20" s="1"/>
  <c r="CB252" i="20"/>
  <c r="CA87" i="20"/>
  <c r="CA168" i="20" s="1"/>
  <c r="BG252" i="20"/>
  <c r="BF87" i="20"/>
  <c r="BF168" i="20" s="1"/>
  <c r="BT252" i="20"/>
  <c r="BS87" i="20"/>
  <c r="BS168" i="20" s="1"/>
  <c r="BB252" i="20"/>
  <c r="BA87" i="20"/>
  <c r="BA168" i="20" s="1"/>
  <c r="BY252" i="20"/>
  <c r="BX87" i="20"/>
  <c r="BX168" i="20" s="1"/>
  <c r="CG252" i="20"/>
  <c r="CF87" i="20"/>
  <c r="CF168" i="20" s="1"/>
  <c r="AX253" i="20"/>
  <c r="AW88" i="20"/>
  <c r="AW169" i="20" s="1"/>
  <c r="AN251" i="2"/>
  <c r="AM167" i="2"/>
  <c r="AM86" i="2"/>
  <c r="BO253" i="20"/>
  <c r="BN88" i="20"/>
  <c r="BN169" i="20" s="1"/>
  <c r="AW251" i="2"/>
  <c r="AV167" i="2"/>
  <c r="AV86" i="2"/>
  <c r="AV253" i="20"/>
  <c r="AU88" i="20"/>
  <c r="AU169" i="20" s="1"/>
  <c r="H56" i="19"/>
  <c r="O253" i="20"/>
  <c r="N88" i="20"/>
  <c r="N169" i="20" s="1"/>
  <c r="CS58" i="2"/>
  <c r="CS85" i="2" s="1"/>
  <c r="CS166" i="2" s="1"/>
  <c r="M58" i="2"/>
  <c r="BZ58" i="2"/>
  <c r="U58" i="2"/>
  <c r="C58" i="2"/>
  <c r="AS58" i="2"/>
  <c r="BB58" i="2"/>
  <c r="BS58" i="2"/>
  <c r="AR58" i="2"/>
  <c r="AE58" i="2"/>
  <c r="BA58" i="2"/>
  <c r="BI58" i="2"/>
  <c r="BN253" i="20"/>
  <c r="BM88" i="20"/>
  <c r="BM169" i="20" s="1"/>
  <c r="BJ251" i="2"/>
  <c r="BI86" i="2"/>
  <c r="BI167" i="2" s="1"/>
  <c r="R251" i="2"/>
  <c r="Q86" i="2"/>
  <c r="Q167" i="2"/>
  <c r="CF253" i="20"/>
  <c r="CE88" i="20"/>
  <c r="CE169" i="20" s="1"/>
  <c r="AJ251" i="2"/>
  <c r="AI86" i="2"/>
  <c r="AI167" i="2" s="1"/>
  <c r="K252" i="20"/>
  <c r="J87" i="20"/>
  <c r="J168" i="20" s="1"/>
  <c r="BQ252" i="20"/>
  <c r="BP87" i="20"/>
  <c r="BP168" i="20" s="1"/>
  <c r="AS252" i="20"/>
  <c r="AR87" i="20"/>
  <c r="AR168" i="20" s="1"/>
  <c r="BF252" i="20"/>
  <c r="BE87" i="20"/>
  <c r="BE168" i="20" s="1"/>
  <c r="BH252" i="20"/>
  <c r="BG87" i="20"/>
  <c r="BG168" i="20" s="1"/>
  <c r="CS252" i="20"/>
  <c r="CR87" i="20"/>
  <c r="CR168" i="20" s="1"/>
  <c r="AQ252" i="20"/>
  <c r="AP87" i="20"/>
  <c r="AP168" i="20" s="1"/>
  <c r="BZ87" i="20"/>
  <c r="BZ168" i="20" s="1"/>
  <c r="CA252" i="20"/>
  <c r="CB253" i="20"/>
  <c r="CA88" i="20"/>
  <c r="CA169" i="20" s="1"/>
  <c r="AP251" i="2"/>
  <c r="AO86" i="2"/>
  <c r="AO167" i="2" s="1"/>
  <c r="BB253" i="20"/>
  <c r="BA88" i="20"/>
  <c r="BA169" i="20"/>
  <c r="BW251" i="2"/>
  <c r="BV86" i="2"/>
  <c r="BV167" i="2" s="1"/>
  <c r="CM253" i="20"/>
  <c r="CL88" i="20"/>
  <c r="CL169" i="20" s="1"/>
  <c r="C251" i="2"/>
  <c r="B324" i="2"/>
  <c r="BF253" i="20"/>
  <c r="BE88" i="20"/>
  <c r="BE169" i="20" s="1"/>
  <c r="F85" i="2"/>
  <c r="F166" i="2" s="1"/>
  <c r="AO250" i="2"/>
  <c r="AN85" i="2"/>
  <c r="AN166" i="2" s="1"/>
  <c r="Z250" i="2"/>
  <c r="Y85" i="2"/>
  <c r="Y166" i="2" s="1"/>
  <c r="AW250" i="2"/>
  <c r="AV85" i="2"/>
  <c r="AV166" i="2" s="1"/>
  <c r="BN250" i="2"/>
  <c r="BM85" i="2"/>
  <c r="BM166" i="2" s="1"/>
  <c r="CE250" i="2"/>
  <c r="CD85" i="2"/>
  <c r="CD166" i="2"/>
  <c r="AP250" i="2"/>
  <c r="AO85" i="2"/>
  <c r="AO166" i="2" s="1"/>
  <c r="AM250" i="2"/>
  <c r="AL85" i="2"/>
  <c r="AL166" i="2" s="1"/>
  <c r="BU250" i="2"/>
  <c r="BT85" i="2"/>
  <c r="BT166" i="2" s="1"/>
  <c r="BZ250" i="2"/>
  <c r="BY85" i="2"/>
  <c r="BY166" i="2"/>
  <c r="CO250" i="2"/>
  <c r="CN85" i="2"/>
  <c r="CN166" i="2"/>
  <c r="CT57" i="2"/>
  <c r="AQ57" i="2" s="1"/>
  <c r="B111" i="2"/>
  <c r="AN57" i="2"/>
  <c r="AS57" i="2"/>
  <c r="AT57" i="2"/>
  <c r="AW57" i="2"/>
  <c r="AY57" i="2"/>
  <c r="F57" i="2"/>
  <c r="F84" i="2" s="1"/>
  <c r="F165" i="2" s="1"/>
  <c r="BD57" i="2"/>
  <c r="AA57" i="2"/>
  <c r="BJ57" i="2"/>
  <c r="AV57" i="2"/>
  <c r="BM57" i="2"/>
  <c r="BT57" i="2"/>
  <c r="BQ57" i="2"/>
  <c r="K57" i="2"/>
  <c r="BU57" i="2"/>
  <c r="D57" i="2"/>
  <c r="BY57" i="2"/>
  <c r="J57" i="2"/>
  <c r="J84" i="2" s="1"/>
  <c r="J165" i="2" s="1"/>
  <c r="CC57" i="2"/>
  <c r="O57" i="2"/>
  <c r="G57" i="2"/>
  <c r="G84" i="2" s="1"/>
  <c r="G165" i="2" s="1"/>
  <c r="T57" i="2"/>
  <c r="L57" i="2"/>
  <c r="Z57" i="2"/>
  <c r="R57" i="2"/>
  <c r="CS57" i="2"/>
  <c r="CS84" i="2" s="1"/>
  <c r="CS165" i="2" s="1"/>
  <c r="W57" i="2"/>
  <c r="BV57" i="2"/>
  <c r="AB57" i="2"/>
  <c r="BZ57" i="2"/>
  <c r="B56" i="2"/>
  <c r="AH57" i="2"/>
  <c r="AU57" i="2"/>
  <c r="AM57" i="2"/>
  <c r="AZ57" i="2"/>
  <c r="AR57" i="2"/>
  <c r="CL57" i="2"/>
  <c r="AX57" i="2"/>
  <c r="CP57" i="2"/>
  <c r="BC57" i="2"/>
  <c r="BO57" i="2"/>
  <c r="CF57" i="2"/>
  <c r="BS57" i="2"/>
  <c r="E57" i="2"/>
  <c r="BW57" i="2"/>
  <c r="I57" i="2"/>
  <c r="I84" i="2" s="1"/>
  <c r="I165" i="2" s="1"/>
  <c r="CN57" i="2"/>
  <c r="M57" i="2"/>
  <c r="C57" i="2"/>
  <c r="Q57" i="2"/>
  <c r="H57" i="2"/>
  <c r="CM57" i="2"/>
  <c r="N57" i="2"/>
  <c r="X57" i="2"/>
  <c r="AG57" i="2"/>
  <c r="AD57" i="2"/>
  <c r="S57" i="2"/>
  <c r="BG57" i="2"/>
  <c r="AI57" i="2"/>
  <c r="P57" i="2"/>
  <c r="AO251" i="2"/>
  <c r="AN86" i="2"/>
  <c r="AN167" i="2" s="1"/>
  <c r="CN253" i="20"/>
  <c r="CM88" i="20"/>
  <c r="CM169" i="20" s="1"/>
  <c r="P251" i="2"/>
  <c r="O86" i="2"/>
  <c r="O167" i="2" s="1"/>
  <c r="AZ251" i="2"/>
  <c r="AY86" i="2"/>
  <c r="AY167" i="2" s="1"/>
  <c r="L253" i="20"/>
  <c r="K88" i="20"/>
  <c r="K169" i="20" s="1"/>
  <c r="B248" i="19"/>
  <c r="B321" i="19" s="1"/>
  <c r="B219" i="19"/>
  <c r="CL252" i="20"/>
  <c r="CK87" i="20"/>
  <c r="CK168" i="20" s="1"/>
  <c r="BX252" i="20"/>
  <c r="BW87" i="20"/>
  <c r="BW168" i="20" s="1"/>
  <c r="AU252" i="20"/>
  <c r="AT87" i="20"/>
  <c r="AT168" i="20" s="1"/>
  <c r="CO252" i="20"/>
  <c r="CN87" i="20"/>
  <c r="CN168" i="20" s="1"/>
  <c r="BA252" i="20"/>
  <c r="AZ87" i="20"/>
  <c r="AZ168" i="20" s="1"/>
  <c r="AV87" i="20"/>
  <c r="AW252" i="20"/>
  <c r="AV168" i="20"/>
  <c r="CR252" i="20"/>
  <c r="CQ87" i="20"/>
  <c r="CQ168" i="20" s="1"/>
  <c r="BA253" i="20"/>
  <c r="AZ88" i="20"/>
  <c r="AZ169" i="20" s="1"/>
  <c r="R12" i="2"/>
  <c r="S13" i="2"/>
  <c r="R68" i="2"/>
  <c r="BN251" i="2"/>
  <c r="BM86" i="2"/>
  <c r="BM167" i="2" s="1"/>
  <c r="BE251" i="2"/>
  <c r="BD86" i="2"/>
  <c r="BD167" i="2" s="1"/>
  <c r="CS253" i="20"/>
  <c r="CR88" i="20"/>
  <c r="CR169" i="20"/>
  <c r="CQ251" i="2"/>
  <c r="CP86" i="2"/>
  <c r="CP167" i="2"/>
  <c r="CP253" i="20"/>
  <c r="CO88" i="20"/>
  <c r="CO169" i="20" s="1"/>
  <c r="D225" i="20"/>
  <c r="B250" i="2"/>
  <c r="B221" i="2"/>
  <c r="AQ251" i="2"/>
  <c r="AP86" i="2"/>
  <c r="AP167" i="2" s="1"/>
  <c r="BQ250" i="2"/>
  <c r="BP85" i="2"/>
  <c r="BP166" i="2" s="1"/>
  <c r="X250" i="2"/>
  <c r="W85" i="2"/>
  <c r="W166" i="2"/>
  <c r="BH250" i="2"/>
  <c r="BG85" i="2"/>
  <c r="BG166" i="2" s="1"/>
  <c r="BK250" i="2"/>
  <c r="BJ85" i="2"/>
  <c r="BJ166" i="2" s="1"/>
  <c r="Q250" i="2"/>
  <c r="P85" i="2"/>
  <c r="P166" i="2" s="1"/>
  <c r="CP250" i="2"/>
  <c r="CO85" i="2"/>
  <c r="CO166" i="2"/>
  <c r="BV250" i="2"/>
  <c r="BU85" i="2"/>
  <c r="BU166" i="2" s="1"/>
  <c r="BD250" i="2"/>
  <c r="BC85" i="2"/>
  <c r="BC166" i="2"/>
  <c r="AQ250" i="2"/>
  <c r="AP85" i="2"/>
  <c r="AP166" i="2" s="1"/>
  <c r="BW250" i="2"/>
  <c r="BV85" i="2"/>
  <c r="BV166" i="2" s="1"/>
  <c r="BL250" i="2"/>
  <c r="BK85" i="2"/>
  <c r="BK166" i="2"/>
  <c r="BD251" i="2"/>
  <c r="BC86" i="2"/>
  <c r="BC167" i="2" s="1"/>
  <c r="BM253" i="20"/>
  <c r="BL88" i="20"/>
  <c r="BL169" i="20" s="1"/>
  <c r="AE251" i="2"/>
  <c r="AD86" i="2"/>
  <c r="AD167" i="2" s="1"/>
  <c r="CB251" i="2"/>
  <c r="CA86" i="2"/>
  <c r="CA167" i="2" s="1"/>
  <c r="CJ253" i="20"/>
  <c r="CI88" i="20"/>
  <c r="CI169" i="20" s="1"/>
  <c r="CM251" i="2"/>
  <c r="CL86" i="2"/>
  <c r="CL167" i="2"/>
  <c r="BV252" i="20"/>
  <c r="BU87" i="20"/>
  <c r="BU168" i="20" s="1"/>
  <c r="CH252" i="20"/>
  <c r="CG87" i="20"/>
  <c r="CG168" i="20" s="1"/>
  <c r="CE252" i="20"/>
  <c r="CD87" i="20"/>
  <c r="CD168" i="20" s="1"/>
  <c r="BK252" i="20"/>
  <c r="BJ87" i="20"/>
  <c r="BJ168" i="20" s="1"/>
  <c r="AY252" i="20"/>
  <c r="AX87" i="20"/>
  <c r="AX168" i="20" s="1"/>
  <c r="CI252" i="20"/>
  <c r="CH87" i="20"/>
  <c r="CH168" i="20" s="1"/>
  <c r="CN252" i="20"/>
  <c r="CM87" i="20"/>
  <c r="CM168" i="20" s="1"/>
  <c r="Q149" i="2"/>
  <c r="Q95" i="2"/>
  <c r="Q122" i="2" s="1"/>
  <c r="Q186" i="2"/>
  <c r="Q176" i="2" s="1"/>
  <c r="Q251" i="2"/>
  <c r="P86" i="2"/>
  <c r="P167" i="2" s="1"/>
  <c r="BT251" i="2"/>
  <c r="BS86" i="2"/>
  <c r="BS167" i="2" s="1"/>
  <c r="CD253" i="20"/>
  <c r="CC88" i="20"/>
  <c r="CC169" i="20" s="1"/>
  <c r="T251" i="2"/>
  <c r="S86" i="2"/>
  <c r="S167" i="2" s="1"/>
  <c r="BX253" i="20"/>
  <c r="BW88" i="20"/>
  <c r="BW169" i="20" s="1"/>
  <c r="CK251" i="2"/>
  <c r="CJ86" i="2"/>
  <c r="CJ167" i="2" s="1"/>
  <c r="AY58" i="2"/>
  <c r="AK58" i="2"/>
  <c r="X58" i="2"/>
  <c r="CM58" i="2"/>
  <c r="AT58" i="2"/>
  <c r="CQ58" i="2"/>
  <c r="BN58" i="2"/>
  <c r="CE58" i="2"/>
  <c r="V58" i="2"/>
  <c r="I58" i="2"/>
  <c r="I85" i="2" s="1"/>
  <c r="I166" i="2" s="1"/>
  <c r="AB58" i="2"/>
  <c r="AD58" i="2"/>
  <c r="BF251" i="2"/>
  <c r="BE167" i="2"/>
  <c r="BE86" i="2"/>
  <c r="BI253" i="20"/>
  <c r="BH88" i="20"/>
  <c r="BH169" i="20" s="1"/>
  <c r="CD251" i="2"/>
  <c r="CC86" i="2"/>
  <c r="CC167" i="2" s="1"/>
  <c r="AX251" i="2"/>
  <c r="AW86" i="2"/>
  <c r="AW167" i="2" s="1"/>
  <c r="AZ253" i="20"/>
  <c r="AY88" i="20"/>
  <c r="AY169" i="20" s="1"/>
  <c r="BM251" i="2"/>
  <c r="BL86" i="2"/>
  <c r="BL167" i="2" s="1"/>
  <c r="E88" i="20"/>
  <c r="E169" i="20" s="1"/>
  <c r="CF252" i="20"/>
  <c r="CE87" i="20"/>
  <c r="CE168" i="20" s="1"/>
  <c r="BU252" i="20"/>
  <c r="BT87" i="20"/>
  <c r="BT168" i="20" s="1"/>
  <c r="BD252" i="20"/>
  <c r="BC87" i="20"/>
  <c r="BC168" i="20" s="1"/>
  <c r="AT252" i="20"/>
  <c r="AS87" i="20"/>
  <c r="AS168" i="20" s="1"/>
  <c r="BE252" i="20"/>
  <c r="BD87" i="20"/>
  <c r="BD168" i="20" s="1"/>
  <c r="BZ252" i="20"/>
  <c r="BY87" i="20"/>
  <c r="BY168" i="20" s="1"/>
  <c r="BJ252" i="20"/>
  <c r="BI87" i="20"/>
  <c r="BI168" i="20"/>
  <c r="CA253" i="20"/>
  <c r="BZ88" i="20"/>
  <c r="BZ169" i="20" s="1"/>
  <c r="J253" i="20"/>
  <c r="I88" i="20"/>
  <c r="I169" i="20" s="1"/>
  <c r="AY251" i="2"/>
  <c r="AX86" i="2"/>
  <c r="AX167" i="2" s="1"/>
  <c r="BV251" i="2"/>
  <c r="BU86" i="2"/>
  <c r="BU167" i="2" s="1"/>
  <c r="BE253" i="20"/>
  <c r="BD88" i="20"/>
  <c r="BD169" i="20" s="1"/>
  <c r="K251" i="2"/>
  <c r="J86" i="2"/>
  <c r="J167" i="2" s="1"/>
  <c r="CL251" i="2"/>
  <c r="CK86" i="2"/>
  <c r="CK167" i="2" s="1"/>
  <c r="BD253" i="20"/>
  <c r="BC88" i="20"/>
  <c r="BC169" i="20" s="1"/>
  <c r="AH250" i="2"/>
  <c r="AG85" i="2"/>
  <c r="AG166" i="2" s="1"/>
  <c r="O250" i="2"/>
  <c r="N85" i="2"/>
  <c r="N166" i="2"/>
  <c r="AD250" i="2"/>
  <c r="AC85" i="2"/>
  <c r="AC166" i="2"/>
  <c r="AY250" i="2"/>
  <c r="AX85" i="2"/>
  <c r="AX166" i="2" s="1"/>
  <c r="CG250" i="2"/>
  <c r="CF85" i="2"/>
  <c r="CF166" i="2" s="1"/>
  <c r="M250" i="2"/>
  <c r="L85" i="2"/>
  <c r="L166" i="2" s="1"/>
  <c r="BY250" i="2"/>
  <c r="BX85" i="2"/>
  <c r="BX166" i="2"/>
  <c r="BI250" i="2"/>
  <c r="BH85" i="2"/>
  <c r="BH166" i="2" s="1"/>
  <c r="BU251" i="2"/>
  <c r="BT86" i="2"/>
  <c r="BT167" i="2" s="1"/>
  <c r="K253" i="20"/>
  <c r="J88" i="20"/>
  <c r="J169" i="20" s="1"/>
  <c r="AV251" i="2"/>
  <c r="AU86" i="2"/>
  <c r="AU167" i="2" s="1"/>
  <c r="M253" i="20"/>
  <c r="L88" i="20"/>
  <c r="L169" i="20"/>
  <c r="AU251" i="2"/>
  <c r="AT86" i="2"/>
  <c r="AT167" i="2" s="1"/>
  <c r="O252" i="20"/>
  <c r="N87" i="20"/>
  <c r="N168" i="20" s="1"/>
  <c r="AR252" i="20"/>
  <c r="AQ87" i="20"/>
  <c r="AQ168" i="20" s="1"/>
  <c r="J252" i="20"/>
  <c r="I87" i="20"/>
  <c r="I168" i="20" s="1"/>
  <c r="BL252" i="20"/>
  <c r="BK87" i="20"/>
  <c r="BK168" i="20" s="1"/>
  <c r="M252" i="20"/>
  <c r="L87" i="20"/>
  <c r="L168" i="20" s="1"/>
  <c r="BC252" i="20"/>
  <c r="BB87" i="20"/>
  <c r="BB168" i="20" s="1"/>
  <c r="CQ252" i="20"/>
  <c r="CP87" i="20"/>
  <c r="CP168" i="20" s="1"/>
  <c r="AX252" i="20"/>
  <c r="AW87" i="20"/>
  <c r="AW168" i="20" s="1"/>
  <c r="CE253" i="20"/>
  <c r="CD88" i="20"/>
  <c r="CD169" i="20" s="1"/>
  <c r="CH251" i="2"/>
  <c r="CG86" i="2"/>
  <c r="CG167" i="2" s="1"/>
  <c r="E86" i="2"/>
  <c r="E167" i="2"/>
  <c r="CI253" i="20"/>
  <c r="CH88" i="20"/>
  <c r="CH169" i="20" s="1"/>
  <c r="CC251" i="2"/>
  <c r="CB86" i="2"/>
  <c r="CB167" i="2" s="1"/>
  <c r="AH251" i="2"/>
  <c r="AG167" i="2"/>
  <c r="AG86" i="2"/>
  <c r="BV253" i="20"/>
  <c r="BU88" i="20"/>
  <c r="BU169" i="20"/>
  <c r="B323" i="20"/>
  <c r="N251" i="2"/>
  <c r="M86" i="2"/>
  <c r="M167" i="2" s="1"/>
  <c r="CC250" i="2"/>
  <c r="CB85" i="2"/>
  <c r="CB166" i="2" s="1"/>
  <c r="AJ250" i="2"/>
  <c r="AI85" i="2"/>
  <c r="AI166" i="2" s="1"/>
  <c r="CD250" i="2"/>
  <c r="CC85" i="2"/>
  <c r="CC166" i="2" s="1"/>
  <c r="CI250" i="2"/>
  <c r="CH85" i="2"/>
  <c r="CH166" i="2"/>
  <c r="AR250" i="2"/>
  <c r="AQ85" i="2"/>
  <c r="AQ166" i="2" s="1"/>
  <c r="BG250" i="2"/>
  <c r="BF85" i="2"/>
  <c r="BF166" i="2" s="1"/>
  <c r="CB250" i="2"/>
  <c r="CA85" i="2"/>
  <c r="CA166" i="2" s="1"/>
  <c r="CL250" i="2"/>
  <c r="CK85" i="2"/>
  <c r="CK166" i="2" s="1"/>
  <c r="BP250" i="2"/>
  <c r="BO85" i="2"/>
  <c r="BO166" i="2" s="1"/>
  <c r="AG250" i="2"/>
  <c r="AF85" i="2"/>
  <c r="AF166" i="2" s="1"/>
  <c r="D86" i="2"/>
  <c r="D167" i="2"/>
  <c r="CR253" i="20"/>
  <c r="CQ88" i="20"/>
  <c r="CQ169" i="20" s="1"/>
  <c r="BX251" i="2"/>
  <c r="BW86" i="2"/>
  <c r="BW167" i="2" s="1"/>
  <c r="BT253" i="20"/>
  <c r="BS88" i="20"/>
  <c r="BS169" i="20"/>
  <c r="BO251" i="2"/>
  <c r="BN86" i="2"/>
  <c r="BN167" i="2" s="1"/>
  <c r="AA251" i="2"/>
  <c r="Z86" i="2"/>
  <c r="Z167" i="2" s="1"/>
  <c r="N252" i="20"/>
  <c r="M87" i="20"/>
  <c r="M168" i="20" s="1"/>
  <c r="AV252" i="20"/>
  <c r="AU87" i="20"/>
  <c r="AU168" i="20" s="1"/>
  <c r="CJ252" i="20"/>
  <c r="CI87" i="20"/>
  <c r="CI168" i="20" s="1"/>
  <c r="BN252" i="20"/>
  <c r="BM87" i="20"/>
  <c r="BM168" i="20" s="1"/>
  <c r="CC252" i="20"/>
  <c r="CB87" i="20"/>
  <c r="CB168" i="20" s="1"/>
  <c r="BW252" i="20"/>
  <c r="BV87" i="20"/>
  <c r="BV168" i="20" s="1"/>
  <c r="CD252" i="20"/>
  <c r="CC87" i="20"/>
  <c r="CC168" i="20" s="1"/>
  <c r="BM252" i="20"/>
  <c r="BL87" i="20"/>
  <c r="BL168" i="20" s="1"/>
  <c r="CI59" i="20"/>
  <c r="BG59" i="20"/>
  <c r="CL59" i="20"/>
  <c r="BJ59" i="20"/>
  <c r="CG59" i="20"/>
  <c r="D59" i="20"/>
  <c r="BA59" i="20"/>
  <c r="BK59" i="20"/>
  <c r="CF59" i="20"/>
  <c r="I59" i="20"/>
  <c r="I86" i="20" s="1"/>
  <c r="I167" i="20" s="1"/>
  <c r="CS59" i="20"/>
  <c r="CS86" i="20" s="1"/>
  <c r="CS167" i="20" s="1"/>
  <c r="AR59" i="20"/>
  <c r="BB59" i="20"/>
  <c r="G59" i="20"/>
  <c r="B113" i="20"/>
  <c r="B58" i="20"/>
  <c r="BI59" i="20"/>
  <c r="E59" i="20"/>
  <c r="F59" i="20"/>
  <c r="CN59" i="20"/>
  <c r="BS59" i="20"/>
  <c r="L59" i="20"/>
  <c r="BQ59" i="20"/>
  <c r="CJ59" i="20"/>
  <c r="CK59" i="20"/>
  <c r="CT59" i="20"/>
  <c r="BX59" i="20" s="1"/>
  <c r="BM59" i="20"/>
  <c r="BH59" i="20"/>
  <c r="CA59" i="20"/>
  <c r="CB59" i="20"/>
  <c r="AQ59" i="20"/>
  <c r="AT59" i="20"/>
  <c r="BD59" i="20"/>
  <c r="H59" i="20"/>
  <c r="H86" i="20" s="1"/>
  <c r="H167" i="20" s="1"/>
  <c r="BR59" i="20"/>
  <c r="BF59" i="20"/>
  <c r="CE59" i="20"/>
  <c r="BP59" i="20"/>
  <c r="CO59" i="20"/>
  <c r="CD59" i="20"/>
  <c r="AX59" i="20"/>
  <c r="AU59" i="20"/>
  <c r="AY59" i="20"/>
  <c r="AO59" i="20"/>
  <c r="BL59" i="20"/>
  <c r="CC59" i="20"/>
  <c r="BY59" i="20"/>
  <c r="AZ59" i="20"/>
  <c r="BO59" i="20"/>
  <c r="M59" i="20"/>
  <c r="N59" i="20"/>
  <c r="CL253" i="20"/>
  <c r="CK88" i="20"/>
  <c r="CK169" i="20" s="1"/>
  <c r="AQ253" i="20"/>
  <c r="AP88" i="20"/>
  <c r="AP169" i="20" s="1"/>
  <c r="BK251" i="2"/>
  <c r="BJ86" i="2"/>
  <c r="BJ167" i="2" s="1"/>
  <c r="CO253" i="20"/>
  <c r="CN88" i="20"/>
  <c r="CN169" i="20" s="1"/>
  <c r="AF251" i="2"/>
  <c r="AE86" i="2"/>
  <c r="AE167" i="2" s="1"/>
  <c r="BP251" i="2"/>
  <c r="BO86" i="2"/>
  <c r="BO167" i="2"/>
  <c r="AY253" i="20"/>
  <c r="AX88" i="20"/>
  <c r="AX169" i="20"/>
  <c r="BJ83" i="19"/>
  <c r="BJ164" i="19" s="1"/>
  <c r="CI56" i="19"/>
  <c r="CJ248" i="19" s="1"/>
  <c r="CG56" i="19"/>
  <c r="CH248" i="19" s="1"/>
  <c r="Q86" i="19"/>
  <c r="Q167" i="19" s="1"/>
  <c r="BC84" i="19"/>
  <c r="BC165" i="19" s="1"/>
  <c r="AQ84" i="19"/>
  <c r="AQ165" i="19" s="1"/>
  <c r="D225" i="2"/>
  <c r="CV33" i="2"/>
  <c r="P83" i="19"/>
  <c r="P164" i="19" s="1"/>
  <c r="BW83" i="19"/>
  <c r="BW164" i="19" s="1"/>
  <c r="BA56" i="19"/>
  <c r="BB248" i="19" s="1"/>
  <c r="O84" i="19"/>
  <c r="O165" i="19" s="1"/>
  <c r="AQ56" i="19"/>
  <c r="AR248" i="19" s="1"/>
  <c r="A30" i="19"/>
  <c r="B29" i="19"/>
  <c r="B166" i="19"/>
  <c r="B139" i="19" s="1"/>
  <c r="B85" i="19"/>
  <c r="CT30" i="19"/>
  <c r="CU30" i="19"/>
  <c r="CM84" i="19"/>
  <c r="CM165" i="19" s="1"/>
  <c r="P91" i="20"/>
  <c r="P172" i="20" s="1"/>
  <c r="F354" i="20"/>
  <c r="Q87" i="19"/>
  <c r="Q168" i="19" s="1"/>
  <c r="BP84" i="19"/>
  <c r="BP165" i="19" s="1"/>
  <c r="BE84" i="19"/>
  <c r="BE165" i="19" s="1"/>
  <c r="J13" i="20"/>
  <c r="I12" i="20"/>
  <c r="I68" i="20"/>
  <c r="D84" i="19"/>
  <c r="D165" i="19" s="1"/>
  <c r="A32" i="2"/>
  <c r="B31" i="2"/>
  <c r="CT32" i="2"/>
  <c r="CU32" i="2"/>
  <c r="B87" i="2"/>
  <c r="B168" i="2"/>
  <c r="B141" i="2" s="1"/>
  <c r="CH84" i="19"/>
  <c r="CH165" i="19" s="1"/>
  <c r="M83" i="19"/>
  <c r="M164" i="19" s="1"/>
  <c r="H83" i="19"/>
  <c r="H164" i="19" s="1"/>
  <c r="AX84" i="19"/>
  <c r="AX165" i="19" s="1"/>
  <c r="A251" i="19"/>
  <c r="A223" i="19"/>
  <c r="A86" i="19"/>
  <c r="C249" i="19"/>
  <c r="P90" i="20"/>
  <c r="P171" i="20" s="1"/>
  <c r="CQ84" i="19"/>
  <c r="CQ165" i="19" s="1"/>
  <c r="CI84" i="19"/>
  <c r="CI165" i="19" s="1"/>
  <c r="I186" i="19"/>
  <c r="I176" i="19" s="1"/>
  <c r="I149" i="19"/>
  <c r="I95" i="19"/>
  <c r="I122" i="19" s="1"/>
  <c r="Q88" i="19"/>
  <c r="Q169" i="19" s="1"/>
  <c r="CJ84" i="19"/>
  <c r="CJ165" i="19" s="1"/>
  <c r="H186" i="20"/>
  <c r="H176" i="20" s="1"/>
  <c r="H95" i="20"/>
  <c r="H122" i="20" s="1"/>
  <c r="H149" i="20"/>
  <c r="BI84" i="19"/>
  <c r="BI165" i="19" s="1"/>
  <c r="A225" i="2"/>
  <c r="A88" i="2"/>
  <c r="A253" i="2"/>
  <c r="AP83" i="19"/>
  <c r="AP164" i="19" s="1"/>
  <c r="F84" i="19"/>
  <c r="F165" i="19" s="1"/>
  <c r="BU84" i="19"/>
  <c r="BU165" i="19" s="1"/>
  <c r="BQ84" i="19"/>
  <c r="BQ165" i="19" s="1"/>
  <c r="CN84" i="19"/>
  <c r="CN165" i="19" s="1"/>
  <c r="CS56" i="19"/>
  <c r="CS83" i="19" s="1"/>
  <c r="CS164" i="19" s="1"/>
  <c r="CR56" i="19"/>
  <c r="CS248" i="19" s="1"/>
  <c r="CC56" i="19"/>
  <c r="CD248" i="19" s="1"/>
  <c r="C56" i="19"/>
  <c r="BC56" i="19"/>
  <c r="BD248" i="19" s="1"/>
  <c r="BY56" i="19"/>
  <c r="BZ248" i="19" s="1"/>
  <c r="CO56" i="19"/>
  <c r="CP248" i="19" s="1"/>
  <c r="BG56" i="19"/>
  <c r="BH248" i="19" s="1"/>
  <c r="AV56" i="19"/>
  <c r="AW248" i="19" s="1"/>
  <c r="CA84" i="19"/>
  <c r="CA165" i="19" s="1"/>
  <c r="N84" i="19"/>
  <c r="N165" i="19" s="1"/>
  <c r="BL84" i="19"/>
  <c r="BL165" i="19" s="1"/>
  <c r="BU56" i="19"/>
  <c r="BV248" i="19" s="1"/>
  <c r="BF56" i="19"/>
  <c r="BG248" i="19" s="1"/>
  <c r="AY56" i="19"/>
  <c r="AZ248" i="19" s="1"/>
  <c r="AU56" i="19"/>
  <c r="AV248" i="19" s="1"/>
  <c r="BP56" i="19"/>
  <c r="BQ248" i="19" s="1"/>
  <c r="N56" i="19"/>
  <c r="O248" i="19" s="1"/>
  <c r="BK56" i="19"/>
  <c r="BL248" i="19" s="1"/>
  <c r="BT56" i="19"/>
  <c r="BU248" i="19" s="1"/>
  <c r="G56" i="19"/>
  <c r="F56" i="19"/>
  <c r="B54" i="19"/>
  <c r="CT55" i="19"/>
  <c r="BF55" i="19" s="1"/>
  <c r="BG247" i="19" s="1"/>
  <c r="CM55" i="19"/>
  <c r="CN247" i="19" s="1"/>
  <c r="I55" i="19"/>
  <c r="J247" i="19" s="1"/>
  <c r="BD55" i="19"/>
  <c r="BE247" i="19" s="1"/>
  <c r="B109" i="19"/>
  <c r="BJ55" i="19"/>
  <c r="BK247" i="19" s="1"/>
  <c r="H55" i="19"/>
  <c r="I247" i="19" s="1"/>
  <c r="BI56" i="19"/>
  <c r="BJ248" i="19" s="1"/>
  <c r="P92" i="20"/>
  <c r="P173" i="20" s="1"/>
  <c r="BV84" i="19"/>
  <c r="BV165" i="19" s="1"/>
  <c r="AO84" i="19"/>
  <c r="AO165" i="19" s="1"/>
  <c r="J68" i="19"/>
  <c r="K13" i="19"/>
  <c r="J12" i="19"/>
  <c r="Q89" i="19"/>
  <c r="Q170" i="19" s="1"/>
  <c r="BH84" i="19"/>
  <c r="BH165" i="19" s="1"/>
  <c r="M84" i="19"/>
  <c r="M165" i="19" s="1"/>
  <c r="P87" i="20"/>
  <c r="P168" i="20" s="1"/>
  <c r="P89" i="20"/>
  <c r="P170" i="20" s="1"/>
  <c r="E56" i="19"/>
  <c r="BF84" i="19"/>
  <c r="BF165" i="19" s="1"/>
  <c r="CA56" i="19"/>
  <c r="CB248" i="19" s="1"/>
  <c r="BS56" i="19"/>
  <c r="BT248" i="19" s="1"/>
  <c r="BX56" i="19"/>
  <c r="BY248" i="19" s="1"/>
  <c r="AW56" i="19"/>
  <c r="AX248" i="19" s="1"/>
  <c r="CK56" i="19"/>
  <c r="CL248" i="19" s="1"/>
  <c r="CD84" i="19"/>
  <c r="CD165" i="19" s="1"/>
  <c r="R41" i="20"/>
  <c r="Q64" i="20"/>
  <c r="R256" i="20" s="1"/>
  <c r="Q63" i="20"/>
  <c r="R255" i="20" s="1"/>
  <c r="Q65" i="20"/>
  <c r="R257" i="20" s="1"/>
  <c r="Q59" i="20"/>
  <c r="R251" i="20" s="1"/>
  <c r="Q60" i="20"/>
  <c r="R252" i="20" s="1"/>
  <c r="Q62" i="20"/>
  <c r="R254" i="20" s="1"/>
  <c r="Q61" i="20"/>
  <c r="R253" i="20" s="1"/>
  <c r="BB84" i="19"/>
  <c r="BB165" i="19" s="1"/>
  <c r="AR84" i="19"/>
  <c r="AR165" i="19" s="1"/>
  <c r="Q90" i="19"/>
  <c r="Q171" i="19" s="1"/>
  <c r="H84" i="19"/>
  <c r="H165" i="19" s="1"/>
  <c r="F345" i="19"/>
  <c r="BO84" i="19"/>
  <c r="BO165" i="19" s="1"/>
  <c r="J56" i="19"/>
  <c r="BL56" i="19"/>
  <c r="BM248" i="19" s="1"/>
  <c r="AT56" i="19"/>
  <c r="AU248" i="19" s="1"/>
  <c r="CN56" i="19"/>
  <c r="CO248" i="19" s="1"/>
  <c r="CF56" i="19"/>
  <c r="CG248" i="19" s="1"/>
  <c r="CB84" i="19"/>
  <c r="CB165" i="19" s="1"/>
  <c r="R84" i="19"/>
  <c r="R165" i="19" s="1"/>
  <c r="BY84" i="19"/>
  <c r="BY165" i="19" s="1"/>
  <c r="BW84" i="19"/>
  <c r="BW165" i="19" s="1"/>
  <c r="CK84" i="19"/>
  <c r="CK165" i="19" s="1"/>
  <c r="BM56" i="19"/>
  <c r="BN248" i="19" s="1"/>
  <c r="BE56" i="19"/>
  <c r="BF248" i="19" s="1"/>
  <c r="K56" i="19"/>
  <c r="AZ56" i="19"/>
  <c r="BA248" i="19" s="1"/>
  <c r="BR56" i="19"/>
  <c r="BS248" i="19" s="1"/>
  <c r="D56" i="19"/>
  <c r="AO56" i="19"/>
  <c r="AP248" i="19" s="1"/>
  <c r="BN56" i="19"/>
  <c r="BO248" i="19" s="1"/>
  <c r="R56" i="19"/>
  <c r="S248" i="19" s="1"/>
  <c r="CE56" i="19"/>
  <c r="CF248" i="19" s="1"/>
  <c r="CQ56" i="19"/>
  <c r="CR248" i="19" s="1"/>
  <c r="Q56" i="19"/>
  <c r="R248" i="19" s="1"/>
  <c r="CD56" i="19"/>
  <c r="CE248" i="19" s="1"/>
  <c r="BD56" i="19"/>
  <c r="BE248" i="19" s="1"/>
  <c r="AR56" i="19"/>
  <c r="AS248" i="19" s="1"/>
  <c r="BD84" i="19"/>
  <c r="BD165" i="19" s="1"/>
  <c r="D224" i="20"/>
  <c r="CV32" i="20"/>
  <c r="CC84" i="19"/>
  <c r="CC165" i="19" s="1"/>
  <c r="AS56" i="19"/>
  <c r="AT248" i="19" s="1"/>
  <c r="CH56" i="19"/>
  <c r="CI248" i="19" s="1"/>
  <c r="BQ56" i="19"/>
  <c r="BR248" i="19" s="1"/>
  <c r="BB56" i="19"/>
  <c r="BC248" i="19" s="1"/>
  <c r="CB56" i="19"/>
  <c r="CC248" i="19" s="1"/>
  <c r="CM56" i="19"/>
  <c r="CN248" i="19" s="1"/>
  <c r="BZ56" i="19"/>
  <c r="CA248" i="19" s="1"/>
  <c r="BM84" i="19"/>
  <c r="BM165" i="19" s="1"/>
  <c r="L84" i="19"/>
  <c r="L165" i="19" s="1"/>
  <c r="CJ56" i="19"/>
  <c r="CK248" i="19" s="1"/>
  <c r="BO56" i="19"/>
  <c r="BP248" i="19" s="1"/>
  <c r="I56" i="19"/>
  <c r="O56" i="19"/>
  <c r="P248" i="19" s="1"/>
  <c r="BV56" i="19"/>
  <c r="BW248" i="19" s="1"/>
  <c r="BH56" i="19"/>
  <c r="BI248" i="19" s="1"/>
  <c r="CP56" i="19"/>
  <c r="CQ248" i="19" s="1"/>
  <c r="L56" i="19"/>
  <c r="CL56" i="19"/>
  <c r="CM248" i="19" s="1"/>
  <c r="AX56" i="19"/>
  <c r="AY248" i="19" s="1"/>
  <c r="B86" i="20"/>
  <c r="A31" i="20"/>
  <c r="B167" i="20"/>
  <c r="B140" i="20" s="1"/>
  <c r="B30" i="20"/>
  <c r="CU31" i="20"/>
  <c r="CT31" i="20"/>
  <c r="BX84" i="19"/>
  <c r="BX165" i="19" s="1"/>
  <c r="BS84" i="19"/>
  <c r="BS165" i="19" s="1"/>
  <c r="P88" i="20"/>
  <c r="P169" i="20" s="1"/>
  <c r="P84" i="19"/>
  <c r="P165" i="19" s="1"/>
  <c r="AT84" i="19"/>
  <c r="AT165" i="19" s="1"/>
  <c r="Q92" i="19"/>
  <c r="Q173" i="19" s="1"/>
  <c r="BG84" i="19"/>
  <c r="BG165" i="19" s="1"/>
  <c r="I84" i="19"/>
  <c r="I165" i="19" s="1"/>
  <c r="CE84" i="19"/>
  <c r="CE165" i="19" s="1"/>
  <c r="CV31" i="19"/>
  <c r="D223" i="19"/>
  <c r="A252" i="20"/>
  <c r="A224" i="20"/>
  <c r="A87" i="20"/>
  <c r="AZ84" i="19"/>
  <c r="AZ165" i="19" s="1"/>
  <c r="AV84" i="19"/>
  <c r="AV165" i="19" s="1"/>
  <c r="Q91" i="19"/>
  <c r="Q172" i="19" s="1"/>
  <c r="E84" i="19"/>
  <c r="E165" i="19" s="1"/>
  <c r="BN84" i="19"/>
  <c r="BN165" i="19" s="1"/>
  <c r="AP84" i="19"/>
  <c r="AP165" i="19" s="1"/>
  <c r="S41" i="19"/>
  <c r="R64" i="19"/>
  <c r="S256" i="19" s="1"/>
  <c r="R65" i="19"/>
  <c r="S257" i="19" s="1"/>
  <c r="R62" i="19"/>
  <c r="S254" i="19" s="1"/>
  <c r="R61" i="19"/>
  <c r="S253" i="19" s="1"/>
  <c r="R60" i="19"/>
  <c r="S252" i="19" s="1"/>
  <c r="R63" i="19"/>
  <c r="S255" i="19" s="1"/>
  <c r="R59" i="19"/>
  <c r="S251" i="19" s="1"/>
  <c r="R58" i="19"/>
  <c r="S250" i="19" s="1"/>
  <c r="BK84" i="19"/>
  <c r="BK165" i="19" s="1"/>
  <c r="AR249" i="2" l="1"/>
  <c r="AQ84" i="2"/>
  <c r="AQ165" i="2" s="1"/>
  <c r="BY251" i="20"/>
  <c r="BX86" i="20"/>
  <c r="BX167" i="20" s="1"/>
  <c r="BA251" i="20"/>
  <c r="AZ86" i="20"/>
  <c r="AZ167" i="20" s="1"/>
  <c r="AV251" i="20"/>
  <c r="AU86" i="20"/>
  <c r="AU167" i="20" s="1"/>
  <c r="BG251" i="20"/>
  <c r="BF86" i="20"/>
  <c r="BF167" i="20" s="1"/>
  <c r="CC251" i="20"/>
  <c r="CB86" i="20"/>
  <c r="CB167" i="20" s="1"/>
  <c r="CK251" i="20"/>
  <c r="CJ86" i="20"/>
  <c r="CJ167" i="20"/>
  <c r="F86" i="20"/>
  <c r="F167" i="20"/>
  <c r="BC251" i="20"/>
  <c r="BB86" i="20"/>
  <c r="BB167" i="20" s="1"/>
  <c r="BL251" i="20"/>
  <c r="BK86" i="20"/>
  <c r="BK167" i="20" s="1"/>
  <c r="CM251" i="20"/>
  <c r="CL86" i="20"/>
  <c r="CL167" i="20" s="1"/>
  <c r="AL250" i="2"/>
  <c r="AK85" i="2"/>
  <c r="AK166" i="2" s="1"/>
  <c r="B249" i="2"/>
  <c r="B220" i="2"/>
  <c r="S12" i="2"/>
  <c r="S68" i="2"/>
  <c r="T13" i="2"/>
  <c r="T249" i="2"/>
  <c r="S84" i="2"/>
  <c r="S165" i="2"/>
  <c r="CN249" i="2"/>
  <c r="CM84" i="2"/>
  <c r="CM165" i="2" s="1"/>
  <c r="CO249" i="2"/>
  <c r="CN84" i="2"/>
  <c r="CN165" i="2" s="1"/>
  <c r="CG249" i="2"/>
  <c r="CF84" i="2"/>
  <c r="CF165" i="2" s="1"/>
  <c r="CM249" i="2"/>
  <c r="CL84" i="2"/>
  <c r="CL165" i="2"/>
  <c r="AI249" i="2"/>
  <c r="AH84" i="2"/>
  <c r="AH165" i="2" s="1"/>
  <c r="D84" i="2"/>
  <c r="D165" i="2"/>
  <c r="BN249" i="2"/>
  <c r="BM84" i="2"/>
  <c r="BM165" i="2" s="1"/>
  <c r="AO249" i="2"/>
  <c r="AN84" i="2"/>
  <c r="AN165" i="2" s="1"/>
  <c r="AS250" i="2"/>
  <c r="AR85" i="2"/>
  <c r="AR166" i="2" s="1"/>
  <c r="J85" i="2"/>
  <c r="J166" i="2"/>
  <c r="BZ251" i="20"/>
  <c r="BY86" i="20"/>
  <c r="BY167" i="20" s="1"/>
  <c r="AY251" i="20"/>
  <c r="AX86" i="20"/>
  <c r="AX167" i="20" s="1"/>
  <c r="BS251" i="20"/>
  <c r="BR86" i="20"/>
  <c r="BR167" i="20" s="1"/>
  <c r="CB251" i="20"/>
  <c r="CA86" i="20"/>
  <c r="CA167" i="20"/>
  <c r="BR251" i="20"/>
  <c r="BQ167" i="20"/>
  <c r="BQ86" i="20"/>
  <c r="E86" i="20"/>
  <c r="E167" i="20" s="1"/>
  <c r="AS251" i="20"/>
  <c r="AR86" i="20"/>
  <c r="AR167" i="20"/>
  <c r="BB251" i="20"/>
  <c r="BA86" i="20"/>
  <c r="BA167" i="20" s="1"/>
  <c r="BH251" i="20"/>
  <c r="BG86" i="20"/>
  <c r="BG167" i="20" s="1"/>
  <c r="W250" i="2"/>
  <c r="V85" i="2"/>
  <c r="V166" i="2" s="1"/>
  <c r="AZ250" i="2"/>
  <c r="AY85" i="2"/>
  <c r="AY166" i="2" s="1"/>
  <c r="C250" i="2"/>
  <c r="B323" i="2"/>
  <c r="AK57" i="2"/>
  <c r="U57" i="2"/>
  <c r="CA57" i="2"/>
  <c r="BH57" i="2"/>
  <c r="BF57" i="2"/>
  <c r="B55" i="2"/>
  <c r="AS56" i="2"/>
  <c r="X56" i="2"/>
  <c r="BC56" i="2"/>
  <c r="U56" i="2"/>
  <c r="AF56" i="2"/>
  <c r="BN56" i="2"/>
  <c r="BK56" i="2"/>
  <c r="AN56" i="2"/>
  <c r="BY56" i="2"/>
  <c r="F56" i="2"/>
  <c r="F83" i="2" s="1"/>
  <c r="F164" i="2" s="1"/>
  <c r="AV56" i="2"/>
  <c r="K56" i="2"/>
  <c r="K83" i="2" s="1"/>
  <c r="K164" i="2" s="1"/>
  <c r="AZ56" i="2"/>
  <c r="CO56" i="2"/>
  <c r="V56" i="2"/>
  <c r="BH56" i="2"/>
  <c r="I56" i="2"/>
  <c r="I83" i="2" s="1"/>
  <c r="I164" i="2" s="1"/>
  <c r="AG56" i="2"/>
  <c r="BP56" i="2"/>
  <c r="S56" i="2"/>
  <c r="AQ56" i="2"/>
  <c r="BX56" i="2"/>
  <c r="AD56" i="2"/>
  <c r="BB56" i="2"/>
  <c r="CF56" i="2"/>
  <c r="AO56" i="2"/>
  <c r="BM56" i="2"/>
  <c r="CN56" i="2"/>
  <c r="AY56" i="2"/>
  <c r="CT56" i="2"/>
  <c r="CA56" i="2" s="1"/>
  <c r="BW56" i="2"/>
  <c r="Z56" i="2"/>
  <c r="BJ56" i="2"/>
  <c r="CH56" i="2"/>
  <c r="BO56" i="2"/>
  <c r="CL56" i="2"/>
  <c r="BU56" i="2"/>
  <c r="CS56" i="2"/>
  <c r="CS83" i="2" s="1"/>
  <c r="CS164" i="2" s="1"/>
  <c r="BQ56" i="2"/>
  <c r="G56" i="2"/>
  <c r="CE56" i="2"/>
  <c r="M56" i="2"/>
  <c r="CK56" i="2"/>
  <c r="AE56" i="2"/>
  <c r="CP56" i="2"/>
  <c r="BA56" i="2"/>
  <c r="L56" i="2"/>
  <c r="L83" i="2" s="1"/>
  <c r="L164" i="2" s="1"/>
  <c r="B110" i="2"/>
  <c r="W56" i="2"/>
  <c r="O56" i="2"/>
  <c r="D56" i="2"/>
  <c r="D83" i="2" s="1"/>
  <c r="D164" i="2" s="1"/>
  <c r="BV56" i="2"/>
  <c r="P56" i="2"/>
  <c r="AC56" i="2"/>
  <c r="CQ56" i="2"/>
  <c r="AH56" i="2"/>
  <c r="AE57" i="2"/>
  <c r="CG57" i="2"/>
  <c r="AF57" i="2"/>
  <c r="BP57" i="2"/>
  <c r="BA57" i="2"/>
  <c r="V57" i="2"/>
  <c r="BT250" i="2"/>
  <c r="BS85" i="2"/>
  <c r="BS166" i="2" s="1"/>
  <c r="CD251" i="20"/>
  <c r="CC86" i="20"/>
  <c r="CC167" i="20" s="1"/>
  <c r="CE251" i="20"/>
  <c r="CD86" i="20"/>
  <c r="CD167" i="20"/>
  <c r="BI251" i="20"/>
  <c r="BH86" i="20"/>
  <c r="BH167" i="20" s="1"/>
  <c r="M251" i="20"/>
  <c r="L86" i="20"/>
  <c r="L167" i="20"/>
  <c r="BJ251" i="20"/>
  <c r="BI86" i="20"/>
  <c r="BI167" i="20" s="1"/>
  <c r="D86" i="20"/>
  <c r="D167" i="20"/>
  <c r="CI86" i="20"/>
  <c r="CI167" i="20" s="1"/>
  <c r="CJ251" i="20"/>
  <c r="CF250" i="2"/>
  <c r="CE85" i="2"/>
  <c r="CE166" i="2" s="1"/>
  <c r="AE249" i="2"/>
  <c r="AD84" i="2"/>
  <c r="AD165" i="2"/>
  <c r="H84" i="2"/>
  <c r="H165" i="2"/>
  <c r="BP249" i="2"/>
  <c r="BO84" i="2"/>
  <c r="BO165" i="2"/>
  <c r="AS249" i="2"/>
  <c r="AR84" i="2"/>
  <c r="AR165" i="2" s="1"/>
  <c r="CA249" i="2"/>
  <c r="BZ84" i="2"/>
  <c r="BZ165" i="2" s="1"/>
  <c r="S249" i="2"/>
  <c r="R84" i="2"/>
  <c r="R165" i="2"/>
  <c r="P249" i="2"/>
  <c r="O84" i="2"/>
  <c r="O165" i="2" s="1"/>
  <c r="BV249" i="2"/>
  <c r="BU84" i="2"/>
  <c r="BU165" i="2" s="1"/>
  <c r="AW249" i="2"/>
  <c r="AV84" i="2"/>
  <c r="AV165" i="2" s="1"/>
  <c r="AZ249" i="2"/>
  <c r="AY84" i="2"/>
  <c r="AY165" i="2" s="1"/>
  <c r="CQ57" i="2"/>
  <c r="BC250" i="2"/>
  <c r="BB85" i="2"/>
  <c r="BB166" i="2" s="1"/>
  <c r="AA250" i="2"/>
  <c r="Z85" i="2"/>
  <c r="Z166" i="2"/>
  <c r="R250" i="2"/>
  <c r="Q85" i="2"/>
  <c r="Q166" i="2" s="1"/>
  <c r="O59" i="20"/>
  <c r="BZ59" i="20"/>
  <c r="K59" i="20"/>
  <c r="AP59" i="20"/>
  <c r="CR59" i="20"/>
  <c r="CH59" i="20"/>
  <c r="C59" i="20"/>
  <c r="C251" i="20" s="1"/>
  <c r="AW59" i="20"/>
  <c r="BO250" i="2"/>
  <c r="BN85" i="2"/>
  <c r="BN166" i="2" s="1"/>
  <c r="AO57" i="2"/>
  <c r="AL57" i="2"/>
  <c r="CI57" i="2"/>
  <c r="BX57" i="2"/>
  <c r="BR57" i="2"/>
  <c r="CH57" i="2"/>
  <c r="AP57" i="2"/>
  <c r="CO57" i="2"/>
  <c r="CJ57" i="2"/>
  <c r="CR57" i="2"/>
  <c r="BI57" i="2"/>
  <c r="BL57" i="2"/>
  <c r="AT250" i="2"/>
  <c r="AS85" i="2"/>
  <c r="AS166" i="2" s="1"/>
  <c r="BX250" i="2"/>
  <c r="BW85" i="2"/>
  <c r="BW166" i="2"/>
  <c r="AK250" i="2"/>
  <c r="AJ85" i="2"/>
  <c r="AJ166" i="2" s="1"/>
  <c r="O251" i="20"/>
  <c r="N86" i="20"/>
  <c r="N167" i="20" s="1"/>
  <c r="BM251" i="20"/>
  <c r="BL86" i="20"/>
  <c r="BL167" i="20" s="1"/>
  <c r="CP251" i="20"/>
  <c r="CO86" i="20"/>
  <c r="CO167" i="20"/>
  <c r="BE251" i="20"/>
  <c r="BD86" i="20"/>
  <c r="BD167" i="20"/>
  <c r="BN251" i="20"/>
  <c r="BM86" i="20"/>
  <c r="BM167" i="20" s="1"/>
  <c r="BT251" i="20"/>
  <c r="BS86" i="20"/>
  <c r="BS167" i="20" s="1"/>
  <c r="B57" i="20"/>
  <c r="B112" i="20"/>
  <c r="CT58" i="20"/>
  <c r="Q58" i="20" s="1"/>
  <c r="R250" i="20" s="1"/>
  <c r="I58" i="20"/>
  <c r="I85" i="20" s="1"/>
  <c r="I166" i="20" s="1"/>
  <c r="BW58" i="20"/>
  <c r="AR58" i="20"/>
  <c r="BM58" i="20"/>
  <c r="BT58" i="20"/>
  <c r="BV58" i="20"/>
  <c r="AW58" i="20"/>
  <c r="CD58" i="20"/>
  <c r="CH58" i="20"/>
  <c r="BA58" i="20"/>
  <c r="M58" i="20"/>
  <c r="O58" i="20"/>
  <c r="CH251" i="20"/>
  <c r="CG86" i="20"/>
  <c r="CG167" i="20"/>
  <c r="CR250" i="2"/>
  <c r="CQ85" i="2"/>
  <c r="CQ166" i="2"/>
  <c r="Q249" i="2"/>
  <c r="P84" i="2"/>
  <c r="P165" i="2" s="1"/>
  <c r="AH249" i="2"/>
  <c r="AG84" i="2"/>
  <c r="AG165" i="2" s="1"/>
  <c r="R249" i="2"/>
  <c r="Q84" i="2"/>
  <c r="Q165" i="2" s="1"/>
  <c r="BX249" i="2"/>
  <c r="BW84" i="2"/>
  <c r="BW165" i="2" s="1"/>
  <c r="BD249" i="2"/>
  <c r="BC84" i="2"/>
  <c r="BC165" i="2" s="1"/>
  <c r="BA249" i="2"/>
  <c r="AZ84" i="2"/>
  <c r="AZ165" i="2"/>
  <c r="AC249" i="2"/>
  <c r="AB84" i="2"/>
  <c r="AB165" i="2"/>
  <c r="AA249" i="2"/>
  <c r="Z84" i="2"/>
  <c r="Z165" i="2"/>
  <c r="CD249" i="2"/>
  <c r="CC84" i="2"/>
  <c r="CC165" i="2" s="1"/>
  <c r="K84" i="2"/>
  <c r="K165" i="2"/>
  <c r="BK249" i="2"/>
  <c r="BJ84" i="2"/>
  <c r="BJ165" i="2" s="1"/>
  <c r="AX249" i="2"/>
  <c r="AW84" i="2"/>
  <c r="AW165" i="2" s="1"/>
  <c r="B248" i="20"/>
  <c r="B321" i="20" s="1"/>
  <c r="B219" i="20"/>
  <c r="CQ250" i="2"/>
  <c r="CP85" i="2"/>
  <c r="CP166" i="2"/>
  <c r="CH250" i="2"/>
  <c r="CG85" i="2"/>
  <c r="CG166" i="2" s="1"/>
  <c r="N251" i="20"/>
  <c r="M86" i="20"/>
  <c r="M167" i="20" s="1"/>
  <c r="AP251" i="20"/>
  <c r="AO86" i="20"/>
  <c r="AO167" i="20" s="1"/>
  <c r="BQ251" i="20"/>
  <c r="BP86" i="20"/>
  <c r="BP167" i="20" s="1"/>
  <c r="AU251" i="20"/>
  <c r="AT167" i="20"/>
  <c r="AT86" i="20"/>
  <c r="BE59" i="20"/>
  <c r="P59" i="20"/>
  <c r="BW59" i="20"/>
  <c r="BC59" i="20"/>
  <c r="CM59" i="20"/>
  <c r="AU250" i="2"/>
  <c r="AT85" i="2"/>
  <c r="AT166" i="2" s="1"/>
  <c r="B247" i="19"/>
  <c r="B320" i="19" s="1"/>
  <c r="B218" i="19"/>
  <c r="AJ249" i="2"/>
  <c r="AI84" i="2"/>
  <c r="AI165" i="2" s="1"/>
  <c r="Y249" i="2"/>
  <c r="X84" i="2"/>
  <c r="X165" i="2" s="1"/>
  <c r="E84" i="2"/>
  <c r="E165" i="2" s="1"/>
  <c r="CQ249" i="2"/>
  <c r="CP84" i="2"/>
  <c r="CP165" i="2" s="1"/>
  <c r="AN249" i="2"/>
  <c r="AM84" i="2"/>
  <c r="AM165" i="2" s="1"/>
  <c r="BW249" i="2"/>
  <c r="BV84" i="2"/>
  <c r="BV165" i="2"/>
  <c r="M249" i="2"/>
  <c r="L84" i="2"/>
  <c r="L165" i="2"/>
  <c r="BR249" i="2"/>
  <c r="BQ84" i="2"/>
  <c r="BQ165" i="2"/>
  <c r="AB249" i="2"/>
  <c r="AA84" i="2"/>
  <c r="AA165" i="2" s="1"/>
  <c r="AU249" i="2"/>
  <c r="AT84" i="2"/>
  <c r="AT165" i="2" s="1"/>
  <c r="BJ250" i="2"/>
  <c r="BI85" i="2"/>
  <c r="BI166" i="2"/>
  <c r="V250" i="2"/>
  <c r="U85" i="2"/>
  <c r="U166" i="2" s="1"/>
  <c r="B322" i="20"/>
  <c r="AI250" i="2"/>
  <c r="AH85" i="2"/>
  <c r="AH166" i="2" s="1"/>
  <c r="P250" i="2"/>
  <c r="O85" i="2"/>
  <c r="O166" i="2" s="1"/>
  <c r="BU59" i="20"/>
  <c r="CQ59" i="20"/>
  <c r="CP59" i="20"/>
  <c r="AV59" i="20"/>
  <c r="BN59" i="20"/>
  <c r="BV59" i="20"/>
  <c r="J59" i="20"/>
  <c r="AS59" i="20"/>
  <c r="BT59" i="20"/>
  <c r="AE250" i="2"/>
  <c r="AD85" i="2"/>
  <c r="AD166" i="2" s="1"/>
  <c r="CN250" i="2"/>
  <c r="CM85" i="2"/>
  <c r="CM166" i="2" s="1"/>
  <c r="AC57" i="2"/>
  <c r="Y57" i="2"/>
  <c r="CE57" i="2"/>
  <c r="BN57" i="2"/>
  <c r="BK57" i="2"/>
  <c r="CD57" i="2"/>
  <c r="AJ57" i="2"/>
  <c r="CK57" i="2"/>
  <c r="BB57" i="2"/>
  <c r="CB57" i="2"/>
  <c r="BE57" i="2"/>
  <c r="BB250" i="2"/>
  <c r="BA85" i="2"/>
  <c r="BA166" i="2"/>
  <c r="CA250" i="2"/>
  <c r="BZ85" i="2"/>
  <c r="BZ166" i="2"/>
  <c r="P252" i="20"/>
  <c r="O87" i="20"/>
  <c r="O168" i="20" s="1"/>
  <c r="AV250" i="2"/>
  <c r="AU85" i="2"/>
  <c r="AU166" i="2" s="1"/>
  <c r="BP251" i="20"/>
  <c r="BO86" i="20"/>
  <c r="BO167" i="20" s="1"/>
  <c r="AZ251" i="20"/>
  <c r="AY86" i="20"/>
  <c r="AY167" i="20" s="1"/>
  <c r="CF251" i="20"/>
  <c r="CE86" i="20"/>
  <c r="CE167" i="20" s="1"/>
  <c r="AR251" i="20"/>
  <c r="AQ86" i="20"/>
  <c r="AQ167" i="20"/>
  <c r="CL251" i="20"/>
  <c r="CK86" i="20"/>
  <c r="CK167" i="20" s="1"/>
  <c r="CO251" i="20"/>
  <c r="CN86" i="20"/>
  <c r="CN167" i="20" s="1"/>
  <c r="G167" i="20"/>
  <c r="G86" i="20"/>
  <c r="CG251" i="20"/>
  <c r="CF86" i="20"/>
  <c r="CF167" i="20" s="1"/>
  <c r="BK251" i="20"/>
  <c r="BJ86" i="20"/>
  <c r="BJ167" i="20" s="1"/>
  <c r="AC250" i="2"/>
  <c r="AB85" i="2"/>
  <c r="AB166" i="2"/>
  <c r="Y250" i="2"/>
  <c r="X85" i="2"/>
  <c r="X166" i="2" s="1"/>
  <c r="R186" i="2"/>
  <c r="R176" i="2" s="1"/>
  <c r="R149" i="2"/>
  <c r="R95" i="2"/>
  <c r="R122" i="2" s="1"/>
  <c r="BH249" i="2"/>
  <c r="BG84" i="2"/>
  <c r="BG165" i="2"/>
  <c r="O249" i="2"/>
  <c r="N84" i="2"/>
  <c r="N165" i="2" s="1"/>
  <c r="N249" i="2"/>
  <c r="M84" i="2"/>
  <c r="M165" i="2"/>
  <c r="BT249" i="2"/>
  <c r="BS84" i="2"/>
  <c r="BS165" i="2" s="1"/>
  <c r="AY249" i="2"/>
  <c r="AX84" i="2"/>
  <c r="AX165" i="2" s="1"/>
  <c r="AV249" i="2"/>
  <c r="AU84" i="2"/>
  <c r="AU165" i="2" s="1"/>
  <c r="X249" i="2"/>
  <c r="W84" i="2"/>
  <c r="W165" i="2" s="1"/>
  <c r="U249" i="2"/>
  <c r="T84" i="2"/>
  <c r="T165" i="2"/>
  <c r="BZ249" i="2"/>
  <c r="BY84" i="2"/>
  <c r="BY165" i="2" s="1"/>
  <c r="BU249" i="2"/>
  <c r="BT84" i="2"/>
  <c r="BT165" i="2" s="1"/>
  <c r="BE249" i="2"/>
  <c r="BD84" i="2"/>
  <c r="BD165" i="2" s="1"/>
  <c r="AT249" i="2"/>
  <c r="AS84" i="2"/>
  <c r="AS165" i="2" s="1"/>
  <c r="AF250" i="2"/>
  <c r="AE85" i="2"/>
  <c r="AE166" i="2"/>
  <c r="N250" i="2"/>
  <c r="M85" i="2"/>
  <c r="M166" i="2" s="1"/>
  <c r="CM252" i="20"/>
  <c r="CL87" i="20"/>
  <c r="CL168" i="20" s="1"/>
  <c r="BR250" i="2"/>
  <c r="BQ85" i="2"/>
  <c r="BQ166" i="2" s="1"/>
  <c r="BF82" i="19"/>
  <c r="BF163" i="19" s="1"/>
  <c r="CN83" i="19"/>
  <c r="CN164" i="19" s="1"/>
  <c r="Q89" i="20"/>
  <c r="Q170" i="20" s="1"/>
  <c r="K68" i="19"/>
  <c r="L13" i="19"/>
  <c r="K12" i="19"/>
  <c r="AQ55" i="19"/>
  <c r="AR247" i="19" s="1"/>
  <c r="N55" i="19"/>
  <c r="O247" i="19" s="1"/>
  <c r="CC55" i="19"/>
  <c r="CD247" i="19" s="1"/>
  <c r="CA55" i="19"/>
  <c r="CB247" i="19" s="1"/>
  <c r="BH55" i="19"/>
  <c r="BI247" i="19" s="1"/>
  <c r="CG55" i="19"/>
  <c r="CH247" i="19" s="1"/>
  <c r="CJ55" i="19"/>
  <c r="CK247" i="19" s="1"/>
  <c r="BE55" i="19"/>
  <c r="BF247" i="19" s="1"/>
  <c r="AS55" i="19"/>
  <c r="AT247" i="19" s="1"/>
  <c r="CB55" i="19"/>
  <c r="CC247" i="19" s="1"/>
  <c r="BT83" i="19"/>
  <c r="BT164" i="19" s="1"/>
  <c r="BG83" i="19"/>
  <c r="BG164" i="19" s="1"/>
  <c r="CR83" i="19"/>
  <c r="CR164" i="19" s="1"/>
  <c r="A87" i="2"/>
  <c r="A224" i="2"/>
  <c r="A252" i="2"/>
  <c r="CI83" i="19"/>
  <c r="CI164" i="19" s="1"/>
  <c r="R88" i="19"/>
  <c r="R169" i="19" s="1"/>
  <c r="Q87" i="20"/>
  <c r="Q168" i="20" s="1"/>
  <c r="Q85" i="20"/>
  <c r="Q166" i="20" s="1"/>
  <c r="J95" i="19"/>
  <c r="J122" i="19" s="1"/>
  <c r="J186" i="19"/>
  <c r="J176" i="19" s="1"/>
  <c r="J149" i="19"/>
  <c r="BZ55" i="19"/>
  <c r="CA247" i="19" s="1"/>
  <c r="AV55" i="19"/>
  <c r="AW247" i="19" s="1"/>
  <c r="AP55" i="19"/>
  <c r="AQ247" i="19" s="1"/>
  <c r="BV55" i="19"/>
  <c r="BW247" i="19" s="1"/>
  <c r="BB55" i="19"/>
  <c r="BC247" i="19" s="1"/>
  <c r="AU55" i="19"/>
  <c r="AV247" i="19" s="1"/>
  <c r="BN55" i="19"/>
  <c r="BO247" i="19" s="1"/>
  <c r="BY55" i="19"/>
  <c r="BZ247" i="19" s="1"/>
  <c r="F55" i="19"/>
  <c r="G247" i="19" s="1"/>
  <c r="BS55" i="19"/>
  <c r="BT247" i="19" s="1"/>
  <c r="BT55" i="19"/>
  <c r="BU247" i="19" s="1"/>
  <c r="BK83" i="19"/>
  <c r="BK164" i="19" s="1"/>
  <c r="CO83" i="19"/>
  <c r="CO164" i="19" s="1"/>
  <c r="BV83" i="19"/>
  <c r="BV164" i="19" s="1"/>
  <c r="BM83" i="19"/>
  <c r="BM164" i="19" s="1"/>
  <c r="F346" i="19"/>
  <c r="Q83" i="19"/>
  <c r="Q164" i="19" s="1"/>
  <c r="CF83" i="19"/>
  <c r="CF164" i="19" s="1"/>
  <c r="O83" i="19"/>
  <c r="O164" i="19" s="1"/>
  <c r="BQ83" i="19"/>
  <c r="BQ164" i="19" s="1"/>
  <c r="CQ83" i="19"/>
  <c r="CQ164" i="19" s="1"/>
  <c r="BR83" i="19"/>
  <c r="BR164" i="19" s="1"/>
  <c r="S65" i="19"/>
  <c r="T257" i="19" s="1"/>
  <c r="T41" i="19"/>
  <c r="S64" i="19"/>
  <c r="T256" i="19" s="1"/>
  <c r="S62" i="19"/>
  <c r="T254" i="19" s="1"/>
  <c r="S61" i="19"/>
  <c r="T253" i="19" s="1"/>
  <c r="S63" i="19"/>
  <c r="T255" i="19" s="1"/>
  <c r="S60" i="19"/>
  <c r="T252" i="19" s="1"/>
  <c r="S59" i="19"/>
  <c r="T251" i="19" s="1"/>
  <c r="S58" i="19"/>
  <c r="T250" i="19" s="1"/>
  <c r="S57" i="19"/>
  <c r="T249" i="19" s="1"/>
  <c r="S56" i="19"/>
  <c r="T248" i="19" s="1"/>
  <c r="CV31" i="20"/>
  <c r="D223" i="20"/>
  <c r="CL83" i="19"/>
  <c r="CL164" i="19" s="1"/>
  <c r="I83" i="19"/>
  <c r="I164" i="19" s="1"/>
  <c r="CE83" i="19"/>
  <c r="CE164" i="19" s="1"/>
  <c r="CK83" i="19"/>
  <c r="CK164" i="19" s="1"/>
  <c r="E83" i="19"/>
  <c r="E164" i="19" s="1"/>
  <c r="O55" i="19"/>
  <c r="P247" i="19" s="1"/>
  <c r="BU55" i="19"/>
  <c r="BV247" i="19" s="1"/>
  <c r="BK55" i="19"/>
  <c r="BL247" i="19" s="1"/>
  <c r="CD55" i="19"/>
  <c r="CE247" i="19" s="1"/>
  <c r="BW55" i="19"/>
  <c r="BX247" i="19" s="1"/>
  <c r="J55" i="19"/>
  <c r="K247" i="19" s="1"/>
  <c r="AW55" i="19"/>
  <c r="AX247" i="19" s="1"/>
  <c r="CI55" i="19"/>
  <c r="CJ247" i="19" s="1"/>
  <c r="N83" i="19"/>
  <c r="N164" i="19" s="1"/>
  <c r="BY83" i="19"/>
  <c r="BY164" i="19" s="1"/>
  <c r="I186" i="20"/>
  <c r="I176" i="20" s="1"/>
  <c r="I149" i="20"/>
  <c r="I95" i="20"/>
  <c r="I122" i="20" s="1"/>
  <c r="B28" i="19"/>
  <c r="B84" i="19"/>
  <c r="A29" i="19"/>
  <c r="B165" i="19"/>
  <c r="B138" i="19" s="1"/>
  <c r="CU29" i="19"/>
  <c r="CT29" i="19"/>
  <c r="AQ83" i="19"/>
  <c r="AQ164" i="19" s="1"/>
  <c r="D83" i="19"/>
  <c r="D164" i="19" s="1"/>
  <c r="AT83" i="19"/>
  <c r="AT164" i="19" s="1"/>
  <c r="Q86" i="20"/>
  <c r="Q167" i="20" s="1"/>
  <c r="R86" i="19"/>
  <c r="R167" i="19" s="1"/>
  <c r="L83" i="19"/>
  <c r="L164" i="19" s="1"/>
  <c r="BO83" i="19"/>
  <c r="BO164" i="19" s="1"/>
  <c r="AS83" i="19"/>
  <c r="AS164" i="19" s="1"/>
  <c r="AR83" i="19"/>
  <c r="AR164" i="19" s="1"/>
  <c r="R83" i="19"/>
  <c r="R164" i="19" s="1"/>
  <c r="K83" i="19"/>
  <c r="K164" i="19" s="1"/>
  <c r="BL83" i="19"/>
  <c r="BL164" i="19" s="1"/>
  <c r="Q92" i="20"/>
  <c r="Q173" i="20" s="1"/>
  <c r="AW83" i="19"/>
  <c r="AW164" i="19" s="1"/>
  <c r="BI83" i="19"/>
  <c r="BI164" i="19" s="1"/>
  <c r="K55" i="19"/>
  <c r="L247" i="19" s="1"/>
  <c r="BG55" i="19"/>
  <c r="BH247" i="19" s="1"/>
  <c r="BR55" i="19"/>
  <c r="BS247" i="19" s="1"/>
  <c r="AT55" i="19"/>
  <c r="AU247" i="19" s="1"/>
  <c r="CQ55" i="19"/>
  <c r="CR247" i="19" s="1"/>
  <c r="B108" i="19"/>
  <c r="CT54" i="19"/>
  <c r="BL54" i="19" s="1"/>
  <c r="BM246" i="19" s="1"/>
  <c r="B53" i="19"/>
  <c r="E55" i="19"/>
  <c r="F247" i="19" s="1"/>
  <c r="BP83" i="19"/>
  <c r="BP164" i="19" s="1"/>
  <c r="A250" i="19"/>
  <c r="A222" i="19"/>
  <c r="A85" i="19"/>
  <c r="A251" i="20"/>
  <c r="A223" i="20"/>
  <c r="A86" i="20"/>
  <c r="CB83" i="19"/>
  <c r="CB164" i="19" s="1"/>
  <c r="R92" i="19"/>
  <c r="R173" i="19" s="1"/>
  <c r="R91" i="19"/>
  <c r="R172" i="19" s="1"/>
  <c r="AX83" i="19"/>
  <c r="AX164" i="19" s="1"/>
  <c r="CH83" i="19"/>
  <c r="CH164" i="19" s="1"/>
  <c r="AZ83" i="19"/>
  <c r="AZ164" i="19" s="1"/>
  <c r="R85" i="19"/>
  <c r="R166" i="19" s="1"/>
  <c r="R90" i="19"/>
  <c r="R171" i="19" s="1"/>
  <c r="J83" i="19"/>
  <c r="J164" i="19" s="1"/>
  <c r="Q90" i="20"/>
  <c r="Q171" i="20" s="1"/>
  <c r="BX83" i="19"/>
  <c r="BX164" i="19" s="1"/>
  <c r="D55" i="19"/>
  <c r="E247" i="19" s="1"/>
  <c r="AR55" i="19"/>
  <c r="AS247" i="19" s="1"/>
  <c r="CK55" i="19"/>
  <c r="CL247" i="19" s="1"/>
  <c r="CS55" i="19"/>
  <c r="CS82" i="19" s="1"/>
  <c r="CS163" i="19" s="1"/>
  <c r="BX55" i="19"/>
  <c r="BY247" i="19" s="1"/>
  <c r="Q55" i="19"/>
  <c r="R247" i="19" s="1"/>
  <c r="CP55" i="19"/>
  <c r="CQ247" i="19" s="1"/>
  <c r="BO55" i="19"/>
  <c r="BP247" i="19" s="1"/>
  <c r="CR55" i="19"/>
  <c r="CS247" i="19" s="1"/>
  <c r="BA55" i="19"/>
  <c r="BB247" i="19" s="1"/>
  <c r="R55" i="19"/>
  <c r="S247" i="19" s="1"/>
  <c r="AX55" i="19"/>
  <c r="AY247" i="19" s="1"/>
  <c r="CE55" i="19"/>
  <c r="CF247" i="19" s="1"/>
  <c r="AU83" i="19"/>
  <c r="AU164" i="19" s="1"/>
  <c r="BC83" i="19"/>
  <c r="BC164" i="19" s="1"/>
  <c r="J68" i="20"/>
  <c r="K13" i="20"/>
  <c r="J12" i="20"/>
  <c r="BA83" i="19"/>
  <c r="BA164" i="19" s="1"/>
  <c r="B85" i="20"/>
  <c r="A30" i="20"/>
  <c r="B29" i="20"/>
  <c r="B166" i="20"/>
  <c r="B139" i="20" s="1"/>
  <c r="CU30" i="20"/>
  <c r="CT30" i="20"/>
  <c r="CP83" i="19"/>
  <c r="CP164" i="19" s="1"/>
  <c r="CJ83" i="19"/>
  <c r="CJ164" i="19" s="1"/>
  <c r="BZ83" i="19"/>
  <c r="BZ164" i="19" s="1"/>
  <c r="BN83" i="19"/>
  <c r="BN164" i="19" s="1"/>
  <c r="R87" i="19"/>
  <c r="R168" i="19" s="1"/>
  <c r="BH83" i="19"/>
  <c r="BH164" i="19" s="1"/>
  <c r="CM83" i="19"/>
  <c r="CM164" i="19" s="1"/>
  <c r="BD83" i="19"/>
  <c r="BD164" i="19" s="1"/>
  <c r="AO83" i="19"/>
  <c r="AO164" i="19" s="1"/>
  <c r="BE83" i="19"/>
  <c r="BE164" i="19" s="1"/>
  <c r="Q91" i="20"/>
  <c r="Q172" i="20" s="1"/>
  <c r="BS83" i="19"/>
  <c r="BS164" i="19" s="1"/>
  <c r="BP55" i="19"/>
  <c r="BQ247" i="19" s="1"/>
  <c r="C55" i="19"/>
  <c r="D247" i="19" s="1"/>
  <c r="AZ55" i="19"/>
  <c r="BA247" i="19" s="1"/>
  <c r="AY55" i="19"/>
  <c r="AZ247" i="19" s="1"/>
  <c r="CL55" i="19"/>
  <c r="CM247" i="19" s="1"/>
  <c r="BQ55" i="19"/>
  <c r="BR247" i="19" s="1"/>
  <c r="CN55" i="19"/>
  <c r="CO247" i="19" s="1"/>
  <c r="AO55" i="19"/>
  <c r="AP247" i="19" s="1"/>
  <c r="L55" i="19"/>
  <c r="M247" i="19" s="1"/>
  <c r="AY83" i="19"/>
  <c r="AY164" i="19" s="1"/>
  <c r="C248" i="19"/>
  <c r="F355" i="20"/>
  <c r="CA83" i="19"/>
  <c r="CA164" i="19" s="1"/>
  <c r="H82" i="19"/>
  <c r="H163" i="19" s="1"/>
  <c r="BJ82" i="19"/>
  <c r="BJ163" i="19" s="1"/>
  <c r="BD82" i="19"/>
  <c r="BD163" i="19" s="1"/>
  <c r="I82" i="19"/>
  <c r="I163" i="19" s="1"/>
  <c r="CM82" i="19"/>
  <c r="CM163" i="19" s="1"/>
  <c r="G55" i="19"/>
  <c r="H247" i="19" s="1"/>
  <c r="T55" i="19"/>
  <c r="U247" i="19" s="1"/>
  <c r="S55" i="19"/>
  <c r="T247" i="19" s="1"/>
  <c r="F83" i="19"/>
  <c r="F164" i="19" s="1"/>
  <c r="BF83" i="19"/>
  <c r="BF164" i="19" s="1"/>
  <c r="CC83" i="19"/>
  <c r="CC164" i="19" s="1"/>
  <c r="CV32" i="2"/>
  <c r="D224" i="2"/>
  <c r="CD83" i="19"/>
  <c r="CD164" i="19" s="1"/>
  <c r="S41" i="20"/>
  <c r="R64" i="20"/>
  <c r="S256" i="20" s="1"/>
  <c r="R63" i="20"/>
  <c r="S255" i="20" s="1"/>
  <c r="R65" i="20"/>
  <c r="S257" i="20" s="1"/>
  <c r="R62" i="20"/>
  <c r="S254" i="20" s="1"/>
  <c r="R60" i="20"/>
  <c r="S252" i="20" s="1"/>
  <c r="R59" i="20"/>
  <c r="S251" i="20" s="1"/>
  <c r="R61" i="20"/>
  <c r="S253" i="20" s="1"/>
  <c r="R58" i="20"/>
  <c r="S250" i="20" s="1"/>
  <c r="R89" i="19"/>
  <c r="R170" i="19" s="1"/>
  <c r="BB83" i="19"/>
  <c r="BB164" i="19" s="1"/>
  <c r="Q88" i="20"/>
  <c r="Q169" i="20" s="1"/>
  <c r="CH55" i="19"/>
  <c r="CI247" i="19" s="1"/>
  <c r="BI55" i="19"/>
  <c r="BJ247" i="19" s="1"/>
  <c r="CO55" i="19"/>
  <c r="CP247" i="19" s="1"/>
  <c r="BL55" i="19"/>
  <c r="BM247" i="19" s="1"/>
  <c r="BC55" i="19"/>
  <c r="BD247" i="19" s="1"/>
  <c r="M55" i="19"/>
  <c r="N247" i="19" s="1"/>
  <c r="CF55" i="19"/>
  <c r="CG247" i="19" s="1"/>
  <c r="P55" i="19"/>
  <c r="Q247" i="19" s="1"/>
  <c r="BM55" i="19"/>
  <c r="BN247" i="19" s="1"/>
  <c r="G83" i="19"/>
  <c r="G164" i="19" s="1"/>
  <c r="BU83" i="19"/>
  <c r="BU164" i="19" s="1"/>
  <c r="AV83" i="19"/>
  <c r="AV164" i="19" s="1"/>
  <c r="A31" i="2"/>
  <c r="B30" i="2"/>
  <c r="CU31" i="2"/>
  <c r="CT31" i="2"/>
  <c r="B86" i="2"/>
  <c r="B167" i="2"/>
  <c r="B140" i="2" s="1"/>
  <c r="CV30" i="19"/>
  <c r="D222" i="19"/>
  <c r="CG83" i="19"/>
  <c r="CG164" i="19" s="1"/>
  <c r="CB248" i="2" l="1"/>
  <c r="CA83" i="2"/>
  <c r="CA164" i="2" s="1"/>
  <c r="BC249" i="2"/>
  <c r="BB84" i="2"/>
  <c r="BB165" i="2" s="1"/>
  <c r="AD249" i="2"/>
  <c r="AC84" i="2"/>
  <c r="AC165" i="2" s="1"/>
  <c r="BO251" i="20"/>
  <c r="BN86" i="20"/>
  <c r="BN167" i="20"/>
  <c r="BX251" i="20"/>
  <c r="BW86" i="20"/>
  <c r="BW167" i="20" s="1"/>
  <c r="CJ58" i="20"/>
  <c r="BE58" i="20"/>
  <c r="BR58" i="20"/>
  <c r="BC58" i="20"/>
  <c r="CR58" i="20"/>
  <c r="BF58" i="20"/>
  <c r="CO58" i="20"/>
  <c r="E58" i="20"/>
  <c r="E85" i="20" s="1"/>
  <c r="E166" i="20" s="1"/>
  <c r="BN58" i="20"/>
  <c r="AQ249" i="2"/>
  <c r="AP84" i="2"/>
  <c r="AP165" i="2" s="1"/>
  <c r="CS251" i="20"/>
  <c r="CR86" i="20"/>
  <c r="CR167" i="20" s="1"/>
  <c r="BB249" i="2"/>
  <c r="BA84" i="2"/>
  <c r="BA165" i="2"/>
  <c r="AD248" i="2"/>
  <c r="AC83" i="2"/>
  <c r="AC164" i="2" s="1"/>
  <c r="CF248" i="2"/>
  <c r="CE83" i="2"/>
  <c r="CE164" i="2" s="1"/>
  <c r="CM248" i="2"/>
  <c r="CL83" i="2"/>
  <c r="CL164" i="2" s="1"/>
  <c r="BX248" i="2"/>
  <c r="BW83" i="2"/>
  <c r="BW164" i="2" s="1"/>
  <c r="AP248" i="2"/>
  <c r="AO83" i="2"/>
  <c r="AO164" i="2" s="1"/>
  <c r="BY248" i="2"/>
  <c r="BX83" i="2"/>
  <c r="BX164" i="2" s="1"/>
  <c r="AH248" i="2"/>
  <c r="AG83" i="2"/>
  <c r="AG164" i="2"/>
  <c r="CP248" i="2"/>
  <c r="CO83" i="2"/>
  <c r="CO164" i="2" s="1"/>
  <c r="BO248" i="2"/>
  <c r="BN83" i="2"/>
  <c r="BN164" i="2" s="1"/>
  <c r="Y248" i="2"/>
  <c r="X83" i="2"/>
  <c r="X164" i="2" s="1"/>
  <c r="BI249" i="2"/>
  <c r="BH84" i="2"/>
  <c r="BH165" i="2" s="1"/>
  <c r="BX54" i="19"/>
  <c r="BY246" i="19" s="1"/>
  <c r="BS54" i="19"/>
  <c r="BT246" i="19" s="1"/>
  <c r="CS54" i="19"/>
  <c r="CS81" i="19" s="1"/>
  <c r="CS162" i="19" s="1"/>
  <c r="CL249" i="2"/>
  <c r="CK84" i="2"/>
  <c r="CK165" i="2" s="1"/>
  <c r="AW251" i="20"/>
  <c r="AV86" i="20"/>
  <c r="AV167" i="20" s="1"/>
  <c r="B246" i="19"/>
  <c r="B319" i="19" s="1"/>
  <c r="B217" i="19"/>
  <c r="Q251" i="20"/>
  <c r="P86" i="20"/>
  <c r="P167" i="20" s="1"/>
  <c r="D58" i="20"/>
  <c r="D85" i="20" s="1"/>
  <c r="D166" i="20" s="1"/>
  <c r="CK58" i="20"/>
  <c r="BB58" i="20"/>
  <c r="BY58" i="20"/>
  <c r="J58" i="20"/>
  <c r="J85" i="20" s="1"/>
  <c r="J166" i="20" s="1"/>
  <c r="BD58" i="20"/>
  <c r="AX58" i="20"/>
  <c r="CN58" i="20"/>
  <c r="AT58" i="20"/>
  <c r="CI249" i="2"/>
  <c r="CH84" i="2"/>
  <c r="CH165" i="2" s="1"/>
  <c r="AQ251" i="20"/>
  <c r="AP86" i="20"/>
  <c r="AP167" i="20" s="1"/>
  <c r="BQ249" i="2"/>
  <c r="BP165" i="2"/>
  <c r="BP84" i="2"/>
  <c r="Q248" i="2"/>
  <c r="P83" i="2"/>
  <c r="P164" i="2" s="1"/>
  <c r="BB248" i="2"/>
  <c r="BA83" i="2"/>
  <c r="BA164" i="2" s="1"/>
  <c r="G83" i="2"/>
  <c r="G164" i="2"/>
  <c r="BP248" i="2"/>
  <c r="BO83" i="2"/>
  <c r="BO164" i="2"/>
  <c r="BG56" i="2"/>
  <c r="Y56" i="2"/>
  <c r="BL56" i="2"/>
  <c r="Q56" i="2"/>
  <c r="AR56" i="2"/>
  <c r="AP56" i="2"/>
  <c r="AX56" i="2"/>
  <c r="CB249" i="2"/>
  <c r="CA84" i="2"/>
  <c r="CA165" i="2" s="1"/>
  <c r="T12" i="2"/>
  <c r="T68" i="2"/>
  <c r="U13" i="2"/>
  <c r="M54" i="19"/>
  <c r="N246" i="19" s="1"/>
  <c r="H54" i="19"/>
  <c r="I246" i="19" s="1"/>
  <c r="BU54" i="19"/>
  <c r="BV246" i="19" s="1"/>
  <c r="AK249" i="2"/>
  <c r="AJ84" i="2"/>
  <c r="AJ165" i="2" s="1"/>
  <c r="CQ251" i="20"/>
  <c r="CP86" i="20"/>
  <c r="CP167" i="20" s="1"/>
  <c r="BF251" i="20"/>
  <c r="BE86" i="20"/>
  <c r="BE167" i="20"/>
  <c r="AS58" i="20"/>
  <c r="CE58" i="20"/>
  <c r="CB58" i="20"/>
  <c r="AP58" i="20"/>
  <c r="H58" i="20"/>
  <c r="H85" i="20" s="1"/>
  <c r="H166" i="20" s="1"/>
  <c r="BJ58" i="20"/>
  <c r="BQ58" i="20"/>
  <c r="BP58" i="20"/>
  <c r="C58" i="20"/>
  <c r="C250" i="20" s="1"/>
  <c r="BS249" i="2"/>
  <c r="BR84" i="2"/>
  <c r="BR165" i="2" s="1"/>
  <c r="L251" i="20"/>
  <c r="K86" i="20"/>
  <c r="K167" i="20" s="1"/>
  <c r="AG249" i="2"/>
  <c r="AF84" i="2"/>
  <c r="AF165" i="2" s="1"/>
  <c r="BW248" i="2"/>
  <c r="BV83" i="2"/>
  <c r="BV164" i="2" s="1"/>
  <c r="CQ248" i="2"/>
  <c r="CP83" i="2"/>
  <c r="CP164" i="2" s="1"/>
  <c r="BR248" i="2"/>
  <c r="BQ83" i="2"/>
  <c r="BQ164" i="2"/>
  <c r="CI248" i="2"/>
  <c r="CH83" i="2"/>
  <c r="CH164" i="2" s="1"/>
  <c r="AZ248" i="2"/>
  <c r="AY83" i="2"/>
  <c r="AY164" i="2" s="1"/>
  <c r="CG248" i="2"/>
  <c r="CF83" i="2"/>
  <c r="CF164" i="2" s="1"/>
  <c r="AR248" i="2"/>
  <c r="AQ83" i="2"/>
  <c r="AQ164" i="2" s="1"/>
  <c r="BA248" i="2"/>
  <c r="AZ83" i="2"/>
  <c r="AZ164" i="2" s="1"/>
  <c r="BZ248" i="2"/>
  <c r="BY83" i="2"/>
  <c r="BY164" i="2" s="1"/>
  <c r="AG248" i="2"/>
  <c r="AF83" i="2"/>
  <c r="AF164" i="2" s="1"/>
  <c r="BF56" i="2"/>
  <c r="V249" i="2"/>
  <c r="U84" i="2"/>
  <c r="U165" i="2" s="1"/>
  <c r="S186" i="2"/>
  <c r="S176" i="2" s="1"/>
  <c r="S95" i="2"/>
  <c r="S122" i="2" s="1"/>
  <c r="S149" i="2"/>
  <c r="CE249" i="2"/>
  <c r="CD84" i="2"/>
  <c r="CD165" i="2"/>
  <c r="CR251" i="20"/>
  <c r="CQ86" i="20"/>
  <c r="CQ167" i="20" s="1"/>
  <c r="B247" i="20"/>
  <c r="B218" i="20"/>
  <c r="P58" i="20"/>
  <c r="F58" i="20"/>
  <c r="F85" i="20" s="1"/>
  <c r="F166" i="20" s="1"/>
  <c r="AY58" i="20"/>
  <c r="AQ58" i="20"/>
  <c r="CS58" i="20"/>
  <c r="CS85" i="20" s="1"/>
  <c r="CS166" i="20" s="1"/>
  <c r="CQ58" i="20"/>
  <c r="K58" i="20"/>
  <c r="BI58" i="20"/>
  <c r="CM58" i="20"/>
  <c r="K57" i="20"/>
  <c r="K84" i="20" s="1"/>
  <c r="K165" i="20" s="1"/>
  <c r="BU57" i="20"/>
  <c r="CI57" i="20"/>
  <c r="BL57" i="20"/>
  <c r="CS57" i="20"/>
  <c r="CS84" i="20" s="1"/>
  <c r="CS165" i="20" s="1"/>
  <c r="AS57" i="20"/>
  <c r="BC57" i="20"/>
  <c r="BG57" i="20"/>
  <c r="BS57" i="20"/>
  <c r="B111" i="20"/>
  <c r="B56" i="20"/>
  <c r="CT57" i="20"/>
  <c r="R57" i="20" s="1"/>
  <c r="S249" i="20" s="1"/>
  <c r="BY57" i="20"/>
  <c r="CM57" i="20"/>
  <c r="BP57" i="20"/>
  <c r="CB57" i="20"/>
  <c r="CL57" i="20"/>
  <c r="CP57" i="20"/>
  <c r="AW57" i="20"/>
  <c r="AT57" i="20"/>
  <c r="BH57" i="20"/>
  <c r="F57" i="20"/>
  <c r="CD57" i="20"/>
  <c r="AO57" i="20"/>
  <c r="AY57" i="20"/>
  <c r="BK57" i="20"/>
  <c r="BO57" i="20"/>
  <c r="AV57" i="20"/>
  <c r="CC57" i="20"/>
  <c r="CQ57" i="20"/>
  <c r="BR57" i="20"/>
  <c r="E57" i="20"/>
  <c r="E84" i="20" s="1"/>
  <c r="E165" i="20" s="1"/>
  <c r="BF57" i="20"/>
  <c r="I57" i="20"/>
  <c r="CK57" i="20"/>
  <c r="H57" i="20"/>
  <c r="BQ57" i="20"/>
  <c r="BM57" i="20"/>
  <c r="BT57" i="20"/>
  <c r="AQ57" i="20"/>
  <c r="G57" i="20"/>
  <c r="L57" i="20"/>
  <c r="AX57" i="20"/>
  <c r="AZ57" i="20"/>
  <c r="BX57" i="20"/>
  <c r="CF57" i="20"/>
  <c r="CN57" i="20"/>
  <c r="BW57" i="20"/>
  <c r="CG57" i="20"/>
  <c r="BN57" i="20"/>
  <c r="BZ57" i="20"/>
  <c r="BA57" i="20"/>
  <c r="BI57" i="20"/>
  <c r="AR57" i="20"/>
  <c r="BB57" i="20"/>
  <c r="CO57" i="20"/>
  <c r="BV57" i="20"/>
  <c r="AU57" i="20"/>
  <c r="CH57" i="20"/>
  <c r="CR57" i="20"/>
  <c r="AP57" i="20"/>
  <c r="BD57" i="20"/>
  <c r="C57" i="20"/>
  <c r="C249" i="20" s="1"/>
  <c r="BJ57" i="20"/>
  <c r="D57" i="20"/>
  <c r="D84" i="20" s="1"/>
  <c r="D165" i="20" s="1"/>
  <c r="CJ57" i="20"/>
  <c r="BE57" i="20"/>
  <c r="CA57" i="20"/>
  <c r="CE57" i="20"/>
  <c r="M57" i="20"/>
  <c r="N57" i="20"/>
  <c r="O57" i="20"/>
  <c r="P57" i="20"/>
  <c r="Q57" i="20"/>
  <c r="BM249" i="2"/>
  <c r="BL84" i="2"/>
  <c r="BL165" i="2"/>
  <c r="BY249" i="2"/>
  <c r="BX84" i="2"/>
  <c r="BX165" i="2" s="1"/>
  <c r="CA251" i="20"/>
  <c r="BZ86" i="20"/>
  <c r="BZ167" i="20" s="1"/>
  <c r="CH249" i="2"/>
  <c r="CG84" i="2"/>
  <c r="CG165" i="2"/>
  <c r="AM56" i="2"/>
  <c r="R56" i="2"/>
  <c r="BZ56" i="2"/>
  <c r="E56" i="2"/>
  <c r="BR56" i="2"/>
  <c r="AI56" i="2"/>
  <c r="BT56" i="2"/>
  <c r="AA56" i="2"/>
  <c r="CI56" i="2"/>
  <c r="CG56" i="2"/>
  <c r="BI56" i="2"/>
  <c r="T56" i="2"/>
  <c r="AL249" i="2"/>
  <c r="AK84" i="2"/>
  <c r="AK165" i="2"/>
  <c r="C54" i="19"/>
  <c r="D246" i="19" s="1"/>
  <c r="J54" i="19"/>
  <c r="K246" i="19" s="1"/>
  <c r="CB54" i="19"/>
  <c r="CC246" i="19" s="1"/>
  <c r="CD54" i="19"/>
  <c r="CE246" i="19" s="1"/>
  <c r="BL249" i="2"/>
  <c r="BK84" i="2"/>
  <c r="BK165" i="2"/>
  <c r="BU251" i="20"/>
  <c r="BT86" i="20"/>
  <c r="BT167" i="20" s="1"/>
  <c r="BV251" i="20"/>
  <c r="BU86" i="20"/>
  <c r="BU167" i="20" s="1"/>
  <c r="P250" i="20"/>
  <c r="O85" i="20"/>
  <c r="O166" i="20" s="1"/>
  <c r="BB250" i="20"/>
  <c r="BA85" i="20"/>
  <c r="BA166" i="20" s="1"/>
  <c r="CE250" i="20"/>
  <c r="CD85" i="20"/>
  <c r="CD166" i="20" s="1"/>
  <c r="BW250" i="20"/>
  <c r="BV85" i="20"/>
  <c r="BV166" i="20" s="1"/>
  <c r="BN250" i="20"/>
  <c r="BM85" i="20"/>
  <c r="BM166" i="20" s="1"/>
  <c r="BX250" i="20"/>
  <c r="BW85" i="20"/>
  <c r="BW166" i="20" s="1"/>
  <c r="G58" i="20"/>
  <c r="AZ58" i="20"/>
  <c r="CA58" i="20"/>
  <c r="AU58" i="20"/>
  <c r="BJ249" i="2"/>
  <c r="BI84" i="2"/>
  <c r="BI165" i="2"/>
  <c r="CJ249" i="2"/>
  <c r="CI84" i="2"/>
  <c r="CI165" i="2" s="1"/>
  <c r="P251" i="20"/>
  <c r="O86" i="20"/>
  <c r="O167" i="20" s="1"/>
  <c r="AF249" i="2"/>
  <c r="AE84" i="2"/>
  <c r="AE165" i="2" s="1"/>
  <c r="AF248" i="2"/>
  <c r="AE83" i="2"/>
  <c r="AE164" i="2" s="1"/>
  <c r="BK248" i="2"/>
  <c r="BJ83" i="2"/>
  <c r="BJ164" i="2" s="1"/>
  <c r="CO248" i="2"/>
  <c r="CN83" i="2"/>
  <c r="CN164" i="2" s="1"/>
  <c r="BC248" i="2"/>
  <c r="BB83" i="2"/>
  <c r="BB164" i="2"/>
  <c r="T248" i="2"/>
  <c r="S83" i="2"/>
  <c r="S164" i="2" s="1"/>
  <c r="BI248" i="2"/>
  <c r="BH83" i="2"/>
  <c r="BH164" i="2" s="1"/>
  <c r="AO248" i="2"/>
  <c r="AN83" i="2"/>
  <c r="AN164" i="2" s="1"/>
  <c r="V248" i="2"/>
  <c r="U83" i="2"/>
  <c r="U164" i="2" s="1"/>
  <c r="AT248" i="2"/>
  <c r="AS83" i="2"/>
  <c r="AS164" i="2" s="1"/>
  <c r="B248" i="2"/>
  <c r="B219" i="2"/>
  <c r="BO249" i="2"/>
  <c r="BN84" i="2"/>
  <c r="BN165" i="2" s="1"/>
  <c r="AT251" i="20"/>
  <c r="AS86" i="20"/>
  <c r="AS167" i="20"/>
  <c r="N58" i="20"/>
  <c r="CL58" i="20"/>
  <c r="AO58" i="20"/>
  <c r="L58" i="20"/>
  <c r="BL58" i="20"/>
  <c r="BS58" i="20"/>
  <c r="CP58" i="20"/>
  <c r="BH58" i="20"/>
  <c r="BO58" i="20"/>
  <c r="CS249" i="2"/>
  <c r="CR84" i="2"/>
  <c r="CR165" i="2" s="1"/>
  <c r="AM249" i="2"/>
  <c r="AL84" i="2"/>
  <c r="AL165" i="2" s="1"/>
  <c r="AX251" i="20"/>
  <c r="AW86" i="20"/>
  <c r="AW167" i="20" s="1"/>
  <c r="AI248" i="2"/>
  <c r="AH83" i="2"/>
  <c r="AH164" i="2"/>
  <c r="P248" i="2"/>
  <c r="O83" i="2"/>
  <c r="O164" i="2" s="1"/>
  <c r="CL248" i="2"/>
  <c r="CK83" i="2"/>
  <c r="CK164" i="2"/>
  <c r="AU56" i="2"/>
  <c r="CC56" i="2"/>
  <c r="AT56" i="2"/>
  <c r="CB56" i="2"/>
  <c r="AL56" i="2"/>
  <c r="C56" i="2"/>
  <c r="CR56" i="2"/>
  <c r="BS56" i="2"/>
  <c r="AB56" i="2"/>
  <c r="AK56" i="2"/>
  <c r="B322" i="2"/>
  <c r="C249" i="2"/>
  <c r="CN54" i="19"/>
  <c r="CO246" i="19" s="1"/>
  <c r="BW54" i="19"/>
  <c r="BX246" i="19" s="1"/>
  <c r="AZ54" i="19"/>
  <c r="BA246" i="19" s="1"/>
  <c r="CC54" i="19"/>
  <c r="CD246" i="19" s="1"/>
  <c r="BF249" i="2"/>
  <c r="BE84" i="2"/>
  <c r="BE165" i="2" s="1"/>
  <c r="CF249" i="2"/>
  <c r="CE84" i="2"/>
  <c r="CE165" i="2" s="1"/>
  <c r="K251" i="20"/>
  <c r="J86" i="20"/>
  <c r="J167" i="20"/>
  <c r="CN251" i="20"/>
  <c r="CM86" i="20"/>
  <c r="CM167" i="20"/>
  <c r="N250" i="20"/>
  <c r="M85" i="20"/>
  <c r="M166" i="20" s="1"/>
  <c r="CI250" i="20"/>
  <c r="CH85" i="20"/>
  <c r="CH166" i="20" s="1"/>
  <c r="AX250" i="20"/>
  <c r="AW85" i="20"/>
  <c r="AW166" i="20" s="1"/>
  <c r="BU250" i="20"/>
  <c r="BT85" i="20"/>
  <c r="BT166" i="20" s="1"/>
  <c r="AS250" i="20"/>
  <c r="AR85" i="20"/>
  <c r="AR166" i="20" s="1"/>
  <c r="AV58" i="20"/>
  <c r="BG58" i="20"/>
  <c r="CK249" i="2"/>
  <c r="CJ165" i="2"/>
  <c r="CJ84" i="2"/>
  <c r="AP249" i="2"/>
  <c r="AO84" i="2"/>
  <c r="AO165" i="2" s="1"/>
  <c r="CR249" i="2"/>
  <c r="CQ84" i="2"/>
  <c r="CQ165" i="2"/>
  <c r="CR248" i="2"/>
  <c r="CQ83" i="2"/>
  <c r="CQ164" i="2" s="1"/>
  <c r="X248" i="2"/>
  <c r="W83" i="2"/>
  <c r="W164" i="2" s="1"/>
  <c r="N248" i="2"/>
  <c r="M83" i="2"/>
  <c r="M164" i="2" s="1"/>
  <c r="BV248" i="2"/>
  <c r="BU83" i="2"/>
  <c r="BU164" i="2" s="1"/>
  <c r="AA248" i="2"/>
  <c r="Z83" i="2"/>
  <c r="Z164" i="2" s="1"/>
  <c r="BN248" i="2"/>
  <c r="BM83" i="2"/>
  <c r="BM164" i="2"/>
  <c r="AE248" i="2"/>
  <c r="AD83" i="2"/>
  <c r="AD164" i="2" s="1"/>
  <c r="BQ248" i="2"/>
  <c r="BP83" i="2"/>
  <c r="BP164" i="2" s="1"/>
  <c r="W248" i="2"/>
  <c r="V83" i="2"/>
  <c r="V164" i="2" s="1"/>
  <c r="AW248" i="2"/>
  <c r="AV83" i="2"/>
  <c r="AV164" i="2"/>
  <c r="BL248" i="2"/>
  <c r="BK83" i="2"/>
  <c r="BK164" i="2" s="1"/>
  <c r="BD248" i="2"/>
  <c r="BC83" i="2"/>
  <c r="BC164" i="2" s="1"/>
  <c r="BU55" i="2"/>
  <c r="CT55" i="2"/>
  <c r="BR55" i="2" s="1"/>
  <c r="E55" i="2"/>
  <c r="P55" i="2"/>
  <c r="BC55" i="2"/>
  <c r="BK55" i="2"/>
  <c r="M55" i="2"/>
  <c r="X55" i="2"/>
  <c r="AV55" i="2"/>
  <c r="BF55" i="2"/>
  <c r="CI55" i="2"/>
  <c r="B109" i="2"/>
  <c r="CQ55" i="2"/>
  <c r="BD55" i="2"/>
  <c r="BN55" i="2"/>
  <c r="CL55" i="2"/>
  <c r="F55" i="2"/>
  <c r="AO55" i="2"/>
  <c r="CF55" i="2"/>
  <c r="C55" i="2"/>
  <c r="K55" i="2"/>
  <c r="AA55" i="2"/>
  <c r="B54" i="2"/>
  <c r="AT55" i="2"/>
  <c r="AL55" i="2"/>
  <c r="AR54" i="19"/>
  <c r="AS246" i="19" s="1"/>
  <c r="CC249" i="2"/>
  <c r="CB84" i="2"/>
  <c r="CB165" i="2" s="1"/>
  <c r="Z249" i="2"/>
  <c r="Y84" i="2"/>
  <c r="Y165" i="2" s="1"/>
  <c r="BW251" i="20"/>
  <c r="BV86" i="20"/>
  <c r="BV167" i="20"/>
  <c r="BD251" i="20"/>
  <c r="BC86" i="20"/>
  <c r="BC167" i="20" s="1"/>
  <c r="BZ58" i="20"/>
  <c r="CI58" i="20"/>
  <c r="BX58" i="20"/>
  <c r="CG58" i="20"/>
  <c r="BU58" i="20"/>
  <c r="BK58" i="20"/>
  <c r="CC58" i="20"/>
  <c r="CF58" i="20"/>
  <c r="CP249" i="2"/>
  <c r="CO84" i="2"/>
  <c r="CO165" i="2" s="1"/>
  <c r="CI251" i="20"/>
  <c r="CH86" i="20"/>
  <c r="CH167" i="20"/>
  <c r="W249" i="2"/>
  <c r="V84" i="2"/>
  <c r="V165" i="2" s="1"/>
  <c r="H56" i="2"/>
  <c r="H83" i="2" s="1"/>
  <c r="H164" i="2" s="1"/>
  <c r="J56" i="2"/>
  <c r="J83" i="2" s="1"/>
  <c r="J164" i="2" s="1"/>
  <c r="CM56" i="2"/>
  <c r="BE56" i="2"/>
  <c r="CJ56" i="2"/>
  <c r="AW56" i="2"/>
  <c r="N56" i="2"/>
  <c r="BD56" i="2"/>
  <c r="CD56" i="2"/>
  <c r="AJ56" i="2"/>
  <c r="BG249" i="2"/>
  <c r="BF84" i="2"/>
  <c r="BF165" i="2" s="1"/>
  <c r="R89" i="20"/>
  <c r="R170" i="20" s="1"/>
  <c r="S82" i="19"/>
  <c r="S163" i="19" s="1"/>
  <c r="CV29" i="19"/>
  <c r="D221" i="19"/>
  <c r="BW82" i="19"/>
  <c r="BW163" i="19" s="1"/>
  <c r="S83" i="19"/>
  <c r="S164" i="19" s="1"/>
  <c r="S91" i="19"/>
  <c r="S172" i="19" s="1"/>
  <c r="BB82" i="19"/>
  <c r="BB163" i="19" s="1"/>
  <c r="CG82" i="19"/>
  <c r="CG163" i="19" s="1"/>
  <c r="T82" i="19"/>
  <c r="T163" i="19" s="1"/>
  <c r="F356" i="20"/>
  <c r="CN82" i="19"/>
  <c r="CN163" i="19" s="1"/>
  <c r="J186" i="20"/>
  <c r="J176" i="20" s="1"/>
  <c r="J149" i="20"/>
  <c r="J95" i="20"/>
  <c r="J122" i="20" s="1"/>
  <c r="CE82" i="19"/>
  <c r="CE163" i="19" s="1"/>
  <c r="AX82" i="19"/>
  <c r="AX163" i="19" s="1"/>
  <c r="H81" i="19"/>
  <c r="H162" i="19" s="1"/>
  <c r="CB81" i="19"/>
  <c r="CB162" i="19" s="1"/>
  <c r="AZ81" i="19"/>
  <c r="AZ162" i="19" s="1"/>
  <c r="M81" i="19"/>
  <c r="M162" i="19" s="1"/>
  <c r="BU81" i="19"/>
  <c r="BU162" i="19" s="1"/>
  <c r="AU54" i="19"/>
  <c r="AV246" i="19" s="1"/>
  <c r="CH54" i="19"/>
  <c r="CI246" i="19" s="1"/>
  <c r="S54" i="19"/>
  <c r="T246" i="19" s="1"/>
  <c r="AP54" i="19"/>
  <c r="AQ246" i="19" s="1"/>
  <c r="CI54" i="19"/>
  <c r="CJ246" i="19" s="1"/>
  <c r="CD82" i="19"/>
  <c r="CD163" i="19" s="1"/>
  <c r="S84" i="19"/>
  <c r="S165" i="19" s="1"/>
  <c r="U41" i="19"/>
  <c r="U54" i="19" s="1"/>
  <c r="V246" i="19" s="1"/>
  <c r="T64" i="19"/>
  <c r="U256" i="19" s="1"/>
  <c r="T65" i="19"/>
  <c r="U257" i="19" s="1"/>
  <c r="T63" i="19"/>
  <c r="U255" i="19" s="1"/>
  <c r="T61" i="19"/>
  <c r="U253" i="19" s="1"/>
  <c r="T60" i="19"/>
  <c r="U252" i="19" s="1"/>
  <c r="T62" i="19"/>
  <c r="U254" i="19" s="1"/>
  <c r="T59" i="19"/>
  <c r="U251" i="19" s="1"/>
  <c r="T58" i="19"/>
  <c r="U250" i="19" s="1"/>
  <c r="T57" i="19"/>
  <c r="U249" i="19" s="1"/>
  <c r="T56" i="19"/>
  <c r="U248" i="19" s="1"/>
  <c r="BV82" i="19"/>
  <c r="BV163" i="19" s="1"/>
  <c r="BH82" i="19"/>
  <c r="BH163" i="19" s="1"/>
  <c r="BQ82" i="19"/>
  <c r="BQ163" i="19" s="1"/>
  <c r="BP82" i="19"/>
  <c r="BP163" i="19" s="1"/>
  <c r="CV30" i="20"/>
  <c r="D222" i="20"/>
  <c r="BM82" i="19"/>
  <c r="BM163" i="19" s="1"/>
  <c r="BI82" i="19"/>
  <c r="BI163" i="19" s="1"/>
  <c r="R91" i="20"/>
  <c r="R172" i="20" s="1"/>
  <c r="R82" i="19"/>
  <c r="R163" i="19" s="1"/>
  <c r="E54" i="19"/>
  <c r="F246" i="19" s="1"/>
  <c r="CJ54" i="19"/>
  <c r="CK246" i="19" s="1"/>
  <c r="D54" i="19"/>
  <c r="E246" i="19" s="1"/>
  <c r="N54" i="19"/>
  <c r="O246" i="19" s="1"/>
  <c r="BA54" i="19"/>
  <c r="BB246" i="19" s="1"/>
  <c r="AW54" i="19"/>
  <c r="AX246" i="19" s="1"/>
  <c r="AS54" i="19"/>
  <c r="AT246" i="19" s="1"/>
  <c r="CK54" i="19"/>
  <c r="CL246" i="19" s="1"/>
  <c r="AT82" i="19"/>
  <c r="AT163" i="19" s="1"/>
  <c r="BK82" i="19"/>
  <c r="BK163" i="19" s="1"/>
  <c r="S85" i="19"/>
  <c r="S166" i="19" s="1"/>
  <c r="S92" i="19"/>
  <c r="S173" i="19" s="1"/>
  <c r="BT82" i="19"/>
  <c r="BT163" i="19" s="1"/>
  <c r="AP82" i="19"/>
  <c r="AP163" i="19" s="1"/>
  <c r="BX82" i="19"/>
  <c r="BX163" i="19" s="1"/>
  <c r="CO82" i="19"/>
  <c r="CO163" i="19" s="1"/>
  <c r="R90" i="20"/>
  <c r="R171" i="20" s="1"/>
  <c r="G82" i="19"/>
  <c r="G163" i="19" s="1"/>
  <c r="CV31" i="2"/>
  <c r="D223" i="2"/>
  <c r="AR82" i="19"/>
  <c r="AR163" i="19" s="1"/>
  <c r="E82" i="19"/>
  <c r="E163" i="19" s="1"/>
  <c r="CG54" i="19"/>
  <c r="CH246" i="19" s="1"/>
  <c r="G54" i="19"/>
  <c r="H246" i="19" s="1"/>
  <c r="BN54" i="19"/>
  <c r="BO246" i="19" s="1"/>
  <c r="O54" i="19"/>
  <c r="P246" i="19" s="1"/>
  <c r="BB54" i="19"/>
  <c r="BC246" i="19" s="1"/>
  <c r="CE54" i="19"/>
  <c r="CF246" i="19" s="1"/>
  <c r="R54" i="19"/>
  <c r="S246" i="19" s="1"/>
  <c r="BE54" i="19"/>
  <c r="BF246" i="19" s="1"/>
  <c r="K54" i="19"/>
  <c r="L246" i="19" s="1"/>
  <c r="F54" i="19"/>
  <c r="G246" i="19" s="1"/>
  <c r="CM54" i="19"/>
  <c r="CN246" i="19" s="1"/>
  <c r="BR82" i="19"/>
  <c r="BR163" i="19" s="1"/>
  <c r="A249" i="19"/>
  <c r="A221" i="19"/>
  <c r="A84" i="19"/>
  <c r="BU82" i="19"/>
  <c r="BU163" i="19" s="1"/>
  <c r="S86" i="19"/>
  <c r="S167" i="19" s="1"/>
  <c r="BS82" i="19"/>
  <c r="BS163" i="19" s="1"/>
  <c r="AV82" i="19"/>
  <c r="AV163" i="19" s="1"/>
  <c r="CA82" i="19"/>
  <c r="CA163" i="19" s="1"/>
  <c r="BL82" i="19"/>
  <c r="BL163" i="19" s="1"/>
  <c r="R92" i="20"/>
  <c r="R173" i="20" s="1"/>
  <c r="D219" i="19"/>
  <c r="E219" i="19"/>
  <c r="I219" i="19" s="1"/>
  <c r="J219" i="19" s="1"/>
  <c r="C247" i="19"/>
  <c r="BX81" i="19"/>
  <c r="BX162" i="19" s="1"/>
  <c r="D218" i="19"/>
  <c r="E218" i="19"/>
  <c r="I218" i="19" s="1"/>
  <c r="J218" i="19" s="1"/>
  <c r="C246" i="19"/>
  <c r="CN81" i="19"/>
  <c r="CN162" i="19" s="1"/>
  <c r="AR81" i="19"/>
  <c r="AR162" i="19" s="1"/>
  <c r="BS81" i="19"/>
  <c r="BS162" i="19" s="1"/>
  <c r="J81" i="19"/>
  <c r="J162" i="19" s="1"/>
  <c r="BW81" i="19"/>
  <c r="BW162" i="19" s="1"/>
  <c r="CC81" i="19"/>
  <c r="CC162" i="19" s="1"/>
  <c r="BL81" i="19"/>
  <c r="BL162" i="19" s="1"/>
  <c r="CQ82" i="19"/>
  <c r="CQ163" i="19" s="1"/>
  <c r="CK82" i="19"/>
  <c r="CK163" i="19" s="1"/>
  <c r="P82" i="19"/>
  <c r="P163" i="19" s="1"/>
  <c r="CH82" i="19"/>
  <c r="CH163" i="19" s="1"/>
  <c r="T41" i="20"/>
  <c r="S64" i="20"/>
  <c r="T256" i="20" s="1"/>
  <c r="S65" i="20"/>
  <c r="T257" i="20" s="1"/>
  <c r="S63" i="20"/>
  <c r="T255" i="20" s="1"/>
  <c r="S62" i="20"/>
  <c r="T254" i="20" s="1"/>
  <c r="S58" i="20"/>
  <c r="T250" i="20" s="1"/>
  <c r="S59" i="20"/>
  <c r="T251" i="20" s="1"/>
  <c r="S61" i="20"/>
  <c r="T253" i="20" s="1"/>
  <c r="S57" i="20"/>
  <c r="T249" i="20" s="1"/>
  <c r="S60" i="20"/>
  <c r="T252" i="20" s="1"/>
  <c r="CL82" i="19"/>
  <c r="CL163" i="19" s="1"/>
  <c r="BA82" i="19"/>
  <c r="BA163" i="19" s="1"/>
  <c r="B29" i="2"/>
  <c r="A30" i="2"/>
  <c r="CU30" i="2"/>
  <c r="CT30" i="2"/>
  <c r="B85" i="2"/>
  <c r="B166" i="2"/>
  <c r="B139" i="2" s="1"/>
  <c r="CF82" i="19"/>
  <c r="CF163" i="19" s="1"/>
  <c r="R85" i="20"/>
  <c r="R166" i="20" s="1"/>
  <c r="R84" i="20"/>
  <c r="R165" i="20" s="1"/>
  <c r="AY82" i="19"/>
  <c r="AY163" i="19" s="1"/>
  <c r="A29" i="20"/>
  <c r="B28" i="20"/>
  <c r="B165" i="20"/>
  <c r="B138" i="20" s="1"/>
  <c r="B84" i="20"/>
  <c r="CU29" i="20"/>
  <c r="CT29" i="20"/>
  <c r="CR82" i="19"/>
  <c r="CR163" i="19" s="1"/>
  <c r="D82" i="19"/>
  <c r="D163" i="19" s="1"/>
  <c r="BC54" i="19"/>
  <c r="BD246" i="19" s="1"/>
  <c r="BR54" i="19"/>
  <c r="BS246" i="19" s="1"/>
  <c r="BD54" i="19"/>
  <c r="BE246" i="19" s="1"/>
  <c r="I54" i="19"/>
  <c r="J246" i="19" s="1"/>
  <c r="P54" i="19"/>
  <c r="Q246" i="19" s="1"/>
  <c r="CF54" i="19"/>
  <c r="CG246" i="19" s="1"/>
  <c r="CL54" i="19"/>
  <c r="CM246" i="19" s="1"/>
  <c r="BG54" i="19"/>
  <c r="BH246" i="19" s="1"/>
  <c r="L54" i="19"/>
  <c r="M246" i="19" s="1"/>
  <c r="BT54" i="19"/>
  <c r="BU246" i="19" s="1"/>
  <c r="BG82" i="19"/>
  <c r="BG163" i="19" s="1"/>
  <c r="O82" i="19"/>
  <c r="O163" i="19" s="1"/>
  <c r="S87" i="19"/>
  <c r="S168" i="19" s="1"/>
  <c r="F82" i="19"/>
  <c r="F163" i="19" s="1"/>
  <c r="BZ82" i="19"/>
  <c r="BZ163" i="19" s="1"/>
  <c r="CB82" i="19"/>
  <c r="CB163" i="19" s="1"/>
  <c r="CC82" i="19"/>
  <c r="CC163" i="19" s="1"/>
  <c r="L68" i="19"/>
  <c r="M13" i="19"/>
  <c r="L12" i="19"/>
  <c r="BC82" i="19"/>
  <c r="BC163" i="19" s="1"/>
  <c r="R88" i="20"/>
  <c r="R169" i="20" s="1"/>
  <c r="R86" i="20"/>
  <c r="R167" i="20" s="1"/>
  <c r="A222" i="20"/>
  <c r="A85" i="20"/>
  <c r="A250" i="20"/>
  <c r="BO82" i="19"/>
  <c r="BO163" i="19" s="1"/>
  <c r="B107" i="19"/>
  <c r="H53" i="19"/>
  <c r="I245" i="19" s="1"/>
  <c r="CR53" i="19"/>
  <c r="CS245" i="19" s="1"/>
  <c r="AX53" i="19"/>
  <c r="AY245" i="19" s="1"/>
  <c r="BR53" i="19"/>
  <c r="BS245" i="19" s="1"/>
  <c r="BM53" i="19"/>
  <c r="BN245" i="19" s="1"/>
  <c r="AR53" i="19"/>
  <c r="AS245" i="19" s="1"/>
  <c r="I53" i="19"/>
  <c r="J245" i="19" s="1"/>
  <c r="CT53" i="19"/>
  <c r="U53" i="19"/>
  <c r="V245" i="19" s="1"/>
  <c r="B52" i="19"/>
  <c r="AT53" i="19"/>
  <c r="AU245" i="19" s="1"/>
  <c r="BW53" i="19"/>
  <c r="BX245" i="19" s="1"/>
  <c r="CI53" i="19"/>
  <c r="CJ245" i="19" s="1"/>
  <c r="BT53" i="19"/>
  <c r="BU245" i="19" s="1"/>
  <c r="AU53" i="19"/>
  <c r="AV245" i="19" s="1"/>
  <c r="CE53" i="19"/>
  <c r="CF245" i="19" s="1"/>
  <c r="BA53" i="19"/>
  <c r="BB245" i="19" s="1"/>
  <c r="J53" i="19"/>
  <c r="K245" i="19" s="1"/>
  <c r="AV53" i="19"/>
  <c r="AW245" i="19" s="1"/>
  <c r="CA53" i="19"/>
  <c r="CB245" i="19" s="1"/>
  <c r="CQ53" i="19"/>
  <c r="CR245" i="19" s="1"/>
  <c r="BZ53" i="19"/>
  <c r="CA245" i="19" s="1"/>
  <c r="CB53" i="19"/>
  <c r="CC245" i="19" s="1"/>
  <c r="CL53" i="19"/>
  <c r="CM245" i="19" s="1"/>
  <c r="BQ53" i="19"/>
  <c r="BR245" i="19" s="1"/>
  <c r="CN53" i="19"/>
  <c r="CO245" i="19" s="1"/>
  <c r="AW53" i="19"/>
  <c r="AX245" i="19" s="1"/>
  <c r="BH53" i="19"/>
  <c r="BI245" i="19" s="1"/>
  <c r="CG53" i="19"/>
  <c r="CH245" i="19" s="1"/>
  <c r="S53" i="19"/>
  <c r="T245" i="19" s="1"/>
  <c r="R53" i="19"/>
  <c r="S245" i="19" s="1"/>
  <c r="AO53" i="19"/>
  <c r="AP245" i="19" s="1"/>
  <c r="BB53" i="19"/>
  <c r="BC245" i="19" s="1"/>
  <c r="BX53" i="19"/>
  <c r="BY245" i="19" s="1"/>
  <c r="BN53" i="19"/>
  <c r="BO245" i="19" s="1"/>
  <c r="CQ54" i="19"/>
  <c r="CR246" i="19" s="1"/>
  <c r="BO54" i="19"/>
  <c r="BP246" i="19" s="1"/>
  <c r="BI54" i="19"/>
  <c r="BJ246" i="19" s="1"/>
  <c r="CR54" i="19"/>
  <c r="CS246" i="19" s="1"/>
  <c r="BK54" i="19"/>
  <c r="BL246" i="19" s="1"/>
  <c r="BH54" i="19"/>
  <c r="BI246" i="19" s="1"/>
  <c r="AV54" i="19"/>
  <c r="AW246" i="19" s="1"/>
  <c r="BY54" i="19"/>
  <c r="BZ246" i="19" s="1"/>
  <c r="AO54" i="19"/>
  <c r="AP246" i="19" s="1"/>
  <c r="AX54" i="19"/>
  <c r="AY246" i="19" s="1"/>
  <c r="K82" i="19"/>
  <c r="K163" i="19" s="1"/>
  <c r="B27" i="19"/>
  <c r="A28" i="19"/>
  <c r="B164" i="19"/>
  <c r="B137" i="19" s="1"/>
  <c r="B83" i="19"/>
  <c r="CU28" i="19"/>
  <c r="CT28" i="19"/>
  <c r="CI82" i="19"/>
  <c r="CI163" i="19" s="1"/>
  <c r="S90" i="19"/>
  <c r="S171" i="19" s="1"/>
  <c r="BY82" i="19"/>
  <c r="BY163" i="19" s="1"/>
  <c r="AS82" i="19"/>
  <c r="AS163" i="19" s="1"/>
  <c r="N82" i="19"/>
  <c r="N163" i="19" s="1"/>
  <c r="K95" i="19"/>
  <c r="K122" i="19" s="1"/>
  <c r="K186" i="19"/>
  <c r="K176" i="19" s="1"/>
  <c r="K149" i="19"/>
  <c r="A86" i="2"/>
  <c r="A223" i="2"/>
  <c r="A251" i="2"/>
  <c r="M82" i="19"/>
  <c r="M163" i="19" s="1"/>
  <c r="R87" i="20"/>
  <c r="R168" i="20" s="1"/>
  <c r="L82" i="19"/>
  <c r="L163" i="19" s="1"/>
  <c r="CP82" i="19"/>
  <c r="CP163" i="19" s="1"/>
  <c r="BP54" i="19"/>
  <c r="BQ246" i="19" s="1"/>
  <c r="BQ54" i="19"/>
  <c r="BR246" i="19" s="1"/>
  <c r="T54" i="19"/>
  <c r="U246" i="19" s="1"/>
  <c r="BJ54" i="19"/>
  <c r="BK246" i="19" s="1"/>
  <c r="BV54" i="19"/>
  <c r="BW246" i="19" s="1"/>
  <c r="BM54" i="19"/>
  <c r="BN246" i="19" s="1"/>
  <c r="CO54" i="19"/>
  <c r="CP246" i="19" s="1"/>
  <c r="BZ54" i="19"/>
  <c r="CA246" i="19" s="1"/>
  <c r="AW82" i="19"/>
  <c r="AW163" i="19" s="1"/>
  <c r="S88" i="19"/>
  <c r="S169" i="19" s="1"/>
  <c r="F347" i="19"/>
  <c r="BN82" i="19"/>
  <c r="BN163" i="19" s="1"/>
  <c r="BE82" i="19"/>
  <c r="BE163" i="19" s="1"/>
  <c r="AO82" i="19"/>
  <c r="AO163" i="19" s="1"/>
  <c r="AZ82" i="19"/>
  <c r="AZ163" i="19" s="1"/>
  <c r="K68" i="20"/>
  <c r="L13" i="20"/>
  <c r="K12" i="20"/>
  <c r="Q82" i="19"/>
  <c r="Q163" i="19" s="1"/>
  <c r="Q54" i="19"/>
  <c r="R246" i="19" s="1"/>
  <c r="AY54" i="19"/>
  <c r="AZ246" i="19" s="1"/>
  <c r="AT54" i="19"/>
  <c r="AU246" i="19" s="1"/>
  <c r="AQ54" i="19"/>
  <c r="AR246" i="19" s="1"/>
  <c r="CP54" i="19"/>
  <c r="CQ246" i="19" s="1"/>
  <c r="BF54" i="19"/>
  <c r="BG246" i="19" s="1"/>
  <c r="CA54" i="19"/>
  <c r="CB246" i="19" s="1"/>
  <c r="J82" i="19"/>
  <c r="J163" i="19" s="1"/>
  <c r="S89" i="19"/>
  <c r="S170" i="19" s="1"/>
  <c r="AU82" i="19"/>
  <c r="AU163" i="19" s="1"/>
  <c r="CJ82" i="19"/>
  <c r="CJ163" i="19" s="1"/>
  <c r="AQ82" i="19"/>
  <c r="AQ163" i="19" s="1"/>
  <c r="BS247" i="2" l="1"/>
  <c r="BR82" i="2"/>
  <c r="BR163" i="2" s="1"/>
  <c r="CN248" i="2"/>
  <c r="CM83" i="2"/>
  <c r="CM164" i="2" s="1"/>
  <c r="BV250" i="20"/>
  <c r="BU85" i="20"/>
  <c r="BU166" i="20" s="1"/>
  <c r="AM247" i="2"/>
  <c r="AL82" i="2"/>
  <c r="AL163" i="2"/>
  <c r="AB247" i="2"/>
  <c r="AA82" i="2"/>
  <c r="AA163" i="2" s="1"/>
  <c r="D247" i="2"/>
  <c r="D219" i="2"/>
  <c r="E219" i="2"/>
  <c r="I219" i="2" s="1"/>
  <c r="J219" i="2" s="1"/>
  <c r="O219" i="2" s="1"/>
  <c r="AP247" i="2"/>
  <c r="AO82" i="2"/>
  <c r="AO163" i="2" s="1"/>
  <c r="CM247" i="2"/>
  <c r="CL82" i="2"/>
  <c r="CL163" i="2"/>
  <c r="BE247" i="2"/>
  <c r="BD82" i="2"/>
  <c r="BD163" i="2" s="1"/>
  <c r="CJ247" i="2"/>
  <c r="CI82" i="2"/>
  <c r="CI163" i="2" s="1"/>
  <c r="AW247" i="2"/>
  <c r="AV82" i="2"/>
  <c r="AV163" i="2" s="1"/>
  <c r="N247" i="2"/>
  <c r="M82" i="2"/>
  <c r="M163" i="2" s="1"/>
  <c r="BD247" i="2"/>
  <c r="BC82" i="2"/>
  <c r="BC163" i="2" s="1"/>
  <c r="F247" i="2"/>
  <c r="E163" i="2"/>
  <c r="E82" i="2"/>
  <c r="BV247" i="2"/>
  <c r="BU82" i="2"/>
  <c r="BU163" i="2" s="1"/>
  <c r="AW250" i="20"/>
  <c r="AV85" i="20"/>
  <c r="AV166" i="20" s="1"/>
  <c r="AU248" i="2"/>
  <c r="AT83" i="2"/>
  <c r="AT164" i="2" s="1"/>
  <c r="CQ250" i="20"/>
  <c r="CP85" i="20"/>
  <c r="CP166" i="20"/>
  <c r="BS248" i="2"/>
  <c r="BR83" i="2"/>
  <c r="BR164" i="2" s="1"/>
  <c r="CF249" i="20"/>
  <c r="CE84" i="20"/>
  <c r="CE165" i="20" s="1"/>
  <c r="AQ249" i="20"/>
  <c r="AP84" i="20"/>
  <c r="AP165" i="20" s="1"/>
  <c r="BJ249" i="20"/>
  <c r="BI84" i="20"/>
  <c r="BI165" i="20" s="1"/>
  <c r="BY249" i="20"/>
  <c r="BX84" i="20"/>
  <c r="BX165" i="20" s="1"/>
  <c r="BR249" i="20"/>
  <c r="BQ84" i="20"/>
  <c r="BQ165" i="20" s="1"/>
  <c r="CD249" i="20"/>
  <c r="CC84" i="20"/>
  <c r="CC165" i="20" s="1"/>
  <c r="BI249" i="20"/>
  <c r="BH84" i="20"/>
  <c r="BH165" i="20"/>
  <c r="BZ249" i="20"/>
  <c r="BY84" i="20"/>
  <c r="BY165" i="20" s="1"/>
  <c r="L250" i="20"/>
  <c r="K85" i="20"/>
  <c r="K166" i="20" s="1"/>
  <c r="B320" i="20"/>
  <c r="BQ250" i="20"/>
  <c r="BP85" i="20"/>
  <c r="BP166" i="20" s="1"/>
  <c r="BM248" i="2"/>
  <c r="BL83" i="2"/>
  <c r="BL164" i="2" s="1"/>
  <c r="CO250" i="20"/>
  <c r="CN85" i="20"/>
  <c r="CN166" i="20"/>
  <c r="B245" i="19"/>
  <c r="B318" i="19" s="1"/>
  <c r="B216" i="19"/>
  <c r="BF250" i="20"/>
  <c r="BE85" i="20"/>
  <c r="BE166" i="20" s="1"/>
  <c r="CD81" i="19"/>
  <c r="CD162" i="19" s="1"/>
  <c r="AK248" i="2"/>
  <c r="AJ83" i="2"/>
  <c r="AJ164" i="2" s="1"/>
  <c r="CH250" i="20"/>
  <c r="CG85" i="20"/>
  <c r="CG166" i="20" s="1"/>
  <c r="W55" i="2"/>
  <c r="BP55" i="2"/>
  <c r="V55" i="2"/>
  <c r="CD55" i="2"/>
  <c r="BE55" i="2"/>
  <c r="BV55" i="2"/>
  <c r="AN55" i="2"/>
  <c r="BW55" i="2"/>
  <c r="AF55" i="2"/>
  <c r="CN55" i="2"/>
  <c r="CM55" i="2"/>
  <c r="AI55" i="2"/>
  <c r="AL248" i="2"/>
  <c r="AK83" i="2"/>
  <c r="AK164" i="2" s="1"/>
  <c r="CD248" i="2"/>
  <c r="CC83" i="2"/>
  <c r="CC164" i="2" s="1"/>
  <c r="BT250" i="20"/>
  <c r="BS85" i="20"/>
  <c r="BS166" i="20" s="1"/>
  <c r="B247" i="2"/>
  <c r="B218" i="2"/>
  <c r="AV250" i="20"/>
  <c r="AU85" i="20"/>
  <c r="AU166" i="20"/>
  <c r="U248" i="2"/>
  <c r="T83" i="2"/>
  <c r="T164" i="2" s="1"/>
  <c r="E83" i="2"/>
  <c r="E164" i="2" s="1"/>
  <c r="CB249" i="20"/>
  <c r="CA84" i="20"/>
  <c r="CA165" i="20" s="1"/>
  <c r="CS249" i="20"/>
  <c r="CR84" i="20"/>
  <c r="CR165" i="20"/>
  <c r="BB249" i="20"/>
  <c r="BA84" i="20"/>
  <c r="BA165" i="20" s="1"/>
  <c r="BA249" i="20"/>
  <c r="AZ84" i="20"/>
  <c r="AZ165" i="20" s="1"/>
  <c r="H84" i="20"/>
  <c r="H165" i="20"/>
  <c r="AW249" i="20"/>
  <c r="AV84" i="20"/>
  <c r="AV165" i="20" s="1"/>
  <c r="AU249" i="20"/>
  <c r="AT84" i="20"/>
  <c r="AT165" i="20" s="1"/>
  <c r="J57" i="20"/>
  <c r="J84" i="20" s="1"/>
  <c r="J165" i="20" s="1"/>
  <c r="CR250" i="20"/>
  <c r="CQ85" i="20"/>
  <c r="CQ166" i="20"/>
  <c r="BR250" i="20"/>
  <c r="BQ85" i="20"/>
  <c r="BQ166" i="20"/>
  <c r="Z248" i="2"/>
  <c r="Y83" i="2"/>
  <c r="Y164" i="2" s="1"/>
  <c r="AY250" i="20"/>
  <c r="AX85" i="20"/>
  <c r="AX166" i="20"/>
  <c r="BO250" i="20"/>
  <c r="BN85" i="20"/>
  <c r="BN166" i="20" s="1"/>
  <c r="CK250" i="20"/>
  <c r="CJ85" i="20"/>
  <c r="CJ166" i="20" s="1"/>
  <c r="CE248" i="2"/>
  <c r="CD83" i="2"/>
  <c r="CD164" i="2" s="1"/>
  <c r="BY250" i="20"/>
  <c r="BX85" i="20"/>
  <c r="BX166" i="20" s="1"/>
  <c r="AU247" i="2"/>
  <c r="AT82" i="2"/>
  <c r="AT163" i="2" s="1"/>
  <c r="L247" i="2"/>
  <c r="K82" i="2"/>
  <c r="K163" i="2" s="1"/>
  <c r="CG247" i="2"/>
  <c r="CF82" i="2"/>
  <c r="CF163" i="2" s="1"/>
  <c r="G247" i="2"/>
  <c r="F82" i="2"/>
  <c r="F163" i="2" s="1"/>
  <c r="BO247" i="2"/>
  <c r="BN82" i="2"/>
  <c r="BN163" i="2" s="1"/>
  <c r="CR247" i="2"/>
  <c r="CQ82" i="2"/>
  <c r="CQ163" i="2" s="1"/>
  <c r="BG247" i="2"/>
  <c r="BF82" i="2"/>
  <c r="BF163" i="2" s="1"/>
  <c r="Y247" i="2"/>
  <c r="X163" i="2"/>
  <c r="X82" i="2"/>
  <c r="BL247" i="2"/>
  <c r="BK82" i="2"/>
  <c r="BK163" i="2" s="1"/>
  <c r="Q247" i="2"/>
  <c r="P82" i="2"/>
  <c r="P163" i="2" s="1"/>
  <c r="BM55" i="2"/>
  <c r="AC248" i="2"/>
  <c r="AB83" i="2"/>
  <c r="AB164" i="2" s="1"/>
  <c r="AV248" i="2"/>
  <c r="AU83" i="2"/>
  <c r="AU164" i="2" s="1"/>
  <c r="BM250" i="20"/>
  <c r="BL85" i="20"/>
  <c r="BL166" i="20" s="1"/>
  <c r="B321" i="2"/>
  <c r="C248" i="2"/>
  <c r="CB250" i="20"/>
  <c r="CA85" i="20"/>
  <c r="CA166" i="20" s="1"/>
  <c r="BJ248" i="2"/>
  <c r="BI83" i="2"/>
  <c r="BI164" i="2" s="1"/>
  <c r="CA248" i="2"/>
  <c r="BZ83" i="2"/>
  <c r="BZ164" i="2" s="1"/>
  <c r="BF249" i="20"/>
  <c r="BE84" i="20"/>
  <c r="BE165" i="20" s="1"/>
  <c r="CI249" i="20"/>
  <c r="CH84" i="20"/>
  <c r="CH165" i="20"/>
  <c r="CA249" i="20"/>
  <c r="BZ84" i="20"/>
  <c r="BZ165" i="20"/>
  <c r="AY249" i="20"/>
  <c r="AX84" i="20"/>
  <c r="AX165" i="20"/>
  <c r="CL249" i="20"/>
  <c r="CK84" i="20"/>
  <c r="CK165" i="20" s="1"/>
  <c r="BP249" i="20"/>
  <c r="BO84" i="20"/>
  <c r="BO165" i="20" s="1"/>
  <c r="AX249" i="20"/>
  <c r="AW84" i="20"/>
  <c r="AW165" i="20" s="1"/>
  <c r="AP56" i="20"/>
  <c r="AO56" i="20"/>
  <c r="AV56" i="20"/>
  <c r="G56" i="20"/>
  <c r="G83" i="20" s="1"/>
  <c r="G164" i="20" s="1"/>
  <c r="CD56" i="20"/>
  <c r="BU56" i="20"/>
  <c r="BS56" i="20"/>
  <c r="AX56" i="20"/>
  <c r="B55" i="20"/>
  <c r="BK56" i="20"/>
  <c r="AT56" i="20"/>
  <c r="E56" i="20"/>
  <c r="E83" i="20" s="1"/>
  <c r="E164" i="20" s="1"/>
  <c r="D56" i="20"/>
  <c r="BL56" i="20"/>
  <c r="J56" i="20"/>
  <c r="J83" i="20" s="1"/>
  <c r="J164" i="20" s="1"/>
  <c r="CR56" i="20"/>
  <c r="BC56" i="20"/>
  <c r="F56" i="20"/>
  <c r="CN56" i="20"/>
  <c r="CE56" i="20"/>
  <c r="CS56" i="20"/>
  <c r="CS83" i="20" s="1"/>
  <c r="CS164" i="20" s="1"/>
  <c r="CB56" i="20"/>
  <c r="AU56" i="20"/>
  <c r="CG56" i="20"/>
  <c r="CF56" i="20"/>
  <c r="BW56" i="20"/>
  <c r="BF56" i="20"/>
  <c r="B110" i="20"/>
  <c r="CC56" i="20"/>
  <c r="BT56" i="20"/>
  <c r="CP56" i="20"/>
  <c r="BY56" i="20"/>
  <c r="BX56" i="20"/>
  <c r="BO56" i="20"/>
  <c r="CM56" i="20"/>
  <c r="CT56" i="20"/>
  <c r="S56" i="20" s="1"/>
  <c r="T248" i="20" s="1"/>
  <c r="BM56" i="20"/>
  <c r="BD56" i="20"/>
  <c r="CH56" i="20"/>
  <c r="BQ56" i="20"/>
  <c r="BP56" i="20"/>
  <c r="BG56" i="20"/>
  <c r="BH56" i="20"/>
  <c r="CL56" i="20"/>
  <c r="BE56" i="20"/>
  <c r="H56" i="20"/>
  <c r="BZ56" i="20"/>
  <c r="BI56" i="20"/>
  <c r="AZ56" i="20"/>
  <c r="AY56" i="20"/>
  <c r="CO56" i="20"/>
  <c r="BV56" i="20"/>
  <c r="AW56" i="20"/>
  <c r="CI56" i="20"/>
  <c r="BR56" i="20"/>
  <c r="BA56" i="20"/>
  <c r="AR56" i="20"/>
  <c r="AQ56" i="20"/>
  <c r="BJ56" i="20"/>
  <c r="BN56" i="20"/>
  <c r="I56" i="20"/>
  <c r="I83" i="20" s="1"/>
  <c r="I164" i="20" s="1"/>
  <c r="CA56" i="20"/>
  <c r="BB56" i="20"/>
  <c r="AS56" i="20"/>
  <c r="L56" i="20"/>
  <c r="K56" i="20"/>
  <c r="K83" i="20" s="1"/>
  <c r="K164" i="20" s="1"/>
  <c r="CQ56" i="20"/>
  <c r="M56" i="20"/>
  <c r="N56" i="20"/>
  <c r="O56" i="20"/>
  <c r="P56" i="20"/>
  <c r="Q56" i="20"/>
  <c r="R56" i="20"/>
  <c r="BM249" i="20"/>
  <c r="BL84" i="20"/>
  <c r="BL165" i="20" s="1"/>
  <c r="BK250" i="20"/>
  <c r="BJ85" i="20"/>
  <c r="BJ166" i="20" s="1"/>
  <c r="BH248" i="2"/>
  <c r="BG83" i="2"/>
  <c r="BG164" i="2"/>
  <c r="BE250" i="20"/>
  <c r="BD85" i="20"/>
  <c r="BD166" i="20" s="1"/>
  <c r="BE248" i="2"/>
  <c r="BD83" i="2"/>
  <c r="BD164" i="2" s="1"/>
  <c r="CJ250" i="20"/>
  <c r="CI85" i="20"/>
  <c r="CI166" i="20" s="1"/>
  <c r="AW55" i="2"/>
  <c r="AG55" i="2"/>
  <c r="CO55" i="2"/>
  <c r="T55" i="2"/>
  <c r="CG55" i="2"/>
  <c r="AX55" i="2"/>
  <c r="CE55" i="2"/>
  <c r="AP55" i="2"/>
  <c r="H55" i="2"/>
  <c r="AY55" i="2"/>
  <c r="AQ55" i="2"/>
  <c r="AZ55" i="2"/>
  <c r="BT248" i="2"/>
  <c r="BS83" i="2"/>
  <c r="BS164" i="2" s="1"/>
  <c r="M250" i="20"/>
  <c r="L85" i="20"/>
  <c r="L166" i="20" s="1"/>
  <c r="BA250" i="20"/>
  <c r="AZ85" i="20"/>
  <c r="AZ166" i="20" s="1"/>
  <c r="CH248" i="2"/>
  <c r="CG83" i="2"/>
  <c r="CG164" i="2"/>
  <c r="S248" i="2"/>
  <c r="R83" i="2"/>
  <c r="R164" i="2" s="1"/>
  <c r="R249" i="20"/>
  <c r="Q84" i="20"/>
  <c r="Q165" i="20" s="1"/>
  <c r="CK249" i="20"/>
  <c r="CJ84" i="20"/>
  <c r="CJ165" i="20"/>
  <c r="AV249" i="20"/>
  <c r="AU84" i="20"/>
  <c r="AU165" i="20" s="1"/>
  <c r="BO249" i="20"/>
  <c r="BN84" i="20"/>
  <c r="BN165" i="20" s="1"/>
  <c r="M249" i="20"/>
  <c r="L84" i="20"/>
  <c r="L165" i="20" s="1"/>
  <c r="I84" i="20"/>
  <c r="I165" i="20"/>
  <c r="BL249" i="20"/>
  <c r="BK84" i="20"/>
  <c r="BK165" i="20" s="1"/>
  <c r="CQ249" i="20"/>
  <c r="CP84" i="20"/>
  <c r="CP165" i="20"/>
  <c r="CJ249" i="20"/>
  <c r="CI84" i="20"/>
  <c r="CI165" i="20" s="1"/>
  <c r="AR250" i="20"/>
  <c r="AQ85" i="20"/>
  <c r="AQ166" i="20" s="1"/>
  <c r="CP250" i="20"/>
  <c r="CO85" i="20"/>
  <c r="CO166" i="20" s="1"/>
  <c r="O248" i="2"/>
  <c r="N83" i="2"/>
  <c r="N164" i="2" s="1"/>
  <c r="CA250" i="20"/>
  <c r="BZ85" i="20"/>
  <c r="BZ166" i="20" s="1"/>
  <c r="CT54" i="2"/>
  <c r="F54" i="2" s="1"/>
  <c r="AY54" i="2"/>
  <c r="CS54" i="2"/>
  <c r="BT54" i="2"/>
  <c r="AA54" i="2"/>
  <c r="AQ54" i="2"/>
  <c r="R54" i="2"/>
  <c r="AV54" i="2"/>
  <c r="V54" i="2"/>
  <c r="BY54" i="2"/>
  <c r="S54" i="2"/>
  <c r="BG54" i="2"/>
  <c r="B108" i="2"/>
  <c r="CP54" i="2"/>
  <c r="B53" i="2"/>
  <c r="BN54" i="2"/>
  <c r="AJ54" i="2"/>
  <c r="BR54" i="2"/>
  <c r="AZ54" i="2"/>
  <c r="AG54" i="2"/>
  <c r="AM54" i="2"/>
  <c r="CH54" i="2"/>
  <c r="AR54" i="2"/>
  <c r="CL54" i="2"/>
  <c r="BP54" i="2"/>
  <c r="BI54" i="2"/>
  <c r="AL54" i="2"/>
  <c r="J54" i="2"/>
  <c r="Y54" i="2"/>
  <c r="BS54" i="2"/>
  <c r="BB54" i="2"/>
  <c r="K54" i="2"/>
  <c r="AU54" i="2"/>
  <c r="CN54" i="2"/>
  <c r="BC54" i="2"/>
  <c r="AF54" i="2"/>
  <c r="BF54" i="2"/>
  <c r="N54" i="2"/>
  <c r="C54" i="2"/>
  <c r="BX54" i="2"/>
  <c r="BW54" i="2"/>
  <c r="BV54" i="2"/>
  <c r="AT54" i="2"/>
  <c r="AN54" i="2"/>
  <c r="AH54" i="2"/>
  <c r="CR54" i="2"/>
  <c r="BO54" i="2"/>
  <c r="BJ54" i="2"/>
  <c r="I54" i="2"/>
  <c r="AX54" i="2"/>
  <c r="W54" i="2"/>
  <c r="AC54" i="2"/>
  <c r="BZ54" i="2"/>
  <c r="BU54" i="2"/>
  <c r="AS54" i="2"/>
  <c r="BM54" i="2"/>
  <c r="M54" i="2"/>
  <c r="CQ54" i="2"/>
  <c r="CJ54" i="2"/>
  <c r="CC54" i="2"/>
  <c r="D54" i="2"/>
  <c r="AB54" i="2"/>
  <c r="Y55" i="2"/>
  <c r="Q55" i="2"/>
  <c r="BY55" i="2"/>
  <c r="N55" i="2"/>
  <c r="BQ55" i="2"/>
  <c r="AH55" i="2"/>
  <c r="BS55" i="2"/>
  <c r="Z55" i="2"/>
  <c r="CH55" i="2"/>
  <c r="BX55" i="2"/>
  <c r="AE55" i="2"/>
  <c r="CS248" i="2"/>
  <c r="CR83" i="2"/>
  <c r="CR164" i="2"/>
  <c r="AP250" i="20"/>
  <c r="AO85" i="20"/>
  <c r="AO166" i="20" s="1"/>
  <c r="G85" i="20"/>
  <c r="G166" i="20"/>
  <c r="CJ248" i="2"/>
  <c r="CI83" i="2"/>
  <c r="CI164" i="2" s="1"/>
  <c r="AN248" i="2"/>
  <c r="AM83" i="2"/>
  <c r="AM164" i="2"/>
  <c r="Q249" i="20"/>
  <c r="P84" i="20"/>
  <c r="P165" i="20" s="1"/>
  <c r="BV84" i="20"/>
  <c r="BV165" i="20" s="1"/>
  <c r="BW249" i="20"/>
  <c r="CH249" i="20"/>
  <c r="CG84" i="20"/>
  <c r="CG165" i="20"/>
  <c r="G84" i="20"/>
  <c r="G165" i="20"/>
  <c r="BG249" i="20"/>
  <c r="BF84" i="20"/>
  <c r="BF165" i="20" s="1"/>
  <c r="AZ249" i="20"/>
  <c r="AY84" i="20"/>
  <c r="AY165" i="20" s="1"/>
  <c r="CM249" i="20"/>
  <c r="CL84" i="20"/>
  <c r="CL165" i="20" s="1"/>
  <c r="BT249" i="20"/>
  <c r="BS84" i="20"/>
  <c r="BS165" i="20" s="1"/>
  <c r="BV249" i="20"/>
  <c r="BU84" i="20"/>
  <c r="BU165" i="20"/>
  <c r="AZ250" i="20"/>
  <c r="AY85" i="20"/>
  <c r="AY166" i="20" s="1"/>
  <c r="AQ250" i="20"/>
  <c r="AP85" i="20"/>
  <c r="AP166" i="20"/>
  <c r="AY248" i="2"/>
  <c r="AX83" i="2"/>
  <c r="AX164" i="2" s="1"/>
  <c r="BZ250" i="20"/>
  <c r="BY85" i="20"/>
  <c r="BY166" i="20" s="1"/>
  <c r="BG250" i="20"/>
  <c r="BF85" i="20"/>
  <c r="BF166" i="20" s="1"/>
  <c r="AX248" i="2"/>
  <c r="AW83" i="2"/>
  <c r="AW164" i="2" s="1"/>
  <c r="CG250" i="20"/>
  <c r="CF85" i="20"/>
  <c r="CF166" i="20" s="1"/>
  <c r="BB55" i="2"/>
  <c r="CK55" i="2"/>
  <c r="G55" i="2"/>
  <c r="BJ55" i="2"/>
  <c r="CR55" i="2"/>
  <c r="BI55" i="2"/>
  <c r="BA55" i="2"/>
  <c r="R55" i="2"/>
  <c r="BG55" i="2"/>
  <c r="J55" i="2"/>
  <c r="CP55" i="2"/>
  <c r="BH55" i="2"/>
  <c r="CM250" i="20"/>
  <c r="CL85" i="20"/>
  <c r="CL166" i="20" s="1"/>
  <c r="AB248" i="2"/>
  <c r="AA83" i="2"/>
  <c r="AA164" i="2" s="1"/>
  <c r="P249" i="20"/>
  <c r="O84" i="20"/>
  <c r="O165" i="20" s="1"/>
  <c r="BK249" i="20"/>
  <c r="BJ84" i="20"/>
  <c r="BJ165" i="20" s="1"/>
  <c r="CP249" i="20"/>
  <c r="CO84" i="20"/>
  <c r="CO165" i="20" s="1"/>
  <c r="BX249" i="20"/>
  <c r="BW84" i="20"/>
  <c r="BW165" i="20"/>
  <c r="AR249" i="20"/>
  <c r="AQ165" i="20"/>
  <c r="AQ84" i="20"/>
  <c r="AP249" i="20"/>
  <c r="AO84" i="20"/>
  <c r="AO165" i="20" s="1"/>
  <c r="CB84" i="20"/>
  <c r="CC249" i="20"/>
  <c r="CB165" i="20"/>
  <c r="BH249" i="20"/>
  <c r="BG84" i="20"/>
  <c r="BG165" i="20"/>
  <c r="CC250" i="20"/>
  <c r="CB85" i="20"/>
  <c r="CB166" i="20" s="1"/>
  <c r="AQ248" i="2"/>
  <c r="AP83" i="2"/>
  <c r="AP164" i="2"/>
  <c r="BC250" i="20"/>
  <c r="BB85" i="20"/>
  <c r="BB166" i="20" s="1"/>
  <c r="CS250" i="20"/>
  <c r="CR85" i="20"/>
  <c r="CR166" i="20" s="1"/>
  <c r="CK248" i="2"/>
  <c r="CJ83" i="2"/>
  <c r="CJ164" i="2" s="1"/>
  <c r="CD250" i="20"/>
  <c r="CC166" i="20"/>
  <c r="CC85" i="20"/>
  <c r="O55" i="2"/>
  <c r="S55" i="2"/>
  <c r="AB55" i="2"/>
  <c r="CJ55" i="2"/>
  <c r="BZ55" i="2"/>
  <c r="CB55" i="2"/>
  <c r="AS55" i="2"/>
  <c r="CA55" i="2"/>
  <c r="AK55" i="2"/>
  <c r="CS55" i="2"/>
  <c r="AU55" i="2"/>
  <c r="AM55" i="2"/>
  <c r="AD55" i="2"/>
  <c r="AM248" i="2"/>
  <c r="AL83" i="2"/>
  <c r="AL164" i="2" s="1"/>
  <c r="BP250" i="20"/>
  <c r="BO166" i="20"/>
  <c r="BO85" i="20"/>
  <c r="O250" i="20"/>
  <c r="N85" i="20"/>
  <c r="N166" i="20" s="1"/>
  <c r="BU248" i="2"/>
  <c r="BT83" i="2"/>
  <c r="BT164" i="2" s="1"/>
  <c r="O249" i="20"/>
  <c r="N84" i="20"/>
  <c r="N165" i="20" s="1"/>
  <c r="BC249" i="20"/>
  <c r="BB84" i="20"/>
  <c r="BB165" i="20" s="1"/>
  <c r="CO249" i="20"/>
  <c r="CN84" i="20"/>
  <c r="CN165" i="20" s="1"/>
  <c r="BU249" i="20"/>
  <c r="BT84" i="20"/>
  <c r="BT165" i="20" s="1"/>
  <c r="BS249" i="20"/>
  <c r="BR84" i="20"/>
  <c r="BR165" i="20" s="1"/>
  <c r="CE249" i="20"/>
  <c r="CD84" i="20"/>
  <c r="CD165" i="20"/>
  <c r="BQ249" i="20"/>
  <c r="BP84" i="20"/>
  <c r="BP165" i="20" s="1"/>
  <c r="BD249" i="20"/>
  <c r="BC84" i="20"/>
  <c r="BC165" i="20" s="1"/>
  <c r="CN250" i="20"/>
  <c r="CM85" i="20"/>
  <c r="CM166" i="20" s="1"/>
  <c r="Q250" i="20"/>
  <c r="P85" i="20"/>
  <c r="P166" i="20" s="1"/>
  <c r="BG248" i="2"/>
  <c r="BF83" i="2"/>
  <c r="BF164" i="2" s="1"/>
  <c r="CF250" i="20"/>
  <c r="CE85" i="20"/>
  <c r="CE166" i="20" s="1"/>
  <c r="U12" i="2"/>
  <c r="U68" i="2"/>
  <c r="V13" i="2"/>
  <c r="AS248" i="2"/>
  <c r="AR83" i="2"/>
  <c r="AR164" i="2" s="1"/>
  <c r="CL250" i="20"/>
  <c r="CK85" i="20"/>
  <c r="CK166" i="20" s="1"/>
  <c r="BD250" i="20"/>
  <c r="BC85" i="20"/>
  <c r="BC166" i="20" s="1"/>
  <c r="BF248" i="2"/>
  <c r="BE83" i="2"/>
  <c r="BE164" i="2" s="1"/>
  <c r="BL250" i="20"/>
  <c r="BK166" i="20"/>
  <c r="BK85" i="20"/>
  <c r="I55" i="2"/>
  <c r="AR55" i="2"/>
  <c r="D55" i="2"/>
  <c r="L55" i="2"/>
  <c r="BT55" i="2"/>
  <c r="AJ55" i="2"/>
  <c r="BL55" i="2"/>
  <c r="AC55" i="2"/>
  <c r="BO55" i="2"/>
  <c r="U55" i="2"/>
  <c r="CC55" i="2"/>
  <c r="BH250" i="20"/>
  <c r="BG85" i="20"/>
  <c r="BG166" i="20"/>
  <c r="CC248" i="2"/>
  <c r="CB83" i="2"/>
  <c r="CB164" i="2" s="1"/>
  <c r="BI250" i="20"/>
  <c r="BH85" i="20"/>
  <c r="BH166" i="20" s="1"/>
  <c r="AJ248" i="2"/>
  <c r="AI83" i="2"/>
  <c r="AI164" i="2" s="1"/>
  <c r="N249" i="20"/>
  <c r="M84" i="20"/>
  <c r="M165" i="20" s="1"/>
  <c r="BE249" i="20"/>
  <c r="BD84" i="20"/>
  <c r="BD165" i="20"/>
  <c r="AS249" i="20"/>
  <c r="AR84" i="20"/>
  <c r="AR165" i="20" s="1"/>
  <c r="CG249" i="20"/>
  <c r="CF84" i="20"/>
  <c r="CF165" i="20" s="1"/>
  <c r="BN249" i="20"/>
  <c r="BM84" i="20"/>
  <c r="BM165" i="20" s="1"/>
  <c r="CR249" i="20"/>
  <c r="CQ84" i="20"/>
  <c r="CQ165" i="20" s="1"/>
  <c r="F84" i="20"/>
  <c r="F165" i="20" s="1"/>
  <c r="CN249" i="20"/>
  <c r="CM84" i="20"/>
  <c r="CM165" i="20" s="1"/>
  <c r="AT249" i="20"/>
  <c r="AS84" i="20"/>
  <c r="AS165" i="20" s="1"/>
  <c r="BJ250" i="20"/>
  <c r="BI85" i="20"/>
  <c r="BI166" i="20" s="1"/>
  <c r="B246" i="20"/>
  <c r="B217" i="20"/>
  <c r="AT250" i="20"/>
  <c r="AS85" i="20"/>
  <c r="AS166" i="20" s="1"/>
  <c r="T95" i="2"/>
  <c r="T122" i="2" s="1"/>
  <c r="T186" i="2"/>
  <c r="T176" i="2" s="1"/>
  <c r="T149" i="2"/>
  <c r="R248" i="2"/>
  <c r="Q83" i="2"/>
  <c r="Q164" i="2" s="1"/>
  <c r="AU250" i="20"/>
  <c r="AT85" i="20"/>
  <c r="AT166" i="20" s="1"/>
  <c r="BS250" i="20"/>
  <c r="BR85" i="20"/>
  <c r="BR166" i="20" s="1"/>
  <c r="U81" i="19"/>
  <c r="U162" i="19" s="1"/>
  <c r="BV81" i="19"/>
  <c r="BV162" i="19" s="1"/>
  <c r="A248" i="19"/>
  <c r="A220" i="19"/>
  <c r="A83" i="19"/>
  <c r="BX80" i="19"/>
  <c r="BX161" i="19" s="1"/>
  <c r="R80" i="19"/>
  <c r="R161" i="19" s="1"/>
  <c r="BH80" i="19"/>
  <c r="BH161" i="19" s="1"/>
  <c r="CN80" i="19"/>
  <c r="CN161" i="19" s="1"/>
  <c r="CB80" i="19"/>
  <c r="CB161" i="19" s="1"/>
  <c r="AV80" i="19"/>
  <c r="AV161" i="19" s="1"/>
  <c r="CE80" i="19"/>
  <c r="CE161" i="19" s="1"/>
  <c r="CI80" i="19"/>
  <c r="CI161" i="19" s="1"/>
  <c r="AR80" i="19"/>
  <c r="AR161" i="19" s="1"/>
  <c r="AX80" i="19"/>
  <c r="AX161" i="19" s="1"/>
  <c r="H80" i="19"/>
  <c r="H161" i="19" s="1"/>
  <c r="L186" i="19"/>
  <c r="L176" i="19" s="1"/>
  <c r="L95" i="19"/>
  <c r="L122" i="19" s="1"/>
  <c r="L149" i="19"/>
  <c r="CL81" i="19"/>
  <c r="CL162" i="19" s="1"/>
  <c r="BC81" i="19"/>
  <c r="BC162" i="19" s="1"/>
  <c r="D221" i="20"/>
  <c r="CV29" i="20"/>
  <c r="A29" i="2"/>
  <c r="B28" i="2"/>
  <c r="CT29" i="2"/>
  <c r="CU29" i="2"/>
  <c r="B84" i="2"/>
  <c r="B165" i="2"/>
  <c r="B138" i="2" s="1"/>
  <c r="S88" i="20"/>
  <c r="S169" i="20" s="1"/>
  <c r="S90" i="20"/>
  <c r="S171" i="20" s="1"/>
  <c r="CE81" i="19"/>
  <c r="CE162" i="19" s="1"/>
  <c r="BA81" i="19"/>
  <c r="BA162" i="19" s="1"/>
  <c r="T86" i="19"/>
  <c r="T167" i="19" s="1"/>
  <c r="BF81" i="19"/>
  <c r="BF162" i="19" s="1"/>
  <c r="BJ81" i="19"/>
  <c r="BJ162" i="19" s="1"/>
  <c r="S80" i="19"/>
  <c r="S161" i="19" s="1"/>
  <c r="BZ80" i="19"/>
  <c r="BZ161" i="19" s="1"/>
  <c r="AU80" i="19"/>
  <c r="AU161" i="19" s="1"/>
  <c r="BW80" i="19"/>
  <c r="BW161" i="19" s="1"/>
  <c r="CR80" i="19"/>
  <c r="CR161" i="19" s="1"/>
  <c r="S92" i="20"/>
  <c r="S173" i="20" s="1"/>
  <c r="O218" i="19"/>
  <c r="BB81" i="19"/>
  <c r="BB162" i="19" s="1"/>
  <c r="N81" i="19"/>
  <c r="N162" i="19" s="1"/>
  <c r="T89" i="19"/>
  <c r="T170" i="19" s="1"/>
  <c r="S91" i="20"/>
  <c r="S172" i="20" s="1"/>
  <c r="F218" i="19"/>
  <c r="K218" i="19"/>
  <c r="O219" i="19"/>
  <c r="O81" i="19"/>
  <c r="O162" i="19" s="1"/>
  <c r="D81" i="19"/>
  <c r="D162" i="19" s="1"/>
  <c r="T87" i="19"/>
  <c r="T168" i="19" s="1"/>
  <c r="CI81" i="19"/>
  <c r="CI162" i="19" s="1"/>
  <c r="AX81" i="19"/>
  <c r="AX162" i="19" s="1"/>
  <c r="BI81" i="19"/>
  <c r="BI162" i="19" s="1"/>
  <c r="BB80" i="19"/>
  <c r="BB161" i="19" s="1"/>
  <c r="CG80" i="19"/>
  <c r="CG161" i="19" s="1"/>
  <c r="BQ80" i="19"/>
  <c r="BQ161" i="19" s="1"/>
  <c r="CQ80" i="19"/>
  <c r="CQ161" i="19" s="1"/>
  <c r="AT80" i="19"/>
  <c r="AT161" i="19" s="1"/>
  <c r="C53" i="19"/>
  <c r="D245" i="19" s="1"/>
  <c r="BE53" i="19"/>
  <c r="BF245" i="19" s="1"/>
  <c r="D53" i="19"/>
  <c r="E245" i="19" s="1"/>
  <c r="BZ81" i="19"/>
  <c r="BZ162" i="19" s="1"/>
  <c r="T81" i="19"/>
  <c r="T162" i="19" s="1"/>
  <c r="AO81" i="19"/>
  <c r="AO162" i="19" s="1"/>
  <c r="BO81" i="19"/>
  <c r="BO162" i="19" s="1"/>
  <c r="F53" i="19"/>
  <c r="G245" i="19" s="1"/>
  <c r="AS53" i="19"/>
  <c r="AT245" i="19" s="1"/>
  <c r="T53" i="19"/>
  <c r="U245" i="19" s="1"/>
  <c r="CH53" i="19"/>
  <c r="CI245" i="19" s="1"/>
  <c r="BC53" i="19"/>
  <c r="BD245" i="19" s="1"/>
  <c r="AP53" i="19"/>
  <c r="AQ245" i="19" s="1"/>
  <c r="L53" i="19"/>
  <c r="M245" i="19" s="1"/>
  <c r="BP53" i="19"/>
  <c r="BQ245" i="19" s="1"/>
  <c r="CJ53" i="19"/>
  <c r="CK245" i="19" s="1"/>
  <c r="P81" i="19"/>
  <c r="P162" i="19" s="1"/>
  <c r="U41" i="20"/>
  <c r="T65" i="20"/>
  <c r="U257" i="20" s="1"/>
  <c r="T64" i="20"/>
  <c r="U256" i="20" s="1"/>
  <c r="T62" i="20"/>
  <c r="U254" i="20" s="1"/>
  <c r="T63" i="20"/>
  <c r="U255" i="20" s="1"/>
  <c r="T60" i="20"/>
  <c r="U252" i="20" s="1"/>
  <c r="T59" i="20"/>
  <c r="U251" i="20" s="1"/>
  <c r="T57" i="20"/>
  <c r="U249" i="20" s="1"/>
  <c r="T56" i="20"/>
  <c r="U248" i="20" s="1"/>
  <c r="T58" i="20"/>
  <c r="U250" i="20" s="1"/>
  <c r="T61" i="20"/>
  <c r="U253" i="20" s="1"/>
  <c r="K219" i="19"/>
  <c r="F219" i="19"/>
  <c r="CM81" i="19"/>
  <c r="CM162" i="19" s="1"/>
  <c r="BN81" i="19"/>
  <c r="BN162" i="19" s="1"/>
  <c r="CK81" i="19"/>
  <c r="CK162" i="19" s="1"/>
  <c r="T88" i="19"/>
  <c r="T169" i="19" s="1"/>
  <c r="AP81" i="19"/>
  <c r="AP162" i="19" s="1"/>
  <c r="F348" i="19"/>
  <c r="BQ81" i="19"/>
  <c r="BQ162" i="19" s="1"/>
  <c r="CV28" i="19"/>
  <c r="D220" i="19"/>
  <c r="BY81" i="19"/>
  <c r="BY162" i="19" s="1"/>
  <c r="BU53" i="19"/>
  <c r="BV245" i="19" s="1"/>
  <c r="BO53" i="19"/>
  <c r="BP245" i="19" s="1"/>
  <c r="CM53" i="19"/>
  <c r="CN245" i="19" s="1"/>
  <c r="CO53" i="19"/>
  <c r="CP245" i="19" s="1"/>
  <c r="BV53" i="19"/>
  <c r="BW245" i="19" s="1"/>
  <c r="CP53" i="19"/>
  <c r="CQ245" i="19" s="1"/>
  <c r="N53" i="19"/>
  <c r="O245" i="19" s="1"/>
  <c r="BD53" i="19"/>
  <c r="BE245" i="19" s="1"/>
  <c r="BF53" i="19"/>
  <c r="BG245" i="19" s="1"/>
  <c r="AZ53" i="19"/>
  <c r="BA245" i="19" s="1"/>
  <c r="BT81" i="19"/>
  <c r="BT162" i="19" s="1"/>
  <c r="B164" i="20"/>
  <c r="B137" i="20" s="1"/>
  <c r="B83" i="20"/>
  <c r="B27" i="20"/>
  <c r="A28" i="20"/>
  <c r="CU28" i="20"/>
  <c r="CT28" i="20"/>
  <c r="S87" i="20"/>
  <c r="S168" i="20" s="1"/>
  <c r="S83" i="20"/>
  <c r="S164" i="20" s="1"/>
  <c r="F81" i="19"/>
  <c r="F162" i="19" s="1"/>
  <c r="CJ81" i="19"/>
  <c r="CJ162" i="19" s="1"/>
  <c r="T90" i="19"/>
  <c r="T171" i="19" s="1"/>
  <c r="S81" i="19"/>
  <c r="S162" i="19" s="1"/>
  <c r="CO81" i="19"/>
  <c r="CO162" i="19" s="1"/>
  <c r="BP81" i="19"/>
  <c r="BP162" i="19" s="1"/>
  <c r="AV81" i="19"/>
  <c r="AV162" i="19" s="1"/>
  <c r="CQ81" i="19"/>
  <c r="CQ162" i="19" s="1"/>
  <c r="AQ53" i="19"/>
  <c r="AR245" i="19" s="1"/>
  <c r="BK53" i="19"/>
  <c r="BL245" i="19" s="1"/>
  <c r="BL53" i="19"/>
  <c r="BM245" i="19" s="1"/>
  <c r="Q53" i="19"/>
  <c r="R245" i="19" s="1"/>
  <c r="P53" i="19"/>
  <c r="Q245" i="19" s="1"/>
  <c r="CD53" i="19"/>
  <c r="CE245" i="19" s="1"/>
  <c r="G53" i="19"/>
  <c r="H245" i="19" s="1"/>
  <c r="BI53" i="19"/>
  <c r="BJ245" i="19" s="1"/>
  <c r="CS53" i="19"/>
  <c r="CS80" i="19" s="1"/>
  <c r="CS161" i="19" s="1"/>
  <c r="M53" i="19"/>
  <c r="N245" i="19" s="1"/>
  <c r="BJ53" i="19"/>
  <c r="BK245" i="19" s="1"/>
  <c r="I81" i="19"/>
  <c r="I162" i="19" s="1"/>
  <c r="A84" i="20"/>
  <c r="A221" i="20"/>
  <c r="A249" i="20"/>
  <c r="CV30" i="2"/>
  <c r="D222" i="2"/>
  <c r="S86" i="20"/>
  <c r="S167" i="20" s="1"/>
  <c r="K81" i="19"/>
  <c r="K162" i="19" s="1"/>
  <c r="G81" i="19"/>
  <c r="G162" i="19" s="1"/>
  <c r="AS81" i="19"/>
  <c r="AS162" i="19" s="1"/>
  <c r="E81" i="19"/>
  <c r="E162" i="19" s="1"/>
  <c r="T83" i="19"/>
  <c r="T164" i="19" s="1"/>
  <c r="T92" i="19"/>
  <c r="T173" i="19" s="1"/>
  <c r="CH81" i="19"/>
  <c r="CH162" i="19" s="1"/>
  <c r="BK81" i="19"/>
  <c r="BK162" i="19" s="1"/>
  <c r="BN80" i="19"/>
  <c r="BN161" i="19" s="1"/>
  <c r="AO80" i="19"/>
  <c r="AO161" i="19" s="1"/>
  <c r="CL80" i="19"/>
  <c r="CL161" i="19" s="1"/>
  <c r="CA80" i="19"/>
  <c r="CA161" i="19" s="1"/>
  <c r="BA80" i="19"/>
  <c r="BA161" i="19" s="1"/>
  <c r="BT80" i="19"/>
  <c r="BT161" i="19" s="1"/>
  <c r="B106" i="19"/>
  <c r="BL52" i="19"/>
  <c r="BM244" i="19" s="1"/>
  <c r="CF52" i="19"/>
  <c r="CG244" i="19" s="1"/>
  <c r="CT52" i="19"/>
  <c r="AR52" i="19" s="1"/>
  <c r="AS244" i="19" s="1"/>
  <c r="BF52" i="19"/>
  <c r="BG244" i="19" s="1"/>
  <c r="BW52" i="19"/>
  <c r="BX244" i="19" s="1"/>
  <c r="BP52" i="19"/>
  <c r="BQ244" i="19" s="1"/>
  <c r="V52" i="19"/>
  <c r="W244" i="19" s="1"/>
  <c r="CA52" i="19"/>
  <c r="CB244" i="19" s="1"/>
  <c r="BH52" i="19"/>
  <c r="BI244" i="19" s="1"/>
  <c r="BE52" i="19"/>
  <c r="BF244" i="19" s="1"/>
  <c r="B51" i="19"/>
  <c r="CC52" i="19"/>
  <c r="CD244" i="19" s="1"/>
  <c r="BQ52" i="19"/>
  <c r="BR244" i="19" s="1"/>
  <c r="H52" i="19"/>
  <c r="I244" i="19" s="1"/>
  <c r="CG52" i="19"/>
  <c r="CH244" i="19" s="1"/>
  <c r="BM52" i="19"/>
  <c r="BN244" i="19" s="1"/>
  <c r="CS52" i="19"/>
  <c r="CS79" i="19" s="1"/>
  <c r="CS160" i="19" s="1"/>
  <c r="I80" i="19"/>
  <c r="I161" i="19" s="1"/>
  <c r="BR80" i="19"/>
  <c r="BR161" i="19" s="1"/>
  <c r="N13" i="19"/>
  <c r="M12" i="19"/>
  <c r="M68" i="19"/>
  <c r="CP81" i="19"/>
  <c r="CP162" i="19" s="1"/>
  <c r="A27" i="19"/>
  <c r="B26" i="19"/>
  <c r="B163" i="19"/>
  <c r="B136" i="19" s="1"/>
  <c r="B82" i="19"/>
  <c r="CR81" i="19"/>
  <c r="CR162" i="19" s="1"/>
  <c r="AW80" i="19"/>
  <c r="AW161" i="19" s="1"/>
  <c r="J80" i="19"/>
  <c r="J161" i="19" s="1"/>
  <c r="U80" i="19"/>
  <c r="U161" i="19" s="1"/>
  <c r="BM80" i="19"/>
  <c r="BM161" i="19" s="1"/>
  <c r="CF81" i="19"/>
  <c r="CF162" i="19" s="1"/>
  <c r="AQ81" i="19"/>
  <c r="AQ162" i="19" s="1"/>
  <c r="M13" i="20"/>
  <c r="L68" i="20"/>
  <c r="L12" i="20"/>
  <c r="AT81" i="19"/>
  <c r="AT162" i="19" s="1"/>
  <c r="K186" i="20"/>
  <c r="K176" i="20" s="1"/>
  <c r="K149" i="20"/>
  <c r="K95" i="20"/>
  <c r="K122" i="20" s="1"/>
  <c r="CA81" i="19"/>
  <c r="CA162" i="19" s="1"/>
  <c r="AY81" i="19"/>
  <c r="AY162" i="19" s="1"/>
  <c r="BM81" i="19"/>
  <c r="BM162" i="19" s="1"/>
  <c r="BH81" i="19"/>
  <c r="BH162" i="19" s="1"/>
  <c r="K53" i="19"/>
  <c r="L245" i="19" s="1"/>
  <c r="V53" i="19"/>
  <c r="W245" i="19" s="1"/>
  <c r="E53" i="19"/>
  <c r="F245" i="19" s="1"/>
  <c r="CK53" i="19"/>
  <c r="CL245" i="19" s="1"/>
  <c r="CF53" i="19"/>
  <c r="CG245" i="19" s="1"/>
  <c r="BS53" i="19"/>
  <c r="BT245" i="19" s="1"/>
  <c r="BG53" i="19"/>
  <c r="BH245" i="19" s="1"/>
  <c r="CC53" i="19"/>
  <c r="CD245" i="19" s="1"/>
  <c r="AY53" i="19"/>
  <c r="AZ245" i="19" s="1"/>
  <c r="O53" i="19"/>
  <c r="P245" i="19" s="1"/>
  <c r="BY53" i="19"/>
  <c r="BZ245" i="19" s="1"/>
  <c r="L81" i="19"/>
  <c r="L162" i="19" s="1"/>
  <c r="BD81" i="19"/>
  <c r="BD162" i="19" s="1"/>
  <c r="S85" i="20"/>
  <c r="S166" i="20" s="1"/>
  <c r="BE81" i="19"/>
  <c r="BE162" i="19" s="1"/>
  <c r="CG81" i="19"/>
  <c r="CG162" i="19" s="1"/>
  <c r="T84" i="19"/>
  <c r="T165" i="19" s="1"/>
  <c r="T91" i="19"/>
  <c r="T172" i="19" s="1"/>
  <c r="AU81" i="19"/>
  <c r="AU162" i="19" s="1"/>
  <c r="Q81" i="19"/>
  <c r="Q162" i="19" s="1"/>
  <c r="BG81" i="19"/>
  <c r="BG162" i="19" s="1"/>
  <c r="BR81" i="19"/>
  <c r="BR162" i="19" s="1"/>
  <c r="A85" i="2"/>
  <c r="A222" i="2"/>
  <c r="A250" i="2"/>
  <c r="S84" i="20"/>
  <c r="S165" i="20" s="1"/>
  <c r="S89" i="20"/>
  <c r="S170" i="20" s="1"/>
  <c r="R81" i="19"/>
  <c r="R162" i="19" s="1"/>
  <c r="AW81" i="19"/>
  <c r="AW162" i="19" s="1"/>
  <c r="T85" i="19"/>
  <c r="T166" i="19" s="1"/>
  <c r="V41" i="19"/>
  <c r="U65" i="19"/>
  <c r="V257" i="19" s="1"/>
  <c r="U64" i="19"/>
  <c r="V256" i="19" s="1"/>
  <c r="U62" i="19"/>
  <c r="V254" i="19" s="1"/>
  <c r="U63" i="19"/>
  <c r="V255" i="19" s="1"/>
  <c r="U61" i="19"/>
  <c r="V253" i="19" s="1"/>
  <c r="U60" i="19"/>
  <c r="V252" i="19" s="1"/>
  <c r="U59" i="19"/>
  <c r="V251" i="19" s="1"/>
  <c r="U58" i="19"/>
  <c r="V250" i="19" s="1"/>
  <c r="U57" i="19"/>
  <c r="V249" i="19" s="1"/>
  <c r="U56" i="19"/>
  <c r="V248" i="19" s="1"/>
  <c r="U55" i="19"/>
  <c r="V247" i="19" s="1"/>
  <c r="F357" i="20"/>
  <c r="G246" i="2" l="1"/>
  <c r="F81" i="2"/>
  <c r="F162" i="2" s="1"/>
  <c r="B216" i="20"/>
  <c r="B245" i="20"/>
  <c r="AK247" i="2"/>
  <c r="AJ82" i="2"/>
  <c r="AJ163" i="2" s="1"/>
  <c r="AL247" i="2"/>
  <c r="AK163" i="2"/>
  <c r="AK82" i="2"/>
  <c r="P247" i="2"/>
  <c r="O82" i="2"/>
  <c r="O163" i="2" s="1"/>
  <c r="BB247" i="2"/>
  <c r="BA82" i="2"/>
  <c r="BA163" i="2" s="1"/>
  <c r="BY247" i="2"/>
  <c r="BX163" i="2"/>
  <c r="BX82" i="2"/>
  <c r="R247" i="2"/>
  <c r="Q82" i="2"/>
  <c r="Q163" i="2" s="1"/>
  <c r="CR246" i="2"/>
  <c r="CQ162" i="2"/>
  <c r="CQ81" i="2"/>
  <c r="CA246" i="2"/>
  <c r="BZ81" i="2"/>
  <c r="BZ162" i="2" s="1"/>
  <c r="BK246" i="2"/>
  <c r="BJ162" i="2"/>
  <c r="BJ81" i="2"/>
  <c r="AU246" i="2"/>
  <c r="AT81" i="2"/>
  <c r="AT162" i="2" s="1"/>
  <c r="O246" i="2"/>
  <c r="N81" i="2"/>
  <c r="N162" i="2" s="1"/>
  <c r="AV246" i="2"/>
  <c r="AU81" i="2"/>
  <c r="AU162" i="2" s="1"/>
  <c r="K246" i="2"/>
  <c r="J81" i="2"/>
  <c r="J162" i="2" s="1"/>
  <c r="AS246" i="2"/>
  <c r="AR81" i="2"/>
  <c r="AR162" i="2" s="1"/>
  <c r="BS246" i="2"/>
  <c r="BR81" i="2"/>
  <c r="BR162" i="2" s="1"/>
  <c r="AW246" i="2"/>
  <c r="AV81" i="2"/>
  <c r="AV162" i="2" s="1"/>
  <c r="CS81" i="2"/>
  <c r="CS162" i="2" s="1"/>
  <c r="BA247" i="2"/>
  <c r="AZ82" i="2"/>
  <c r="AZ163" i="2" s="1"/>
  <c r="U247" i="2"/>
  <c r="T82" i="2"/>
  <c r="T163" i="2" s="1"/>
  <c r="S248" i="20"/>
  <c r="R83" i="20"/>
  <c r="R164" i="20" s="1"/>
  <c r="L83" i="20"/>
  <c r="L164" i="20" s="1"/>
  <c r="AS248" i="20"/>
  <c r="AR83" i="20"/>
  <c r="AR164" i="20" s="1"/>
  <c r="AZ83" i="20"/>
  <c r="AZ164" i="20" s="1"/>
  <c r="BA248" i="20"/>
  <c r="BQ248" i="20"/>
  <c r="BP83" i="20"/>
  <c r="BP164" i="20" s="1"/>
  <c r="BY248" i="20"/>
  <c r="BX83" i="20"/>
  <c r="BX164" i="20"/>
  <c r="CF83" i="20"/>
  <c r="CF164" i="20" s="1"/>
  <c r="CG248" i="20"/>
  <c r="F83" i="20"/>
  <c r="F164" i="20" s="1"/>
  <c r="AU248" i="20"/>
  <c r="AT83" i="20"/>
  <c r="AT164" i="20" s="1"/>
  <c r="BN247" i="2"/>
  <c r="BM82" i="2"/>
  <c r="BM163" i="2" s="1"/>
  <c r="AO247" i="2"/>
  <c r="AN82" i="2"/>
  <c r="AN163" i="2" s="1"/>
  <c r="B319" i="20"/>
  <c r="BU247" i="2"/>
  <c r="BT82" i="2"/>
  <c r="BT163" i="2" s="1"/>
  <c r="CB247" i="2"/>
  <c r="CA82" i="2"/>
  <c r="CA163" i="2" s="1"/>
  <c r="BJ247" i="2"/>
  <c r="BI82" i="2"/>
  <c r="BI163" i="2" s="1"/>
  <c r="CI247" i="2"/>
  <c r="CH163" i="2"/>
  <c r="CH82" i="2"/>
  <c r="Z247" i="2"/>
  <c r="Y82" i="2"/>
  <c r="Y163" i="2" s="1"/>
  <c r="G54" i="2"/>
  <c r="CB54" i="2"/>
  <c r="AK54" i="2"/>
  <c r="P54" i="2"/>
  <c r="CK54" i="2"/>
  <c r="AP54" i="2"/>
  <c r="CF54" i="2"/>
  <c r="BK54" i="2"/>
  <c r="Q54" i="2"/>
  <c r="AD54" i="2"/>
  <c r="BD54" i="2"/>
  <c r="U54" i="2"/>
  <c r="AR247" i="2"/>
  <c r="AQ163" i="2"/>
  <c r="AQ82" i="2"/>
  <c r="CP247" i="2"/>
  <c r="CO163" i="2"/>
  <c r="CO82" i="2"/>
  <c r="R248" i="20"/>
  <c r="Q83" i="20"/>
  <c r="Q164" i="20" s="1"/>
  <c r="AT248" i="20"/>
  <c r="AS83" i="20"/>
  <c r="AS164" i="20" s="1"/>
  <c r="BB248" i="20"/>
  <c r="BA83" i="20"/>
  <c r="BA164" i="20" s="1"/>
  <c r="BJ248" i="20"/>
  <c r="BI83" i="20"/>
  <c r="BI164" i="20" s="1"/>
  <c r="BR248" i="20"/>
  <c r="BQ83" i="20"/>
  <c r="BQ164" i="20" s="1"/>
  <c r="BZ248" i="20"/>
  <c r="BY83" i="20"/>
  <c r="BY164" i="20" s="1"/>
  <c r="CH248" i="20"/>
  <c r="CG164" i="20"/>
  <c r="CG83" i="20"/>
  <c r="BD248" i="20"/>
  <c r="BC83" i="20"/>
  <c r="BC164" i="20"/>
  <c r="BK83" i="20"/>
  <c r="BK164" i="20" s="1"/>
  <c r="BL248" i="20"/>
  <c r="AW248" i="20"/>
  <c r="AV83" i="20"/>
  <c r="AV164" i="20" s="1"/>
  <c r="BW247" i="2"/>
  <c r="BV82" i="2"/>
  <c r="BV163" i="2" s="1"/>
  <c r="M247" i="2"/>
  <c r="L82" i="2"/>
  <c r="L163" i="2" s="1"/>
  <c r="AT247" i="2"/>
  <c r="AS82" i="2"/>
  <c r="AS163" i="2" s="1"/>
  <c r="CS247" i="2"/>
  <c r="CR82" i="2"/>
  <c r="CR163" i="2" s="1"/>
  <c r="AA247" i="2"/>
  <c r="Z82" i="2"/>
  <c r="Z163" i="2" s="1"/>
  <c r="AC246" i="2"/>
  <c r="AB81" i="2"/>
  <c r="AB162" i="2"/>
  <c r="N246" i="2"/>
  <c r="M81" i="2"/>
  <c r="M162" i="2" s="1"/>
  <c r="AD246" i="2"/>
  <c r="AC162" i="2"/>
  <c r="AC81" i="2"/>
  <c r="BP246" i="2"/>
  <c r="BO81" i="2"/>
  <c r="BO162" i="2"/>
  <c r="BW246" i="2"/>
  <c r="BV81" i="2"/>
  <c r="BV162" i="2"/>
  <c r="BG246" i="2"/>
  <c r="BF81" i="2"/>
  <c r="BF162" i="2" s="1"/>
  <c r="L246" i="2"/>
  <c r="K81" i="2"/>
  <c r="K162" i="2"/>
  <c r="AM246" i="2"/>
  <c r="AL81" i="2"/>
  <c r="AL162" i="2" s="1"/>
  <c r="CI246" i="2"/>
  <c r="CH81" i="2"/>
  <c r="CH162" i="2" s="1"/>
  <c r="AK246" i="2"/>
  <c r="AJ81" i="2"/>
  <c r="AJ162" i="2" s="1"/>
  <c r="BH246" i="2"/>
  <c r="BG162" i="2"/>
  <c r="BG81" i="2"/>
  <c r="S246" i="2"/>
  <c r="R162" i="2"/>
  <c r="R81" i="2"/>
  <c r="AZ246" i="2"/>
  <c r="AY81" i="2"/>
  <c r="AY162" i="2"/>
  <c r="AZ247" i="2"/>
  <c r="AY82" i="2"/>
  <c r="AY163" i="2" s="1"/>
  <c r="AH247" i="2"/>
  <c r="AG82" i="2"/>
  <c r="AG163" i="2" s="1"/>
  <c r="Q248" i="20"/>
  <c r="P83" i="20"/>
  <c r="P164" i="20" s="1"/>
  <c r="BC248" i="20"/>
  <c r="BB83" i="20"/>
  <c r="BB164" i="20" s="1"/>
  <c r="BS248" i="20"/>
  <c r="BR164" i="20"/>
  <c r="BR83" i="20"/>
  <c r="CA248" i="20"/>
  <c r="BZ83" i="20"/>
  <c r="BZ164" i="20" s="1"/>
  <c r="CI248" i="20"/>
  <c r="CH83" i="20"/>
  <c r="CH164" i="20" s="1"/>
  <c r="CQ248" i="20"/>
  <c r="CP83" i="20"/>
  <c r="CP164" i="20" s="1"/>
  <c r="AV248" i="20"/>
  <c r="AU83" i="20"/>
  <c r="AU164" i="20"/>
  <c r="CS248" i="20"/>
  <c r="CR83" i="20"/>
  <c r="CR164" i="20" s="1"/>
  <c r="B54" i="20"/>
  <c r="BW55" i="20"/>
  <c r="CP55" i="20"/>
  <c r="B109" i="20"/>
  <c r="BP55" i="20"/>
  <c r="BG55" i="20"/>
  <c r="CD55" i="20"/>
  <c r="AX55" i="20"/>
  <c r="CT55" i="20"/>
  <c r="AQ55" i="20" s="1"/>
  <c r="G55" i="20"/>
  <c r="BY55" i="20"/>
  <c r="CM55" i="20"/>
  <c r="BV55" i="20"/>
  <c r="N55" i="20"/>
  <c r="O55" i="20"/>
  <c r="AP248" i="20"/>
  <c r="AO83" i="20"/>
  <c r="AO164" i="20"/>
  <c r="BF247" i="2"/>
  <c r="BE82" i="2"/>
  <c r="BE163" i="2" s="1"/>
  <c r="F219" i="2"/>
  <c r="K219" i="2"/>
  <c r="CD247" i="2"/>
  <c r="CC82" i="2"/>
  <c r="CC163" i="2" s="1"/>
  <c r="E247" i="2"/>
  <c r="D82" i="2"/>
  <c r="D163" i="2" s="1"/>
  <c r="CC247" i="2"/>
  <c r="CB82" i="2"/>
  <c r="CB163" i="2" s="1"/>
  <c r="BI247" i="2"/>
  <c r="BH82" i="2"/>
  <c r="BH163" i="2" s="1"/>
  <c r="BK247" i="2"/>
  <c r="BJ82" i="2"/>
  <c r="BJ163" i="2"/>
  <c r="BT247" i="2"/>
  <c r="BS82" i="2"/>
  <c r="BS163" i="2"/>
  <c r="E246" i="2"/>
  <c r="D81" i="2"/>
  <c r="D162" i="2" s="1"/>
  <c r="BN246" i="2"/>
  <c r="BM81" i="2"/>
  <c r="BM162" i="2" s="1"/>
  <c r="X246" i="2"/>
  <c r="W81" i="2"/>
  <c r="W162" i="2" s="1"/>
  <c r="CS246" i="2"/>
  <c r="CR81" i="2"/>
  <c r="CR162" i="2" s="1"/>
  <c r="BX246" i="2"/>
  <c r="BW81" i="2"/>
  <c r="BW162" i="2" s="1"/>
  <c r="AG246" i="2"/>
  <c r="AF81" i="2"/>
  <c r="AF162" i="2" s="1"/>
  <c r="BC246" i="2"/>
  <c r="BB81" i="2"/>
  <c r="BB162" i="2"/>
  <c r="BJ246" i="2"/>
  <c r="BI81" i="2"/>
  <c r="BI162" i="2" s="1"/>
  <c r="AN246" i="2"/>
  <c r="AM81" i="2"/>
  <c r="AM162" i="2" s="1"/>
  <c r="BO246" i="2"/>
  <c r="BN81" i="2"/>
  <c r="BN162" i="2" s="1"/>
  <c r="T246" i="2"/>
  <c r="S81" i="2"/>
  <c r="S162" i="2" s="1"/>
  <c r="AR246" i="2"/>
  <c r="AQ81" i="2"/>
  <c r="AQ162" i="2" s="1"/>
  <c r="I247" i="2"/>
  <c r="H82" i="2"/>
  <c r="H163" i="2" s="1"/>
  <c r="AX247" i="2"/>
  <c r="AW163" i="2"/>
  <c r="AW82" i="2"/>
  <c r="P248" i="20"/>
  <c r="O83" i="20"/>
  <c r="O164" i="20" s="1"/>
  <c r="CB248" i="20"/>
  <c r="CA83" i="20"/>
  <c r="CA164" i="20" s="1"/>
  <c r="CJ248" i="20"/>
  <c r="CI83" i="20"/>
  <c r="CI164" i="20" s="1"/>
  <c r="H83" i="20"/>
  <c r="H164" i="20" s="1"/>
  <c r="BE248" i="20"/>
  <c r="BD83" i="20"/>
  <c r="BD164" i="20"/>
  <c r="BU248" i="20"/>
  <c r="BT83" i="20"/>
  <c r="BT164" i="20" s="1"/>
  <c r="CC248" i="20"/>
  <c r="CB83" i="20"/>
  <c r="CB164" i="20" s="1"/>
  <c r="AY248" i="20"/>
  <c r="AX83" i="20"/>
  <c r="AX164" i="20" s="1"/>
  <c r="AQ248" i="20"/>
  <c r="AP83" i="20"/>
  <c r="AP164" i="20" s="1"/>
  <c r="B217" i="2"/>
  <c r="B246" i="2"/>
  <c r="AJ247" i="2"/>
  <c r="AI82" i="2"/>
  <c r="AI163" i="2" s="1"/>
  <c r="CE247" i="2"/>
  <c r="CD82" i="2"/>
  <c r="CD163" i="2" s="1"/>
  <c r="M52" i="19"/>
  <c r="N244" i="19" s="1"/>
  <c r="CB52" i="19"/>
  <c r="CC244" i="19" s="1"/>
  <c r="D52" i="19"/>
  <c r="E244" i="19" s="1"/>
  <c r="V247" i="2"/>
  <c r="U82" i="2"/>
  <c r="U163" i="2" s="1"/>
  <c r="AS247" i="2"/>
  <c r="AR82" i="2"/>
  <c r="AR163" i="2" s="1"/>
  <c r="W13" i="2"/>
  <c r="V12" i="2"/>
  <c r="V68" i="2"/>
  <c r="AE247" i="2"/>
  <c r="AD82" i="2"/>
  <c r="AD163" i="2" s="1"/>
  <c r="CA247" i="2"/>
  <c r="BZ163" i="2"/>
  <c r="BZ82" i="2"/>
  <c r="CQ247" i="2"/>
  <c r="CP82" i="2"/>
  <c r="CP163" i="2" s="1"/>
  <c r="H247" i="2"/>
  <c r="G163" i="2"/>
  <c r="G82" i="2"/>
  <c r="AI247" i="2"/>
  <c r="AH82" i="2"/>
  <c r="AH163" i="2" s="1"/>
  <c r="CI54" i="2"/>
  <c r="T54" i="2"/>
  <c r="CE54" i="2"/>
  <c r="CO54" i="2"/>
  <c r="H54" i="2"/>
  <c r="X54" i="2"/>
  <c r="O54" i="2"/>
  <c r="BL54" i="2"/>
  <c r="BE54" i="2"/>
  <c r="L54" i="2"/>
  <c r="Z54" i="2"/>
  <c r="AI54" i="2"/>
  <c r="AQ247" i="2"/>
  <c r="AP82" i="2"/>
  <c r="AP163" i="2" s="1"/>
  <c r="O248" i="20"/>
  <c r="N83" i="20"/>
  <c r="N164" i="20" s="1"/>
  <c r="AX248" i="20"/>
  <c r="AW83" i="20"/>
  <c r="AW164" i="20" s="1"/>
  <c r="BE83" i="20"/>
  <c r="BE164" i="20" s="1"/>
  <c r="BF248" i="20"/>
  <c r="BN248" i="20"/>
  <c r="BM83" i="20"/>
  <c r="BM164" i="20" s="1"/>
  <c r="CD248" i="20"/>
  <c r="CC83" i="20"/>
  <c r="CC164" i="20" s="1"/>
  <c r="BM248" i="20"/>
  <c r="BL83" i="20"/>
  <c r="BL164" i="20" s="1"/>
  <c r="BT248" i="20"/>
  <c r="BS83" i="20"/>
  <c r="BS164" i="20" s="1"/>
  <c r="C247" i="2"/>
  <c r="B320" i="2"/>
  <c r="CN247" i="2"/>
  <c r="CM82" i="2"/>
  <c r="CM163" i="2" s="1"/>
  <c r="W247" i="2"/>
  <c r="V82" i="2"/>
  <c r="V163" i="2" s="1"/>
  <c r="BP247" i="2"/>
  <c r="BO82" i="2"/>
  <c r="BO163" i="2" s="1"/>
  <c r="J247" i="2"/>
  <c r="I82" i="2"/>
  <c r="I163" i="2" s="1"/>
  <c r="U95" i="2"/>
  <c r="U122" i="2" s="1"/>
  <c r="U186" i="2"/>
  <c r="U176" i="2" s="1"/>
  <c r="U149" i="2"/>
  <c r="AN247" i="2"/>
  <c r="AM82" i="2"/>
  <c r="AM163" i="2" s="1"/>
  <c r="CK247" i="2"/>
  <c r="CJ82" i="2"/>
  <c r="CJ163" i="2" s="1"/>
  <c r="K247" i="2"/>
  <c r="J82" i="2"/>
  <c r="J163" i="2" s="1"/>
  <c r="CL247" i="2"/>
  <c r="CK82" i="2"/>
  <c r="CK163" i="2" s="1"/>
  <c r="BR247" i="2"/>
  <c r="BQ82" i="2"/>
  <c r="BQ163" i="2" s="1"/>
  <c r="AO54" i="2"/>
  <c r="BH54" i="2"/>
  <c r="CM54" i="2"/>
  <c r="BQ54" i="2"/>
  <c r="E54" i="2"/>
  <c r="CA54" i="2"/>
  <c r="CG54" i="2"/>
  <c r="AW54" i="2"/>
  <c r="CD54" i="2"/>
  <c r="AE54" i="2"/>
  <c r="BA54" i="2"/>
  <c r="CF247" i="2"/>
  <c r="CE163" i="2"/>
  <c r="CE82" i="2"/>
  <c r="N248" i="20"/>
  <c r="M83" i="20"/>
  <c r="M164" i="20" s="1"/>
  <c r="BO248" i="20"/>
  <c r="BN83" i="20"/>
  <c r="BN164" i="20" s="1"/>
  <c r="BV83" i="20"/>
  <c r="BV164" i="20" s="1"/>
  <c r="BW248" i="20"/>
  <c r="CM248" i="20"/>
  <c r="CL83" i="20"/>
  <c r="CL164" i="20" s="1"/>
  <c r="CK56" i="20"/>
  <c r="C56" i="20"/>
  <c r="C248" i="20" s="1"/>
  <c r="CJ56" i="20"/>
  <c r="CO247" i="2"/>
  <c r="CN82" i="2"/>
  <c r="CN163" i="2" s="1"/>
  <c r="BQ247" i="2"/>
  <c r="BP163" i="2"/>
  <c r="BP82" i="2"/>
  <c r="AD247" i="2"/>
  <c r="AC163" i="2"/>
  <c r="AC82" i="2"/>
  <c r="AV247" i="2"/>
  <c r="AU82" i="2"/>
  <c r="AU163" i="2" s="1"/>
  <c r="AC247" i="2"/>
  <c r="AB82" i="2"/>
  <c r="AB163" i="2" s="1"/>
  <c r="BH247" i="2"/>
  <c r="BG82" i="2"/>
  <c r="BG163" i="2" s="1"/>
  <c r="BC247" i="2"/>
  <c r="BB82" i="2"/>
  <c r="BB163" i="2" s="1"/>
  <c r="O247" i="2"/>
  <c r="N82" i="2"/>
  <c r="N163" i="2" s="1"/>
  <c r="CD246" i="2"/>
  <c r="CC81" i="2"/>
  <c r="CC162" i="2" s="1"/>
  <c r="AT246" i="2"/>
  <c r="AS81" i="2"/>
  <c r="AS162" i="2" s="1"/>
  <c r="AY246" i="2"/>
  <c r="AX81" i="2"/>
  <c r="AX162" i="2" s="1"/>
  <c r="AI246" i="2"/>
  <c r="AH81" i="2"/>
  <c r="AH162" i="2" s="1"/>
  <c r="BY246" i="2"/>
  <c r="BX81" i="2"/>
  <c r="BX162" i="2" s="1"/>
  <c r="BD246" i="2"/>
  <c r="BC81" i="2"/>
  <c r="BC162" i="2" s="1"/>
  <c r="BT246" i="2"/>
  <c r="BS81" i="2"/>
  <c r="BS162" i="2"/>
  <c r="BQ246" i="2"/>
  <c r="BP81" i="2"/>
  <c r="BP162" i="2" s="1"/>
  <c r="AH246" i="2"/>
  <c r="AG81" i="2"/>
  <c r="AG162" i="2" s="1"/>
  <c r="CT53" i="2"/>
  <c r="B107" i="2"/>
  <c r="B52" i="2"/>
  <c r="AJ53" i="2"/>
  <c r="J53" i="2"/>
  <c r="BG53" i="2"/>
  <c r="AZ53" i="2"/>
  <c r="N53" i="2"/>
  <c r="BL53" i="2"/>
  <c r="BT53" i="2"/>
  <c r="R53" i="2"/>
  <c r="BS53" i="2"/>
  <c r="L53" i="2"/>
  <c r="V53" i="2"/>
  <c r="BZ53" i="2"/>
  <c r="CS53" i="2"/>
  <c r="AB53" i="2"/>
  <c r="Z53" i="2"/>
  <c r="CF53" i="2"/>
  <c r="AR53" i="2"/>
  <c r="AD53" i="2"/>
  <c r="CN53" i="2"/>
  <c r="BH53" i="2"/>
  <c r="AH53" i="2"/>
  <c r="CP53" i="2"/>
  <c r="CI53" i="2"/>
  <c r="AL53" i="2"/>
  <c r="CQ53" i="2"/>
  <c r="P53" i="2"/>
  <c r="AP53" i="2"/>
  <c r="BR53" i="2"/>
  <c r="AF53" i="2"/>
  <c r="AT53" i="2"/>
  <c r="BW53" i="2"/>
  <c r="AV53" i="2"/>
  <c r="AX53" i="2"/>
  <c r="CB53" i="2"/>
  <c r="BN53" i="2"/>
  <c r="BB53" i="2"/>
  <c r="CH53" i="2"/>
  <c r="E53" i="2"/>
  <c r="BF53" i="2"/>
  <c r="CM53" i="2"/>
  <c r="I53" i="2"/>
  <c r="BK53" i="2"/>
  <c r="CR53" i="2"/>
  <c r="M53" i="2"/>
  <c r="BP53" i="2"/>
  <c r="BI53" i="2"/>
  <c r="Q53" i="2"/>
  <c r="BX53" i="2"/>
  <c r="BM53" i="2"/>
  <c r="U53" i="2"/>
  <c r="CE53" i="2"/>
  <c r="BQ53" i="2"/>
  <c r="Y53" i="2"/>
  <c r="CL53" i="2"/>
  <c r="BU53" i="2"/>
  <c r="AC53" i="2"/>
  <c r="C53" i="2"/>
  <c r="BY53" i="2"/>
  <c r="AG53" i="2"/>
  <c r="G53" i="2"/>
  <c r="CC53" i="2"/>
  <c r="AK53" i="2"/>
  <c r="K53" i="2"/>
  <c r="CG53" i="2"/>
  <c r="AO53" i="2"/>
  <c r="O53" i="2"/>
  <c r="CK53" i="2"/>
  <c r="AS53" i="2"/>
  <c r="S53" i="2"/>
  <c r="CO53" i="2"/>
  <c r="AW53" i="2"/>
  <c r="W53" i="2"/>
  <c r="BA53" i="2"/>
  <c r="AA53" i="2"/>
  <c r="H53" i="2"/>
  <c r="BE53" i="2"/>
  <c r="AE53" i="2"/>
  <c r="X53" i="2"/>
  <c r="BJ53" i="2"/>
  <c r="AI53" i="2"/>
  <c r="AN53" i="2"/>
  <c r="BO53" i="2"/>
  <c r="AM53" i="2"/>
  <c r="AU53" i="2"/>
  <c r="D53" i="2"/>
  <c r="CJ53" i="2"/>
  <c r="BD53" i="2"/>
  <c r="AY53" i="2"/>
  <c r="BV53" i="2"/>
  <c r="T53" i="2"/>
  <c r="AQ53" i="2"/>
  <c r="F53" i="2"/>
  <c r="CA53" i="2"/>
  <c r="BC53" i="2"/>
  <c r="CD53" i="2"/>
  <c r="BZ246" i="2"/>
  <c r="BY81" i="2"/>
  <c r="BY162" i="2" s="1"/>
  <c r="AB246" i="2"/>
  <c r="AA162" i="2"/>
  <c r="AA81" i="2"/>
  <c r="AY247" i="2"/>
  <c r="AX82" i="2"/>
  <c r="AX163" i="2" s="1"/>
  <c r="CR248" i="20"/>
  <c r="CQ83" i="20"/>
  <c r="CQ164" i="20" s="1"/>
  <c r="BK248" i="20"/>
  <c r="BJ83" i="20"/>
  <c r="BJ164" i="20" s="1"/>
  <c r="CP248" i="20"/>
  <c r="CO83" i="20"/>
  <c r="CO164" i="20" s="1"/>
  <c r="BH83" i="20"/>
  <c r="BH164" i="20" s="1"/>
  <c r="BI248" i="20"/>
  <c r="CN248" i="20"/>
  <c r="CM83" i="20"/>
  <c r="CM164" i="20" s="1"/>
  <c r="BG248" i="20"/>
  <c r="BF83" i="20"/>
  <c r="BF164" i="20" s="1"/>
  <c r="CF248" i="20"/>
  <c r="CE83" i="20"/>
  <c r="CE164" i="20" s="1"/>
  <c r="D83" i="20"/>
  <c r="D164" i="20" s="1"/>
  <c r="BV248" i="20"/>
  <c r="BU83" i="20"/>
  <c r="BU164" i="20" s="1"/>
  <c r="AG247" i="2"/>
  <c r="AF82" i="2"/>
  <c r="AF163" i="2" s="1"/>
  <c r="X247" i="2"/>
  <c r="W82" i="2"/>
  <c r="W163" i="2" s="1"/>
  <c r="B244" i="19"/>
  <c r="B317" i="19" s="1"/>
  <c r="B215" i="19"/>
  <c r="BM247" i="2"/>
  <c r="BL82" i="2"/>
  <c r="BL163" i="2" s="1"/>
  <c r="CS82" i="2"/>
  <c r="CS163" i="2" s="1"/>
  <c r="T247" i="2"/>
  <c r="S82" i="2"/>
  <c r="S163" i="2" s="1"/>
  <c r="S247" i="2"/>
  <c r="R82" i="2"/>
  <c r="R163" i="2" s="1"/>
  <c r="AF247" i="2"/>
  <c r="AE163" i="2"/>
  <c r="AE82" i="2"/>
  <c r="BZ247" i="2"/>
  <c r="BY82" i="2"/>
  <c r="BY163" i="2"/>
  <c r="CK246" i="2"/>
  <c r="CJ81" i="2"/>
  <c r="CJ162" i="2" s="1"/>
  <c r="BV246" i="2"/>
  <c r="BU81" i="2"/>
  <c r="BU162" i="2"/>
  <c r="J246" i="2"/>
  <c r="I81" i="2"/>
  <c r="I162" i="2" s="1"/>
  <c r="AO246" i="2"/>
  <c r="AN81" i="2"/>
  <c r="AN162" i="2" s="1"/>
  <c r="D246" i="2"/>
  <c r="E218" i="2"/>
  <c r="I218" i="2" s="1"/>
  <c r="J218" i="2" s="1"/>
  <c r="O218" i="2" s="1"/>
  <c r="D218" i="2"/>
  <c r="CO246" i="2"/>
  <c r="CN81" i="2"/>
  <c r="CN162" i="2" s="1"/>
  <c r="Z246" i="2"/>
  <c r="Y81" i="2"/>
  <c r="Y162" i="2" s="1"/>
  <c r="CM246" i="2"/>
  <c r="CL81" i="2"/>
  <c r="CL162" i="2" s="1"/>
  <c r="BA246" i="2"/>
  <c r="AZ81" i="2"/>
  <c r="AZ162" i="2" s="1"/>
  <c r="CQ246" i="2"/>
  <c r="CP81" i="2"/>
  <c r="CP162" i="2" s="1"/>
  <c r="W246" i="2"/>
  <c r="V81" i="2"/>
  <c r="V162" i="2" s="1"/>
  <c r="BU246" i="2"/>
  <c r="BT81" i="2"/>
  <c r="BT162" i="2" s="1"/>
  <c r="CH247" i="2"/>
  <c r="CG82" i="2"/>
  <c r="CG163" i="2" s="1"/>
  <c r="AR248" i="20"/>
  <c r="AQ83" i="20"/>
  <c r="AQ164" i="20" s="1"/>
  <c r="AZ248" i="20"/>
  <c r="AY83" i="20"/>
  <c r="AY164" i="20" s="1"/>
  <c r="BH248" i="20"/>
  <c r="BG83" i="20"/>
  <c r="BG164" i="20"/>
  <c r="BP248" i="20"/>
  <c r="BO83" i="20"/>
  <c r="BO164" i="20" s="1"/>
  <c r="BX248" i="20"/>
  <c r="BW83" i="20"/>
  <c r="BW164" i="20" s="1"/>
  <c r="CO248" i="20"/>
  <c r="CN83" i="20"/>
  <c r="CN164" i="20"/>
  <c r="CE248" i="20"/>
  <c r="CD83" i="20"/>
  <c r="CD164" i="20" s="1"/>
  <c r="BX247" i="2"/>
  <c r="BW82" i="2"/>
  <c r="BW163" i="2" s="1"/>
  <c r="AR79" i="19"/>
  <c r="AR160" i="19" s="1"/>
  <c r="CK80" i="19"/>
  <c r="CK161" i="19" s="1"/>
  <c r="A26" i="19"/>
  <c r="B25" i="19"/>
  <c r="B81" i="19"/>
  <c r="B162" i="19"/>
  <c r="B135" i="19" s="1"/>
  <c r="CD52" i="19"/>
  <c r="CE244" i="19" s="1"/>
  <c r="J52" i="19"/>
  <c r="K244" i="19" s="1"/>
  <c r="BD52" i="19"/>
  <c r="BE244" i="19" s="1"/>
  <c r="BX52" i="19"/>
  <c r="BY244" i="19" s="1"/>
  <c r="F52" i="19"/>
  <c r="G244" i="19" s="1"/>
  <c r="CH52" i="19"/>
  <c r="CI244" i="19" s="1"/>
  <c r="AS52" i="19"/>
  <c r="AT244" i="19" s="1"/>
  <c r="CJ52" i="19"/>
  <c r="CK244" i="19" s="1"/>
  <c r="BT52" i="19"/>
  <c r="BU244" i="19" s="1"/>
  <c r="CI52" i="19"/>
  <c r="CJ244" i="19" s="1"/>
  <c r="AU52" i="19"/>
  <c r="AV244" i="19" s="1"/>
  <c r="AQ80" i="19"/>
  <c r="AQ161" i="19" s="1"/>
  <c r="CV28" i="20"/>
  <c r="D220" i="20"/>
  <c r="BV80" i="19"/>
  <c r="BV161" i="19" s="1"/>
  <c r="T90" i="20"/>
  <c r="T171" i="20" s="1"/>
  <c r="AP80" i="19"/>
  <c r="AP161" i="19" s="1"/>
  <c r="F80" i="19"/>
  <c r="F161" i="19" s="1"/>
  <c r="U90" i="19"/>
  <c r="U171" i="19" s="1"/>
  <c r="U82" i="19"/>
  <c r="U163" i="19" s="1"/>
  <c r="U89" i="19"/>
  <c r="U170" i="19" s="1"/>
  <c r="E80" i="19"/>
  <c r="E161" i="19" s="1"/>
  <c r="A247" i="19"/>
  <c r="A219" i="19"/>
  <c r="A82" i="19"/>
  <c r="CC79" i="19"/>
  <c r="CC160" i="19" s="1"/>
  <c r="CA79" i="19"/>
  <c r="CA160" i="19" s="1"/>
  <c r="CF79" i="19"/>
  <c r="CF160" i="19" s="1"/>
  <c r="BI80" i="19"/>
  <c r="BI161" i="19" s="1"/>
  <c r="L149" i="20"/>
  <c r="L186" i="20"/>
  <c r="L176" i="20" s="1"/>
  <c r="L95" i="20"/>
  <c r="L122" i="20" s="1"/>
  <c r="BM79" i="19"/>
  <c r="BM160" i="19" s="1"/>
  <c r="BP79" i="19"/>
  <c r="BP160" i="19" s="1"/>
  <c r="AZ80" i="19"/>
  <c r="AZ161" i="19" s="1"/>
  <c r="U91" i="19"/>
  <c r="U172" i="19" s="1"/>
  <c r="CM80" i="19"/>
  <c r="CM161" i="19" s="1"/>
  <c r="T91" i="20"/>
  <c r="T172" i="20" s="1"/>
  <c r="CV29" i="2"/>
  <c r="D221" i="2"/>
  <c r="U84" i="19"/>
  <c r="U165" i="19" s="1"/>
  <c r="U92" i="19"/>
  <c r="U173" i="19" s="1"/>
  <c r="AY80" i="19"/>
  <c r="AY161" i="19" s="1"/>
  <c r="K80" i="19"/>
  <c r="K161" i="19" s="1"/>
  <c r="M149" i="19"/>
  <c r="M186" i="19"/>
  <c r="M176" i="19" s="1"/>
  <c r="M95" i="19"/>
  <c r="M122" i="19" s="1"/>
  <c r="T52" i="19"/>
  <c r="U244" i="19" s="1"/>
  <c r="O52" i="19"/>
  <c r="P244" i="19" s="1"/>
  <c r="BJ52" i="19"/>
  <c r="BK244" i="19" s="1"/>
  <c r="CL52" i="19"/>
  <c r="CM244" i="19" s="1"/>
  <c r="CM52" i="19"/>
  <c r="CN244" i="19" s="1"/>
  <c r="E52" i="19"/>
  <c r="F244" i="19" s="1"/>
  <c r="CR52" i="19"/>
  <c r="CS244" i="19" s="1"/>
  <c r="BO52" i="19"/>
  <c r="BP244" i="19" s="1"/>
  <c r="BC52" i="19"/>
  <c r="BD244" i="19" s="1"/>
  <c r="N52" i="19"/>
  <c r="O244" i="19" s="1"/>
  <c r="CD80" i="19"/>
  <c r="CD161" i="19" s="1"/>
  <c r="B82" i="20"/>
  <c r="A27" i="20"/>
  <c r="B26" i="20"/>
  <c r="B163" i="20"/>
  <c r="B136" i="20" s="1"/>
  <c r="BF80" i="19"/>
  <c r="BF161" i="19" s="1"/>
  <c r="BO80" i="19"/>
  <c r="BO161" i="19" s="1"/>
  <c r="T92" i="20"/>
  <c r="T173" i="20" s="1"/>
  <c r="A28" i="2"/>
  <c r="B27" i="2"/>
  <c r="CT28" i="2"/>
  <c r="CU28" i="2"/>
  <c r="B83" i="2"/>
  <c r="B164" i="2"/>
  <c r="B137" i="2" s="1"/>
  <c r="U88" i="19"/>
  <c r="U169" i="19" s="1"/>
  <c r="CG79" i="19"/>
  <c r="CG160" i="19" s="1"/>
  <c r="CB79" i="19"/>
  <c r="CB160" i="19" s="1"/>
  <c r="M79" i="19"/>
  <c r="M160" i="19" s="1"/>
  <c r="BL79" i="19"/>
  <c r="BL160" i="19" s="1"/>
  <c r="CO80" i="19"/>
  <c r="CO161" i="19" s="1"/>
  <c r="F349" i="19"/>
  <c r="T89" i="20"/>
  <c r="T170" i="20" s="1"/>
  <c r="O80" i="19"/>
  <c r="O161" i="19" s="1"/>
  <c r="V80" i="19"/>
  <c r="V161" i="19" s="1"/>
  <c r="M68" i="20"/>
  <c r="M12" i="20"/>
  <c r="N13" i="20"/>
  <c r="BY52" i="19"/>
  <c r="BZ244" i="19" s="1"/>
  <c r="W41" i="19"/>
  <c r="V64" i="19"/>
  <c r="W256" i="19" s="1"/>
  <c r="V65" i="19"/>
  <c r="W257" i="19" s="1"/>
  <c r="V63" i="19"/>
  <c r="W255" i="19" s="1"/>
  <c r="V62" i="19"/>
  <c r="W254" i="19" s="1"/>
  <c r="V61" i="19"/>
  <c r="W253" i="19" s="1"/>
  <c r="V60" i="19"/>
  <c r="W252" i="19" s="1"/>
  <c r="V59" i="19"/>
  <c r="W251" i="19" s="1"/>
  <c r="V58" i="19"/>
  <c r="W250" i="19" s="1"/>
  <c r="V57" i="19"/>
  <c r="W249" i="19" s="1"/>
  <c r="V56" i="19"/>
  <c r="W248" i="19" s="1"/>
  <c r="V55" i="19"/>
  <c r="W247" i="19" s="1"/>
  <c r="V54" i="19"/>
  <c r="W246" i="19" s="1"/>
  <c r="A221" i="2"/>
  <c r="A84" i="2"/>
  <c r="A249" i="2"/>
  <c r="BI52" i="19"/>
  <c r="BJ244" i="19" s="1"/>
  <c r="AZ52" i="19"/>
  <c r="BA244" i="19" s="1"/>
  <c r="AW52" i="19"/>
  <c r="AX244" i="19" s="1"/>
  <c r="S52" i="19"/>
  <c r="T244" i="19" s="1"/>
  <c r="AT52" i="19"/>
  <c r="AU244" i="19" s="1"/>
  <c r="C52" i="19"/>
  <c r="D244" i="19" s="1"/>
  <c r="R52" i="19"/>
  <c r="S244" i="19" s="1"/>
  <c r="G80" i="19"/>
  <c r="G161" i="19" s="1"/>
  <c r="A248" i="20"/>
  <c r="A220" i="20"/>
  <c r="A83" i="20"/>
  <c r="U85" i="19"/>
  <c r="U166" i="19" s="1"/>
  <c r="BU52" i="19"/>
  <c r="BV244" i="19" s="1"/>
  <c r="CE52" i="19"/>
  <c r="CF244" i="19" s="1"/>
  <c r="CP52" i="19"/>
  <c r="CQ244" i="19" s="1"/>
  <c r="BD80" i="19"/>
  <c r="BD161" i="19" s="1"/>
  <c r="T83" i="20"/>
  <c r="T164" i="20" s="1"/>
  <c r="V41" i="20"/>
  <c r="U64" i="20"/>
  <c r="V256" i="20" s="1"/>
  <c r="U63" i="20"/>
  <c r="V255" i="20" s="1"/>
  <c r="U61" i="20"/>
  <c r="V253" i="20" s="1"/>
  <c r="U62" i="20"/>
  <c r="V254" i="20" s="1"/>
  <c r="U59" i="20"/>
  <c r="V251" i="20" s="1"/>
  <c r="U57" i="20"/>
  <c r="V249" i="20" s="1"/>
  <c r="U56" i="20"/>
  <c r="V248" i="20" s="1"/>
  <c r="U55" i="20"/>
  <c r="V247" i="20" s="1"/>
  <c r="U65" i="20"/>
  <c r="V257" i="20" s="1"/>
  <c r="U58" i="20"/>
  <c r="V250" i="20" s="1"/>
  <c r="U60" i="20"/>
  <c r="V252" i="20" s="1"/>
  <c r="F358" i="20"/>
  <c r="U86" i="19"/>
  <c r="U167" i="19" s="1"/>
  <c r="BG80" i="19"/>
  <c r="BG161" i="19" s="1"/>
  <c r="N68" i="19"/>
  <c r="N12" i="19"/>
  <c r="O13" i="19"/>
  <c r="BB52" i="19"/>
  <c r="BC244" i="19" s="1"/>
  <c r="P52" i="19"/>
  <c r="Q244" i="19" s="1"/>
  <c r="AO52" i="19"/>
  <c r="AP244" i="19" s="1"/>
  <c r="AX52" i="19"/>
  <c r="AY244" i="19" s="1"/>
  <c r="AP52" i="19"/>
  <c r="AQ244" i="19" s="1"/>
  <c r="CQ52" i="19"/>
  <c r="CR244" i="19" s="1"/>
  <c r="BS52" i="19"/>
  <c r="BT244" i="19" s="1"/>
  <c r="BJ80" i="19"/>
  <c r="BJ161" i="19" s="1"/>
  <c r="Q80" i="19"/>
  <c r="Q161" i="19" s="1"/>
  <c r="N80" i="19"/>
  <c r="N161" i="19" s="1"/>
  <c r="CJ80" i="19"/>
  <c r="CJ161" i="19" s="1"/>
  <c r="CH80" i="19"/>
  <c r="CH161" i="19" s="1"/>
  <c r="D80" i="19"/>
  <c r="D161" i="19" s="1"/>
  <c r="H79" i="19"/>
  <c r="H160" i="19" s="1"/>
  <c r="BE79" i="19"/>
  <c r="BE160" i="19" s="1"/>
  <c r="BF79" i="19"/>
  <c r="BF160" i="19" s="1"/>
  <c r="T85" i="20"/>
  <c r="T166" i="20" s="1"/>
  <c r="BC80" i="19"/>
  <c r="BC161" i="19" s="1"/>
  <c r="U83" i="19"/>
  <c r="U164" i="19" s="1"/>
  <c r="CC80" i="19"/>
  <c r="CC161" i="19" s="1"/>
  <c r="BV52" i="19"/>
  <c r="BW244" i="19" s="1"/>
  <c r="Q52" i="19"/>
  <c r="R244" i="19" s="1"/>
  <c r="BR52" i="19"/>
  <c r="BS244" i="19" s="1"/>
  <c r="AQ52" i="19"/>
  <c r="AR244" i="19" s="1"/>
  <c r="I52" i="19"/>
  <c r="J244" i="19" s="1"/>
  <c r="BZ52" i="19"/>
  <c r="CA244" i="19" s="1"/>
  <c r="K52" i="19"/>
  <c r="L244" i="19" s="1"/>
  <c r="L52" i="19"/>
  <c r="M244" i="19" s="1"/>
  <c r="CK52" i="19"/>
  <c r="CL244" i="19" s="1"/>
  <c r="P80" i="19"/>
  <c r="P161" i="19" s="1"/>
  <c r="BU80" i="19"/>
  <c r="BU161" i="19" s="1"/>
  <c r="CN52" i="19"/>
  <c r="CO244" i="19" s="1"/>
  <c r="CM51" i="19"/>
  <c r="CN243" i="19" s="1"/>
  <c r="BN51" i="19"/>
  <c r="BO243" i="19" s="1"/>
  <c r="D51" i="19"/>
  <c r="E243" i="19" s="1"/>
  <c r="B105" i="19"/>
  <c r="CT51" i="19"/>
  <c r="BH51" i="19" s="1"/>
  <c r="BI243" i="19" s="1"/>
  <c r="CR51" i="19"/>
  <c r="CS243" i="19" s="1"/>
  <c r="B50" i="19"/>
  <c r="E51" i="19"/>
  <c r="F243" i="19" s="1"/>
  <c r="CB51" i="19"/>
  <c r="CC243" i="19" s="1"/>
  <c r="BE51" i="19"/>
  <c r="BF243" i="19" s="1"/>
  <c r="P51" i="19"/>
  <c r="Q243" i="19" s="1"/>
  <c r="CO51" i="19"/>
  <c r="CP243" i="19" s="1"/>
  <c r="R51" i="19"/>
  <c r="S243" i="19" s="1"/>
  <c r="AQ51" i="19"/>
  <c r="AR243" i="19" s="1"/>
  <c r="CA51" i="19"/>
  <c r="CB243" i="19" s="1"/>
  <c r="BJ51" i="19"/>
  <c r="BK243" i="19" s="1"/>
  <c r="CK51" i="19"/>
  <c r="CL243" i="19" s="1"/>
  <c r="C51" i="19"/>
  <c r="D243" i="19" s="1"/>
  <c r="CS51" i="19"/>
  <c r="CS78" i="19" s="1"/>
  <c r="CS159" i="19" s="1"/>
  <c r="N51" i="19"/>
  <c r="O243" i="19" s="1"/>
  <c r="AW51" i="19"/>
  <c r="AX243" i="19" s="1"/>
  <c r="J51" i="19"/>
  <c r="K243" i="19" s="1"/>
  <c r="BF51" i="19"/>
  <c r="BG243" i="19" s="1"/>
  <c r="H51" i="19"/>
  <c r="I243" i="19" s="1"/>
  <c r="BV51" i="19"/>
  <c r="BW243" i="19" s="1"/>
  <c r="BW51" i="19"/>
  <c r="BX243" i="19" s="1"/>
  <c r="CJ51" i="19"/>
  <c r="CK243" i="19" s="1"/>
  <c r="BA52" i="19"/>
  <c r="BB244" i="19" s="1"/>
  <c r="T84" i="20"/>
  <c r="T165" i="20" s="1"/>
  <c r="U87" i="19"/>
  <c r="U168" i="19" s="1"/>
  <c r="BS80" i="19"/>
  <c r="BS161" i="19" s="1"/>
  <c r="G52" i="19"/>
  <c r="H244" i="19" s="1"/>
  <c r="AY52" i="19"/>
  <c r="AZ244" i="19" s="1"/>
  <c r="U52" i="19"/>
  <c r="V244" i="19" s="1"/>
  <c r="BG52" i="19"/>
  <c r="BH244" i="19" s="1"/>
  <c r="BK52" i="19"/>
  <c r="BL244" i="19" s="1"/>
  <c r="CO52" i="19"/>
  <c r="CP244" i="19" s="1"/>
  <c r="AV52" i="19"/>
  <c r="AW244" i="19" s="1"/>
  <c r="M80" i="19"/>
  <c r="M161" i="19" s="1"/>
  <c r="BL80" i="19"/>
  <c r="BL161" i="19" s="1"/>
  <c r="T86" i="20"/>
  <c r="T167" i="20" s="1"/>
  <c r="BP80" i="19"/>
  <c r="BP161" i="19" s="1"/>
  <c r="T80" i="19"/>
  <c r="T161" i="19" s="1"/>
  <c r="BE80" i="19"/>
  <c r="BE161" i="19" s="1"/>
  <c r="BY80" i="19"/>
  <c r="BY161" i="19" s="1"/>
  <c r="CF80" i="19"/>
  <c r="CF161" i="19" s="1"/>
  <c r="BQ79" i="19"/>
  <c r="BQ160" i="19" s="1"/>
  <c r="BH79" i="19"/>
  <c r="BH160" i="19" s="1"/>
  <c r="V79" i="19"/>
  <c r="V160" i="19" s="1"/>
  <c r="BW79" i="19"/>
  <c r="BW160" i="19" s="1"/>
  <c r="D79" i="19"/>
  <c r="D160" i="19" s="1"/>
  <c r="BN52" i="19"/>
  <c r="BO244" i="19" s="1"/>
  <c r="BK80" i="19"/>
  <c r="BK161" i="19" s="1"/>
  <c r="CP80" i="19"/>
  <c r="CP161" i="19" s="1"/>
  <c r="T88" i="20"/>
  <c r="T169" i="20" s="1"/>
  <c r="T87" i="20"/>
  <c r="T168" i="20" s="1"/>
  <c r="L80" i="19"/>
  <c r="L161" i="19" s="1"/>
  <c r="AS80" i="19"/>
  <c r="AS161" i="19" s="1"/>
  <c r="C245" i="19"/>
  <c r="D217" i="19"/>
  <c r="E217" i="19"/>
  <c r="I217" i="19" s="1"/>
  <c r="J217" i="19" s="1"/>
  <c r="AR247" i="20" l="1"/>
  <c r="AQ82" i="20"/>
  <c r="AQ163" i="20" s="1"/>
  <c r="O247" i="20"/>
  <c r="N82" i="20"/>
  <c r="N163" i="20" s="1"/>
  <c r="CN247" i="20"/>
  <c r="CM82" i="20"/>
  <c r="CM163" i="20" s="1"/>
  <c r="H247" i="20"/>
  <c r="G82" i="20"/>
  <c r="G163" i="20" s="1"/>
  <c r="AY247" i="20"/>
  <c r="AX82" i="20"/>
  <c r="AX163" i="20"/>
  <c r="CE247" i="20"/>
  <c r="CD82" i="20"/>
  <c r="CD163" i="20" s="1"/>
  <c r="BH247" i="20"/>
  <c r="BG82" i="20"/>
  <c r="BG163" i="20" s="1"/>
  <c r="BQ247" i="20"/>
  <c r="BP82" i="20"/>
  <c r="BP163" i="20" s="1"/>
  <c r="CQ247" i="20"/>
  <c r="CP82" i="20"/>
  <c r="CP163" i="20"/>
  <c r="BX247" i="20"/>
  <c r="BW82" i="20"/>
  <c r="BW163" i="20" s="1"/>
  <c r="CL246" i="2"/>
  <c r="CK81" i="2"/>
  <c r="CK162" i="2" s="1"/>
  <c r="AZ245" i="2"/>
  <c r="AY80" i="2"/>
  <c r="AY161" i="2" s="1"/>
  <c r="AJ245" i="2"/>
  <c r="AI161" i="2"/>
  <c r="AI80" i="2"/>
  <c r="X245" i="2"/>
  <c r="W80" i="2"/>
  <c r="W161" i="2"/>
  <c r="CH245" i="2"/>
  <c r="CG80" i="2"/>
  <c r="CG161" i="2" s="1"/>
  <c r="AD245" i="2"/>
  <c r="AC80" i="2"/>
  <c r="AC161" i="2" s="1"/>
  <c r="BY245" i="2"/>
  <c r="BX80" i="2"/>
  <c r="BX161" i="2" s="1"/>
  <c r="CN245" i="2"/>
  <c r="CM80" i="2"/>
  <c r="CM161" i="2" s="1"/>
  <c r="AW245" i="2"/>
  <c r="AV80" i="2"/>
  <c r="AV161" i="2" s="1"/>
  <c r="AM245" i="2"/>
  <c r="AL80" i="2"/>
  <c r="AL161" i="2" s="1"/>
  <c r="CG245" i="2"/>
  <c r="CF80" i="2"/>
  <c r="CF161" i="2"/>
  <c r="S245" i="2"/>
  <c r="R80" i="2"/>
  <c r="R161" i="2"/>
  <c r="CT52" i="2"/>
  <c r="CB52" i="2" s="1"/>
  <c r="BG52" i="2"/>
  <c r="CF52" i="2"/>
  <c r="AD52" i="2"/>
  <c r="C52" i="2"/>
  <c r="I52" i="2"/>
  <c r="AP52" i="2"/>
  <c r="AU52" i="2"/>
  <c r="U52" i="2"/>
  <c r="B106" i="2"/>
  <c r="AC52" i="2"/>
  <c r="BJ52" i="2"/>
  <c r="H52" i="2"/>
  <c r="AO52" i="2"/>
  <c r="AW52" i="2"/>
  <c r="CD52" i="2"/>
  <c r="BI52" i="2"/>
  <c r="CP52" i="2"/>
  <c r="AN52" i="2"/>
  <c r="BU52" i="2"/>
  <c r="B51" i="2"/>
  <c r="CC52" i="2"/>
  <c r="BS52" i="2"/>
  <c r="BP52" i="2"/>
  <c r="S52" i="2"/>
  <c r="J52" i="2"/>
  <c r="BL52" i="2"/>
  <c r="CE246" i="2"/>
  <c r="CD81" i="2"/>
  <c r="CD162" i="2" s="1"/>
  <c r="AP246" i="2"/>
  <c r="AO162" i="2"/>
  <c r="AO81" i="2"/>
  <c r="Y246" i="2"/>
  <c r="X81" i="2"/>
  <c r="X162" i="2" s="1"/>
  <c r="M55" i="20"/>
  <c r="CQ55" i="20"/>
  <c r="L55" i="20"/>
  <c r="AR55" i="20"/>
  <c r="AZ55" i="20"/>
  <c r="BH55" i="20"/>
  <c r="BQ55" i="20"/>
  <c r="CJ55" i="20"/>
  <c r="D55" i="20"/>
  <c r="V246" i="2"/>
  <c r="U81" i="2"/>
  <c r="U162" i="2" s="1"/>
  <c r="Q246" i="2"/>
  <c r="P81" i="2"/>
  <c r="P162" i="2" s="1"/>
  <c r="AO245" i="2"/>
  <c r="AN80" i="2"/>
  <c r="AN161" i="2" s="1"/>
  <c r="AP245" i="2"/>
  <c r="AO80" i="2"/>
  <c r="AO161" i="2" s="1"/>
  <c r="BN245" i="2"/>
  <c r="BM80" i="2"/>
  <c r="BM161" i="2" s="1"/>
  <c r="AY245" i="2"/>
  <c r="AX80" i="2"/>
  <c r="AX161" i="2" s="1"/>
  <c r="AS245" i="2"/>
  <c r="AR80" i="2"/>
  <c r="AR161" i="2" s="1"/>
  <c r="AK245" i="2"/>
  <c r="AJ80" i="2"/>
  <c r="AJ161" i="2" s="1"/>
  <c r="BI246" i="2"/>
  <c r="BH81" i="2"/>
  <c r="BH162" i="2" s="1"/>
  <c r="P246" i="2"/>
  <c r="O81" i="2"/>
  <c r="O162" i="2" s="1"/>
  <c r="F218" i="2"/>
  <c r="K218" i="2"/>
  <c r="CE245" i="2"/>
  <c r="CD80" i="2"/>
  <c r="CD161" i="2" s="1"/>
  <c r="BE245" i="2"/>
  <c r="BD80" i="2"/>
  <c r="BD161" i="2"/>
  <c r="BK245" i="2"/>
  <c r="BJ80" i="2"/>
  <c r="BJ161" i="2"/>
  <c r="AX245" i="2"/>
  <c r="AW80" i="2"/>
  <c r="AW161" i="2"/>
  <c r="L245" i="2"/>
  <c r="K80" i="2"/>
  <c r="K161" i="2" s="1"/>
  <c r="BV245" i="2"/>
  <c r="BU80" i="2"/>
  <c r="BU161" i="2" s="1"/>
  <c r="R245" i="2"/>
  <c r="Q80" i="2"/>
  <c r="Q161" i="2" s="1"/>
  <c r="BG245" i="2"/>
  <c r="BF80" i="2"/>
  <c r="BF161" i="2" s="1"/>
  <c r="BX245" i="2"/>
  <c r="BW80" i="2"/>
  <c r="BW161" i="2"/>
  <c r="CJ245" i="2"/>
  <c r="CI80" i="2"/>
  <c r="CI161" i="2"/>
  <c r="AA245" i="2"/>
  <c r="Z80" i="2"/>
  <c r="Z161" i="2" s="1"/>
  <c r="BU245" i="2"/>
  <c r="BT80" i="2"/>
  <c r="BT161" i="2" s="1"/>
  <c r="CL248" i="20"/>
  <c r="CK83" i="20"/>
  <c r="CK164" i="20" s="1"/>
  <c r="AX246" i="2"/>
  <c r="AW81" i="2"/>
  <c r="AW162" i="2" s="1"/>
  <c r="I246" i="2"/>
  <c r="H81" i="2"/>
  <c r="H162" i="2" s="1"/>
  <c r="BT55" i="20"/>
  <c r="AP55" i="20"/>
  <c r="E55" i="20"/>
  <c r="AS55" i="20"/>
  <c r="BA55" i="20"/>
  <c r="BI55" i="20"/>
  <c r="CH55" i="20"/>
  <c r="BF55" i="20"/>
  <c r="CN55" i="20"/>
  <c r="BE246" i="2"/>
  <c r="BD81" i="2"/>
  <c r="BD162" i="2" s="1"/>
  <c r="AL246" i="2"/>
  <c r="AK81" i="2"/>
  <c r="AK162" i="2"/>
  <c r="BW245" i="2"/>
  <c r="BV80" i="2"/>
  <c r="BV161" i="2" s="1"/>
  <c r="BB245" i="2"/>
  <c r="BA80" i="2"/>
  <c r="BA161" i="2" s="1"/>
  <c r="D245" i="2"/>
  <c r="D217" i="2"/>
  <c r="E217" i="2"/>
  <c r="I217" i="2" s="1"/>
  <c r="J217" i="2" s="1"/>
  <c r="J245" i="2"/>
  <c r="I80" i="2"/>
  <c r="I161" i="2" s="1"/>
  <c r="CR245" i="2"/>
  <c r="CQ80" i="2"/>
  <c r="CQ161" i="2" s="1"/>
  <c r="BT245" i="2"/>
  <c r="BS80" i="2"/>
  <c r="BS161" i="2" s="1"/>
  <c r="CK248" i="20"/>
  <c r="CJ83" i="20"/>
  <c r="CJ164" i="20" s="1"/>
  <c r="AF246" i="2"/>
  <c r="AE81" i="2"/>
  <c r="AE162" i="2" s="1"/>
  <c r="Q51" i="19"/>
  <c r="R243" i="19" s="1"/>
  <c r="BQ51" i="19"/>
  <c r="BR243" i="19" s="1"/>
  <c r="U51" i="19"/>
  <c r="V243" i="19" s="1"/>
  <c r="BD245" i="2"/>
  <c r="BC80" i="2"/>
  <c r="BC161" i="2" s="1"/>
  <c r="CK245" i="2"/>
  <c r="CJ80" i="2"/>
  <c r="CJ161" i="2" s="1"/>
  <c r="Y245" i="2"/>
  <c r="X80" i="2"/>
  <c r="X161" i="2" s="1"/>
  <c r="CP245" i="2"/>
  <c r="CO80" i="2"/>
  <c r="CO161" i="2" s="1"/>
  <c r="AL245" i="2"/>
  <c r="AK80" i="2"/>
  <c r="AK161" i="2" s="1"/>
  <c r="CM245" i="2"/>
  <c r="CL80" i="2"/>
  <c r="CL161" i="2" s="1"/>
  <c r="BJ245" i="2"/>
  <c r="BI80" i="2"/>
  <c r="BI161" i="2" s="1"/>
  <c r="F245" i="2"/>
  <c r="E80" i="2"/>
  <c r="E161" i="2"/>
  <c r="AU245" i="2"/>
  <c r="AT161" i="2"/>
  <c r="AT80" i="2"/>
  <c r="CQ245" i="2"/>
  <c r="CP80" i="2"/>
  <c r="CP161" i="2"/>
  <c r="AC245" i="2"/>
  <c r="AB80" i="2"/>
  <c r="AB161" i="2" s="1"/>
  <c r="BM245" i="2"/>
  <c r="BL80" i="2"/>
  <c r="BL161" i="2"/>
  <c r="CH246" i="2"/>
  <c r="CG81" i="2"/>
  <c r="CG162" i="2" s="1"/>
  <c r="AJ246" i="2"/>
  <c r="AI81" i="2"/>
  <c r="AI162" i="2" s="1"/>
  <c r="CP246" i="2"/>
  <c r="CO81" i="2"/>
  <c r="CO162" i="2" s="1"/>
  <c r="S55" i="20"/>
  <c r="CS55" i="20"/>
  <c r="CS82" i="20" s="1"/>
  <c r="CS163" i="20" s="1"/>
  <c r="BN55" i="20"/>
  <c r="BB55" i="20"/>
  <c r="BJ55" i="20"/>
  <c r="BR55" i="20"/>
  <c r="BZ55" i="20"/>
  <c r="CB55" i="20"/>
  <c r="CF55" i="20"/>
  <c r="F55" i="20"/>
  <c r="AE246" i="2"/>
  <c r="AD81" i="2"/>
  <c r="AD162" i="2" s="1"/>
  <c r="CC246" i="2"/>
  <c r="CB81" i="2"/>
  <c r="CB162" i="2"/>
  <c r="CB245" i="2"/>
  <c r="CA80" i="2"/>
  <c r="CA161" i="2" s="1"/>
  <c r="E245" i="2"/>
  <c r="D80" i="2"/>
  <c r="D161" i="2"/>
  <c r="AF245" i="2"/>
  <c r="AE80" i="2"/>
  <c r="AE161" i="2" s="1"/>
  <c r="T245" i="2"/>
  <c r="S80" i="2"/>
  <c r="S161" i="2" s="1"/>
  <c r="CD245" i="2"/>
  <c r="CC80" i="2"/>
  <c r="CC161" i="2" s="1"/>
  <c r="Z245" i="2"/>
  <c r="Y80" i="2"/>
  <c r="Y161" i="2" s="1"/>
  <c r="BQ245" i="2"/>
  <c r="BP80" i="2"/>
  <c r="BP161" i="2" s="1"/>
  <c r="CI245" i="2"/>
  <c r="CH80" i="2"/>
  <c r="CH161" i="2" s="1"/>
  <c r="AG245" i="2"/>
  <c r="AF80" i="2"/>
  <c r="AF161" i="2" s="1"/>
  <c r="AI245" i="2"/>
  <c r="AH80" i="2"/>
  <c r="AH161" i="2" s="1"/>
  <c r="CS80" i="2"/>
  <c r="CS161" i="2" s="1"/>
  <c r="O245" i="2"/>
  <c r="N80" i="2"/>
  <c r="N161" i="2" s="1"/>
  <c r="CB246" i="2"/>
  <c r="CA81" i="2"/>
  <c r="CA162" i="2" s="1"/>
  <c r="AA246" i="2"/>
  <c r="Z81" i="2"/>
  <c r="Z162" i="2" s="1"/>
  <c r="CF246" i="2"/>
  <c r="CE81" i="2"/>
  <c r="CE162" i="2"/>
  <c r="V149" i="2"/>
  <c r="V95" i="2"/>
  <c r="V122" i="2" s="1"/>
  <c r="V186" i="2"/>
  <c r="V176" i="2" s="1"/>
  <c r="B319" i="2"/>
  <c r="C246" i="2"/>
  <c r="R55" i="20"/>
  <c r="CK55" i="20"/>
  <c r="BL55" i="20"/>
  <c r="K55" i="20"/>
  <c r="BS55" i="20"/>
  <c r="H55" i="20"/>
  <c r="AV55" i="20"/>
  <c r="J55" i="20"/>
  <c r="CO55" i="20"/>
  <c r="BC55" i="20"/>
  <c r="R246" i="2"/>
  <c r="Q81" i="2"/>
  <c r="Q162" i="2"/>
  <c r="H246" i="2"/>
  <c r="G81" i="2"/>
  <c r="G162" i="2" s="1"/>
  <c r="B318" i="20"/>
  <c r="M51" i="19"/>
  <c r="N243" i="19" s="1"/>
  <c r="CG51" i="19"/>
  <c r="CH243" i="19" s="1"/>
  <c r="AR51" i="19"/>
  <c r="AS243" i="19" s="1"/>
  <c r="G245" i="2"/>
  <c r="F80" i="2"/>
  <c r="F161" i="2" s="1"/>
  <c r="AV245" i="2"/>
  <c r="AU80" i="2"/>
  <c r="AU161" i="2" s="1"/>
  <c r="BF245" i="2"/>
  <c r="BE80" i="2"/>
  <c r="BE161" i="2" s="1"/>
  <c r="AT245" i="2"/>
  <c r="AS80" i="2"/>
  <c r="AS161" i="2"/>
  <c r="H245" i="2"/>
  <c r="G80" i="2"/>
  <c r="G161" i="2" s="1"/>
  <c r="BR245" i="2"/>
  <c r="BQ80" i="2"/>
  <c r="BQ161" i="2" s="1"/>
  <c r="N245" i="2"/>
  <c r="M80" i="2"/>
  <c r="M161" i="2" s="1"/>
  <c r="BC245" i="2"/>
  <c r="BB80" i="2"/>
  <c r="BB161" i="2" s="1"/>
  <c r="BS245" i="2"/>
  <c r="BR80" i="2"/>
  <c r="BR161" i="2" s="1"/>
  <c r="BI245" i="2"/>
  <c r="BH80" i="2"/>
  <c r="BH161" i="2" s="1"/>
  <c r="CA245" i="2"/>
  <c r="BZ80" i="2"/>
  <c r="BZ161" i="2" s="1"/>
  <c r="BA245" i="2"/>
  <c r="AZ161" i="2"/>
  <c r="AZ80" i="2"/>
  <c r="F246" i="2"/>
  <c r="E81" i="2"/>
  <c r="E162" i="2" s="1"/>
  <c r="M246" i="2"/>
  <c r="L81" i="2"/>
  <c r="L162" i="2" s="1"/>
  <c r="U246" i="2"/>
  <c r="T81" i="2"/>
  <c r="T162" i="2" s="1"/>
  <c r="B216" i="2"/>
  <c r="B245" i="2"/>
  <c r="Q55" i="20"/>
  <c r="AO55" i="20"/>
  <c r="AT55" i="20"/>
  <c r="BK55" i="20"/>
  <c r="BE55" i="20"/>
  <c r="BM55" i="20"/>
  <c r="BU55" i="20"/>
  <c r="AU55" i="20"/>
  <c r="B108" i="20"/>
  <c r="B53" i="20"/>
  <c r="CT54" i="20"/>
  <c r="BK54" i="20" s="1"/>
  <c r="BB54" i="20"/>
  <c r="CI54" i="20"/>
  <c r="S54" i="20"/>
  <c r="BL246" i="2"/>
  <c r="BK81" i="2"/>
  <c r="BK162" i="2" s="1"/>
  <c r="B244" i="20"/>
  <c r="B215" i="20"/>
  <c r="B243" i="19"/>
  <c r="B316" i="19" s="1"/>
  <c r="B214" i="19"/>
  <c r="AR245" i="2"/>
  <c r="AQ80" i="2"/>
  <c r="AQ161" i="2" s="1"/>
  <c r="AN245" i="2"/>
  <c r="AM80" i="2"/>
  <c r="AM161" i="2" s="1"/>
  <c r="I245" i="2"/>
  <c r="H161" i="2"/>
  <c r="H80" i="2"/>
  <c r="CL245" i="2"/>
  <c r="CK80" i="2"/>
  <c r="CK161" i="2"/>
  <c r="AH245" i="2"/>
  <c r="AG80" i="2"/>
  <c r="AG161" i="2" s="1"/>
  <c r="CF245" i="2"/>
  <c r="CE80" i="2"/>
  <c r="CE161" i="2" s="1"/>
  <c r="CS245" i="2"/>
  <c r="CR80" i="2"/>
  <c r="CR161" i="2"/>
  <c r="BO245" i="2"/>
  <c r="BN161" i="2"/>
  <c r="BN80" i="2"/>
  <c r="AQ245" i="2"/>
  <c r="AP80" i="2"/>
  <c r="AP161" i="2"/>
  <c r="CO245" i="2"/>
  <c r="CN161" i="2"/>
  <c r="CN80" i="2"/>
  <c r="W245" i="2"/>
  <c r="V80" i="2"/>
  <c r="V161" i="2" s="1"/>
  <c r="BH245" i="2"/>
  <c r="BG80" i="2"/>
  <c r="BG161" i="2" s="1"/>
  <c r="BR246" i="2"/>
  <c r="BQ81" i="2"/>
  <c r="BQ162" i="2" s="1"/>
  <c r="BF246" i="2"/>
  <c r="BE81" i="2"/>
  <c r="BE162" i="2"/>
  <c r="CJ246" i="2"/>
  <c r="CI81" i="2"/>
  <c r="CI162" i="2" s="1"/>
  <c r="W12" i="2"/>
  <c r="W68" i="2"/>
  <c r="X13" i="2"/>
  <c r="P55" i="20"/>
  <c r="I55" i="20"/>
  <c r="CA55" i="20"/>
  <c r="AW55" i="20"/>
  <c r="C55" i="20"/>
  <c r="BO55" i="20"/>
  <c r="CE55" i="20"/>
  <c r="BX55" i="20"/>
  <c r="CR55" i="20"/>
  <c r="CG246" i="2"/>
  <c r="CF162" i="2"/>
  <c r="CF81" i="2"/>
  <c r="U245" i="2"/>
  <c r="T80" i="2"/>
  <c r="T161" i="2"/>
  <c r="BP245" i="2"/>
  <c r="BO80" i="2"/>
  <c r="BO161" i="2" s="1"/>
  <c r="AB245" i="2"/>
  <c r="AA80" i="2"/>
  <c r="AA161" i="2" s="1"/>
  <c r="P245" i="2"/>
  <c r="O80" i="2"/>
  <c r="O161" i="2" s="1"/>
  <c r="BZ245" i="2"/>
  <c r="BY80" i="2"/>
  <c r="BY161" i="2" s="1"/>
  <c r="V245" i="2"/>
  <c r="U161" i="2"/>
  <c r="U80" i="2"/>
  <c r="BL245" i="2"/>
  <c r="BK80" i="2"/>
  <c r="BK161" i="2"/>
  <c r="CC245" i="2"/>
  <c r="CB80" i="2"/>
  <c r="CB161" i="2" s="1"/>
  <c r="Q245" i="2"/>
  <c r="P80" i="2"/>
  <c r="P161" i="2" s="1"/>
  <c r="AE245" i="2"/>
  <c r="AD80" i="2"/>
  <c r="AD161" i="2" s="1"/>
  <c r="M245" i="2"/>
  <c r="L80" i="2"/>
  <c r="L161" i="2" s="1"/>
  <c r="K245" i="2"/>
  <c r="J80" i="2"/>
  <c r="J161" i="2" s="1"/>
  <c r="BB246" i="2"/>
  <c r="BA81" i="2"/>
  <c r="BA162" i="2" s="1"/>
  <c r="CN246" i="2"/>
  <c r="CM81" i="2"/>
  <c r="CM162" i="2" s="1"/>
  <c r="BM246" i="2"/>
  <c r="BL81" i="2"/>
  <c r="BL162" i="2" s="1"/>
  <c r="P247" i="20"/>
  <c r="O82" i="20"/>
  <c r="O163" i="20" s="1"/>
  <c r="BW247" i="20"/>
  <c r="BV82" i="20"/>
  <c r="BV163" i="20" s="1"/>
  <c r="BZ247" i="20"/>
  <c r="BY82" i="20"/>
  <c r="BY163" i="20" s="1"/>
  <c r="AY55" i="20"/>
  <c r="T55" i="20"/>
  <c r="CC55" i="20"/>
  <c r="BD55" i="20"/>
  <c r="CI55" i="20"/>
  <c r="CG55" i="20"/>
  <c r="CL55" i="20"/>
  <c r="AQ246" i="2"/>
  <c r="AP81" i="2"/>
  <c r="AP162" i="2" s="1"/>
  <c r="BK79" i="19"/>
  <c r="BK160" i="19" s="1"/>
  <c r="BW78" i="19"/>
  <c r="BW159" i="19" s="1"/>
  <c r="BF78" i="19"/>
  <c r="BF159" i="19" s="1"/>
  <c r="J78" i="19"/>
  <c r="J159" i="19" s="1"/>
  <c r="N78" i="19"/>
  <c r="N159" i="19" s="1"/>
  <c r="D215" i="19"/>
  <c r="E215" i="19"/>
  <c r="I215" i="19" s="1"/>
  <c r="J215" i="19" s="1"/>
  <c r="C243" i="19"/>
  <c r="CA78" i="19"/>
  <c r="CA159" i="19" s="1"/>
  <c r="CO78" i="19"/>
  <c r="CO159" i="19" s="1"/>
  <c r="BE78" i="19"/>
  <c r="BE159" i="19" s="1"/>
  <c r="E78" i="19"/>
  <c r="E159" i="19" s="1"/>
  <c r="BA51" i="19"/>
  <c r="BB243" i="19" s="1"/>
  <c r="CN79" i="19"/>
  <c r="CN160" i="19" s="1"/>
  <c r="L79" i="19"/>
  <c r="L160" i="19" s="1"/>
  <c r="BS79" i="19"/>
  <c r="BS160" i="19" s="1"/>
  <c r="BB79" i="19"/>
  <c r="BB160" i="19" s="1"/>
  <c r="F359" i="20"/>
  <c r="U90" i="20"/>
  <c r="U171" i="20" s="1"/>
  <c r="AW79" i="19"/>
  <c r="AW160" i="19" s="1"/>
  <c r="V84" i="19"/>
  <c r="V165" i="19" s="1"/>
  <c r="V91" i="19"/>
  <c r="V172" i="19" s="1"/>
  <c r="A27" i="2"/>
  <c r="B26" i="2"/>
  <c r="B82" i="2"/>
  <c r="B163" i="2"/>
  <c r="B136" i="2" s="1"/>
  <c r="CM79" i="19"/>
  <c r="CM160" i="19" s="1"/>
  <c r="BT79" i="19"/>
  <c r="BT160" i="19" s="1"/>
  <c r="CD79" i="19"/>
  <c r="CD160" i="19" s="1"/>
  <c r="V51" i="19"/>
  <c r="W243" i="19" s="1"/>
  <c r="BS51" i="19"/>
  <c r="BT243" i="19" s="1"/>
  <c r="CI51" i="19"/>
  <c r="CJ243" i="19" s="1"/>
  <c r="BR51" i="19"/>
  <c r="BS243" i="19" s="1"/>
  <c r="BK51" i="19"/>
  <c r="BL243" i="19" s="1"/>
  <c r="CP51" i="19"/>
  <c r="CQ243" i="19" s="1"/>
  <c r="S51" i="19"/>
  <c r="T243" i="19" s="1"/>
  <c r="BP51" i="19"/>
  <c r="BQ243" i="19" s="1"/>
  <c r="BL51" i="19"/>
  <c r="BM243" i="19" s="1"/>
  <c r="K79" i="19"/>
  <c r="K160" i="19" s="1"/>
  <c r="O12" i="19"/>
  <c r="P13" i="19"/>
  <c r="O68" i="19"/>
  <c r="U91" i="20"/>
  <c r="U172" i="20" s="1"/>
  <c r="V85" i="19"/>
  <c r="V166" i="19" s="1"/>
  <c r="X41" i="19"/>
  <c r="W65" i="19"/>
  <c r="X257" i="19" s="1"/>
  <c r="W64" i="19"/>
  <c r="X256" i="19" s="1"/>
  <c r="W63" i="19"/>
  <c r="X255" i="19" s="1"/>
  <c r="W61" i="19"/>
  <c r="X253" i="19" s="1"/>
  <c r="W62" i="19"/>
  <c r="X254" i="19" s="1"/>
  <c r="W60" i="19"/>
  <c r="X252" i="19" s="1"/>
  <c r="W59" i="19"/>
  <c r="X251" i="19" s="1"/>
  <c r="W58" i="19"/>
  <c r="X250" i="19" s="1"/>
  <c r="W57" i="19"/>
  <c r="X249" i="19" s="1"/>
  <c r="W56" i="19"/>
  <c r="X248" i="19" s="1"/>
  <c r="W55" i="19"/>
  <c r="X247" i="19" s="1"/>
  <c r="W53" i="19"/>
  <c r="X245" i="19" s="1"/>
  <c r="W54" i="19"/>
  <c r="X246" i="19" s="1"/>
  <c r="A220" i="2"/>
  <c r="A83" i="2"/>
  <c r="A248" i="2"/>
  <c r="W52" i="19"/>
  <c r="X244" i="19" s="1"/>
  <c r="CL79" i="19"/>
  <c r="CL160" i="19" s="1"/>
  <c r="CJ79" i="19"/>
  <c r="CJ160" i="19" s="1"/>
  <c r="CO79" i="19"/>
  <c r="CO160" i="19" s="1"/>
  <c r="G79" i="19"/>
  <c r="G160" i="19" s="1"/>
  <c r="H78" i="19"/>
  <c r="H159" i="19" s="1"/>
  <c r="AW78" i="19"/>
  <c r="AW159" i="19" s="1"/>
  <c r="BQ78" i="19"/>
  <c r="BQ159" i="19" s="1"/>
  <c r="U78" i="19"/>
  <c r="U159" i="19" s="1"/>
  <c r="CR78" i="19"/>
  <c r="CR159" i="19" s="1"/>
  <c r="CK79" i="19"/>
  <c r="CK160" i="19" s="1"/>
  <c r="V83" i="19"/>
  <c r="V164" i="19" s="1"/>
  <c r="BN79" i="19"/>
  <c r="BN160" i="19" s="1"/>
  <c r="AU51" i="19"/>
  <c r="AV243" i="19" s="1"/>
  <c r="AY51" i="19"/>
  <c r="AZ243" i="19" s="1"/>
  <c r="I51" i="19"/>
  <c r="J243" i="19" s="1"/>
  <c r="AZ51" i="19"/>
  <c r="BA243" i="19" s="1"/>
  <c r="O51" i="19"/>
  <c r="P243" i="19" s="1"/>
  <c r="BX51" i="19"/>
  <c r="BY243" i="19" s="1"/>
  <c r="L51" i="19"/>
  <c r="M243" i="19" s="1"/>
  <c r="CL51" i="19"/>
  <c r="CM243" i="19" s="1"/>
  <c r="BZ79" i="19"/>
  <c r="BZ160" i="19" s="1"/>
  <c r="CQ79" i="19"/>
  <c r="CQ160" i="19" s="1"/>
  <c r="U87" i="20"/>
  <c r="U168" i="20" s="1"/>
  <c r="U82" i="20"/>
  <c r="U163" i="20" s="1"/>
  <c r="W41" i="20"/>
  <c r="V63" i="20"/>
  <c r="W255" i="20" s="1"/>
  <c r="V64" i="20"/>
  <c r="W256" i="20" s="1"/>
  <c r="V65" i="20"/>
  <c r="W257" i="20" s="1"/>
  <c r="V62" i="20"/>
  <c r="W254" i="20" s="1"/>
  <c r="V59" i="20"/>
  <c r="W251" i="20" s="1"/>
  <c r="V56" i="20"/>
  <c r="W248" i="20" s="1"/>
  <c r="V55" i="20"/>
  <c r="W247" i="20" s="1"/>
  <c r="V57" i="20"/>
  <c r="W249" i="20" s="1"/>
  <c r="V58" i="20"/>
  <c r="W250" i="20" s="1"/>
  <c r="V61" i="20"/>
  <c r="W253" i="20" s="1"/>
  <c r="V60" i="20"/>
  <c r="W252" i="20" s="1"/>
  <c r="AZ79" i="19"/>
  <c r="AZ160" i="19" s="1"/>
  <c r="V86" i="19"/>
  <c r="V167" i="19" s="1"/>
  <c r="BY79" i="19"/>
  <c r="BY160" i="19" s="1"/>
  <c r="N79" i="19"/>
  <c r="N160" i="19" s="1"/>
  <c r="BJ79" i="19"/>
  <c r="BJ160" i="19" s="1"/>
  <c r="AS79" i="19"/>
  <c r="AS160" i="19" s="1"/>
  <c r="P79" i="19"/>
  <c r="P160" i="19" s="1"/>
  <c r="U88" i="20"/>
  <c r="U169" i="20" s="1"/>
  <c r="O217" i="19"/>
  <c r="M220" i="19"/>
  <c r="BG79" i="19"/>
  <c r="BG160" i="19" s="1"/>
  <c r="AP51" i="19"/>
  <c r="AQ243" i="19" s="1"/>
  <c r="AS51" i="19"/>
  <c r="AT243" i="19" s="1"/>
  <c r="W51" i="19"/>
  <c r="X243" i="19" s="1"/>
  <c r="CN51" i="19"/>
  <c r="CO243" i="19" s="1"/>
  <c r="BC51" i="19"/>
  <c r="BD243" i="19" s="1"/>
  <c r="AV51" i="19"/>
  <c r="AW243" i="19" s="1"/>
  <c r="BM51" i="19"/>
  <c r="BN243" i="19" s="1"/>
  <c r="BG51" i="19"/>
  <c r="BH243" i="19" s="1"/>
  <c r="CF51" i="19"/>
  <c r="CG243" i="19" s="1"/>
  <c r="T51" i="19"/>
  <c r="U243" i="19" s="1"/>
  <c r="I79" i="19"/>
  <c r="I160" i="19" s="1"/>
  <c r="AP79" i="19"/>
  <c r="AP160" i="19" s="1"/>
  <c r="N186" i="19"/>
  <c r="N176" i="19" s="1"/>
  <c r="N149" i="19"/>
  <c r="N95" i="19"/>
  <c r="N122" i="19" s="1"/>
  <c r="U85" i="20"/>
  <c r="U166" i="20" s="1"/>
  <c r="U83" i="20"/>
  <c r="U164" i="20" s="1"/>
  <c r="R79" i="19"/>
  <c r="R160" i="19" s="1"/>
  <c r="V87" i="19"/>
  <c r="V168" i="19" s="1"/>
  <c r="N68" i="20"/>
  <c r="N12" i="20"/>
  <c r="O13" i="20"/>
  <c r="B162" i="20"/>
  <c r="B135" i="20" s="1"/>
  <c r="A26" i="20"/>
  <c r="B25" i="20"/>
  <c r="B81" i="20"/>
  <c r="BC79" i="19"/>
  <c r="BC160" i="19" s="1"/>
  <c r="O79" i="19"/>
  <c r="O160" i="19" s="1"/>
  <c r="CH79" i="19"/>
  <c r="CH160" i="19" s="1"/>
  <c r="B24" i="19"/>
  <c r="B161" i="19"/>
  <c r="B134" i="19" s="1"/>
  <c r="A25" i="19"/>
  <c r="B80" i="19"/>
  <c r="CJ78" i="19"/>
  <c r="CJ159" i="19" s="1"/>
  <c r="Q78" i="19"/>
  <c r="Q159" i="19" s="1"/>
  <c r="CG78" i="19"/>
  <c r="CG159" i="19" s="1"/>
  <c r="R78" i="19"/>
  <c r="R159" i="19" s="1"/>
  <c r="CB78" i="19"/>
  <c r="CB159" i="19" s="1"/>
  <c r="BH78" i="19"/>
  <c r="BH159" i="19" s="1"/>
  <c r="CM78" i="19"/>
  <c r="CM159" i="19" s="1"/>
  <c r="BV79" i="19"/>
  <c r="BV160" i="19" s="1"/>
  <c r="BU79" i="19"/>
  <c r="BU160" i="19" s="1"/>
  <c r="S79" i="19"/>
  <c r="S160" i="19" s="1"/>
  <c r="V92" i="19"/>
  <c r="V173" i="19" s="1"/>
  <c r="D220" i="2"/>
  <c r="CV28" i="2"/>
  <c r="U79" i="19"/>
  <c r="U160" i="19" s="1"/>
  <c r="BT51" i="19"/>
  <c r="BU243" i="19" s="1"/>
  <c r="G51" i="19"/>
  <c r="H243" i="19" s="1"/>
  <c r="BO51" i="19"/>
  <c r="BP243" i="19" s="1"/>
  <c r="F51" i="19"/>
  <c r="G243" i="19" s="1"/>
  <c r="BU51" i="19"/>
  <c r="BV243" i="19" s="1"/>
  <c r="CE51" i="19"/>
  <c r="CF243" i="19" s="1"/>
  <c r="AT51" i="19"/>
  <c r="AU243" i="19" s="1"/>
  <c r="BY51" i="19"/>
  <c r="BZ243" i="19" s="1"/>
  <c r="CQ51" i="19"/>
  <c r="CR243" i="19" s="1"/>
  <c r="AQ79" i="19"/>
  <c r="AQ160" i="19" s="1"/>
  <c r="U84" i="20"/>
  <c r="U165" i="20" s="1"/>
  <c r="V88" i="19"/>
  <c r="V169" i="19" s="1"/>
  <c r="A247" i="20"/>
  <c r="A82" i="20"/>
  <c r="A219" i="20"/>
  <c r="BO79" i="19"/>
  <c r="BO160" i="19" s="1"/>
  <c r="T79" i="19"/>
  <c r="T160" i="19" s="1"/>
  <c r="F79" i="19"/>
  <c r="F160" i="19" s="1"/>
  <c r="A246" i="19"/>
  <c r="A218" i="19"/>
  <c r="A81" i="19"/>
  <c r="K217" i="19"/>
  <c r="F217" i="19"/>
  <c r="BA79" i="19"/>
  <c r="BA160" i="19" s="1"/>
  <c r="CC51" i="19"/>
  <c r="CD243" i="19" s="1"/>
  <c r="BZ51" i="19"/>
  <c r="CA243" i="19" s="1"/>
  <c r="BD51" i="19"/>
  <c r="BE243" i="19" s="1"/>
  <c r="AO51" i="19"/>
  <c r="AP243" i="19" s="1"/>
  <c r="BB51" i="19"/>
  <c r="BC243" i="19" s="1"/>
  <c r="CD51" i="19"/>
  <c r="CE243" i="19" s="1"/>
  <c r="BI51" i="19"/>
  <c r="BJ243" i="19" s="1"/>
  <c r="AX51" i="19"/>
  <c r="AY243" i="19" s="1"/>
  <c r="CH51" i="19"/>
  <c r="CI243" i="19" s="1"/>
  <c r="K51" i="19"/>
  <c r="L243" i="19" s="1"/>
  <c r="X51" i="19"/>
  <c r="Y243" i="19" s="1"/>
  <c r="BR79" i="19"/>
  <c r="BR160" i="19" s="1"/>
  <c r="AX79" i="19"/>
  <c r="AX160" i="19" s="1"/>
  <c r="U86" i="20"/>
  <c r="U167" i="20" s="1"/>
  <c r="CP79" i="19"/>
  <c r="CP160" i="19" s="1"/>
  <c r="D216" i="19"/>
  <c r="C244" i="19"/>
  <c r="E216" i="19"/>
  <c r="I216" i="19" s="1"/>
  <c r="J216" i="19" s="1"/>
  <c r="V81" i="19"/>
  <c r="V162" i="19" s="1"/>
  <c r="V89" i="19"/>
  <c r="V170" i="19" s="1"/>
  <c r="M95" i="20"/>
  <c r="M122" i="20" s="1"/>
  <c r="M186" i="20"/>
  <c r="M176" i="20" s="1"/>
  <c r="M149" i="20"/>
  <c r="F350" i="19"/>
  <c r="AU79" i="19"/>
  <c r="AU160" i="19" s="1"/>
  <c r="BX79" i="19"/>
  <c r="BX160" i="19" s="1"/>
  <c r="AV79" i="19"/>
  <c r="AV160" i="19" s="1"/>
  <c r="AY79" i="19"/>
  <c r="AY160" i="19" s="1"/>
  <c r="BV78" i="19"/>
  <c r="BV159" i="19" s="1"/>
  <c r="M78" i="19"/>
  <c r="M159" i="19" s="1"/>
  <c r="CK78" i="19"/>
  <c r="CK159" i="19" s="1"/>
  <c r="BJ78" i="19"/>
  <c r="BJ159" i="19" s="1"/>
  <c r="AQ78" i="19"/>
  <c r="AQ159" i="19" s="1"/>
  <c r="P78" i="19"/>
  <c r="P159" i="19" s="1"/>
  <c r="AR78" i="19"/>
  <c r="AR159" i="19" s="1"/>
  <c r="BB50" i="19"/>
  <c r="BC242" i="19" s="1"/>
  <c r="CT50" i="19"/>
  <c r="AT50" i="19" s="1"/>
  <c r="AU242" i="19" s="1"/>
  <c r="CJ50" i="19"/>
  <c r="CK242" i="19" s="1"/>
  <c r="BN50" i="19"/>
  <c r="BO242" i="19" s="1"/>
  <c r="O50" i="19"/>
  <c r="P242" i="19" s="1"/>
  <c r="AY50" i="19"/>
  <c r="AZ242" i="19" s="1"/>
  <c r="CF50" i="19"/>
  <c r="CG242" i="19" s="1"/>
  <c r="AZ50" i="19"/>
  <c r="BA242" i="19" s="1"/>
  <c r="AW50" i="19"/>
  <c r="AX242" i="19" s="1"/>
  <c r="E50" i="19"/>
  <c r="F242" i="19" s="1"/>
  <c r="B49" i="19"/>
  <c r="W50" i="19"/>
  <c r="X242" i="19" s="1"/>
  <c r="CR50" i="19"/>
  <c r="CS242" i="19" s="1"/>
  <c r="B104" i="19"/>
  <c r="CQ50" i="19"/>
  <c r="CR242" i="19" s="1"/>
  <c r="BH50" i="19"/>
  <c r="BI242" i="19" s="1"/>
  <c r="K50" i="19"/>
  <c r="L242" i="19" s="1"/>
  <c r="BL50" i="19"/>
  <c r="BM242" i="19" s="1"/>
  <c r="Q50" i="19"/>
  <c r="R242" i="19" s="1"/>
  <c r="BT50" i="19"/>
  <c r="BU242" i="19" s="1"/>
  <c r="G50" i="19"/>
  <c r="H242" i="19" s="1"/>
  <c r="D78" i="19"/>
  <c r="D159" i="19" s="1"/>
  <c r="BN78" i="19"/>
  <c r="BN159" i="19" s="1"/>
  <c r="Q79" i="19"/>
  <c r="Q160" i="19" s="1"/>
  <c r="AO79" i="19"/>
  <c r="AO160" i="19" s="1"/>
  <c r="U92" i="20"/>
  <c r="U173" i="20" s="1"/>
  <c r="U89" i="20"/>
  <c r="U170" i="20" s="1"/>
  <c r="CE79" i="19"/>
  <c r="CE160" i="19" s="1"/>
  <c r="AT79" i="19"/>
  <c r="AT160" i="19" s="1"/>
  <c r="BI79" i="19"/>
  <c r="BI160" i="19" s="1"/>
  <c r="V82" i="19"/>
  <c r="V163" i="19" s="1"/>
  <c r="V90" i="19"/>
  <c r="V171" i="19" s="1"/>
  <c r="CR79" i="19"/>
  <c r="CR160" i="19" s="1"/>
  <c r="BD79" i="19"/>
  <c r="BD160" i="19" s="1"/>
  <c r="E79" i="19"/>
  <c r="E160" i="19" s="1"/>
  <c r="CI79" i="19"/>
  <c r="CI160" i="19" s="1"/>
  <c r="J79" i="19"/>
  <c r="J160" i="19" s="1"/>
  <c r="BL246" i="20" l="1"/>
  <c r="BK81" i="20"/>
  <c r="BK162" i="20" s="1"/>
  <c r="CC244" i="2"/>
  <c r="CB79" i="2"/>
  <c r="CB160" i="2" s="1"/>
  <c r="BU50" i="19"/>
  <c r="BV242" i="19" s="1"/>
  <c r="V50" i="19"/>
  <c r="W242" i="19" s="1"/>
  <c r="AV50" i="19"/>
  <c r="AW242" i="19" s="1"/>
  <c r="AU50" i="19"/>
  <c r="AV242" i="19" s="1"/>
  <c r="U50" i="19"/>
  <c r="V242" i="19" s="1"/>
  <c r="AQ50" i="19"/>
  <c r="AR242" i="19" s="1"/>
  <c r="L50" i="19"/>
  <c r="M242" i="19" s="1"/>
  <c r="CH247" i="20"/>
  <c r="CG163" i="20"/>
  <c r="CG82" i="20"/>
  <c r="BY247" i="20"/>
  <c r="BX82" i="20"/>
  <c r="BX163" i="20"/>
  <c r="B242" i="19"/>
  <c r="B315" i="19" s="1"/>
  <c r="B213" i="19"/>
  <c r="R54" i="20"/>
  <c r="CL54" i="20"/>
  <c r="BE54" i="20"/>
  <c r="BH54" i="20"/>
  <c r="C54" i="20"/>
  <c r="AQ54" i="20"/>
  <c r="BO54" i="20"/>
  <c r="CC54" i="20"/>
  <c r="D54" i="20"/>
  <c r="BU54" i="20"/>
  <c r="AU247" i="20"/>
  <c r="AT82" i="20"/>
  <c r="AT163" i="20" s="1"/>
  <c r="BD247" i="20"/>
  <c r="BC82" i="20"/>
  <c r="BC163" i="20" s="1"/>
  <c r="CL247" i="20"/>
  <c r="CK82" i="20"/>
  <c r="CK163" i="20" s="1"/>
  <c r="CC247" i="20"/>
  <c r="CB82" i="20"/>
  <c r="CB163" i="20" s="1"/>
  <c r="BG247" i="20"/>
  <c r="BF82" i="20"/>
  <c r="BF163" i="20" s="1"/>
  <c r="CK247" i="20"/>
  <c r="CJ82" i="20"/>
  <c r="CJ163" i="20" s="1"/>
  <c r="CO52" i="2"/>
  <c r="BD52" i="2"/>
  <c r="BY52" i="2"/>
  <c r="AJ52" i="2"/>
  <c r="X52" i="2"/>
  <c r="AS52" i="2"/>
  <c r="D52" i="2"/>
  <c r="BF52" i="2"/>
  <c r="AE52" i="2"/>
  <c r="E52" i="2"/>
  <c r="Z52" i="2"/>
  <c r="AQ52" i="2"/>
  <c r="CJ247" i="20"/>
  <c r="CI82" i="20"/>
  <c r="CI163" i="20" s="1"/>
  <c r="CF247" i="20"/>
  <c r="CE82" i="20"/>
  <c r="CE163" i="20" s="1"/>
  <c r="Q54" i="20"/>
  <c r="CJ54" i="20"/>
  <c r="BX54" i="20"/>
  <c r="AR54" i="20"/>
  <c r="BP54" i="20"/>
  <c r="AX54" i="20"/>
  <c r="CN54" i="20"/>
  <c r="BD54" i="20"/>
  <c r="CD54" i="20"/>
  <c r="AP247" i="20"/>
  <c r="AO82" i="20"/>
  <c r="AO163" i="20" s="1"/>
  <c r="CP247" i="20"/>
  <c r="CO82" i="20"/>
  <c r="CO163" i="20" s="1"/>
  <c r="S247" i="20"/>
  <c r="R82" i="20"/>
  <c r="R163" i="20" s="1"/>
  <c r="CA247" i="20"/>
  <c r="BZ82" i="20"/>
  <c r="BZ163" i="20" s="1"/>
  <c r="CI247" i="20"/>
  <c r="CH82" i="20"/>
  <c r="CH163" i="20" s="1"/>
  <c r="BR247" i="20"/>
  <c r="BQ82" i="20"/>
  <c r="BQ163" i="20" s="1"/>
  <c r="K52" i="2"/>
  <c r="CI52" i="2"/>
  <c r="AR52" i="2"/>
  <c r="G52" i="2"/>
  <c r="CH52" i="2"/>
  <c r="L52" i="2"/>
  <c r="BN52" i="2"/>
  <c r="Y52" i="2"/>
  <c r="AT52" i="2"/>
  <c r="AI52" i="2"/>
  <c r="CJ52" i="2"/>
  <c r="N52" i="2"/>
  <c r="BE247" i="20"/>
  <c r="BD82" i="20"/>
  <c r="BD163" i="20" s="1"/>
  <c r="BP247" i="20"/>
  <c r="BO82" i="20"/>
  <c r="BO163" i="20" s="1"/>
  <c r="X68" i="2"/>
  <c r="Y13" i="2"/>
  <c r="X12" i="2"/>
  <c r="B243" i="20"/>
  <c r="B214" i="20"/>
  <c r="P54" i="20"/>
  <c r="CK54" i="20"/>
  <c r="BI54" i="20"/>
  <c r="CG54" i="20"/>
  <c r="BW54" i="20"/>
  <c r="K54" i="20"/>
  <c r="F54" i="20"/>
  <c r="E54" i="20"/>
  <c r="BG54" i="20"/>
  <c r="L54" i="20"/>
  <c r="R247" i="20"/>
  <c r="Q82" i="20"/>
  <c r="Q163" i="20" s="1"/>
  <c r="K247" i="20"/>
  <c r="J82" i="20"/>
  <c r="J163" i="20" s="1"/>
  <c r="BS247" i="20"/>
  <c r="BR82" i="20"/>
  <c r="BR163" i="20" s="1"/>
  <c r="BJ247" i="20"/>
  <c r="BI82" i="20"/>
  <c r="BI163" i="20" s="1"/>
  <c r="BI247" i="20"/>
  <c r="BH82" i="20"/>
  <c r="BH163" i="20" s="1"/>
  <c r="BH52" i="2"/>
  <c r="CG52" i="2"/>
  <c r="AM52" i="2"/>
  <c r="BM52" i="2"/>
  <c r="BA52" i="2"/>
  <c r="CL52" i="2"/>
  <c r="AG52" i="2"/>
  <c r="BK52" i="2"/>
  <c r="M52" i="2"/>
  <c r="AH52" i="2"/>
  <c r="BW52" i="2"/>
  <c r="BX52" i="2"/>
  <c r="CD247" i="20"/>
  <c r="CC82" i="20"/>
  <c r="CC163" i="20" s="1"/>
  <c r="D247" i="20"/>
  <c r="E219" i="20"/>
  <c r="I219" i="20" s="1"/>
  <c r="J219" i="20" s="1"/>
  <c r="O219" i="20" s="1"/>
  <c r="D219" i="20"/>
  <c r="C247" i="20"/>
  <c r="W149" i="2"/>
  <c r="W95" i="2"/>
  <c r="W122" i="2" s="1"/>
  <c r="W186" i="2"/>
  <c r="W176" i="2" s="1"/>
  <c r="B317" i="20"/>
  <c r="O54" i="20"/>
  <c r="CF54" i="20"/>
  <c r="BZ54" i="20"/>
  <c r="BQ54" i="20"/>
  <c r="BY54" i="20"/>
  <c r="CO54" i="20"/>
  <c r="AU54" i="20"/>
  <c r="AT54" i="20"/>
  <c r="AY54" i="20"/>
  <c r="AV247" i="20"/>
  <c r="AU82" i="20"/>
  <c r="AU163" i="20" s="1"/>
  <c r="B318" i="2"/>
  <c r="C245" i="2"/>
  <c r="AW247" i="20"/>
  <c r="AV82" i="20"/>
  <c r="AV163" i="20" s="1"/>
  <c r="BK247" i="20"/>
  <c r="BJ82" i="20"/>
  <c r="BJ163" i="20" s="1"/>
  <c r="O217" i="2"/>
  <c r="M220" i="2"/>
  <c r="BB247" i="20"/>
  <c r="BA82" i="20"/>
  <c r="BA163" i="20" s="1"/>
  <c r="BA247" i="20"/>
  <c r="AZ82" i="20"/>
  <c r="AZ163" i="20" s="1"/>
  <c r="CS52" i="2"/>
  <c r="CS79" i="2" s="1"/>
  <c r="CS160" i="2" s="1"/>
  <c r="F52" i="2"/>
  <c r="AZ52" i="2"/>
  <c r="CJ51" i="2"/>
  <c r="CH51" i="2"/>
  <c r="BO51" i="2"/>
  <c r="E51" i="2"/>
  <c r="M51" i="2"/>
  <c r="Z51" i="2"/>
  <c r="CA51" i="2"/>
  <c r="CI51" i="2"/>
  <c r="Y51" i="2"/>
  <c r="BV51" i="2"/>
  <c r="AH51" i="2"/>
  <c r="D51" i="2"/>
  <c r="AK51" i="2"/>
  <c r="AS51" i="2"/>
  <c r="AD51" i="2"/>
  <c r="P51" i="2"/>
  <c r="B50" i="2"/>
  <c r="BJ51" i="2"/>
  <c r="X51" i="2"/>
  <c r="BE51" i="2"/>
  <c r="BM51" i="2"/>
  <c r="C51" i="2"/>
  <c r="AJ51" i="2"/>
  <c r="AR51" i="2"/>
  <c r="BY51" i="2"/>
  <c r="O51" i="2"/>
  <c r="B105" i="2"/>
  <c r="AZ51" i="2"/>
  <c r="CG51" i="2"/>
  <c r="W51" i="2"/>
  <c r="AE51" i="2"/>
  <c r="BL51" i="2"/>
  <c r="F51" i="2"/>
  <c r="CB51" i="2"/>
  <c r="AQ51" i="2"/>
  <c r="BX51" i="2"/>
  <c r="AI51" i="2"/>
  <c r="AL51" i="2"/>
  <c r="BP51" i="2"/>
  <c r="CT51" i="2"/>
  <c r="BG51" i="2" s="1"/>
  <c r="AF52" i="2"/>
  <c r="T52" i="2"/>
  <c r="BV52" i="2"/>
  <c r="CQ52" i="2"/>
  <c r="BB52" i="2"/>
  <c r="O52" i="2"/>
  <c r="CR52" i="2"/>
  <c r="V52" i="2"/>
  <c r="AA52" i="2"/>
  <c r="J50" i="19"/>
  <c r="K242" i="19" s="1"/>
  <c r="BJ50" i="19"/>
  <c r="BK242" i="19" s="1"/>
  <c r="U247" i="20"/>
  <c r="T82" i="20"/>
  <c r="T163" i="20" s="1"/>
  <c r="AX247" i="20"/>
  <c r="AW82" i="20"/>
  <c r="AW163" i="20"/>
  <c r="N54" i="20"/>
  <c r="AZ54" i="20"/>
  <c r="CA54" i="20"/>
  <c r="CH54" i="20"/>
  <c r="CP54" i="20"/>
  <c r="G54" i="20"/>
  <c r="BL54" i="20"/>
  <c r="BC54" i="20"/>
  <c r="AS54" i="20"/>
  <c r="BV247" i="20"/>
  <c r="BU82" i="20"/>
  <c r="BU163" i="20" s="1"/>
  <c r="B244" i="2"/>
  <c r="B215" i="2"/>
  <c r="I247" i="20"/>
  <c r="H82" i="20"/>
  <c r="H163" i="20"/>
  <c r="BC247" i="20"/>
  <c r="BB82" i="20"/>
  <c r="BB163" i="20"/>
  <c r="F217" i="2"/>
  <c r="K217" i="2"/>
  <c r="AT247" i="20"/>
  <c r="AS82" i="20"/>
  <c r="AS163" i="20" s="1"/>
  <c r="AS247" i="20"/>
  <c r="AR82" i="20"/>
  <c r="AR163" i="20" s="1"/>
  <c r="BM244" i="2"/>
  <c r="BL79" i="2"/>
  <c r="BL160" i="2" s="1"/>
  <c r="T244" i="2"/>
  <c r="S79" i="2"/>
  <c r="S160" i="2" s="1"/>
  <c r="BT244" i="2"/>
  <c r="BS79" i="2"/>
  <c r="BS160" i="2" s="1"/>
  <c r="BV244" i="2"/>
  <c r="BU79" i="2"/>
  <c r="BU160" i="2" s="1"/>
  <c r="CQ244" i="2"/>
  <c r="CP79" i="2"/>
  <c r="CP160" i="2" s="1"/>
  <c r="CE244" i="2"/>
  <c r="CD79" i="2"/>
  <c r="CD160" i="2" s="1"/>
  <c r="AP244" i="2"/>
  <c r="AO79" i="2"/>
  <c r="AO160" i="2" s="1"/>
  <c r="BK244" i="2"/>
  <c r="BJ79" i="2"/>
  <c r="BJ160" i="2" s="1"/>
  <c r="V244" i="2"/>
  <c r="U79" i="2"/>
  <c r="U160" i="2" s="1"/>
  <c r="AQ244" i="2"/>
  <c r="AP79" i="2"/>
  <c r="AP160" i="2" s="1"/>
  <c r="D244" i="2"/>
  <c r="D216" i="2"/>
  <c r="E216" i="2"/>
  <c r="I216" i="2" s="1"/>
  <c r="J216" i="2" s="1"/>
  <c r="CG244" i="2"/>
  <c r="CF79" i="2"/>
  <c r="CF160" i="2" s="1"/>
  <c r="AZ247" i="20"/>
  <c r="AY82" i="20"/>
  <c r="AY163" i="20" s="1"/>
  <c r="CB247" i="20"/>
  <c r="CA82" i="20"/>
  <c r="CA163" i="20" s="1"/>
  <c r="M54" i="20"/>
  <c r="BA54" i="20"/>
  <c r="CR54" i="20"/>
  <c r="CQ54" i="20"/>
  <c r="H54" i="20"/>
  <c r="AV54" i="20"/>
  <c r="AW54" i="20"/>
  <c r="BT54" i="20"/>
  <c r="BJ54" i="20"/>
  <c r="BN247" i="20"/>
  <c r="BM82" i="20"/>
  <c r="BM163" i="20"/>
  <c r="BT247" i="20"/>
  <c r="BS82" i="20"/>
  <c r="BS163" i="20"/>
  <c r="BO247" i="20"/>
  <c r="BN82" i="20"/>
  <c r="BN163" i="20" s="1"/>
  <c r="F247" i="20"/>
  <c r="E82" i="20"/>
  <c r="E163" i="20" s="1"/>
  <c r="M247" i="20"/>
  <c r="L82" i="20"/>
  <c r="L163" i="20"/>
  <c r="K244" i="2"/>
  <c r="J79" i="2"/>
  <c r="J160" i="2" s="1"/>
  <c r="BQ244" i="2"/>
  <c r="BP79" i="2"/>
  <c r="BP160" i="2" s="1"/>
  <c r="CD244" i="2"/>
  <c r="CC79" i="2"/>
  <c r="CC160" i="2" s="1"/>
  <c r="AO244" i="2"/>
  <c r="AN79" i="2"/>
  <c r="AN160" i="2" s="1"/>
  <c r="BJ244" i="2"/>
  <c r="BI79" i="2"/>
  <c r="BI160" i="2"/>
  <c r="AX244" i="2"/>
  <c r="AW79" i="2"/>
  <c r="AW160" i="2" s="1"/>
  <c r="I244" i="2"/>
  <c r="H79" i="2"/>
  <c r="H160" i="2" s="1"/>
  <c r="AD244" i="2"/>
  <c r="AC79" i="2"/>
  <c r="AC160" i="2" s="1"/>
  <c r="AV244" i="2"/>
  <c r="AU79" i="2"/>
  <c r="AU160" i="2"/>
  <c r="J244" i="2"/>
  <c r="I79" i="2"/>
  <c r="I160" i="2" s="1"/>
  <c r="AE244" i="2"/>
  <c r="AD79" i="2"/>
  <c r="AD160" i="2" s="1"/>
  <c r="BH244" i="2"/>
  <c r="BG79" i="2"/>
  <c r="BG160" i="2" s="1"/>
  <c r="V54" i="20"/>
  <c r="W246" i="20" s="1"/>
  <c r="J247" i="20"/>
  <c r="I82" i="20"/>
  <c r="I163" i="20" s="1"/>
  <c r="T54" i="20"/>
  <c r="BS54" i="20"/>
  <c r="BR54" i="20"/>
  <c r="CS54" i="20"/>
  <c r="CS81" i="20" s="1"/>
  <c r="CS162" i="20" s="1"/>
  <c r="B107" i="20"/>
  <c r="C53" i="20"/>
  <c r="AW53" i="20"/>
  <c r="BS53" i="20"/>
  <c r="BQ53" i="20"/>
  <c r="CT53" i="20"/>
  <c r="BC53" i="20" s="1"/>
  <c r="I53" i="20"/>
  <c r="AS53" i="20"/>
  <c r="CL53" i="20"/>
  <c r="B52" i="20"/>
  <c r="G53" i="20"/>
  <c r="CF53" i="20"/>
  <c r="CD53" i="20"/>
  <c r="CR53" i="20"/>
  <c r="CI53" i="20"/>
  <c r="BV53" i="20"/>
  <c r="AZ53" i="20"/>
  <c r="AP53" i="20"/>
  <c r="CJ53" i="20"/>
  <c r="BJ53" i="20"/>
  <c r="BG53" i="20"/>
  <c r="BN53" i="20"/>
  <c r="D53" i="20"/>
  <c r="L53" i="20"/>
  <c r="CK53" i="20"/>
  <c r="BL53" i="20"/>
  <c r="AT53" i="20"/>
  <c r="CN53" i="20"/>
  <c r="CM53" i="20"/>
  <c r="BP53" i="20"/>
  <c r="CE53" i="20"/>
  <c r="BU53" i="20"/>
  <c r="H53" i="20"/>
  <c r="BI53" i="20"/>
  <c r="AX53" i="20"/>
  <c r="BZ53" i="20"/>
  <c r="AY53" i="20"/>
  <c r="CB53" i="20"/>
  <c r="BM53" i="20"/>
  <c r="CS53" i="20"/>
  <c r="AO53" i="20"/>
  <c r="CQ53" i="20"/>
  <c r="J53" i="20"/>
  <c r="K53" i="20"/>
  <c r="CO53" i="20"/>
  <c r="BW53" i="20"/>
  <c r="AR53" i="20"/>
  <c r="BY53" i="20"/>
  <c r="AU53" i="20"/>
  <c r="BO53" i="20"/>
  <c r="CP53" i="20"/>
  <c r="BR53" i="20"/>
  <c r="CA53" i="20"/>
  <c r="BT53" i="20"/>
  <c r="BA53" i="20"/>
  <c r="BX53" i="20"/>
  <c r="BE53" i="20"/>
  <c r="AQ53" i="20"/>
  <c r="BF53" i="20"/>
  <c r="CG53" i="20"/>
  <c r="BK53" i="20"/>
  <c r="M53" i="20"/>
  <c r="N53" i="20"/>
  <c r="P53" i="20"/>
  <c r="Q53" i="20"/>
  <c r="R53" i="20"/>
  <c r="S53" i="20"/>
  <c r="T53" i="20"/>
  <c r="U53" i="20"/>
  <c r="I54" i="20"/>
  <c r="AO54" i="20"/>
  <c r="BN54" i="20"/>
  <c r="BM54" i="20"/>
  <c r="BF247" i="20"/>
  <c r="BE82" i="20"/>
  <c r="BE163" i="20" s="1"/>
  <c r="L247" i="20"/>
  <c r="K82" i="20"/>
  <c r="K163" i="20" s="1"/>
  <c r="G247" i="20"/>
  <c r="F82" i="20"/>
  <c r="F163" i="20"/>
  <c r="AQ247" i="20"/>
  <c r="AP82" i="20"/>
  <c r="AP163" i="20" s="1"/>
  <c r="CR247" i="20"/>
  <c r="CQ82" i="20"/>
  <c r="CQ163" i="20" s="1"/>
  <c r="AY52" i="2"/>
  <c r="BO52" i="2"/>
  <c r="AV52" i="2"/>
  <c r="W52" i="2"/>
  <c r="AB52" i="2"/>
  <c r="P52" i="2"/>
  <c r="BR52" i="2"/>
  <c r="CA52" i="2"/>
  <c r="AX52" i="2"/>
  <c r="CE52" i="2"/>
  <c r="CN52" i="2"/>
  <c r="R52" i="2"/>
  <c r="CM247" i="20"/>
  <c r="CL82" i="20"/>
  <c r="CL163" i="20" s="1"/>
  <c r="CS247" i="20"/>
  <c r="CR82" i="20"/>
  <c r="CR163" i="20"/>
  <c r="Q247" i="20"/>
  <c r="P82" i="20"/>
  <c r="P163" i="20" s="1"/>
  <c r="T246" i="20"/>
  <c r="S81" i="20"/>
  <c r="S162" i="20" s="1"/>
  <c r="CJ246" i="20"/>
  <c r="CI81" i="20"/>
  <c r="CI162" i="20"/>
  <c r="BC246" i="20"/>
  <c r="BB81" i="20"/>
  <c r="BB162" i="20" s="1"/>
  <c r="CM54" i="20"/>
  <c r="U54" i="20"/>
  <c r="J54" i="20"/>
  <c r="AP54" i="20"/>
  <c r="BF54" i="20"/>
  <c r="CE54" i="20"/>
  <c r="BV54" i="20"/>
  <c r="CB54" i="20"/>
  <c r="BL247" i="20"/>
  <c r="BK82" i="20"/>
  <c r="BK163" i="20" s="1"/>
  <c r="BM247" i="20"/>
  <c r="BL82" i="20"/>
  <c r="BL163" i="20" s="1"/>
  <c r="CG247" i="20"/>
  <c r="CF82" i="20"/>
  <c r="CF163" i="20"/>
  <c r="T247" i="20"/>
  <c r="S82" i="20"/>
  <c r="S163" i="20" s="1"/>
  <c r="CO247" i="20"/>
  <c r="CN82" i="20"/>
  <c r="CN163" i="20" s="1"/>
  <c r="BU247" i="20"/>
  <c r="BT82" i="20"/>
  <c r="BT163" i="20" s="1"/>
  <c r="E247" i="20"/>
  <c r="D82" i="20"/>
  <c r="D163" i="20" s="1"/>
  <c r="N247" i="20"/>
  <c r="M82" i="20"/>
  <c r="M163" i="20" s="1"/>
  <c r="BT52" i="2"/>
  <c r="CK52" i="2"/>
  <c r="BC52" i="2"/>
  <c r="BQ52" i="2"/>
  <c r="BE52" i="2"/>
  <c r="BZ52" i="2"/>
  <c r="AK52" i="2"/>
  <c r="Q52" i="2"/>
  <c r="AL52" i="2"/>
  <c r="CM52" i="2"/>
  <c r="BC78" i="19"/>
  <c r="BC159" i="19" s="1"/>
  <c r="V87" i="20"/>
  <c r="V168" i="20" s="1"/>
  <c r="V82" i="20"/>
  <c r="V163" i="20" s="1"/>
  <c r="CL78" i="19"/>
  <c r="CL159" i="19" s="1"/>
  <c r="AY78" i="19"/>
  <c r="AY159" i="19" s="1"/>
  <c r="W79" i="19"/>
  <c r="W160" i="19" s="1"/>
  <c r="W82" i="19"/>
  <c r="W163" i="19" s="1"/>
  <c r="W90" i="19"/>
  <c r="W171" i="19" s="1"/>
  <c r="BP78" i="19"/>
  <c r="BP159" i="19" s="1"/>
  <c r="BO78" i="19"/>
  <c r="BO159" i="19" s="1"/>
  <c r="Q77" i="19"/>
  <c r="Q158" i="19" s="1"/>
  <c r="F351" i="19"/>
  <c r="V83" i="20"/>
  <c r="V164" i="20" s="1"/>
  <c r="W83" i="19"/>
  <c r="W164" i="19" s="1"/>
  <c r="W91" i="19"/>
  <c r="W172" i="19" s="1"/>
  <c r="S78" i="19"/>
  <c r="S159" i="19" s="1"/>
  <c r="G77" i="19"/>
  <c r="G158" i="19" s="1"/>
  <c r="BH77" i="19"/>
  <c r="BH158" i="19" s="1"/>
  <c r="E77" i="19"/>
  <c r="E158" i="19" s="1"/>
  <c r="AQ77" i="19"/>
  <c r="AQ158" i="19" s="1"/>
  <c r="AT77" i="19"/>
  <c r="AT158" i="19" s="1"/>
  <c r="BB77" i="19"/>
  <c r="BB158" i="19" s="1"/>
  <c r="K77" i="19"/>
  <c r="K158" i="19" s="1"/>
  <c r="CR77" i="19"/>
  <c r="CR158" i="19" s="1"/>
  <c r="AW77" i="19"/>
  <c r="AW158" i="19" s="1"/>
  <c r="AY77" i="19"/>
  <c r="AY158" i="19" s="1"/>
  <c r="CJ77" i="19"/>
  <c r="CJ158" i="19" s="1"/>
  <c r="J77" i="19"/>
  <c r="J158" i="19" s="1"/>
  <c r="BJ77" i="19"/>
  <c r="BJ158" i="19" s="1"/>
  <c r="O216" i="19"/>
  <c r="M219" i="19"/>
  <c r="G219" i="19" s="1"/>
  <c r="CP50" i="19"/>
  <c r="CQ242" i="19" s="1"/>
  <c r="CM50" i="19"/>
  <c r="CN242" i="19" s="1"/>
  <c r="CD78" i="19"/>
  <c r="CD159" i="19" s="1"/>
  <c r="BY78" i="19"/>
  <c r="BY159" i="19" s="1"/>
  <c r="T78" i="19"/>
  <c r="T159" i="19" s="1"/>
  <c r="W78" i="19"/>
  <c r="W159" i="19" s="1"/>
  <c r="V86" i="20"/>
  <c r="V167" i="20" s="1"/>
  <c r="L78" i="19"/>
  <c r="L159" i="19" s="1"/>
  <c r="W84" i="19"/>
  <c r="W165" i="19" s="1"/>
  <c r="W92" i="19"/>
  <c r="W173" i="19" s="1"/>
  <c r="CP78" i="19"/>
  <c r="CP159" i="19" s="1"/>
  <c r="A26" i="2"/>
  <c r="B25" i="2"/>
  <c r="B81" i="2"/>
  <c r="B162" i="2"/>
  <c r="B135" i="2" s="1"/>
  <c r="M218" i="19"/>
  <c r="G218" i="19" s="1"/>
  <c r="O215" i="19"/>
  <c r="CN78" i="19"/>
  <c r="CN159" i="19" s="1"/>
  <c r="CL50" i="19"/>
  <c r="CM242" i="19" s="1"/>
  <c r="CK50" i="19"/>
  <c r="CL242" i="19" s="1"/>
  <c r="CI50" i="19"/>
  <c r="CJ242" i="19" s="1"/>
  <c r="BQ50" i="19"/>
  <c r="BR242" i="19" s="1"/>
  <c r="BX50" i="19"/>
  <c r="BY242" i="19" s="1"/>
  <c r="I50" i="19"/>
  <c r="J242" i="19" s="1"/>
  <c r="BZ50" i="19"/>
  <c r="CA242" i="19" s="1"/>
  <c r="P50" i="19"/>
  <c r="Q242" i="19" s="1"/>
  <c r="BV50" i="19"/>
  <c r="BW242" i="19" s="1"/>
  <c r="H50" i="19"/>
  <c r="I242" i="19" s="1"/>
  <c r="CB50" i="19"/>
  <c r="CC242" i="19" s="1"/>
  <c r="F50" i="19"/>
  <c r="G242" i="19" s="1"/>
  <c r="CC50" i="19"/>
  <c r="CD242" i="19" s="1"/>
  <c r="CS50" i="19"/>
  <c r="CS77" i="19" s="1"/>
  <c r="CS158" i="19" s="1"/>
  <c r="CE50" i="19"/>
  <c r="CF242" i="19" s="1"/>
  <c r="CO50" i="19"/>
  <c r="CP242" i="19" s="1"/>
  <c r="CG50" i="19"/>
  <c r="CH242" i="19" s="1"/>
  <c r="N50" i="19"/>
  <c r="O242" i="19" s="1"/>
  <c r="T50" i="19"/>
  <c r="U242" i="19" s="1"/>
  <c r="BB78" i="19"/>
  <c r="BB159" i="19" s="1"/>
  <c r="AT78" i="19"/>
  <c r="AT159" i="19" s="1"/>
  <c r="BT78" i="19"/>
  <c r="BT159" i="19" s="1"/>
  <c r="A245" i="19"/>
  <c r="A217" i="19"/>
  <c r="A80" i="19"/>
  <c r="CF78" i="19"/>
  <c r="CF159" i="19" s="1"/>
  <c r="AS78" i="19"/>
  <c r="AS159" i="19" s="1"/>
  <c r="V88" i="20"/>
  <c r="V169" i="20" s="1"/>
  <c r="V89" i="20"/>
  <c r="V170" i="20" s="1"/>
  <c r="BX78" i="19"/>
  <c r="BX159" i="19" s="1"/>
  <c r="AU78" i="19"/>
  <c r="AU159" i="19" s="1"/>
  <c r="W85" i="19"/>
  <c r="W166" i="19" s="1"/>
  <c r="Y41" i="19"/>
  <c r="X64" i="19"/>
  <c r="Y256" i="19" s="1"/>
  <c r="X65" i="19"/>
  <c r="Y257" i="19" s="1"/>
  <c r="X62" i="19"/>
  <c r="Y254" i="19" s="1"/>
  <c r="X61" i="19"/>
  <c r="Y253" i="19" s="1"/>
  <c r="X60" i="19"/>
  <c r="Y252" i="19" s="1"/>
  <c r="X63" i="19"/>
  <c r="Y255" i="19" s="1"/>
  <c r="X59" i="19"/>
  <c r="Y251" i="19" s="1"/>
  <c r="X58" i="19"/>
  <c r="Y250" i="19" s="1"/>
  <c r="X57" i="19"/>
  <c r="Y249" i="19" s="1"/>
  <c r="X56" i="19"/>
  <c r="Y248" i="19" s="1"/>
  <c r="X55" i="19"/>
  <c r="Y247" i="19" s="1"/>
  <c r="X53" i="19"/>
  <c r="Y245" i="19" s="1"/>
  <c r="X54" i="19"/>
  <c r="Y246" i="19" s="1"/>
  <c r="X52" i="19"/>
  <c r="Y244" i="19" s="1"/>
  <c r="BK78" i="19"/>
  <c r="BK159" i="19" s="1"/>
  <c r="A82" i="2"/>
  <c r="A219" i="2"/>
  <c r="A247" i="2"/>
  <c r="F360" i="20"/>
  <c r="K215" i="19"/>
  <c r="F215" i="19"/>
  <c r="BU78" i="19"/>
  <c r="BU159" i="19" s="1"/>
  <c r="BT77" i="19"/>
  <c r="BT158" i="19" s="1"/>
  <c r="CQ77" i="19"/>
  <c r="CQ158" i="19" s="1"/>
  <c r="F49" i="19"/>
  <c r="G241" i="19" s="1"/>
  <c r="AQ49" i="19"/>
  <c r="AR241" i="19" s="1"/>
  <c r="J49" i="19"/>
  <c r="K241" i="19" s="1"/>
  <c r="BR49" i="19"/>
  <c r="BS241" i="19" s="1"/>
  <c r="H49" i="19"/>
  <c r="I241" i="19" s="1"/>
  <c r="CH49" i="19"/>
  <c r="CI241" i="19" s="1"/>
  <c r="AU49" i="19"/>
  <c r="AV241" i="19" s="1"/>
  <c r="CA49" i="19"/>
  <c r="CB241" i="19" s="1"/>
  <c r="AS49" i="19"/>
  <c r="AT241" i="19" s="1"/>
  <c r="AY49" i="19"/>
  <c r="AZ241" i="19" s="1"/>
  <c r="BQ49" i="19"/>
  <c r="BR241" i="19" s="1"/>
  <c r="CI49" i="19"/>
  <c r="CJ241" i="19" s="1"/>
  <c r="C49" i="19"/>
  <c r="D241" i="19" s="1"/>
  <c r="AP49" i="19"/>
  <c r="AQ241" i="19" s="1"/>
  <c r="BV49" i="19"/>
  <c r="BW241" i="19" s="1"/>
  <c r="BO49" i="19"/>
  <c r="BP241" i="19" s="1"/>
  <c r="B48" i="19"/>
  <c r="CT49" i="19"/>
  <c r="W49" i="19" s="1"/>
  <c r="X241" i="19" s="1"/>
  <c r="BY49" i="19"/>
  <c r="BZ241" i="19" s="1"/>
  <c r="BN49" i="19"/>
  <c r="BO241" i="19" s="1"/>
  <c r="T49" i="19"/>
  <c r="U241" i="19" s="1"/>
  <c r="X49" i="19"/>
  <c r="Y241" i="19" s="1"/>
  <c r="E49" i="19"/>
  <c r="F241" i="19" s="1"/>
  <c r="CQ49" i="19"/>
  <c r="CR241" i="19" s="1"/>
  <c r="B103" i="19"/>
  <c r="BZ49" i="19"/>
  <c r="CA241" i="19" s="1"/>
  <c r="CD49" i="19"/>
  <c r="CE241" i="19" s="1"/>
  <c r="AV49" i="19"/>
  <c r="AW241" i="19" s="1"/>
  <c r="BI49" i="19"/>
  <c r="BJ241" i="19" s="1"/>
  <c r="U49" i="19"/>
  <c r="V241" i="19" s="1"/>
  <c r="BH49" i="19"/>
  <c r="BI241" i="19" s="1"/>
  <c r="AZ77" i="19"/>
  <c r="AZ158" i="19" s="1"/>
  <c r="O77" i="19"/>
  <c r="O158" i="19" s="1"/>
  <c r="BI78" i="19"/>
  <c r="BI159" i="19" s="1"/>
  <c r="A246" i="20"/>
  <c r="A218" i="20"/>
  <c r="A81" i="20"/>
  <c r="BU77" i="19"/>
  <c r="BU158" i="19" s="1"/>
  <c r="V77" i="19"/>
  <c r="V158" i="19" s="1"/>
  <c r="AV77" i="19"/>
  <c r="AV158" i="19" s="1"/>
  <c r="BN77" i="19"/>
  <c r="BN158" i="19" s="1"/>
  <c r="L77" i="19"/>
  <c r="L158" i="19" s="1"/>
  <c r="CQ78" i="19"/>
  <c r="CQ159" i="19" s="1"/>
  <c r="G78" i="19"/>
  <c r="G159" i="19" s="1"/>
  <c r="BW50" i="19"/>
  <c r="BX242" i="19" s="1"/>
  <c r="BO50" i="19"/>
  <c r="BP242" i="19" s="1"/>
  <c r="CN50" i="19"/>
  <c r="CO242" i="19" s="1"/>
  <c r="CH50" i="19"/>
  <c r="CI242" i="19" s="1"/>
  <c r="BM50" i="19"/>
  <c r="BN242" i="19" s="1"/>
  <c r="CA50" i="19"/>
  <c r="CB242" i="19" s="1"/>
  <c r="BD50" i="19"/>
  <c r="BE242" i="19" s="1"/>
  <c r="AS50" i="19"/>
  <c r="AT242" i="19" s="1"/>
  <c r="M50" i="19"/>
  <c r="N242" i="19" s="1"/>
  <c r="F216" i="19"/>
  <c r="K216" i="19"/>
  <c r="X78" i="19"/>
  <c r="X159" i="19" s="1"/>
  <c r="AO78" i="19"/>
  <c r="AO159" i="19" s="1"/>
  <c r="CE78" i="19"/>
  <c r="CE159" i="19" s="1"/>
  <c r="O68" i="20"/>
  <c r="O12" i="20"/>
  <c r="P13" i="20"/>
  <c r="BG78" i="19"/>
  <c r="BG159" i="19" s="1"/>
  <c r="AP78" i="19"/>
  <c r="AP159" i="19" s="1"/>
  <c r="V85" i="20"/>
  <c r="V166" i="20" s="1"/>
  <c r="V92" i="20"/>
  <c r="V173" i="20" s="1"/>
  <c r="O78" i="19"/>
  <c r="O159" i="19" s="1"/>
  <c r="W86" i="19"/>
  <c r="W167" i="19" s="1"/>
  <c r="BR78" i="19"/>
  <c r="BR159" i="19" s="1"/>
  <c r="U77" i="19"/>
  <c r="U158" i="19" s="1"/>
  <c r="AU77" i="19"/>
  <c r="AU158" i="19" s="1"/>
  <c r="BD78" i="19"/>
  <c r="BD159" i="19" s="1"/>
  <c r="B23" i="19"/>
  <c r="B160" i="19"/>
  <c r="B133" i="19" s="1"/>
  <c r="B79" i="19"/>
  <c r="A24" i="19"/>
  <c r="BM78" i="19"/>
  <c r="BM159" i="19" s="1"/>
  <c r="V91" i="20"/>
  <c r="V172" i="20" s="1"/>
  <c r="AZ78" i="19"/>
  <c r="AZ159" i="19" s="1"/>
  <c r="W87" i="19"/>
  <c r="W168" i="19" s="1"/>
  <c r="BL78" i="19"/>
  <c r="BL159" i="19" s="1"/>
  <c r="CI78" i="19"/>
  <c r="CI159" i="19" s="1"/>
  <c r="N186" i="20"/>
  <c r="N176" i="20" s="1"/>
  <c r="N149" i="20"/>
  <c r="N95" i="20"/>
  <c r="N122" i="20" s="1"/>
  <c r="AV78" i="19"/>
  <c r="AV159" i="19" s="1"/>
  <c r="V81" i="20"/>
  <c r="V162" i="20" s="1"/>
  <c r="V90" i="20"/>
  <c r="V171" i="20" s="1"/>
  <c r="W81" i="19"/>
  <c r="W162" i="19" s="1"/>
  <c r="W89" i="19"/>
  <c r="W170" i="19" s="1"/>
  <c r="O95" i="19"/>
  <c r="O122" i="19" s="1"/>
  <c r="O149" i="19"/>
  <c r="O186" i="19"/>
  <c r="O176" i="19" s="1"/>
  <c r="BS78" i="19"/>
  <c r="BS159" i="19" s="1"/>
  <c r="BL77" i="19"/>
  <c r="BL158" i="19" s="1"/>
  <c r="W77" i="19"/>
  <c r="W158" i="19" s="1"/>
  <c r="CF77" i="19"/>
  <c r="CF158" i="19" s="1"/>
  <c r="K78" i="19"/>
  <c r="K159" i="19" s="1"/>
  <c r="AX50" i="19"/>
  <c r="AY242" i="19" s="1"/>
  <c r="BR50" i="19"/>
  <c r="BS242" i="19" s="1"/>
  <c r="BE50" i="19"/>
  <c r="BF242" i="19" s="1"/>
  <c r="CD50" i="19"/>
  <c r="CE242" i="19" s="1"/>
  <c r="BI50" i="19"/>
  <c r="BJ242" i="19" s="1"/>
  <c r="AP50" i="19"/>
  <c r="AQ242" i="19" s="1"/>
  <c r="BC50" i="19"/>
  <c r="BD242" i="19" s="1"/>
  <c r="BS50" i="19"/>
  <c r="BT242" i="19" s="1"/>
  <c r="BY50" i="19"/>
  <c r="BZ242" i="19" s="1"/>
  <c r="CH78" i="19"/>
  <c r="CH159" i="19" s="1"/>
  <c r="BZ78" i="19"/>
  <c r="BZ159" i="19" s="1"/>
  <c r="BG50" i="19"/>
  <c r="BH242" i="19" s="1"/>
  <c r="X50" i="19"/>
  <c r="Y242" i="19" s="1"/>
  <c r="AO50" i="19"/>
  <c r="AP242" i="19" s="1"/>
  <c r="D50" i="19"/>
  <c r="E242" i="19" s="1"/>
  <c r="C50" i="19"/>
  <c r="D242" i="19" s="1"/>
  <c r="BF50" i="19"/>
  <c r="BG242" i="19" s="1"/>
  <c r="BA50" i="19"/>
  <c r="BB242" i="19" s="1"/>
  <c r="BK50" i="19"/>
  <c r="BL242" i="19" s="1"/>
  <c r="R50" i="19"/>
  <c r="S242" i="19" s="1"/>
  <c r="S50" i="19"/>
  <c r="T242" i="19" s="1"/>
  <c r="BP50" i="19"/>
  <c r="BQ242" i="19" s="1"/>
  <c r="AR50" i="19"/>
  <c r="AS242" i="19" s="1"/>
  <c r="AX78" i="19"/>
  <c r="AX159" i="19" s="1"/>
  <c r="CC78" i="19"/>
  <c r="CC159" i="19" s="1"/>
  <c r="F78" i="19"/>
  <c r="F159" i="19" s="1"/>
  <c r="B161" i="20"/>
  <c r="B134" i="20" s="1"/>
  <c r="B80" i="20"/>
  <c r="A25" i="20"/>
  <c r="B24" i="20"/>
  <c r="V84" i="20"/>
  <c r="V165" i="20" s="1"/>
  <c r="X41" i="20"/>
  <c r="W63" i="20"/>
  <c r="X255" i="20" s="1"/>
  <c r="W64" i="20"/>
  <c r="X256" i="20" s="1"/>
  <c r="W65" i="20"/>
  <c r="X257" i="20" s="1"/>
  <c r="W62" i="20"/>
  <c r="X254" i="20" s="1"/>
  <c r="W61" i="20"/>
  <c r="X253" i="20" s="1"/>
  <c r="W57" i="20"/>
  <c r="X249" i="20" s="1"/>
  <c r="W56" i="20"/>
  <c r="X248" i="20" s="1"/>
  <c r="W55" i="20"/>
  <c r="X247" i="20" s="1"/>
  <c r="W54" i="20"/>
  <c r="X246" i="20" s="1"/>
  <c r="W53" i="20"/>
  <c r="X245" i="20" s="1"/>
  <c r="W59" i="20"/>
  <c r="X251" i="20" s="1"/>
  <c r="W60" i="20"/>
  <c r="X252" i="20" s="1"/>
  <c r="W58" i="20"/>
  <c r="X250" i="20" s="1"/>
  <c r="I78" i="19"/>
  <c r="I159" i="19" s="1"/>
  <c r="W80" i="19"/>
  <c r="W161" i="19" s="1"/>
  <c r="W88" i="19"/>
  <c r="W169" i="19" s="1"/>
  <c r="P68" i="19"/>
  <c r="P12" i="19"/>
  <c r="Q13" i="19"/>
  <c r="V78" i="19"/>
  <c r="V159" i="19" s="1"/>
  <c r="BA78" i="19"/>
  <c r="BA159" i="19" s="1"/>
  <c r="BD245" i="20" l="1"/>
  <c r="BC80" i="20"/>
  <c r="BC161" i="20" s="1"/>
  <c r="BH243" i="2"/>
  <c r="BG78" i="2"/>
  <c r="BG159" i="2" s="1"/>
  <c r="BX49" i="19"/>
  <c r="BY241" i="19" s="1"/>
  <c r="S49" i="19"/>
  <c r="T241" i="19" s="1"/>
  <c r="CN244" i="2"/>
  <c r="CM79" i="2"/>
  <c r="CM160" i="2" s="1"/>
  <c r="CL244" i="2"/>
  <c r="CK79" i="2"/>
  <c r="CK160" i="2" s="1"/>
  <c r="K246" i="20"/>
  <c r="J81" i="20"/>
  <c r="J162" i="20" s="1"/>
  <c r="AC244" i="2"/>
  <c r="AB79" i="2"/>
  <c r="AB160" i="2" s="1"/>
  <c r="S245" i="20"/>
  <c r="R80" i="20"/>
  <c r="R161" i="20" s="1"/>
  <c r="BG245" i="20"/>
  <c r="BF80" i="20"/>
  <c r="BF161" i="20" s="1"/>
  <c r="BS245" i="20"/>
  <c r="BR80" i="20"/>
  <c r="BR161" i="20" s="1"/>
  <c r="CP245" i="20"/>
  <c r="CO80" i="20"/>
  <c r="CO161" i="20" s="1"/>
  <c r="CC245" i="20"/>
  <c r="CB80" i="20"/>
  <c r="CB161" i="20" s="1"/>
  <c r="CF245" i="20"/>
  <c r="CE80" i="20"/>
  <c r="CE161" i="20" s="1"/>
  <c r="M245" i="20"/>
  <c r="L80" i="20"/>
  <c r="L161" i="20"/>
  <c r="BA245" i="20"/>
  <c r="AZ80" i="20"/>
  <c r="AZ161" i="20" s="1"/>
  <c r="B106" i="20"/>
  <c r="CT52" i="20"/>
  <c r="BM52" i="20" s="1"/>
  <c r="CP52" i="20"/>
  <c r="AT52" i="20"/>
  <c r="CG52" i="20"/>
  <c r="BD52" i="20"/>
  <c r="BB52" i="20"/>
  <c r="B51" i="20"/>
  <c r="CC52" i="20"/>
  <c r="AX52" i="20"/>
  <c r="AU52" i="20"/>
  <c r="BG52" i="20"/>
  <c r="K52" i="20"/>
  <c r="CN52" i="20"/>
  <c r="BI52" i="20"/>
  <c r="BU52" i="20"/>
  <c r="CK52" i="20"/>
  <c r="AW52" i="20"/>
  <c r="AY52" i="20"/>
  <c r="BK52" i="20"/>
  <c r="C52" i="20"/>
  <c r="G52" i="20"/>
  <c r="CS52" i="20"/>
  <c r="CS79" i="20" s="1"/>
  <c r="CS160" i="20" s="1"/>
  <c r="J52" i="20"/>
  <c r="CL52" i="20"/>
  <c r="CM52" i="20"/>
  <c r="BH52" i="20"/>
  <c r="D52" i="20"/>
  <c r="CA52" i="20"/>
  <c r="BV52" i="20"/>
  <c r="CD52" i="20"/>
  <c r="BO52" i="20"/>
  <c r="CE52" i="20"/>
  <c r="BR52" i="20"/>
  <c r="CQ52" i="20"/>
  <c r="BP52" i="20"/>
  <c r="BQ52" i="20"/>
  <c r="CO52" i="20"/>
  <c r="BN52" i="20"/>
  <c r="AS52" i="20"/>
  <c r="BA52" i="20"/>
  <c r="CH52" i="20"/>
  <c r="BF52" i="20"/>
  <c r="BZ52" i="20"/>
  <c r="I52" i="20"/>
  <c r="BT52" i="20"/>
  <c r="CB52" i="20"/>
  <c r="CJ52" i="20"/>
  <c r="F52" i="20"/>
  <c r="AO52" i="20"/>
  <c r="BX52" i="20"/>
  <c r="M52" i="20"/>
  <c r="N52" i="20"/>
  <c r="O52" i="20"/>
  <c r="P52" i="20"/>
  <c r="Q52" i="20"/>
  <c r="S52" i="20"/>
  <c r="U52" i="20"/>
  <c r="V52" i="20"/>
  <c r="AW80" i="20"/>
  <c r="AW161" i="20" s="1"/>
  <c r="AX245" i="20"/>
  <c r="BU246" i="20"/>
  <c r="BT162" i="20"/>
  <c r="BT81" i="20"/>
  <c r="B317" i="2"/>
  <c r="C244" i="2"/>
  <c r="CI246" i="20"/>
  <c r="CH81" i="20"/>
  <c r="CH162" i="20" s="1"/>
  <c r="CR244" i="2"/>
  <c r="CQ79" i="2"/>
  <c r="CQ160" i="2" s="1"/>
  <c r="AJ243" i="2"/>
  <c r="AI78" i="2"/>
  <c r="AI159" i="2" s="1"/>
  <c r="BM243" i="2"/>
  <c r="BL78" i="2"/>
  <c r="BL159" i="2" s="1"/>
  <c r="CH243" i="2"/>
  <c r="CG78" i="2"/>
  <c r="CG159" i="2" s="1"/>
  <c r="BZ243" i="2"/>
  <c r="BY78" i="2"/>
  <c r="BY159" i="2" s="1"/>
  <c r="D243" i="2"/>
  <c r="E215" i="2"/>
  <c r="I215" i="2" s="1"/>
  <c r="J215" i="2" s="1"/>
  <c r="D215" i="2"/>
  <c r="Y243" i="2"/>
  <c r="X78" i="2"/>
  <c r="X159" i="2" s="1"/>
  <c r="AE243" i="2"/>
  <c r="AD78" i="2"/>
  <c r="AD159" i="2" s="1"/>
  <c r="E243" i="2"/>
  <c r="D78" i="2"/>
  <c r="D159" i="2" s="1"/>
  <c r="Z243" i="2"/>
  <c r="Y78" i="2"/>
  <c r="Y159" i="2"/>
  <c r="AA243" i="2"/>
  <c r="Z78" i="2"/>
  <c r="Z159" i="2" s="1"/>
  <c r="BP243" i="2"/>
  <c r="BO78" i="2"/>
  <c r="BO159" i="2" s="1"/>
  <c r="CK243" i="2"/>
  <c r="CJ159" i="2"/>
  <c r="CJ78" i="2"/>
  <c r="CG246" i="20"/>
  <c r="CF81" i="20"/>
  <c r="CF162" i="20" s="1"/>
  <c r="K219" i="20"/>
  <c r="F219" i="20"/>
  <c r="AI244" i="2"/>
  <c r="AH79" i="2"/>
  <c r="AH160" i="2" s="1"/>
  <c r="CH244" i="2"/>
  <c r="CG79" i="2"/>
  <c r="CG160" i="2" s="1"/>
  <c r="G246" i="20"/>
  <c r="F81" i="20"/>
  <c r="F162" i="20" s="1"/>
  <c r="B316" i="20"/>
  <c r="CI244" i="2"/>
  <c r="CH79" i="2"/>
  <c r="CH160" i="2" s="1"/>
  <c r="BQ246" i="20"/>
  <c r="BP81" i="20"/>
  <c r="BP162" i="20" s="1"/>
  <c r="Y244" i="2"/>
  <c r="X79" i="2"/>
  <c r="X160" i="2" s="1"/>
  <c r="BI246" i="20"/>
  <c r="BH81" i="20"/>
  <c r="BH162" i="20" s="1"/>
  <c r="AM244" i="2"/>
  <c r="AL79" i="2"/>
  <c r="AL160" i="2" s="1"/>
  <c r="BU244" i="2"/>
  <c r="BT79" i="2"/>
  <c r="BT160" i="2" s="1"/>
  <c r="V246" i="20"/>
  <c r="U81" i="20"/>
  <c r="U162" i="20" s="1"/>
  <c r="S244" i="2"/>
  <c r="R79" i="2"/>
  <c r="R160" i="2" s="1"/>
  <c r="X244" i="2"/>
  <c r="W79" i="2"/>
  <c r="W160" i="2" s="1"/>
  <c r="BN246" i="20"/>
  <c r="BM81" i="20"/>
  <c r="BM162" i="20"/>
  <c r="R245" i="20"/>
  <c r="Q80" i="20"/>
  <c r="Q161" i="20" s="1"/>
  <c r="AR245" i="20"/>
  <c r="AQ80" i="20"/>
  <c r="AQ161" i="20" s="1"/>
  <c r="CQ245" i="20"/>
  <c r="CP80" i="20"/>
  <c r="CP161" i="20" s="1"/>
  <c r="L245" i="20"/>
  <c r="K80" i="20"/>
  <c r="K161" i="20"/>
  <c r="AZ245" i="20"/>
  <c r="AY80" i="20"/>
  <c r="AY161" i="20" s="1"/>
  <c r="BQ245" i="20"/>
  <c r="BP80" i="20"/>
  <c r="BP161" i="20" s="1"/>
  <c r="E245" i="20"/>
  <c r="D80" i="20"/>
  <c r="D161" i="20" s="1"/>
  <c r="BW245" i="20"/>
  <c r="BV80" i="20"/>
  <c r="BV161" i="20" s="1"/>
  <c r="CL80" i="20"/>
  <c r="CL161" i="20" s="1"/>
  <c r="CM245" i="20"/>
  <c r="D245" i="20"/>
  <c r="D217" i="20"/>
  <c r="E217" i="20"/>
  <c r="I217" i="20" s="1"/>
  <c r="J217" i="20" s="1"/>
  <c r="C245" i="20"/>
  <c r="AX246" i="20"/>
  <c r="AW81" i="20"/>
  <c r="AW162" i="20"/>
  <c r="O216" i="2"/>
  <c r="M219" i="2"/>
  <c r="G219" i="2" s="1"/>
  <c r="CB246" i="20"/>
  <c r="CA81" i="20"/>
  <c r="CA162" i="20" s="1"/>
  <c r="BW244" i="2"/>
  <c r="BV79" i="2"/>
  <c r="BV160" i="2" s="1"/>
  <c r="BY243" i="2"/>
  <c r="BX78" i="2"/>
  <c r="BX159" i="2" s="1"/>
  <c r="AF243" i="2"/>
  <c r="AE78" i="2"/>
  <c r="AE159" i="2" s="1"/>
  <c r="BA243" i="2"/>
  <c r="AZ78" i="2"/>
  <c r="AZ159" i="2" s="1"/>
  <c r="AS243" i="2"/>
  <c r="AR78" i="2"/>
  <c r="AR159" i="2" s="1"/>
  <c r="BN243" i="2"/>
  <c r="BM78" i="2"/>
  <c r="BM159" i="2" s="1"/>
  <c r="BK243" i="2"/>
  <c r="BJ78" i="2"/>
  <c r="BJ159" i="2" s="1"/>
  <c r="AT243" i="2"/>
  <c r="AS78" i="2"/>
  <c r="AS159" i="2" s="1"/>
  <c r="AI243" i="2"/>
  <c r="AH78" i="2"/>
  <c r="AH159" i="2" s="1"/>
  <c r="CJ243" i="2"/>
  <c r="CI78" i="2"/>
  <c r="CI159" i="2" s="1"/>
  <c r="N243" i="2"/>
  <c r="M78" i="2"/>
  <c r="M159" i="2" s="1"/>
  <c r="AX51" i="2"/>
  <c r="BC51" i="2"/>
  <c r="AZ246" i="20"/>
  <c r="AY81" i="20"/>
  <c r="AY162" i="20" s="1"/>
  <c r="P246" i="20"/>
  <c r="O81" i="20"/>
  <c r="O162" i="20" s="1"/>
  <c r="N244" i="2"/>
  <c r="M79" i="2"/>
  <c r="M160" i="2"/>
  <c r="BI244" i="2"/>
  <c r="BH79" i="2"/>
  <c r="BH160" i="2" s="1"/>
  <c r="L246" i="20"/>
  <c r="K81" i="20"/>
  <c r="K162" i="20"/>
  <c r="O244" i="2"/>
  <c r="N79" i="2"/>
  <c r="N160" i="2" s="1"/>
  <c r="H244" i="2"/>
  <c r="G79" i="2"/>
  <c r="G160" i="2" s="1"/>
  <c r="AS246" i="20"/>
  <c r="AR81" i="20"/>
  <c r="AR162" i="20" s="1"/>
  <c r="AR244" i="2"/>
  <c r="AQ79" i="2"/>
  <c r="AQ160" i="2" s="1"/>
  <c r="AK244" i="2"/>
  <c r="AJ79" i="2"/>
  <c r="AJ160" i="2" s="1"/>
  <c r="BF246" i="20"/>
  <c r="BE81" i="20"/>
  <c r="BE162" i="20" s="1"/>
  <c r="R244" i="2"/>
  <c r="Q79" i="2"/>
  <c r="Q160" i="2" s="1"/>
  <c r="CN246" i="20"/>
  <c r="CM81" i="20"/>
  <c r="CM162" i="20" s="1"/>
  <c r="CO244" i="2"/>
  <c r="CN79" i="2"/>
  <c r="CN160" i="2" s="1"/>
  <c r="AW244" i="2"/>
  <c r="AV79" i="2"/>
  <c r="AV160" i="2" s="1"/>
  <c r="BO246" i="20"/>
  <c r="BN81" i="20"/>
  <c r="BN162" i="20" s="1"/>
  <c r="Q245" i="20"/>
  <c r="P80" i="20"/>
  <c r="P161" i="20" s="1"/>
  <c r="BF245" i="20"/>
  <c r="BE80" i="20"/>
  <c r="BE161" i="20" s="1"/>
  <c r="BP245" i="20"/>
  <c r="BO80" i="20"/>
  <c r="BO161" i="20" s="1"/>
  <c r="K245" i="20"/>
  <c r="J80" i="20"/>
  <c r="J161" i="20" s="1"/>
  <c r="CA245" i="20"/>
  <c r="BZ80" i="20"/>
  <c r="BZ161" i="20" s="1"/>
  <c r="CN245" i="20"/>
  <c r="CM80" i="20"/>
  <c r="CM161" i="20" s="1"/>
  <c r="BO245" i="20"/>
  <c r="BN80" i="20"/>
  <c r="BN161" i="20" s="1"/>
  <c r="CJ245" i="20"/>
  <c r="CI80" i="20"/>
  <c r="CI161" i="20" s="1"/>
  <c r="AT245" i="20"/>
  <c r="AS80" i="20"/>
  <c r="AS161" i="20" s="1"/>
  <c r="AW246" i="20"/>
  <c r="AV81" i="20"/>
  <c r="AV162" i="20" s="1"/>
  <c r="F216" i="2"/>
  <c r="K216" i="2"/>
  <c r="BA246" i="20"/>
  <c r="AZ81" i="20"/>
  <c r="AZ162" i="20" s="1"/>
  <c r="U244" i="2"/>
  <c r="T79" i="2"/>
  <c r="T160" i="2" s="1"/>
  <c r="AR243" i="2"/>
  <c r="AQ78" i="2"/>
  <c r="AQ159" i="2" s="1"/>
  <c r="CO51" i="2"/>
  <c r="S51" i="2"/>
  <c r="K51" i="2"/>
  <c r="AF51" i="2"/>
  <c r="BA51" i="2"/>
  <c r="L51" i="2"/>
  <c r="AG51" i="2"/>
  <c r="BF51" i="2"/>
  <c r="BW51" i="2"/>
  <c r="CR51" i="2"/>
  <c r="BR51" i="2"/>
  <c r="AU246" i="20"/>
  <c r="AT81" i="20"/>
  <c r="AT162" i="20" s="1"/>
  <c r="BL244" i="2"/>
  <c r="BK79" i="2"/>
  <c r="BK160" i="2" s="1"/>
  <c r="BX246" i="20"/>
  <c r="BW81" i="20"/>
  <c r="BW162" i="20" s="1"/>
  <c r="Y12" i="2"/>
  <c r="Y68" i="2"/>
  <c r="Z13" i="2"/>
  <c r="CK244" i="2"/>
  <c r="CJ79" i="2"/>
  <c r="CJ160" i="2" s="1"/>
  <c r="AS244" i="2"/>
  <c r="AR79" i="2"/>
  <c r="AR160" i="2" s="1"/>
  <c r="BY246" i="20"/>
  <c r="BX81" i="20"/>
  <c r="BX162" i="20"/>
  <c r="AA244" i="2"/>
  <c r="Z79" i="2"/>
  <c r="Z160" i="2" s="1"/>
  <c r="BZ244" i="2"/>
  <c r="BY79" i="2"/>
  <c r="BY160" i="2" s="1"/>
  <c r="BV246" i="20"/>
  <c r="BU81" i="20"/>
  <c r="BU162" i="20" s="1"/>
  <c r="CM246" i="20"/>
  <c r="CL81" i="20"/>
  <c r="CL162" i="20" s="1"/>
  <c r="AL244" i="2"/>
  <c r="AK79" i="2"/>
  <c r="AK160" i="2" s="1"/>
  <c r="CC246" i="20"/>
  <c r="CB81" i="20"/>
  <c r="CB162" i="20" s="1"/>
  <c r="CF244" i="2"/>
  <c r="CE79" i="2"/>
  <c r="CE160" i="2" s="1"/>
  <c r="BP244" i="2"/>
  <c r="BO79" i="2"/>
  <c r="BO160" i="2" s="1"/>
  <c r="AP246" i="20"/>
  <c r="AO81" i="20"/>
  <c r="AO162" i="20" s="1"/>
  <c r="O53" i="20"/>
  <c r="AV53" i="20"/>
  <c r="F53" i="20"/>
  <c r="BB53" i="20"/>
  <c r="BH53" i="20"/>
  <c r="CC53" i="20"/>
  <c r="BD53" i="20"/>
  <c r="CH53" i="20"/>
  <c r="I246" i="20"/>
  <c r="H81" i="20"/>
  <c r="H162" i="20" s="1"/>
  <c r="AT246" i="20"/>
  <c r="AS81" i="20"/>
  <c r="AS162" i="20" s="1"/>
  <c r="O246" i="20"/>
  <c r="N81" i="20"/>
  <c r="N162" i="20" s="1"/>
  <c r="AB244" i="2"/>
  <c r="AA79" i="2"/>
  <c r="AA160" i="2" s="1"/>
  <c r="AG244" i="2"/>
  <c r="AF79" i="2"/>
  <c r="AF160" i="2" s="1"/>
  <c r="V51" i="2"/>
  <c r="BH51" i="2"/>
  <c r="CS51" i="2"/>
  <c r="BU51" i="2"/>
  <c r="CP51" i="2"/>
  <c r="T51" i="2"/>
  <c r="N51" i="2"/>
  <c r="CQ51" i="2"/>
  <c r="U51" i="2"/>
  <c r="J51" i="2"/>
  <c r="BK51" i="2"/>
  <c r="CF51" i="2"/>
  <c r="AV246" i="20"/>
  <c r="AU81" i="20"/>
  <c r="AU162" i="20" s="1"/>
  <c r="AH244" i="2"/>
  <c r="AG79" i="2"/>
  <c r="AG160" i="2"/>
  <c r="CH246" i="20"/>
  <c r="CG162" i="20"/>
  <c r="CG81" i="20"/>
  <c r="X95" i="2"/>
  <c r="X122" i="2" s="1"/>
  <c r="X186" i="2"/>
  <c r="X176" i="2" s="1"/>
  <c r="X149" i="2"/>
  <c r="AJ244" i="2"/>
  <c r="AI79" i="2"/>
  <c r="AI160" i="2" s="1"/>
  <c r="CJ244" i="2"/>
  <c r="CI79" i="2"/>
  <c r="CI160" i="2" s="1"/>
  <c r="CK246" i="20"/>
  <c r="CJ162" i="20"/>
  <c r="CJ81" i="20"/>
  <c r="F244" i="2"/>
  <c r="E79" i="2"/>
  <c r="E160" i="2" s="1"/>
  <c r="BE244" i="2"/>
  <c r="BD79" i="2"/>
  <c r="BD160" i="2" s="1"/>
  <c r="E246" i="20"/>
  <c r="D81" i="20"/>
  <c r="D162" i="20"/>
  <c r="S246" i="20"/>
  <c r="R81" i="20"/>
  <c r="R162" i="20" s="1"/>
  <c r="CA244" i="2"/>
  <c r="BZ79" i="2"/>
  <c r="BZ160" i="2" s="1"/>
  <c r="BW246" i="20"/>
  <c r="BV81" i="20"/>
  <c r="BV162" i="20" s="1"/>
  <c r="AY244" i="2"/>
  <c r="AX79" i="2"/>
  <c r="AX160" i="2" s="1"/>
  <c r="AZ244" i="2"/>
  <c r="AY79" i="2"/>
  <c r="AY160" i="2" s="1"/>
  <c r="J246" i="20"/>
  <c r="I81" i="20"/>
  <c r="I162" i="20" s="1"/>
  <c r="O245" i="20"/>
  <c r="N80" i="20"/>
  <c r="N161" i="20" s="1"/>
  <c r="BY245" i="20"/>
  <c r="BX80" i="20"/>
  <c r="BX161" i="20" s="1"/>
  <c r="AV245" i="20"/>
  <c r="AU80" i="20"/>
  <c r="AU161" i="20" s="1"/>
  <c r="CR245" i="20"/>
  <c r="CQ80" i="20"/>
  <c r="CQ161" i="20" s="1"/>
  <c r="AY245" i="20"/>
  <c r="AX80" i="20"/>
  <c r="AX161" i="20" s="1"/>
  <c r="CO245" i="20"/>
  <c r="CN80" i="20"/>
  <c r="CN161" i="20" s="1"/>
  <c r="BH245" i="20"/>
  <c r="BG161" i="20"/>
  <c r="BG80" i="20"/>
  <c r="CS245" i="20"/>
  <c r="CR80" i="20"/>
  <c r="CR161" i="20" s="1"/>
  <c r="J245" i="20"/>
  <c r="I80" i="20"/>
  <c r="I161" i="20" s="1"/>
  <c r="BS246" i="20"/>
  <c r="BR81" i="20"/>
  <c r="BR162" i="20" s="1"/>
  <c r="CR246" i="20"/>
  <c r="CQ81" i="20"/>
  <c r="CQ162" i="20" s="1"/>
  <c r="BD246" i="20"/>
  <c r="BC81" i="20"/>
  <c r="BC162" i="20" s="1"/>
  <c r="W244" i="2"/>
  <c r="V79" i="2"/>
  <c r="V160" i="2" s="1"/>
  <c r="BT51" i="2"/>
  <c r="AA51" i="2"/>
  <c r="AN51" i="2"/>
  <c r="BI51" i="2"/>
  <c r="AT51" i="2"/>
  <c r="AO51" i="2"/>
  <c r="CL51" i="2"/>
  <c r="CE51" i="2"/>
  <c r="I51" i="2"/>
  <c r="R51" i="2"/>
  <c r="AY51" i="2"/>
  <c r="CP246" i="20"/>
  <c r="CO81" i="20"/>
  <c r="CO162" i="20"/>
  <c r="CM244" i="2"/>
  <c r="CL79" i="2"/>
  <c r="CL160" i="2" s="1"/>
  <c r="BJ246" i="20"/>
  <c r="BI81" i="20"/>
  <c r="BI162" i="20" s="1"/>
  <c r="AU244" i="2"/>
  <c r="AT79" i="2"/>
  <c r="AT160" i="2" s="1"/>
  <c r="L244" i="2"/>
  <c r="K79" i="2"/>
  <c r="K160" i="2" s="1"/>
  <c r="CE246" i="20"/>
  <c r="CD81" i="20"/>
  <c r="CD162" i="20" s="1"/>
  <c r="R246" i="20"/>
  <c r="Q81" i="20"/>
  <c r="Q162" i="20" s="1"/>
  <c r="AF244" i="2"/>
  <c r="AE79" i="2"/>
  <c r="AE160" i="2"/>
  <c r="CP244" i="2"/>
  <c r="CO79" i="2"/>
  <c r="CO160" i="2" s="1"/>
  <c r="CD246" i="20"/>
  <c r="CC81" i="20"/>
  <c r="CC162" i="20" s="1"/>
  <c r="B241" i="19"/>
  <c r="B314" i="19" s="1"/>
  <c r="B212" i="19"/>
  <c r="BF244" i="2"/>
  <c r="BE79" i="2"/>
  <c r="BE160" i="2" s="1"/>
  <c r="CF246" i="20"/>
  <c r="CE81" i="20"/>
  <c r="CE162" i="20" s="1"/>
  <c r="CB244" i="2"/>
  <c r="CA79" i="2"/>
  <c r="CA160" i="2" s="1"/>
  <c r="V245" i="20"/>
  <c r="U80" i="20"/>
  <c r="U161" i="20" s="1"/>
  <c r="N245" i="20"/>
  <c r="M80" i="20"/>
  <c r="M161" i="20" s="1"/>
  <c r="BB245" i="20"/>
  <c r="BA80" i="20"/>
  <c r="BA161" i="20" s="1"/>
  <c r="BZ245" i="20"/>
  <c r="BY80" i="20"/>
  <c r="BY161" i="20" s="1"/>
  <c r="AP245" i="20"/>
  <c r="AO80" i="20"/>
  <c r="AO161" i="20" s="1"/>
  <c r="BJ245" i="20"/>
  <c r="BI80" i="20"/>
  <c r="BI161" i="20" s="1"/>
  <c r="AU245" i="20"/>
  <c r="AT161" i="20"/>
  <c r="AT80" i="20"/>
  <c r="BK245" i="20"/>
  <c r="BJ161" i="20"/>
  <c r="BJ80" i="20"/>
  <c r="CE245" i="20"/>
  <c r="CD80" i="20"/>
  <c r="CD161" i="20" s="1"/>
  <c r="E53" i="20"/>
  <c r="V53" i="20"/>
  <c r="BT246" i="20"/>
  <c r="BS81" i="20"/>
  <c r="BS162" i="20" s="1"/>
  <c r="CS246" i="20"/>
  <c r="CR81" i="20"/>
  <c r="CR162" i="20" s="1"/>
  <c r="BM246" i="20"/>
  <c r="BL81" i="20"/>
  <c r="BL162" i="20" s="1"/>
  <c r="CS244" i="2"/>
  <c r="CR79" i="2"/>
  <c r="CR160" i="2" s="1"/>
  <c r="AU51" i="2"/>
  <c r="AM51" i="2"/>
  <c r="CK51" i="2"/>
  <c r="CC51" i="2"/>
  <c r="G51" i="2"/>
  <c r="AB51" i="2"/>
  <c r="BU50" i="2"/>
  <c r="N50" i="2"/>
  <c r="K50" i="2"/>
  <c r="AS50" i="2"/>
  <c r="AU50" i="2"/>
  <c r="AQ50" i="2"/>
  <c r="V50" i="2"/>
  <c r="CT50" i="2"/>
  <c r="T50" i="2" s="1"/>
  <c r="CB50" i="2"/>
  <c r="BS50" i="2"/>
  <c r="BW50" i="2"/>
  <c r="B104" i="2"/>
  <c r="B49" i="2"/>
  <c r="CQ50" i="2"/>
  <c r="CE50" i="2"/>
  <c r="BF50" i="2"/>
  <c r="CN50" i="2"/>
  <c r="O50" i="2"/>
  <c r="BV50" i="2"/>
  <c r="H51" i="2"/>
  <c r="AC51" i="2"/>
  <c r="AP51" i="2"/>
  <c r="BS51" i="2"/>
  <c r="CN51" i="2"/>
  <c r="BB51" i="2"/>
  <c r="BZ246" i="20"/>
  <c r="BY81" i="20"/>
  <c r="BY162" i="20" s="1"/>
  <c r="BB244" i="2"/>
  <c r="BA79" i="2"/>
  <c r="BA160" i="2" s="1"/>
  <c r="M246" i="20"/>
  <c r="L81" i="20"/>
  <c r="L162" i="20" s="1"/>
  <c r="CL246" i="20"/>
  <c r="CK81" i="20"/>
  <c r="CK162" i="20" s="1"/>
  <c r="Z244" i="2"/>
  <c r="Y79" i="2"/>
  <c r="Y160" i="2" s="1"/>
  <c r="BE246" i="20"/>
  <c r="BD81" i="20"/>
  <c r="BD162" i="20" s="1"/>
  <c r="BG244" i="2"/>
  <c r="BF79" i="2"/>
  <c r="BF160" i="2" s="1"/>
  <c r="BP246" i="20"/>
  <c r="BO81" i="20"/>
  <c r="BO162" i="20" s="1"/>
  <c r="BR244" i="2"/>
  <c r="BQ79" i="2"/>
  <c r="BQ160" i="2" s="1"/>
  <c r="BG246" i="20"/>
  <c r="BF81" i="20"/>
  <c r="BF162" i="20" s="1"/>
  <c r="BS244" i="2"/>
  <c r="BR79" i="2"/>
  <c r="BR160" i="2" s="1"/>
  <c r="U245" i="20"/>
  <c r="T80" i="20"/>
  <c r="T161" i="20" s="1"/>
  <c r="BL245" i="20"/>
  <c r="BK80" i="20"/>
  <c r="BK161" i="20" s="1"/>
  <c r="BU245" i="20"/>
  <c r="BT80" i="20"/>
  <c r="BT161" i="20" s="1"/>
  <c r="AS245" i="20"/>
  <c r="AR80" i="20"/>
  <c r="AR161" i="20" s="1"/>
  <c r="CS161" i="20"/>
  <c r="CS80" i="20"/>
  <c r="I245" i="20"/>
  <c r="H161" i="20"/>
  <c r="H80" i="20"/>
  <c r="BM245" i="20"/>
  <c r="BL80" i="20"/>
  <c r="BL161" i="20" s="1"/>
  <c r="CK245" i="20"/>
  <c r="CJ80" i="20"/>
  <c r="CJ161" i="20" s="1"/>
  <c r="CG245" i="20"/>
  <c r="CF161" i="20"/>
  <c r="CF80" i="20"/>
  <c r="BR245" i="20"/>
  <c r="BQ80" i="20"/>
  <c r="BQ161" i="20" s="1"/>
  <c r="U246" i="20"/>
  <c r="T81" i="20"/>
  <c r="T162" i="20" s="1"/>
  <c r="BB246" i="20"/>
  <c r="BA81" i="20"/>
  <c r="BA162" i="20" s="1"/>
  <c r="H246" i="20"/>
  <c r="G81" i="20"/>
  <c r="G162" i="20" s="1"/>
  <c r="P244" i="2"/>
  <c r="O79" i="2"/>
  <c r="O160" i="2" s="1"/>
  <c r="BQ243" i="2"/>
  <c r="BP78" i="2"/>
  <c r="BP159" i="2"/>
  <c r="CC243" i="2"/>
  <c r="CB78" i="2"/>
  <c r="CB159" i="2" s="1"/>
  <c r="BD51" i="2"/>
  <c r="AV51" i="2"/>
  <c r="BQ51" i="2"/>
  <c r="BZ51" i="2"/>
  <c r="AW51" i="2"/>
  <c r="BN51" i="2"/>
  <c r="CM51" i="2"/>
  <c r="Q51" i="2"/>
  <c r="CD51" i="2"/>
  <c r="BA244" i="2"/>
  <c r="AZ79" i="2"/>
  <c r="AZ160" i="2" s="1"/>
  <c r="BR246" i="20"/>
  <c r="BQ81" i="20"/>
  <c r="BQ162" i="20" s="1"/>
  <c r="BY244" i="2"/>
  <c r="BX79" i="2"/>
  <c r="BX160" i="2"/>
  <c r="BN244" i="2"/>
  <c r="BM79" i="2"/>
  <c r="BM160" i="2" s="1"/>
  <c r="BH246" i="20"/>
  <c r="BG81" i="20"/>
  <c r="BG162" i="20" s="1"/>
  <c r="Q246" i="20"/>
  <c r="P81" i="20"/>
  <c r="P162" i="20" s="1"/>
  <c r="BO244" i="2"/>
  <c r="BN79" i="2"/>
  <c r="BN160" i="2" s="1"/>
  <c r="CO246" i="20"/>
  <c r="CN81" i="20"/>
  <c r="CN162" i="20" s="1"/>
  <c r="E244" i="2"/>
  <c r="D79" i="2"/>
  <c r="D160" i="2" s="1"/>
  <c r="AR246" i="20"/>
  <c r="AQ81" i="20"/>
  <c r="AQ162" i="20" s="1"/>
  <c r="CB49" i="19"/>
  <c r="CC241" i="19" s="1"/>
  <c r="M49" i="19"/>
  <c r="N241" i="19" s="1"/>
  <c r="N49" i="19"/>
  <c r="O241" i="19" s="1"/>
  <c r="CP49" i="19"/>
  <c r="CQ241" i="19" s="1"/>
  <c r="BD244" i="2"/>
  <c r="BC79" i="2"/>
  <c r="BC160" i="2" s="1"/>
  <c r="AQ246" i="20"/>
  <c r="AP81" i="20"/>
  <c r="AP162" i="20" s="1"/>
  <c r="Q244" i="2"/>
  <c r="P79" i="2"/>
  <c r="P160" i="2" s="1"/>
  <c r="T245" i="20"/>
  <c r="S80" i="20"/>
  <c r="S161" i="20" s="1"/>
  <c r="CH245" i="20"/>
  <c r="CG80" i="20"/>
  <c r="CG161" i="20" s="1"/>
  <c r="CB245" i="20"/>
  <c r="CA80" i="20"/>
  <c r="CA161" i="20" s="1"/>
  <c r="BX245" i="20"/>
  <c r="BW80" i="20"/>
  <c r="BW161" i="20" s="1"/>
  <c r="BN245" i="20"/>
  <c r="BM161" i="20"/>
  <c r="BM80" i="20"/>
  <c r="BV245" i="20"/>
  <c r="BU80" i="20"/>
  <c r="BU161" i="20" s="1"/>
  <c r="CL245" i="20"/>
  <c r="CK80" i="20"/>
  <c r="CK161" i="20" s="1"/>
  <c r="AQ245" i="20"/>
  <c r="AP80" i="20"/>
  <c r="AP161" i="20" s="1"/>
  <c r="H245" i="20"/>
  <c r="G80" i="20"/>
  <c r="G161" i="20" s="1"/>
  <c r="BT245" i="20"/>
  <c r="BS80" i="20"/>
  <c r="BS161" i="20" s="1"/>
  <c r="BK246" i="20"/>
  <c r="BJ81" i="20"/>
  <c r="BJ162" i="20" s="1"/>
  <c r="N246" i="20"/>
  <c r="M81" i="20"/>
  <c r="M162" i="20" s="1"/>
  <c r="B243" i="2"/>
  <c r="B214" i="2"/>
  <c r="CQ246" i="20"/>
  <c r="CP81" i="20"/>
  <c r="CP162" i="20" s="1"/>
  <c r="BC244" i="2"/>
  <c r="BB79" i="2"/>
  <c r="BB160" i="2" s="1"/>
  <c r="AM243" i="2"/>
  <c r="AL78" i="2"/>
  <c r="AL159" i="2" s="1"/>
  <c r="G243" i="2"/>
  <c r="F78" i="2"/>
  <c r="F159" i="2" s="1"/>
  <c r="X243" i="2"/>
  <c r="W78" i="2"/>
  <c r="W159" i="2" s="1"/>
  <c r="P243" i="2"/>
  <c r="O78" i="2"/>
  <c r="O159" i="2" s="1"/>
  <c r="AK243" i="2"/>
  <c r="AJ78" i="2"/>
  <c r="AJ159" i="2" s="1"/>
  <c r="BF243" i="2"/>
  <c r="BE78" i="2"/>
  <c r="BE159" i="2" s="1"/>
  <c r="Q243" i="2"/>
  <c r="P78" i="2"/>
  <c r="P159" i="2" s="1"/>
  <c r="AL243" i="2"/>
  <c r="AK78" i="2"/>
  <c r="AK159" i="2" s="1"/>
  <c r="BW243" i="2"/>
  <c r="BV78" i="2"/>
  <c r="BV159" i="2" s="1"/>
  <c r="CB243" i="2"/>
  <c r="CA78" i="2"/>
  <c r="CA159" i="2"/>
  <c r="F243" i="2"/>
  <c r="E78" i="2"/>
  <c r="E159" i="2"/>
  <c r="CI243" i="2"/>
  <c r="CH78" i="2"/>
  <c r="CH159" i="2" s="1"/>
  <c r="G244" i="2"/>
  <c r="F79" i="2"/>
  <c r="F160" i="2" s="1"/>
  <c r="CA246" i="20"/>
  <c r="BZ81" i="20"/>
  <c r="BZ162" i="20" s="1"/>
  <c r="BX244" i="2"/>
  <c r="BW79" i="2"/>
  <c r="BW160" i="2" s="1"/>
  <c r="AN244" i="2"/>
  <c r="AM79" i="2"/>
  <c r="AM160" i="2" s="1"/>
  <c r="F246" i="20"/>
  <c r="E81" i="20"/>
  <c r="E162" i="20" s="1"/>
  <c r="B242" i="20"/>
  <c r="B213" i="20"/>
  <c r="M244" i="2"/>
  <c r="L79" i="2"/>
  <c r="L160" i="2" s="1"/>
  <c r="AY246" i="20"/>
  <c r="AX162" i="20"/>
  <c r="AX81" i="20"/>
  <c r="AT244" i="2"/>
  <c r="AS79" i="2"/>
  <c r="AS160" i="2" s="1"/>
  <c r="D246" i="20"/>
  <c r="D218" i="20"/>
  <c r="E218" i="20"/>
  <c r="I218" i="20" s="1"/>
  <c r="J218" i="20" s="1"/>
  <c r="O218" i="20" s="1"/>
  <c r="C246" i="20"/>
  <c r="W76" i="19"/>
  <c r="W157" i="19" s="1"/>
  <c r="W87" i="20"/>
  <c r="W168" i="20" s="1"/>
  <c r="W88" i="20"/>
  <c r="W169" i="20" s="1"/>
  <c r="A245" i="20"/>
  <c r="A217" i="20"/>
  <c r="A80" i="20"/>
  <c r="AO77" i="19"/>
  <c r="AO158" i="19" s="1"/>
  <c r="X77" i="19"/>
  <c r="X158" i="19" s="1"/>
  <c r="BH76" i="19"/>
  <c r="BH157" i="19" s="1"/>
  <c r="BV76" i="19"/>
  <c r="BV157" i="19" s="1"/>
  <c r="AY76" i="19"/>
  <c r="AY157" i="19" s="1"/>
  <c r="CP76" i="19"/>
  <c r="CP157" i="19" s="1"/>
  <c r="AQ76" i="19"/>
  <c r="AQ157" i="19" s="1"/>
  <c r="X79" i="19"/>
  <c r="X160" i="19" s="1"/>
  <c r="BG77" i="19"/>
  <c r="BG158" i="19" s="1"/>
  <c r="BR77" i="19"/>
  <c r="BR158" i="19" s="1"/>
  <c r="W85" i="20"/>
  <c r="W166" i="20" s="1"/>
  <c r="W84" i="20"/>
  <c r="W165" i="20" s="1"/>
  <c r="A24" i="20"/>
  <c r="B23" i="20"/>
  <c r="B160" i="20"/>
  <c r="B133" i="20" s="1"/>
  <c r="B79" i="20"/>
  <c r="AR77" i="19"/>
  <c r="AR158" i="19" s="1"/>
  <c r="D77" i="19"/>
  <c r="D158" i="19" s="1"/>
  <c r="CD77" i="19"/>
  <c r="CD158" i="19" s="1"/>
  <c r="CA77" i="19"/>
  <c r="CA158" i="19" s="1"/>
  <c r="CL49" i="19"/>
  <c r="CM241" i="19" s="1"/>
  <c r="BU49" i="19"/>
  <c r="BV241" i="19" s="1"/>
  <c r="CR49" i="19"/>
  <c r="CS241" i="19" s="1"/>
  <c r="BB49" i="19"/>
  <c r="BC241" i="19" s="1"/>
  <c r="Y49" i="19"/>
  <c r="Z241" i="19" s="1"/>
  <c r="AW49" i="19"/>
  <c r="AX241" i="19" s="1"/>
  <c r="AR49" i="19"/>
  <c r="AS241" i="19" s="1"/>
  <c r="CO49" i="19"/>
  <c r="CP241" i="19" s="1"/>
  <c r="O49" i="19"/>
  <c r="P241" i="19" s="1"/>
  <c r="CS49" i="19"/>
  <c r="CS76" i="19" s="1"/>
  <c r="CS157" i="19" s="1"/>
  <c r="X85" i="19"/>
  <c r="X166" i="19" s="1"/>
  <c r="Z41" i="19"/>
  <c r="Y65" i="19"/>
  <c r="Z257" i="19" s="1"/>
  <c r="Y62" i="19"/>
  <c r="Z254" i="19" s="1"/>
  <c r="Y61" i="19"/>
  <c r="Z253" i="19" s="1"/>
  <c r="Y60" i="19"/>
  <c r="Z252" i="19" s="1"/>
  <c r="Y64" i="19"/>
  <c r="Z256" i="19" s="1"/>
  <c r="Y63" i="19"/>
  <c r="Z255" i="19" s="1"/>
  <c r="Y59" i="19"/>
  <c r="Z251" i="19" s="1"/>
  <c r="Y58" i="19"/>
  <c r="Z250" i="19" s="1"/>
  <c r="Y57" i="19"/>
  <c r="Z249" i="19" s="1"/>
  <c r="Y55" i="19"/>
  <c r="Z247" i="19" s="1"/>
  <c r="Y56" i="19"/>
  <c r="Z248" i="19" s="1"/>
  <c r="Y54" i="19"/>
  <c r="Z246" i="19" s="1"/>
  <c r="Y53" i="19"/>
  <c r="Z245" i="19" s="1"/>
  <c r="Y52" i="19"/>
  <c r="Z244" i="19" s="1"/>
  <c r="Y51" i="19"/>
  <c r="Z243" i="19" s="1"/>
  <c r="CO77" i="19"/>
  <c r="CO158" i="19" s="1"/>
  <c r="BV77" i="19"/>
  <c r="BV158" i="19" s="1"/>
  <c r="Y50" i="19"/>
  <c r="Z242" i="19" s="1"/>
  <c r="A218" i="2"/>
  <c r="A246" i="2"/>
  <c r="A81" i="2"/>
  <c r="CE77" i="19"/>
  <c r="CE158" i="19" s="1"/>
  <c r="BX77" i="19"/>
  <c r="BX158" i="19" s="1"/>
  <c r="CM77" i="19"/>
  <c r="CM158" i="19" s="1"/>
  <c r="BQ77" i="19"/>
  <c r="BQ158" i="19" s="1"/>
  <c r="CP77" i="19"/>
  <c r="CP158" i="19" s="1"/>
  <c r="F352" i="19"/>
  <c r="O186" i="20"/>
  <c r="O176" i="20" s="1"/>
  <c r="O149" i="20"/>
  <c r="O95" i="20"/>
  <c r="O122" i="20" s="1"/>
  <c r="BM77" i="19"/>
  <c r="BM158" i="19" s="1"/>
  <c r="E76" i="19"/>
  <c r="E157" i="19" s="1"/>
  <c r="BO76" i="19"/>
  <c r="BO157" i="19" s="1"/>
  <c r="BQ76" i="19"/>
  <c r="BQ157" i="19" s="1"/>
  <c r="CH76" i="19"/>
  <c r="CH157" i="19" s="1"/>
  <c r="J76" i="19"/>
  <c r="J157" i="19" s="1"/>
  <c r="W86" i="20"/>
  <c r="W167" i="20" s="1"/>
  <c r="S77" i="19"/>
  <c r="S158" i="19" s="1"/>
  <c r="A23" i="19"/>
  <c r="B22" i="19"/>
  <c r="B159" i="19"/>
  <c r="B132" i="19" s="1"/>
  <c r="B78" i="19"/>
  <c r="CH77" i="19"/>
  <c r="CH158" i="19" s="1"/>
  <c r="X76" i="19"/>
  <c r="X157" i="19" s="1"/>
  <c r="CI77" i="19"/>
  <c r="CI158" i="19" s="1"/>
  <c r="CD76" i="19"/>
  <c r="CD157" i="19" s="1"/>
  <c r="M76" i="19"/>
  <c r="M157" i="19" s="1"/>
  <c r="BX76" i="19"/>
  <c r="BX157" i="19" s="1"/>
  <c r="S76" i="19"/>
  <c r="S157" i="19" s="1"/>
  <c r="F76" i="19"/>
  <c r="F157" i="19" s="1"/>
  <c r="X81" i="19"/>
  <c r="X162" i="19" s="1"/>
  <c r="W91" i="20"/>
  <c r="W172" i="20" s="1"/>
  <c r="BI76" i="19"/>
  <c r="BI157" i="19" s="1"/>
  <c r="CC77" i="19"/>
  <c r="CC158" i="19" s="1"/>
  <c r="P77" i="19"/>
  <c r="P158" i="19" s="1"/>
  <c r="CK77" i="19"/>
  <c r="CK158" i="19" s="1"/>
  <c r="BP77" i="19"/>
  <c r="BP158" i="19" s="1"/>
  <c r="AV76" i="19"/>
  <c r="AV157" i="19" s="1"/>
  <c r="BY76" i="19"/>
  <c r="BY157" i="19" s="1"/>
  <c r="N76" i="19"/>
  <c r="N157" i="19" s="1"/>
  <c r="AU76" i="19"/>
  <c r="AU157" i="19" s="1"/>
  <c r="X90" i="19"/>
  <c r="X171" i="19" s="1"/>
  <c r="W92" i="20"/>
  <c r="W173" i="20" s="1"/>
  <c r="R77" i="19"/>
  <c r="R158" i="19" s="1"/>
  <c r="BS77" i="19"/>
  <c r="BS158" i="19" s="1"/>
  <c r="CQ76" i="19"/>
  <c r="CQ157" i="19" s="1"/>
  <c r="AP76" i="19"/>
  <c r="AP157" i="19" s="1"/>
  <c r="AS76" i="19"/>
  <c r="AS157" i="19" s="1"/>
  <c r="X87" i="19"/>
  <c r="X168" i="19" s="1"/>
  <c r="CN77" i="19"/>
  <c r="CN158" i="19" s="1"/>
  <c r="BZ76" i="19"/>
  <c r="BZ157" i="19" s="1"/>
  <c r="I49" i="19"/>
  <c r="J241" i="19" s="1"/>
  <c r="D49" i="19"/>
  <c r="E241" i="19" s="1"/>
  <c r="BP49" i="19"/>
  <c r="BQ241" i="19" s="1"/>
  <c r="CJ49" i="19"/>
  <c r="CK241" i="19" s="1"/>
  <c r="CG49" i="19"/>
  <c r="CH241" i="19" s="1"/>
  <c r="X88" i="19"/>
  <c r="X169" i="19" s="1"/>
  <c r="W90" i="20"/>
  <c r="W171" i="20" s="1"/>
  <c r="BC77" i="19"/>
  <c r="BC158" i="19" s="1"/>
  <c r="AS77" i="19"/>
  <c r="AS158" i="19" s="1"/>
  <c r="BO77" i="19"/>
  <c r="BO158" i="19" s="1"/>
  <c r="CF49" i="19"/>
  <c r="CG241" i="19" s="1"/>
  <c r="BC49" i="19"/>
  <c r="BD241" i="19" s="1"/>
  <c r="BE49" i="19"/>
  <c r="BF241" i="19" s="1"/>
  <c r="K49" i="19"/>
  <c r="L241" i="19" s="1"/>
  <c r="BG49" i="19"/>
  <c r="BH241" i="19" s="1"/>
  <c r="BM49" i="19"/>
  <c r="BN241" i="19" s="1"/>
  <c r="G49" i="19"/>
  <c r="H241" i="19" s="1"/>
  <c r="AO49" i="19"/>
  <c r="AP241" i="19" s="1"/>
  <c r="F361" i="20"/>
  <c r="X82" i="19"/>
  <c r="X163" i="19" s="1"/>
  <c r="X89" i="19"/>
  <c r="X170" i="19" s="1"/>
  <c r="T77" i="19"/>
  <c r="T158" i="19" s="1"/>
  <c r="F77" i="19"/>
  <c r="F158" i="19" s="1"/>
  <c r="CL77" i="19"/>
  <c r="CL158" i="19" s="1"/>
  <c r="R13" i="19"/>
  <c r="Q68" i="19"/>
  <c r="Q12" i="19"/>
  <c r="W80" i="20"/>
  <c r="W161" i="20" s="1"/>
  <c r="BK77" i="19"/>
  <c r="BK158" i="19" s="1"/>
  <c r="AX77" i="19"/>
  <c r="AX158" i="19" s="1"/>
  <c r="AT49" i="19"/>
  <c r="AU241" i="19" s="1"/>
  <c r="BK49" i="19"/>
  <c r="BL241" i="19" s="1"/>
  <c r="R49" i="19"/>
  <c r="S241" i="19" s="1"/>
  <c r="X80" i="19"/>
  <c r="X161" i="19" s="1"/>
  <c r="W81" i="20"/>
  <c r="W162" i="20" s="1"/>
  <c r="BD77" i="19"/>
  <c r="BD158" i="19" s="1"/>
  <c r="BJ49" i="19"/>
  <c r="BK241" i="19" s="1"/>
  <c r="AX49" i="19"/>
  <c r="AY241" i="19" s="1"/>
  <c r="BD49" i="19"/>
  <c r="BE241" i="19" s="1"/>
  <c r="BF49" i="19"/>
  <c r="BG241" i="19" s="1"/>
  <c r="CN49" i="19"/>
  <c r="CO241" i="19" s="1"/>
  <c r="V49" i="19"/>
  <c r="W241" i="19" s="1"/>
  <c r="BL49" i="19"/>
  <c r="BM241" i="19" s="1"/>
  <c r="BT49" i="19"/>
  <c r="BU241" i="19" s="1"/>
  <c r="CM49" i="19"/>
  <c r="CN241" i="19" s="1"/>
  <c r="P49" i="19"/>
  <c r="Q241" i="19" s="1"/>
  <c r="L49" i="19"/>
  <c r="M241" i="19" s="1"/>
  <c r="X83" i="19"/>
  <c r="X164" i="19" s="1"/>
  <c r="X92" i="19"/>
  <c r="X173" i="19" s="1"/>
  <c r="N77" i="19"/>
  <c r="N158" i="19" s="1"/>
  <c r="CB77" i="19"/>
  <c r="CB158" i="19" s="1"/>
  <c r="BZ77" i="19"/>
  <c r="BZ158" i="19" s="1"/>
  <c r="BY77" i="19"/>
  <c r="BY158" i="19" s="1"/>
  <c r="CB76" i="19"/>
  <c r="CB157" i="19" s="1"/>
  <c r="BN76" i="19"/>
  <c r="BN157" i="19" s="1"/>
  <c r="CI76" i="19"/>
  <c r="CI157" i="19" s="1"/>
  <c r="CA76" i="19"/>
  <c r="CA157" i="19" s="1"/>
  <c r="H76" i="19"/>
  <c r="H157" i="19" s="1"/>
  <c r="X86" i="19"/>
  <c r="X167" i="19" s="1"/>
  <c r="W89" i="20"/>
  <c r="W170" i="20" s="1"/>
  <c r="BE77" i="19"/>
  <c r="BE158" i="19" s="1"/>
  <c r="U76" i="19"/>
  <c r="U157" i="19" s="1"/>
  <c r="T76" i="19"/>
  <c r="T157" i="19" s="1"/>
  <c r="BR76" i="19"/>
  <c r="BR157" i="19" s="1"/>
  <c r="M77" i="19"/>
  <c r="M158" i="19" s="1"/>
  <c r="C241" i="19"/>
  <c r="D213" i="19"/>
  <c r="E213" i="19"/>
  <c r="I213" i="19" s="1"/>
  <c r="J213" i="19" s="1"/>
  <c r="BA77" i="19"/>
  <c r="BA158" i="19" s="1"/>
  <c r="P95" i="19"/>
  <c r="P122" i="19" s="1"/>
  <c r="P186" i="19"/>
  <c r="P176" i="19" s="1"/>
  <c r="P149" i="19"/>
  <c r="W82" i="20"/>
  <c r="W163" i="20" s="1"/>
  <c r="Y41" i="20"/>
  <c r="X64" i="20"/>
  <c r="Y256" i="20" s="1"/>
  <c r="X63" i="20"/>
  <c r="Y255" i="20" s="1"/>
  <c r="X62" i="20"/>
  <c r="Y254" i="20" s="1"/>
  <c r="X61" i="20"/>
  <c r="Y253" i="20" s="1"/>
  <c r="X59" i="20"/>
  <c r="Y251" i="20" s="1"/>
  <c r="X57" i="20"/>
  <c r="Y249" i="20" s="1"/>
  <c r="X56" i="20"/>
  <c r="Y248" i="20" s="1"/>
  <c r="X55" i="20"/>
  <c r="Y247" i="20" s="1"/>
  <c r="X54" i="20"/>
  <c r="Y246" i="20" s="1"/>
  <c r="X53" i="20"/>
  <c r="Y245" i="20" s="1"/>
  <c r="X52" i="20"/>
  <c r="Y244" i="20" s="1"/>
  <c r="X58" i="20"/>
  <c r="Y250" i="20" s="1"/>
  <c r="X65" i="20"/>
  <c r="Y257" i="20" s="1"/>
  <c r="X60" i="20"/>
  <c r="Y252" i="20" s="1"/>
  <c r="BF77" i="19"/>
  <c r="BF158" i="19" s="1"/>
  <c r="AP77" i="19"/>
  <c r="AP158" i="19" s="1"/>
  <c r="W83" i="20"/>
  <c r="W164" i="20" s="1"/>
  <c r="C242" i="19"/>
  <c r="D214" i="19"/>
  <c r="E214" i="19"/>
  <c r="I214" i="19" s="1"/>
  <c r="J214" i="19" s="1"/>
  <c r="BI77" i="19"/>
  <c r="BI158" i="19" s="1"/>
  <c r="A244" i="19"/>
  <c r="A216" i="19"/>
  <c r="A79" i="19"/>
  <c r="P12" i="20"/>
  <c r="P68" i="20"/>
  <c r="Q13" i="20"/>
  <c r="BW77" i="19"/>
  <c r="BW158" i="19" s="1"/>
  <c r="CK49" i="19"/>
  <c r="CL241" i="19" s="1"/>
  <c r="BS49" i="19"/>
  <c r="BT241" i="19" s="1"/>
  <c r="AZ49" i="19"/>
  <c r="BA241" i="19" s="1"/>
  <c r="E48" i="19"/>
  <c r="F240" i="19" s="1"/>
  <c r="B102" i="19"/>
  <c r="AR48" i="19"/>
  <c r="AS240" i="19" s="1"/>
  <c r="CT48" i="19"/>
  <c r="P48" i="19" s="1"/>
  <c r="Q240" i="19" s="1"/>
  <c r="BP48" i="19"/>
  <c r="BQ240" i="19" s="1"/>
  <c r="B47" i="19"/>
  <c r="BB48" i="19"/>
  <c r="BC240" i="19" s="1"/>
  <c r="BE48" i="19"/>
  <c r="BF240" i="19" s="1"/>
  <c r="BF48" i="19"/>
  <c r="BG240" i="19" s="1"/>
  <c r="G48" i="19"/>
  <c r="H240" i="19" s="1"/>
  <c r="C48" i="19"/>
  <c r="D240" i="19" s="1"/>
  <c r="BQ48" i="19"/>
  <c r="BR240" i="19" s="1"/>
  <c r="CJ48" i="19"/>
  <c r="CK240" i="19" s="1"/>
  <c r="Z48" i="19"/>
  <c r="AA240" i="19" s="1"/>
  <c r="CN48" i="19"/>
  <c r="CO240" i="19" s="1"/>
  <c r="BS48" i="19"/>
  <c r="BT240" i="19" s="1"/>
  <c r="BZ48" i="19"/>
  <c r="CA240" i="19" s="1"/>
  <c r="L48" i="19"/>
  <c r="M240" i="19" s="1"/>
  <c r="AX48" i="19"/>
  <c r="AY240" i="19" s="1"/>
  <c r="F48" i="19"/>
  <c r="G240" i="19" s="1"/>
  <c r="BX48" i="19"/>
  <c r="BY240" i="19" s="1"/>
  <c r="AT48" i="19"/>
  <c r="AU240" i="19" s="1"/>
  <c r="AU48" i="19"/>
  <c r="AV240" i="19" s="1"/>
  <c r="CM48" i="19"/>
  <c r="CN240" i="19" s="1"/>
  <c r="CR48" i="19"/>
  <c r="CS240" i="19" s="1"/>
  <c r="AZ48" i="19"/>
  <c r="BA240" i="19" s="1"/>
  <c r="BA48" i="19"/>
  <c r="BB240" i="19" s="1"/>
  <c r="BI48" i="19"/>
  <c r="BJ240" i="19" s="1"/>
  <c r="AY48" i="19"/>
  <c r="AZ240" i="19" s="1"/>
  <c r="BK48" i="19"/>
  <c r="BL240" i="19" s="1"/>
  <c r="W48" i="19"/>
  <c r="X240" i="19" s="1"/>
  <c r="AP48" i="19"/>
  <c r="AQ240" i="19" s="1"/>
  <c r="BN48" i="19"/>
  <c r="BO240" i="19" s="1"/>
  <c r="AS48" i="19"/>
  <c r="AT240" i="19" s="1"/>
  <c r="CI48" i="19"/>
  <c r="CJ240" i="19" s="1"/>
  <c r="CQ48" i="19"/>
  <c r="CR240" i="19" s="1"/>
  <c r="X48" i="19"/>
  <c r="Y240" i="19" s="1"/>
  <c r="CK48" i="19"/>
  <c r="CL240" i="19" s="1"/>
  <c r="Q49" i="19"/>
  <c r="R241" i="19" s="1"/>
  <c r="CC49" i="19"/>
  <c r="CD241" i="19" s="1"/>
  <c r="BA49" i="19"/>
  <c r="BB241" i="19" s="1"/>
  <c r="CE49" i="19"/>
  <c r="CF241" i="19" s="1"/>
  <c r="BW49" i="19"/>
  <c r="BX241" i="19" s="1"/>
  <c r="X84" i="19"/>
  <c r="X165" i="19" s="1"/>
  <c r="X91" i="19"/>
  <c r="X172" i="19" s="1"/>
  <c r="CG77" i="19"/>
  <c r="CG158" i="19" s="1"/>
  <c r="H77" i="19"/>
  <c r="H158" i="19" s="1"/>
  <c r="I77" i="19"/>
  <c r="I158" i="19" s="1"/>
  <c r="B24" i="2"/>
  <c r="B161" i="2"/>
  <c r="B134" i="2" s="1"/>
  <c r="B80" i="2"/>
  <c r="A25" i="2"/>
  <c r="U242" i="2" l="1"/>
  <c r="T77" i="2"/>
  <c r="T158" i="2" s="1"/>
  <c r="BN244" i="20"/>
  <c r="BM79" i="20"/>
  <c r="BM160" i="20" s="1"/>
  <c r="F218" i="20"/>
  <c r="K218" i="20"/>
  <c r="CO242" i="2"/>
  <c r="CN77" i="2"/>
  <c r="CN158" i="2"/>
  <c r="V243" i="2"/>
  <c r="U78" i="2"/>
  <c r="U159" i="2" s="1"/>
  <c r="BG243" i="2"/>
  <c r="BF78" i="2"/>
  <c r="BF159" i="2"/>
  <c r="W244" i="20"/>
  <c r="V79" i="20"/>
  <c r="V160" i="20" s="1"/>
  <c r="O244" i="20"/>
  <c r="N79" i="20"/>
  <c r="N160" i="20" s="1"/>
  <c r="CB244" i="20"/>
  <c r="CA79" i="20"/>
  <c r="CA160" i="20" s="1"/>
  <c r="B315" i="20"/>
  <c r="CA243" i="2"/>
  <c r="BZ78" i="2"/>
  <c r="BZ159" i="2" s="1"/>
  <c r="AQ243" i="2"/>
  <c r="AP78" i="2"/>
  <c r="AP159" i="2" s="1"/>
  <c r="Y50" i="2"/>
  <c r="CM50" i="2"/>
  <c r="BA50" i="2"/>
  <c r="U50" i="2"/>
  <c r="M50" i="2"/>
  <c r="AY50" i="2"/>
  <c r="BT50" i="2"/>
  <c r="CR50" i="2"/>
  <c r="S50" i="2"/>
  <c r="AN50" i="2"/>
  <c r="BK50" i="2"/>
  <c r="CD50" i="2"/>
  <c r="CL243" i="2"/>
  <c r="CK78" i="2"/>
  <c r="CK159" i="2" s="1"/>
  <c r="W245" i="20"/>
  <c r="V80" i="20"/>
  <c r="V161" i="20" s="1"/>
  <c r="B240" i="19"/>
  <c r="B313" i="19" s="1"/>
  <c r="B211" i="19"/>
  <c r="AU243" i="2"/>
  <c r="AT78" i="2"/>
  <c r="AT159" i="2" s="1"/>
  <c r="O243" i="2"/>
  <c r="N78" i="2"/>
  <c r="N159" i="2" s="1"/>
  <c r="G245" i="20"/>
  <c r="F80" i="20"/>
  <c r="F161" i="20" s="1"/>
  <c r="Y95" i="2"/>
  <c r="Y122" i="2" s="1"/>
  <c r="Y149" i="2"/>
  <c r="Y186" i="2"/>
  <c r="Y176" i="2" s="1"/>
  <c r="M243" i="2"/>
  <c r="L78" i="2"/>
  <c r="L159" i="2" s="1"/>
  <c r="T52" i="20"/>
  <c r="BL52" i="20"/>
  <c r="E52" i="20"/>
  <c r="AZ52" i="20"/>
  <c r="AQ52" i="20"/>
  <c r="L52" i="20"/>
  <c r="AP52" i="20"/>
  <c r="AR52" i="20"/>
  <c r="CR52" i="20"/>
  <c r="BY52" i="20"/>
  <c r="BX242" i="2"/>
  <c r="BW77" i="2"/>
  <c r="BW158" i="2" s="1"/>
  <c r="AV242" i="2"/>
  <c r="AU158" i="2"/>
  <c r="AU77" i="2"/>
  <c r="BV242" i="2"/>
  <c r="BU77" i="2"/>
  <c r="BU158" i="2"/>
  <c r="F217" i="20"/>
  <c r="K217" i="20"/>
  <c r="CC244" i="20"/>
  <c r="CB79" i="20"/>
  <c r="CB160" i="20" s="1"/>
  <c r="BB244" i="20"/>
  <c r="BA79" i="20"/>
  <c r="BA160" i="20" s="1"/>
  <c r="CR244" i="20"/>
  <c r="CQ79" i="20"/>
  <c r="CQ160" i="20" s="1"/>
  <c r="CL244" i="20"/>
  <c r="CK79" i="20"/>
  <c r="CK160" i="20" s="1"/>
  <c r="AV244" i="20"/>
  <c r="AU79" i="20"/>
  <c r="AU160" i="20" s="1"/>
  <c r="AU244" i="20"/>
  <c r="AT79" i="20"/>
  <c r="AT160" i="20" s="1"/>
  <c r="BC48" i="19"/>
  <c r="BD240" i="19" s="1"/>
  <c r="AV48" i="19"/>
  <c r="AW240" i="19" s="1"/>
  <c r="BU48" i="19"/>
  <c r="BV240" i="19" s="1"/>
  <c r="CB48" i="19"/>
  <c r="CC240" i="19" s="1"/>
  <c r="J48" i="19"/>
  <c r="K240" i="19" s="1"/>
  <c r="AO48" i="19"/>
  <c r="AP240" i="19" s="1"/>
  <c r="R48" i="19"/>
  <c r="S240" i="19" s="1"/>
  <c r="Q48" i="19"/>
  <c r="R240" i="19" s="1"/>
  <c r="CL48" i="19"/>
  <c r="CM240" i="19" s="1"/>
  <c r="BH48" i="19"/>
  <c r="BI240" i="19" s="1"/>
  <c r="CF48" i="19"/>
  <c r="CG240" i="19" s="1"/>
  <c r="CH48" i="19"/>
  <c r="CI240" i="19" s="1"/>
  <c r="BV48" i="19"/>
  <c r="BW240" i="19" s="1"/>
  <c r="BD48" i="19"/>
  <c r="BE240" i="19" s="1"/>
  <c r="V48" i="19"/>
  <c r="W240" i="19" s="1"/>
  <c r="BT48" i="19"/>
  <c r="BU240" i="19" s="1"/>
  <c r="CP48" i="19"/>
  <c r="CQ240" i="19" s="1"/>
  <c r="BR48" i="19"/>
  <c r="BS240" i="19" s="1"/>
  <c r="BR243" i="2"/>
  <c r="BQ78" i="2"/>
  <c r="BQ159" i="2" s="1"/>
  <c r="AD243" i="2"/>
  <c r="AC78" i="2"/>
  <c r="AC159" i="2" s="1"/>
  <c r="P242" i="2"/>
  <c r="O77" i="2"/>
  <c r="O158" i="2" s="1"/>
  <c r="BG242" i="2"/>
  <c r="BF77" i="2"/>
  <c r="BF158" i="2" s="1"/>
  <c r="CR242" i="2"/>
  <c r="CQ77" i="2"/>
  <c r="CQ158" i="2" s="1"/>
  <c r="BT242" i="2"/>
  <c r="BS77" i="2"/>
  <c r="BS158" i="2"/>
  <c r="R50" i="2"/>
  <c r="AM50" i="2"/>
  <c r="BH50" i="2"/>
  <c r="AC50" i="2"/>
  <c r="G50" i="2"/>
  <c r="AB50" i="2"/>
  <c r="BE50" i="2"/>
  <c r="AN243" i="2"/>
  <c r="AM78" i="2"/>
  <c r="AM159" i="2" s="1"/>
  <c r="F245" i="20"/>
  <c r="E80" i="20"/>
  <c r="E161" i="20"/>
  <c r="BJ243" i="2"/>
  <c r="BI78" i="2"/>
  <c r="BI159" i="2"/>
  <c r="U243" i="2"/>
  <c r="T78" i="2"/>
  <c r="T159" i="2" s="1"/>
  <c r="AW245" i="20"/>
  <c r="AV80" i="20"/>
  <c r="AV161" i="20" s="1"/>
  <c r="BB243" i="2"/>
  <c r="BA78" i="2"/>
  <c r="BA159" i="2" s="1"/>
  <c r="T244" i="20"/>
  <c r="S79" i="20"/>
  <c r="S160" i="20" s="1"/>
  <c r="BY244" i="20"/>
  <c r="BX79" i="20"/>
  <c r="BX160" i="20" s="1"/>
  <c r="J244" i="20"/>
  <c r="I79" i="20"/>
  <c r="I160" i="20" s="1"/>
  <c r="BO244" i="20"/>
  <c r="BN79" i="20"/>
  <c r="BN160" i="20" s="1"/>
  <c r="CF244" i="20"/>
  <c r="CE79" i="20"/>
  <c r="CE160" i="20" s="1"/>
  <c r="BI244" i="20"/>
  <c r="BH79" i="20"/>
  <c r="BH160" i="20" s="1"/>
  <c r="D244" i="20"/>
  <c r="E216" i="20"/>
  <c r="I216" i="20" s="1"/>
  <c r="J216" i="20" s="1"/>
  <c r="D216" i="20"/>
  <c r="C244" i="20"/>
  <c r="BJ244" i="20"/>
  <c r="BI79" i="20"/>
  <c r="BI160" i="20" s="1"/>
  <c r="CD244" i="20"/>
  <c r="CC79" i="20"/>
  <c r="CC160" i="20"/>
  <c r="CQ244" i="20"/>
  <c r="CP79" i="20"/>
  <c r="CP160" i="20" s="1"/>
  <c r="AW243" i="2"/>
  <c r="AV78" i="2"/>
  <c r="AV159" i="2" s="1"/>
  <c r="I243" i="2"/>
  <c r="H78" i="2"/>
  <c r="H159" i="2" s="1"/>
  <c r="H50" i="2"/>
  <c r="CG50" i="2"/>
  <c r="AT50" i="2"/>
  <c r="AL50" i="2"/>
  <c r="BG50" i="2"/>
  <c r="P50" i="2"/>
  <c r="F50" i="2"/>
  <c r="AA50" i="2"/>
  <c r="BZ50" i="2"/>
  <c r="BM50" i="2"/>
  <c r="CL50" i="2"/>
  <c r="AO50" i="2"/>
  <c r="AV243" i="2"/>
  <c r="AU78" i="2"/>
  <c r="AU159" i="2" s="1"/>
  <c r="AZ243" i="2"/>
  <c r="AY78" i="2"/>
  <c r="AY159" i="2" s="1"/>
  <c r="AO243" i="2"/>
  <c r="AN78" i="2"/>
  <c r="AN159" i="2" s="1"/>
  <c r="CQ243" i="2"/>
  <c r="CP78" i="2"/>
  <c r="CP159" i="2" s="1"/>
  <c r="P245" i="20"/>
  <c r="O80" i="20"/>
  <c r="O161" i="20" s="1"/>
  <c r="AG243" i="2"/>
  <c r="AF78" i="2"/>
  <c r="AF159" i="2" s="1"/>
  <c r="F215" i="2"/>
  <c r="K215" i="2"/>
  <c r="R52" i="20"/>
  <c r="BE52" i="20"/>
  <c r="BC52" i="20"/>
  <c r="AV52" i="20"/>
  <c r="CF52" i="20"/>
  <c r="BS52" i="20"/>
  <c r="H52" i="20"/>
  <c r="BW52" i="20"/>
  <c r="BS51" i="20"/>
  <c r="CT51" i="20"/>
  <c r="I51" i="20"/>
  <c r="AY51" i="20"/>
  <c r="AR51" i="20"/>
  <c r="BB51" i="20"/>
  <c r="BJ51" i="20"/>
  <c r="AW51" i="20"/>
  <c r="G51" i="20"/>
  <c r="BC51" i="20"/>
  <c r="B50" i="20"/>
  <c r="CF51" i="20"/>
  <c r="BG51" i="20"/>
  <c r="BY51" i="20"/>
  <c r="CI51" i="20"/>
  <c r="H51" i="20"/>
  <c r="CQ51" i="20"/>
  <c r="CD51" i="20"/>
  <c r="F51" i="20"/>
  <c r="BV51" i="20"/>
  <c r="CB51" i="20"/>
  <c r="BA51" i="20"/>
  <c r="CN51" i="20"/>
  <c r="AT51" i="20"/>
  <c r="BL51" i="20"/>
  <c r="BT51" i="20"/>
  <c r="AQ51" i="20"/>
  <c r="BQ51" i="20"/>
  <c r="AP51" i="20"/>
  <c r="CH51" i="20"/>
  <c r="BI51" i="20"/>
  <c r="BD51" i="20"/>
  <c r="CA51" i="20"/>
  <c r="CK51" i="20"/>
  <c r="CS51" i="20"/>
  <c r="CS78" i="20" s="1"/>
  <c r="CS159" i="20" s="1"/>
  <c r="L51" i="20"/>
  <c r="E51" i="20"/>
  <c r="J51" i="20"/>
  <c r="CP51" i="20"/>
  <c r="CC51" i="20"/>
  <c r="BF51" i="20"/>
  <c r="BN51" i="20"/>
  <c r="BX51" i="20"/>
  <c r="BP51" i="20"/>
  <c r="BU51" i="20"/>
  <c r="CR51" i="20"/>
  <c r="BK51" i="20"/>
  <c r="AX51" i="20"/>
  <c r="CE51" i="20"/>
  <c r="CM51" i="20"/>
  <c r="AS51" i="20"/>
  <c r="BO51" i="20"/>
  <c r="BM51" i="20"/>
  <c r="BE51" i="20"/>
  <c r="K51" i="20"/>
  <c r="AZ51" i="20"/>
  <c r="BH51" i="20"/>
  <c r="BZ51" i="20"/>
  <c r="B105" i="20"/>
  <c r="C51" i="20"/>
  <c r="AO51" i="20"/>
  <c r="CL51" i="20"/>
  <c r="BW51" i="20"/>
  <c r="CG51" i="20"/>
  <c r="CO51" i="20"/>
  <c r="CJ51" i="20"/>
  <c r="AU51" i="20"/>
  <c r="D51" i="20"/>
  <c r="AV51" i="20"/>
  <c r="M51" i="20"/>
  <c r="N51" i="20"/>
  <c r="O51" i="20"/>
  <c r="P51" i="20"/>
  <c r="Q51" i="20"/>
  <c r="R51" i="20"/>
  <c r="S51" i="20"/>
  <c r="T51" i="20"/>
  <c r="U51" i="20"/>
  <c r="V51" i="20"/>
  <c r="W51" i="20"/>
  <c r="BO243" i="2"/>
  <c r="BN78" i="2"/>
  <c r="BN159" i="2" s="1"/>
  <c r="BW242" i="2"/>
  <c r="BV77" i="2"/>
  <c r="BV158" i="2"/>
  <c r="CF242" i="2"/>
  <c r="CE77" i="2"/>
  <c r="CE158" i="2" s="1"/>
  <c r="W242" i="2"/>
  <c r="V77" i="2"/>
  <c r="V158" i="2" s="1"/>
  <c r="AT242" i="2"/>
  <c r="AS77" i="2"/>
  <c r="AS158" i="2"/>
  <c r="O242" i="2"/>
  <c r="N77" i="2"/>
  <c r="N158" i="2" s="1"/>
  <c r="CM243" i="2"/>
  <c r="CL78" i="2"/>
  <c r="CL159" i="2" s="1"/>
  <c r="W243" i="2"/>
  <c r="V78" i="2"/>
  <c r="V159" i="2"/>
  <c r="B213" i="2"/>
  <c r="B242" i="2"/>
  <c r="CE243" i="2"/>
  <c r="CD78" i="2"/>
  <c r="CD159" i="2" s="1"/>
  <c r="BE243" i="2"/>
  <c r="BD78" i="2"/>
  <c r="BD159" i="2" s="1"/>
  <c r="BN50" i="2"/>
  <c r="AD50" i="2"/>
  <c r="CI50" i="2"/>
  <c r="Q50" i="2"/>
  <c r="E50" i="2"/>
  <c r="Z50" i="2"/>
  <c r="BJ50" i="2"/>
  <c r="BP50" i="2"/>
  <c r="BI50" i="2"/>
  <c r="AW50" i="2"/>
  <c r="AJ50" i="2"/>
  <c r="CK50" i="2"/>
  <c r="CA50" i="2"/>
  <c r="S243" i="2"/>
  <c r="R78" i="2"/>
  <c r="R159" i="2" s="1"/>
  <c r="AB243" i="2"/>
  <c r="AA78" i="2"/>
  <c r="AA159" i="2" s="1"/>
  <c r="CG243" i="2"/>
  <c r="CF78" i="2"/>
  <c r="CF159" i="2" s="1"/>
  <c r="BV243" i="2"/>
  <c r="BU78" i="2"/>
  <c r="BU159" i="2" s="1"/>
  <c r="CI245" i="20"/>
  <c r="CH80" i="20"/>
  <c r="CH161" i="20" s="1"/>
  <c r="BS243" i="2"/>
  <c r="BR78" i="2"/>
  <c r="BR159" i="2" s="1"/>
  <c r="L243" i="2"/>
  <c r="K78" i="2"/>
  <c r="K159" i="2" s="1"/>
  <c r="BD243" i="2"/>
  <c r="BC78" i="2"/>
  <c r="BC159" i="2"/>
  <c r="O215" i="2"/>
  <c r="M218" i="2"/>
  <c r="G218" i="2" s="1"/>
  <c r="R244" i="20"/>
  <c r="Q79" i="20"/>
  <c r="Q160" i="20" s="1"/>
  <c r="AP244" i="20"/>
  <c r="AO79" i="20"/>
  <c r="AO160" i="20" s="1"/>
  <c r="CA244" i="20"/>
  <c r="BZ79" i="20"/>
  <c r="BZ160" i="20" s="1"/>
  <c r="CP244" i="20"/>
  <c r="CO79" i="20"/>
  <c r="CO160" i="20" s="1"/>
  <c r="BP244" i="20"/>
  <c r="BO79" i="20"/>
  <c r="BO160" i="20" s="1"/>
  <c r="CN244" i="20"/>
  <c r="CM79" i="20"/>
  <c r="CM160" i="20" s="1"/>
  <c r="BL244" i="20"/>
  <c r="BK79" i="20"/>
  <c r="BK160" i="20" s="1"/>
  <c r="CO244" i="20"/>
  <c r="CN79" i="20"/>
  <c r="CN160" i="20" s="1"/>
  <c r="BC244" i="20"/>
  <c r="BB79" i="20"/>
  <c r="BB160" i="20" s="1"/>
  <c r="BJ52" i="20"/>
  <c r="W52" i="20"/>
  <c r="CO243" i="2"/>
  <c r="CN78" i="2"/>
  <c r="CN159" i="2" s="1"/>
  <c r="CC242" i="2"/>
  <c r="CB77" i="2"/>
  <c r="CB158" i="2"/>
  <c r="AR242" i="2"/>
  <c r="AQ77" i="2"/>
  <c r="AQ158" i="2" s="1"/>
  <c r="L242" i="2"/>
  <c r="K77" i="2"/>
  <c r="K158" i="2" s="1"/>
  <c r="H243" i="2"/>
  <c r="G78" i="2"/>
  <c r="G159" i="2" s="1"/>
  <c r="BI245" i="20"/>
  <c r="BH80" i="20"/>
  <c r="BH161" i="20" s="1"/>
  <c r="H48" i="19"/>
  <c r="I240" i="19" s="1"/>
  <c r="BY48" i="19"/>
  <c r="BZ240" i="19" s="1"/>
  <c r="B316" i="2"/>
  <c r="C243" i="2"/>
  <c r="R243" i="2"/>
  <c r="Q78" i="2"/>
  <c r="Q159" i="2" s="1"/>
  <c r="L50" i="2"/>
  <c r="BR50" i="2"/>
  <c r="BB50" i="2"/>
  <c r="CT49" i="2"/>
  <c r="CM49" i="2" s="1"/>
  <c r="AD49" i="2"/>
  <c r="CN49" i="2"/>
  <c r="AH49" i="2"/>
  <c r="BO49" i="2"/>
  <c r="E49" i="2"/>
  <c r="AL49" i="2"/>
  <c r="I49" i="2"/>
  <c r="BW49" i="2"/>
  <c r="M49" i="2"/>
  <c r="AT49" i="2"/>
  <c r="CA49" i="2"/>
  <c r="Q49" i="2"/>
  <c r="CE49" i="2"/>
  <c r="BB49" i="2"/>
  <c r="CI49" i="2"/>
  <c r="Y49" i="2"/>
  <c r="BF49" i="2"/>
  <c r="AC49" i="2"/>
  <c r="CQ49" i="2"/>
  <c r="BN49" i="2"/>
  <c r="P49" i="2"/>
  <c r="AK49" i="2"/>
  <c r="BR49" i="2"/>
  <c r="D49" i="2"/>
  <c r="BV49" i="2"/>
  <c r="AS49" i="2"/>
  <c r="BZ49" i="2"/>
  <c r="AJ49" i="2"/>
  <c r="AW49" i="2"/>
  <c r="CD49" i="2"/>
  <c r="BA49" i="2"/>
  <c r="BP49" i="2"/>
  <c r="BE49" i="2"/>
  <c r="CL49" i="2"/>
  <c r="B103" i="2"/>
  <c r="B48" i="2"/>
  <c r="BI49" i="2"/>
  <c r="AV49" i="2"/>
  <c r="BM49" i="2"/>
  <c r="C49" i="2"/>
  <c r="CR49" i="2"/>
  <c r="BQ49" i="2"/>
  <c r="H49" i="2"/>
  <c r="BU49" i="2"/>
  <c r="K49" i="2"/>
  <c r="X49" i="2"/>
  <c r="BY49" i="2"/>
  <c r="O49" i="2"/>
  <c r="AN49" i="2"/>
  <c r="S49" i="2"/>
  <c r="BD49" i="2"/>
  <c r="CG49" i="2"/>
  <c r="W49" i="2"/>
  <c r="BT49" i="2"/>
  <c r="CK49" i="2"/>
  <c r="AA49" i="2"/>
  <c r="CO49" i="2"/>
  <c r="AE49" i="2"/>
  <c r="AF49" i="2"/>
  <c r="CS49" i="2"/>
  <c r="AI49" i="2"/>
  <c r="BL49" i="2"/>
  <c r="F49" i="2"/>
  <c r="CB49" i="2"/>
  <c r="J49" i="2"/>
  <c r="AQ49" i="2"/>
  <c r="N49" i="2"/>
  <c r="BH49" i="2"/>
  <c r="AU49" i="2"/>
  <c r="Z49" i="2"/>
  <c r="BG49" i="2"/>
  <c r="R49" i="2"/>
  <c r="AY49" i="2"/>
  <c r="AR49" i="2"/>
  <c r="V49" i="2"/>
  <c r="L49" i="2"/>
  <c r="BC49" i="2"/>
  <c r="BO50" i="2"/>
  <c r="CJ50" i="2"/>
  <c r="AK50" i="2"/>
  <c r="AI50" i="2"/>
  <c r="BD50" i="2"/>
  <c r="AF50" i="2"/>
  <c r="C50" i="2"/>
  <c r="X50" i="2"/>
  <c r="CP50" i="2"/>
  <c r="J243" i="2"/>
  <c r="I78" i="2"/>
  <c r="I159" i="2" s="1"/>
  <c r="BU243" i="2"/>
  <c r="BT78" i="2"/>
  <c r="BT159" i="2" s="1"/>
  <c r="BL243" i="2"/>
  <c r="BK78" i="2"/>
  <c r="BK159" i="2" s="1"/>
  <c r="CS78" i="2"/>
  <c r="CS159" i="2"/>
  <c r="BE245" i="20"/>
  <c r="BD80" i="20"/>
  <c r="BD161" i="20"/>
  <c r="CS243" i="2"/>
  <c r="CR78" i="2"/>
  <c r="CR159" i="2" s="1"/>
  <c r="T243" i="2"/>
  <c r="S78" i="2"/>
  <c r="S159" i="2" s="1"/>
  <c r="AY243" i="2"/>
  <c r="AX78" i="2"/>
  <c r="AX159" i="2" s="1"/>
  <c r="Q244" i="20"/>
  <c r="P79" i="20"/>
  <c r="P160" i="20" s="1"/>
  <c r="G244" i="20"/>
  <c r="F79" i="20"/>
  <c r="F160" i="20" s="1"/>
  <c r="BG244" i="20"/>
  <c r="BF79" i="20"/>
  <c r="BF160" i="20" s="1"/>
  <c r="BR244" i="20"/>
  <c r="BQ79" i="20"/>
  <c r="BQ160" i="20" s="1"/>
  <c r="CE244" i="20"/>
  <c r="CD79" i="20"/>
  <c r="CD160" i="20" s="1"/>
  <c r="CM244" i="20"/>
  <c r="CL79" i="20"/>
  <c r="CL160" i="20" s="1"/>
  <c r="AZ244" i="20"/>
  <c r="AY79" i="20"/>
  <c r="AY160" i="20" s="1"/>
  <c r="L244" i="20"/>
  <c r="K79" i="20"/>
  <c r="K160" i="20" s="1"/>
  <c r="BE244" i="20"/>
  <c r="BD79" i="20"/>
  <c r="BD160" i="20" s="1"/>
  <c r="D48" i="19"/>
  <c r="E240" i="19" s="1"/>
  <c r="CO48" i="19"/>
  <c r="CP240" i="19" s="1"/>
  <c r="S48" i="19"/>
  <c r="T240" i="19" s="1"/>
  <c r="CC48" i="19"/>
  <c r="CD240" i="19" s="1"/>
  <c r="CA48" i="19"/>
  <c r="CB240" i="19" s="1"/>
  <c r="AW48" i="19"/>
  <c r="AX240" i="19" s="1"/>
  <c r="O48" i="19"/>
  <c r="P240" i="19" s="1"/>
  <c r="U48" i="19"/>
  <c r="V240" i="19" s="1"/>
  <c r="BL48" i="19"/>
  <c r="BM240" i="19" s="1"/>
  <c r="I48" i="19"/>
  <c r="J240" i="19" s="1"/>
  <c r="BJ48" i="19"/>
  <c r="BK240" i="19" s="1"/>
  <c r="CD48" i="19"/>
  <c r="CE240" i="19" s="1"/>
  <c r="M48" i="19"/>
  <c r="N240" i="19" s="1"/>
  <c r="CE48" i="19"/>
  <c r="CF240" i="19" s="1"/>
  <c r="AQ48" i="19"/>
  <c r="AR240" i="19" s="1"/>
  <c r="CN243" i="2"/>
  <c r="CM78" i="2"/>
  <c r="CM159" i="2" s="1"/>
  <c r="BC243" i="2"/>
  <c r="BB78" i="2"/>
  <c r="BB159" i="2" s="1"/>
  <c r="CC50" i="2"/>
  <c r="I50" i="2"/>
  <c r="BQ50" i="2"/>
  <c r="AH50" i="2"/>
  <c r="BC50" i="2"/>
  <c r="BX50" i="2"/>
  <c r="CO50" i="2"/>
  <c r="W50" i="2"/>
  <c r="AR50" i="2"/>
  <c r="AG50" i="2"/>
  <c r="CH50" i="2"/>
  <c r="AC243" i="2"/>
  <c r="AB78" i="2"/>
  <c r="AB159" i="2" s="1"/>
  <c r="CF243" i="2"/>
  <c r="CE78" i="2"/>
  <c r="CE159" i="2" s="1"/>
  <c r="K243" i="2"/>
  <c r="J78" i="2"/>
  <c r="J159" i="2"/>
  <c r="BI243" i="2"/>
  <c r="BH78" i="2"/>
  <c r="BH159" i="2" s="1"/>
  <c r="CD245" i="20"/>
  <c r="CC80" i="20"/>
  <c r="CC161" i="20" s="1"/>
  <c r="BX243" i="2"/>
  <c r="BW78" i="2"/>
  <c r="BW159" i="2" s="1"/>
  <c r="CP243" i="2"/>
  <c r="CO78" i="2"/>
  <c r="CO159" i="2" s="1"/>
  <c r="O217" i="20"/>
  <c r="M220" i="20"/>
  <c r="P244" i="20"/>
  <c r="O79" i="20"/>
  <c r="O160" i="20" s="1"/>
  <c r="CK244" i="20"/>
  <c r="CJ79" i="20"/>
  <c r="CJ160" i="20" s="1"/>
  <c r="CI244" i="20"/>
  <c r="CH79" i="20"/>
  <c r="CH160" i="20" s="1"/>
  <c r="BQ244" i="20"/>
  <c r="BP79" i="20"/>
  <c r="BP160" i="20" s="1"/>
  <c r="BW244" i="20"/>
  <c r="BV79" i="20"/>
  <c r="BV160" i="20" s="1"/>
  <c r="K244" i="20"/>
  <c r="J79" i="20"/>
  <c r="J160" i="20" s="1"/>
  <c r="AX244" i="20"/>
  <c r="AW79" i="20"/>
  <c r="AW160" i="20" s="1"/>
  <c r="BH244" i="20"/>
  <c r="BG79" i="20"/>
  <c r="BG160" i="20" s="1"/>
  <c r="CH244" i="20"/>
  <c r="CG79" i="20"/>
  <c r="CG160" i="20"/>
  <c r="B241" i="20"/>
  <c r="B212" i="20"/>
  <c r="AX243" i="2"/>
  <c r="AW78" i="2"/>
  <c r="AW159" i="2" s="1"/>
  <c r="BT243" i="2"/>
  <c r="BS78" i="2"/>
  <c r="BS159" i="2"/>
  <c r="BL50" i="2"/>
  <c r="D50" i="2"/>
  <c r="AX50" i="2"/>
  <c r="AP50" i="2"/>
  <c r="AE50" i="2"/>
  <c r="CF50" i="2"/>
  <c r="J50" i="2"/>
  <c r="BY50" i="2"/>
  <c r="AZ50" i="2"/>
  <c r="CS50" i="2"/>
  <c r="AV50" i="2"/>
  <c r="CD243" i="2"/>
  <c r="CC78" i="2"/>
  <c r="CC159" i="2" s="1"/>
  <c r="AP243" i="2"/>
  <c r="AO78" i="2"/>
  <c r="AO159" i="2" s="1"/>
  <c r="CR243" i="2"/>
  <c r="CQ78" i="2"/>
  <c r="CQ159" i="2" s="1"/>
  <c r="BC245" i="20"/>
  <c r="BB80" i="20"/>
  <c r="BB161" i="20"/>
  <c r="Z68" i="2"/>
  <c r="AA13" i="2"/>
  <c r="Z12" i="2"/>
  <c r="AH243" i="2"/>
  <c r="AG78" i="2"/>
  <c r="AG159" i="2" s="1"/>
  <c r="V244" i="20"/>
  <c r="U79" i="20"/>
  <c r="U160" i="20" s="1"/>
  <c r="N244" i="20"/>
  <c r="M79" i="20"/>
  <c r="M160" i="20" s="1"/>
  <c r="BU244" i="20"/>
  <c r="BT79" i="20"/>
  <c r="BT160" i="20" s="1"/>
  <c r="AT244" i="20"/>
  <c r="AS79" i="20"/>
  <c r="AS160" i="20" s="1"/>
  <c r="BS244" i="20"/>
  <c r="BR79" i="20"/>
  <c r="BR160" i="20" s="1"/>
  <c r="E244" i="20"/>
  <c r="D79" i="20"/>
  <c r="D160" i="20" s="1"/>
  <c r="H244" i="20"/>
  <c r="G79" i="20"/>
  <c r="G160" i="20" s="1"/>
  <c r="BV244" i="20"/>
  <c r="BU79" i="20"/>
  <c r="BU160" i="20" s="1"/>
  <c r="AY244" i="20"/>
  <c r="AX79" i="20"/>
  <c r="AX160" i="20" s="1"/>
  <c r="CI52" i="20"/>
  <c r="BW76" i="19"/>
  <c r="BW157" i="19" s="1"/>
  <c r="CR75" i="19"/>
  <c r="CR156" i="19" s="1"/>
  <c r="BZ75" i="19"/>
  <c r="BZ156" i="19" s="1"/>
  <c r="CA75" i="19"/>
  <c r="CA156" i="19" s="1"/>
  <c r="O75" i="19"/>
  <c r="O156" i="19" s="1"/>
  <c r="CI75" i="19"/>
  <c r="CI156" i="19" s="1"/>
  <c r="CF75" i="19"/>
  <c r="CF156" i="19" s="1"/>
  <c r="BK75" i="19"/>
  <c r="BK156" i="19" s="1"/>
  <c r="CO75" i="19"/>
  <c r="CO156" i="19" s="1"/>
  <c r="J75" i="19"/>
  <c r="J156" i="19" s="1"/>
  <c r="CN75" i="19"/>
  <c r="CN156" i="19" s="1"/>
  <c r="BQ75" i="19"/>
  <c r="BQ156" i="19" s="1"/>
  <c r="Q75" i="19"/>
  <c r="Q156" i="19" s="1"/>
  <c r="P75" i="19"/>
  <c r="P156" i="19" s="1"/>
  <c r="X85" i="20"/>
  <c r="X166" i="20" s="1"/>
  <c r="X86" i="20"/>
  <c r="X167" i="20" s="1"/>
  <c r="BL76" i="19"/>
  <c r="BL157" i="19" s="1"/>
  <c r="S13" i="19"/>
  <c r="R68" i="19"/>
  <c r="R12" i="19"/>
  <c r="BG76" i="19"/>
  <c r="BG157" i="19" s="1"/>
  <c r="I76" i="19"/>
  <c r="I157" i="19" s="1"/>
  <c r="F353" i="19"/>
  <c r="Y81" i="19"/>
  <c r="Y162" i="19" s="1"/>
  <c r="Y87" i="19"/>
  <c r="Y168" i="19" s="1"/>
  <c r="AW76" i="19"/>
  <c r="AW157" i="19" s="1"/>
  <c r="D75" i="19"/>
  <c r="D156" i="19" s="1"/>
  <c r="AY75" i="19"/>
  <c r="AY156" i="19" s="1"/>
  <c r="L75" i="19"/>
  <c r="L156" i="19" s="1"/>
  <c r="E75" i="19"/>
  <c r="E156" i="19" s="1"/>
  <c r="X88" i="20"/>
  <c r="X169" i="20" s="1"/>
  <c r="F362" i="20"/>
  <c r="K76" i="19"/>
  <c r="K157" i="19" s="1"/>
  <c r="A22" i="19"/>
  <c r="B21" i="19"/>
  <c r="B158" i="19"/>
  <c r="B131" i="19" s="1"/>
  <c r="B77" i="19"/>
  <c r="Y83" i="19"/>
  <c r="Y164" i="19" s="1"/>
  <c r="Y88" i="19"/>
  <c r="Y169" i="19" s="1"/>
  <c r="Y76" i="19"/>
  <c r="Y157" i="19" s="1"/>
  <c r="CK75" i="19"/>
  <c r="CK156" i="19" s="1"/>
  <c r="AU75" i="19"/>
  <c r="AU156" i="19" s="1"/>
  <c r="M75" i="19"/>
  <c r="M156" i="19" s="1"/>
  <c r="D212" i="19"/>
  <c r="E212" i="19"/>
  <c r="I212" i="19" s="1"/>
  <c r="J212" i="19" s="1"/>
  <c r="C240" i="19"/>
  <c r="BP75" i="19"/>
  <c r="BP156" i="19" s="1"/>
  <c r="AZ76" i="19"/>
  <c r="AZ157" i="19" s="1"/>
  <c r="P149" i="20"/>
  <c r="P95" i="20"/>
  <c r="P122" i="20" s="1"/>
  <c r="P186" i="20"/>
  <c r="P176" i="20" s="1"/>
  <c r="X79" i="20"/>
  <c r="X160" i="20" s="1"/>
  <c r="X89" i="20"/>
  <c r="X170" i="20" s="1"/>
  <c r="V76" i="19"/>
  <c r="V157" i="19" s="1"/>
  <c r="R76" i="19"/>
  <c r="R157" i="19" s="1"/>
  <c r="BE76" i="19"/>
  <c r="BE157" i="19" s="1"/>
  <c r="A78" i="19"/>
  <c r="A243" i="19"/>
  <c r="A215" i="19"/>
  <c r="Y77" i="19"/>
  <c r="Y158" i="19" s="1"/>
  <c r="Y82" i="19"/>
  <c r="Y163" i="19" s="1"/>
  <c r="Y89" i="19"/>
  <c r="Y170" i="19" s="1"/>
  <c r="BB76" i="19"/>
  <c r="BB157" i="19" s="1"/>
  <c r="A217" i="2"/>
  <c r="A245" i="2"/>
  <c r="A80" i="2"/>
  <c r="BU75" i="19"/>
  <c r="BU156" i="19" s="1"/>
  <c r="M217" i="19"/>
  <c r="G217" i="19" s="1"/>
  <c r="O214" i="19"/>
  <c r="S75" i="19"/>
  <c r="S156" i="19" s="1"/>
  <c r="X80" i="20"/>
  <c r="X161" i="20" s="1"/>
  <c r="CN76" i="19"/>
  <c r="CN157" i="19" s="1"/>
  <c r="BK76" i="19"/>
  <c r="BK157" i="19" s="1"/>
  <c r="Y84" i="19"/>
  <c r="Y165" i="19" s="1"/>
  <c r="Y92" i="19"/>
  <c r="Y173" i="19" s="1"/>
  <c r="CR76" i="19"/>
  <c r="CR157" i="19" s="1"/>
  <c r="B159" i="20"/>
  <c r="B132" i="20" s="1"/>
  <c r="B78" i="20"/>
  <c r="A23" i="20"/>
  <c r="B22" i="20"/>
  <c r="BC76" i="19"/>
  <c r="BC157" i="19" s="1"/>
  <c r="W75" i="19"/>
  <c r="W156" i="19" s="1"/>
  <c r="BJ75" i="19"/>
  <c r="BJ156" i="19" s="1"/>
  <c r="CJ75" i="19"/>
  <c r="CJ156" i="19" s="1"/>
  <c r="AW75" i="19"/>
  <c r="AW156" i="19" s="1"/>
  <c r="BS76" i="19"/>
  <c r="BS157" i="19" s="1"/>
  <c r="K214" i="19"/>
  <c r="F214" i="19"/>
  <c r="X81" i="20"/>
  <c r="X162" i="20" s="1"/>
  <c r="X91" i="20"/>
  <c r="X172" i="20" s="1"/>
  <c r="L76" i="19"/>
  <c r="L157" i="19" s="1"/>
  <c r="BF76" i="19"/>
  <c r="BF157" i="19" s="1"/>
  <c r="AT76" i="19"/>
  <c r="AT157" i="19" s="1"/>
  <c r="Y85" i="19"/>
  <c r="Y166" i="19" s="1"/>
  <c r="AA41" i="19"/>
  <c r="Z65" i="19"/>
  <c r="AA257" i="19" s="1"/>
  <c r="Z64" i="19"/>
  <c r="AA256" i="19" s="1"/>
  <c r="Z63" i="19"/>
  <c r="AA255" i="19" s="1"/>
  <c r="Z62" i="19"/>
  <c r="AA254" i="19" s="1"/>
  <c r="Z61" i="19"/>
  <c r="AA253" i="19" s="1"/>
  <c r="Z60" i="19"/>
  <c r="AA252" i="19" s="1"/>
  <c r="Z59" i="19"/>
  <c r="AA251" i="19" s="1"/>
  <c r="Z58" i="19"/>
  <c r="AA250" i="19" s="1"/>
  <c r="Z57" i="19"/>
  <c r="AA249" i="19" s="1"/>
  <c r="Z56" i="19"/>
  <c r="AA248" i="19" s="1"/>
  <c r="Z55" i="19"/>
  <c r="AA247" i="19" s="1"/>
  <c r="Z53" i="19"/>
  <c r="AA245" i="19" s="1"/>
  <c r="Z54" i="19"/>
  <c r="AA246" i="19" s="1"/>
  <c r="Z52" i="19"/>
  <c r="AA244" i="19" s="1"/>
  <c r="Z51" i="19"/>
  <c r="AA243" i="19" s="1"/>
  <c r="Z50" i="19"/>
  <c r="AA242" i="19" s="1"/>
  <c r="Z49" i="19"/>
  <c r="AA241" i="19" s="1"/>
  <c r="A244" i="20"/>
  <c r="A216" i="20"/>
  <c r="A79" i="20"/>
  <c r="CE76" i="19"/>
  <c r="CE157" i="19" s="1"/>
  <c r="AS75" i="19"/>
  <c r="AS156" i="19" s="1"/>
  <c r="BI75" i="19"/>
  <c r="BI156" i="19" s="1"/>
  <c r="CB75" i="19"/>
  <c r="CB156" i="19" s="1"/>
  <c r="AO75" i="19"/>
  <c r="AO156" i="19" s="1"/>
  <c r="CE75" i="19"/>
  <c r="CE156" i="19" s="1"/>
  <c r="BR75" i="19"/>
  <c r="BR156" i="19" s="1"/>
  <c r="A24" i="2"/>
  <c r="B23" i="2"/>
  <c r="B79" i="2"/>
  <c r="B160" i="2"/>
  <c r="B133" i="2" s="1"/>
  <c r="BA76" i="19"/>
  <c r="BA157" i="19" s="1"/>
  <c r="BH75" i="19"/>
  <c r="BH156" i="19" s="1"/>
  <c r="BN75" i="19"/>
  <c r="BN156" i="19" s="1"/>
  <c r="H75" i="19"/>
  <c r="H156" i="19" s="1"/>
  <c r="BA75" i="19"/>
  <c r="BA156" i="19" s="1"/>
  <c r="BV75" i="19"/>
  <c r="BV156" i="19" s="1"/>
  <c r="AT75" i="19"/>
  <c r="AT156" i="19" s="1"/>
  <c r="AX75" i="19"/>
  <c r="AX156" i="19" s="1"/>
  <c r="V75" i="19"/>
  <c r="V156" i="19" s="1"/>
  <c r="R75" i="19"/>
  <c r="R156" i="19" s="1"/>
  <c r="G75" i="19"/>
  <c r="G156" i="19" s="1"/>
  <c r="X87" i="20"/>
  <c r="X168" i="20" s="1"/>
  <c r="X82" i="20"/>
  <c r="X163" i="20" s="1"/>
  <c r="Z41" i="20"/>
  <c r="Y65" i="20"/>
  <c r="Z257" i="20" s="1"/>
  <c r="Y63" i="20"/>
  <c r="Z255" i="20" s="1"/>
  <c r="Y62" i="20"/>
  <c r="Z254" i="20" s="1"/>
  <c r="Y59" i="20"/>
  <c r="Z251" i="20" s="1"/>
  <c r="Y57" i="20"/>
  <c r="Z249" i="20" s="1"/>
  <c r="Y55" i="20"/>
  <c r="Z247" i="20" s="1"/>
  <c r="Y56" i="20"/>
  <c r="Z248" i="20" s="1"/>
  <c r="Y54" i="20"/>
  <c r="Z246" i="20" s="1"/>
  <c r="Y53" i="20"/>
  <c r="Z245" i="20" s="1"/>
  <c r="Y51" i="20"/>
  <c r="Z243" i="20" s="1"/>
  <c r="Y64" i="20"/>
  <c r="Z256" i="20" s="1"/>
  <c r="Y60" i="20"/>
  <c r="Z252" i="20" s="1"/>
  <c r="Y52" i="20"/>
  <c r="Z244" i="20" s="1"/>
  <c r="Y58" i="20"/>
  <c r="Z250" i="20" s="1"/>
  <c r="Y61" i="20"/>
  <c r="Z253" i="20" s="1"/>
  <c r="O213" i="19"/>
  <c r="M216" i="19"/>
  <c r="G216" i="19" s="1"/>
  <c r="P76" i="19"/>
  <c r="P157" i="19" s="1"/>
  <c r="BD76" i="19"/>
  <c r="BD157" i="19" s="1"/>
  <c r="G76" i="19"/>
  <c r="G157" i="19" s="1"/>
  <c r="CJ76" i="19"/>
  <c r="CJ157" i="19" s="1"/>
  <c r="Y78" i="19"/>
  <c r="Y159" i="19" s="1"/>
  <c r="Y86" i="19"/>
  <c r="Y167" i="19" s="1"/>
  <c r="O76" i="19"/>
  <c r="O157" i="19" s="1"/>
  <c r="AP75" i="19"/>
  <c r="AP156" i="19" s="1"/>
  <c r="I75" i="19"/>
  <c r="I156" i="19" s="1"/>
  <c r="BD75" i="19"/>
  <c r="BD156" i="19" s="1"/>
  <c r="CC75" i="19"/>
  <c r="CC156" i="19" s="1"/>
  <c r="CT47" i="19"/>
  <c r="AR47" i="19" s="1"/>
  <c r="AS239" i="19" s="1"/>
  <c r="I47" i="19"/>
  <c r="J239" i="19" s="1"/>
  <c r="B46" i="19"/>
  <c r="BU47" i="19"/>
  <c r="BV239" i="19" s="1"/>
  <c r="C47" i="19"/>
  <c r="D239" i="19" s="1"/>
  <c r="BI47" i="19"/>
  <c r="BJ239" i="19" s="1"/>
  <c r="BA47" i="19"/>
  <c r="BB239" i="19" s="1"/>
  <c r="BK47" i="19"/>
  <c r="BL239" i="19" s="1"/>
  <c r="AZ47" i="19"/>
  <c r="BA239" i="19" s="1"/>
  <c r="AO47" i="19"/>
  <c r="AP239" i="19" s="1"/>
  <c r="CJ47" i="19"/>
  <c r="CK239" i="19" s="1"/>
  <c r="O47" i="19"/>
  <c r="P239" i="19" s="1"/>
  <c r="B101" i="19"/>
  <c r="CF47" i="19"/>
  <c r="CG239" i="19" s="1"/>
  <c r="BL47" i="19"/>
  <c r="BM239" i="19" s="1"/>
  <c r="AY47" i="19"/>
  <c r="AZ239" i="19" s="1"/>
  <c r="AP47" i="19"/>
  <c r="AQ239" i="19" s="1"/>
  <c r="BY47" i="19"/>
  <c r="BZ239" i="19" s="1"/>
  <c r="H47" i="19"/>
  <c r="I239" i="19" s="1"/>
  <c r="D47" i="19"/>
  <c r="E239" i="19" s="1"/>
  <c r="S47" i="19"/>
  <c r="T239" i="19" s="1"/>
  <c r="BS47" i="19"/>
  <c r="BT239" i="19" s="1"/>
  <c r="BJ47" i="19"/>
  <c r="BK239" i="19" s="1"/>
  <c r="U47" i="19"/>
  <c r="V239" i="19" s="1"/>
  <c r="W47" i="19"/>
  <c r="X239" i="19" s="1"/>
  <c r="AW47" i="19"/>
  <c r="AX239" i="19" s="1"/>
  <c r="Y47" i="19"/>
  <c r="Z239" i="19" s="1"/>
  <c r="CM47" i="19"/>
  <c r="CN239" i="19" s="1"/>
  <c r="Q68" i="20"/>
  <c r="R13" i="20"/>
  <c r="Q12" i="20"/>
  <c r="AZ75" i="19"/>
  <c r="AZ156" i="19" s="1"/>
  <c r="BE75" i="19"/>
  <c r="BE156" i="19" s="1"/>
  <c r="X75" i="19"/>
  <c r="X156" i="19" s="1"/>
  <c r="CH75" i="19"/>
  <c r="CH156" i="19" s="1"/>
  <c r="F75" i="19"/>
  <c r="F156" i="19" s="1"/>
  <c r="Z75" i="19"/>
  <c r="Z156" i="19" s="1"/>
  <c r="BB75" i="19"/>
  <c r="BB156" i="19" s="1"/>
  <c r="X90" i="20"/>
  <c r="X171" i="20" s="1"/>
  <c r="CQ75" i="19"/>
  <c r="CQ156" i="19" s="1"/>
  <c r="BL75" i="19"/>
  <c r="BL156" i="19" s="1"/>
  <c r="CM75" i="19"/>
  <c r="CM156" i="19" s="1"/>
  <c r="BY75" i="19"/>
  <c r="BY156" i="19" s="1"/>
  <c r="BT75" i="19"/>
  <c r="BT156" i="19" s="1"/>
  <c r="AQ75" i="19"/>
  <c r="AQ156" i="19" s="1"/>
  <c r="CK76" i="19"/>
  <c r="CK157" i="19" s="1"/>
  <c r="AX76" i="19"/>
  <c r="AX157" i="19" s="1"/>
  <c r="BP76" i="19"/>
  <c r="BP157" i="19" s="1"/>
  <c r="Y79" i="19"/>
  <c r="Y160" i="19" s="1"/>
  <c r="Y90" i="19"/>
  <c r="Y171" i="19" s="1"/>
  <c r="CO76" i="19"/>
  <c r="CO157" i="19" s="1"/>
  <c r="BU76" i="19"/>
  <c r="BU157" i="19" s="1"/>
  <c r="AO76" i="19"/>
  <c r="AO157" i="19" s="1"/>
  <c r="CF76" i="19"/>
  <c r="CF157" i="19" s="1"/>
  <c r="CG76" i="19"/>
  <c r="CG157" i="19" s="1"/>
  <c r="CC76" i="19"/>
  <c r="CC157" i="19" s="1"/>
  <c r="AV75" i="19"/>
  <c r="AV156" i="19" s="1"/>
  <c r="BX75" i="19"/>
  <c r="BX156" i="19" s="1"/>
  <c r="BS75" i="19"/>
  <c r="BS156" i="19" s="1"/>
  <c r="BF75" i="19"/>
  <c r="BF156" i="19" s="1"/>
  <c r="AR75" i="19"/>
  <c r="AR156" i="19" s="1"/>
  <c r="X92" i="20"/>
  <c r="X173" i="20" s="1"/>
  <c r="X83" i="20"/>
  <c r="X164" i="20" s="1"/>
  <c r="K213" i="19"/>
  <c r="F213" i="19"/>
  <c r="CM76" i="19"/>
  <c r="CM157" i="19" s="1"/>
  <c r="BM76" i="19"/>
  <c r="BM157" i="19" s="1"/>
  <c r="Q76" i="19"/>
  <c r="Q157" i="19" s="1"/>
  <c r="T48" i="19"/>
  <c r="U240" i="19" s="1"/>
  <c r="Y48" i="19"/>
  <c r="Z240" i="19" s="1"/>
  <c r="N48" i="19"/>
  <c r="O240" i="19" s="1"/>
  <c r="BW48" i="19"/>
  <c r="BX240" i="19" s="1"/>
  <c r="CS48" i="19"/>
  <c r="CS75" i="19" s="1"/>
  <c r="CS156" i="19" s="1"/>
  <c r="BM48" i="19"/>
  <c r="BN240" i="19" s="1"/>
  <c r="BO48" i="19"/>
  <c r="BP240" i="19" s="1"/>
  <c r="CG48" i="19"/>
  <c r="CH240" i="19" s="1"/>
  <c r="BG48" i="19"/>
  <c r="BH240" i="19" s="1"/>
  <c r="K48" i="19"/>
  <c r="L240" i="19" s="1"/>
  <c r="X84" i="20"/>
  <c r="X165" i="20" s="1"/>
  <c r="BT76" i="19"/>
  <c r="BT157" i="19" s="1"/>
  <c r="BJ76" i="19"/>
  <c r="BJ157" i="19" s="1"/>
  <c r="Q186" i="19"/>
  <c r="Q176" i="19" s="1"/>
  <c r="Q95" i="19"/>
  <c r="Q122" i="19" s="1"/>
  <c r="Q149" i="19"/>
  <c r="D76" i="19"/>
  <c r="D157" i="19" s="1"/>
  <c r="Y80" i="19"/>
  <c r="Y161" i="19" s="1"/>
  <c r="Y91" i="19"/>
  <c r="Y172" i="19" s="1"/>
  <c r="AR76" i="19"/>
  <c r="AR157" i="19" s="1"/>
  <c r="CL76" i="19"/>
  <c r="CL157" i="19" s="1"/>
  <c r="Z149" i="2" l="1"/>
  <c r="Z95" i="2"/>
  <c r="Z122" i="2" s="1"/>
  <c r="Z186" i="2"/>
  <c r="Z176" i="2" s="1"/>
  <c r="AF242" i="2"/>
  <c r="AE77" i="2"/>
  <c r="AE158" i="2" s="1"/>
  <c r="B314" i="20"/>
  <c r="AH242" i="2"/>
  <c r="AG77" i="2"/>
  <c r="AG158" i="2"/>
  <c r="J242" i="2"/>
  <c r="I77" i="2"/>
  <c r="I158" i="2" s="1"/>
  <c r="BE242" i="2"/>
  <c r="BD77" i="2"/>
  <c r="BD158" i="2" s="1"/>
  <c r="AS241" i="2"/>
  <c r="AR76" i="2"/>
  <c r="AR157" i="2"/>
  <c r="O241" i="2"/>
  <c r="N76" i="2"/>
  <c r="N157" i="2" s="1"/>
  <c r="CS76" i="2"/>
  <c r="CS157" i="2" s="1"/>
  <c r="X241" i="2"/>
  <c r="W76" i="2"/>
  <c r="W157" i="2"/>
  <c r="Y241" i="2"/>
  <c r="X76" i="2"/>
  <c r="X157" i="2"/>
  <c r="BN241" i="2"/>
  <c r="BM76" i="2"/>
  <c r="BM157" i="2"/>
  <c r="BF241" i="2"/>
  <c r="BE76" i="2"/>
  <c r="BE157" i="2" s="1"/>
  <c r="CA241" i="2"/>
  <c r="BZ76" i="2"/>
  <c r="BZ157" i="2" s="1"/>
  <c r="Q241" i="2"/>
  <c r="P76" i="2"/>
  <c r="P157" i="2" s="1"/>
  <c r="CJ241" i="2"/>
  <c r="CI76" i="2"/>
  <c r="CI157" i="2" s="1"/>
  <c r="N241" i="2"/>
  <c r="M76" i="2"/>
  <c r="M157" i="2" s="1"/>
  <c r="AI241" i="2"/>
  <c r="AH76" i="2"/>
  <c r="AH157" i="2"/>
  <c r="M242" i="2"/>
  <c r="L77" i="2"/>
  <c r="L158" i="2" s="1"/>
  <c r="AX242" i="2"/>
  <c r="AW77" i="2"/>
  <c r="AW158" i="2" s="1"/>
  <c r="AE242" i="2"/>
  <c r="AD77" i="2"/>
  <c r="AD158" i="2" s="1"/>
  <c r="V243" i="20"/>
  <c r="U78" i="20"/>
  <c r="U159" i="20" s="1"/>
  <c r="N243" i="20"/>
  <c r="M78" i="20"/>
  <c r="M159" i="20" s="1"/>
  <c r="CM243" i="20"/>
  <c r="CL78" i="20"/>
  <c r="CL159" i="20" s="1"/>
  <c r="BF243" i="20"/>
  <c r="BE78" i="20"/>
  <c r="BE159" i="20" s="1"/>
  <c r="CS243" i="20"/>
  <c r="CR78" i="20"/>
  <c r="CR159" i="20" s="1"/>
  <c r="K243" i="20"/>
  <c r="J78" i="20"/>
  <c r="J159" i="20" s="1"/>
  <c r="CI243" i="20"/>
  <c r="CH78" i="20"/>
  <c r="CH159" i="20" s="1"/>
  <c r="BB243" i="20"/>
  <c r="BA78" i="20"/>
  <c r="BA159" i="20" s="1"/>
  <c r="BZ243" i="20"/>
  <c r="BY78" i="20"/>
  <c r="BY159" i="20"/>
  <c r="BC243" i="20"/>
  <c r="BB78" i="20"/>
  <c r="BB159" i="20" s="1"/>
  <c r="BT244" i="20"/>
  <c r="BS79" i="20"/>
  <c r="BS160" i="20" s="1"/>
  <c r="BH242" i="2"/>
  <c r="BG77" i="2"/>
  <c r="BG158" i="2" s="1"/>
  <c r="F244" i="20"/>
  <c r="E79" i="20"/>
  <c r="E160" i="20" s="1"/>
  <c r="T242" i="2"/>
  <c r="S77" i="2"/>
  <c r="S158" i="2"/>
  <c r="Z242" i="2"/>
  <c r="Y77" i="2"/>
  <c r="Y158" i="2" s="1"/>
  <c r="AJ241" i="2"/>
  <c r="AI76" i="2"/>
  <c r="AI157" i="2" s="1"/>
  <c r="D241" i="2"/>
  <c r="D213" i="2"/>
  <c r="E213" i="2"/>
  <c r="I213" i="2" s="1"/>
  <c r="J213" i="2" s="1"/>
  <c r="Z241" i="2"/>
  <c r="Y76" i="2"/>
  <c r="Y157" i="2" s="1"/>
  <c r="BS242" i="2"/>
  <c r="BR77" i="2"/>
  <c r="BR158" i="2" s="1"/>
  <c r="L243" i="20"/>
  <c r="K78" i="20"/>
  <c r="K159" i="20" s="1"/>
  <c r="CQ243" i="20"/>
  <c r="CP78" i="20"/>
  <c r="CP159" i="20" s="1"/>
  <c r="BK243" i="20"/>
  <c r="BJ78" i="20"/>
  <c r="BJ159" i="20" s="1"/>
  <c r="S242" i="2"/>
  <c r="R77" i="2"/>
  <c r="R158" i="2" s="1"/>
  <c r="CN242" i="2"/>
  <c r="CM77" i="2"/>
  <c r="CM158" i="2" s="1"/>
  <c r="AS47" i="19"/>
  <c r="AT239" i="19" s="1"/>
  <c r="BT47" i="19"/>
  <c r="BU239" i="19" s="1"/>
  <c r="CD47" i="19"/>
  <c r="CE239" i="19" s="1"/>
  <c r="BM47" i="19"/>
  <c r="BN239" i="19" s="1"/>
  <c r="CP75" i="19"/>
  <c r="CP156" i="19" s="1"/>
  <c r="AQ242" i="2"/>
  <c r="AP77" i="2"/>
  <c r="AP158" i="2" s="1"/>
  <c r="AS242" i="2"/>
  <c r="AR77" i="2"/>
  <c r="AR158" i="2"/>
  <c r="CD242" i="2"/>
  <c r="CC77" i="2"/>
  <c r="CC158" i="2" s="1"/>
  <c r="AJ242" i="2"/>
  <c r="AI77" i="2"/>
  <c r="AI158" i="2"/>
  <c r="AZ241" i="2"/>
  <c r="AY76" i="2"/>
  <c r="AY157" i="2"/>
  <c r="AQ76" i="2"/>
  <c r="AQ157" i="2" s="1"/>
  <c r="AR241" i="2"/>
  <c r="AG241" i="2"/>
  <c r="AF76" i="2"/>
  <c r="AF157" i="2" s="1"/>
  <c r="CH241" i="2"/>
  <c r="CG76" i="2"/>
  <c r="CG157" i="2" s="1"/>
  <c r="L241" i="2"/>
  <c r="K76" i="2"/>
  <c r="K157" i="2"/>
  <c r="AW241" i="2"/>
  <c r="AV76" i="2"/>
  <c r="AV157" i="2"/>
  <c r="BQ241" i="2"/>
  <c r="BP76" i="2"/>
  <c r="BP157" i="2"/>
  <c r="AT241" i="2"/>
  <c r="AS76" i="2"/>
  <c r="AS157" i="2" s="1"/>
  <c r="BO241" i="2"/>
  <c r="BN76" i="2"/>
  <c r="BN157" i="2"/>
  <c r="BB76" i="2"/>
  <c r="BB157" i="2" s="1"/>
  <c r="BC241" i="2"/>
  <c r="BX241" i="2"/>
  <c r="BW76" i="2"/>
  <c r="BW157" i="2" s="1"/>
  <c r="CO241" i="2"/>
  <c r="CN76" i="2"/>
  <c r="CN157" i="2" s="1"/>
  <c r="BJ242" i="2"/>
  <c r="BI77" i="2"/>
  <c r="BI158" i="2" s="1"/>
  <c r="BO242" i="2"/>
  <c r="BN77" i="2"/>
  <c r="BN158" i="2" s="1"/>
  <c r="U243" i="20"/>
  <c r="T78" i="20"/>
  <c r="T159" i="20" s="1"/>
  <c r="AW243" i="20"/>
  <c r="AV78" i="20"/>
  <c r="AV159" i="20" s="1"/>
  <c r="AP243" i="20"/>
  <c r="AO78" i="20"/>
  <c r="AO159" i="20" s="1"/>
  <c r="BN243" i="20"/>
  <c r="BM78" i="20"/>
  <c r="BM159" i="20" s="1"/>
  <c r="BV243" i="20"/>
  <c r="BU78" i="20"/>
  <c r="BU159" i="20" s="1"/>
  <c r="F243" i="20"/>
  <c r="E78" i="20"/>
  <c r="E159" i="20"/>
  <c r="AQ243" i="20"/>
  <c r="AP78" i="20"/>
  <c r="AP159" i="20" s="1"/>
  <c r="CC243" i="20"/>
  <c r="CB78" i="20"/>
  <c r="CB159" i="20"/>
  <c r="BH243" i="20"/>
  <c r="BG78" i="20"/>
  <c r="BG159" i="20"/>
  <c r="AS243" i="20"/>
  <c r="AR78" i="20"/>
  <c r="AR159" i="20" s="1"/>
  <c r="CG244" i="20"/>
  <c r="CF79" i="20"/>
  <c r="CF160" i="20" s="1"/>
  <c r="AP242" i="2"/>
  <c r="AO77" i="2"/>
  <c r="AO158" i="2"/>
  <c r="AM242" i="2"/>
  <c r="AL77" i="2"/>
  <c r="AL158" i="2" s="1"/>
  <c r="BF242" i="2"/>
  <c r="BE77" i="2"/>
  <c r="BE158" i="2"/>
  <c r="BZ244" i="20"/>
  <c r="BY79" i="20"/>
  <c r="BY160" i="20" s="1"/>
  <c r="BM244" i="20"/>
  <c r="BL79" i="20"/>
  <c r="BL160" i="20" s="1"/>
  <c r="CS242" i="2"/>
  <c r="CR77" i="2"/>
  <c r="CR158" i="2"/>
  <c r="BR242" i="2"/>
  <c r="BQ77" i="2"/>
  <c r="BQ158" i="2" s="1"/>
  <c r="W241" i="2"/>
  <c r="V76" i="2"/>
  <c r="V157" i="2" s="1"/>
  <c r="BU241" i="2"/>
  <c r="BT76" i="2"/>
  <c r="BT157" i="2" s="1"/>
  <c r="AK241" i="2"/>
  <c r="AJ76" i="2"/>
  <c r="AJ157" i="2" s="1"/>
  <c r="AK242" i="2"/>
  <c r="AJ158" i="2"/>
  <c r="AJ77" i="2"/>
  <c r="B241" i="2"/>
  <c r="B212" i="2"/>
  <c r="O243" i="20"/>
  <c r="N78" i="20"/>
  <c r="N159" i="20" s="1"/>
  <c r="BL243" i="20"/>
  <c r="BK78" i="20"/>
  <c r="BK159" i="20" s="1"/>
  <c r="CO243" i="20"/>
  <c r="CN78" i="20"/>
  <c r="CN159" i="20" s="1"/>
  <c r="I244" i="20"/>
  <c r="H79" i="20"/>
  <c r="H160" i="20" s="1"/>
  <c r="BA244" i="20"/>
  <c r="AZ79" i="20"/>
  <c r="AZ160" i="20" s="1"/>
  <c r="AO242" i="2"/>
  <c r="AN77" i="2"/>
  <c r="AN158" i="2" s="1"/>
  <c r="J47" i="19"/>
  <c r="K239" i="19" s="1"/>
  <c r="CI47" i="19"/>
  <c r="CJ239" i="19" s="1"/>
  <c r="AV47" i="19"/>
  <c r="AW239" i="19" s="1"/>
  <c r="BV47" i="19"/>
  <c r="BW239" i="19" s="1"/>
  <c r="BC75" i="19"/>
  <c r="BC156" i="19" s="1"/>
  <c r="CD75" i="19"/>
  <c r="CD156" i="19" s="1"/>
  <c r="AW242" i="2"/>
  <c r="AV77" i="2"/>
  <c r="AV158" i="2" s="1"/>
  <c r="AY242" i="2"/>
  <c r="AX77" i="2"/>
  <c r="AX158" i="2" s="1"/>
  <c r="X242" i="2"/>
  <c r="W77" i="2"/>
  <c r="W158" i="2" s="1"/>
  <c r="AL242" i="2"/>
  <c r="AK77" i="2"/>
  <c r="AK158" i="2" s="1"/>
  <c r="S241" i="2"/>
  <c r="R76" i="2"/>
  <c r="R157" i="2" s="1"/>
  <c r="K241" i="2"/>
  <c r="J76" i="2"/>
  <c r="J157" i="2" s="1"/>
  <c r="AF241" i="2"/>
  <c r="AE76" i="2"/>
  <c r="AE157" i="2"/>
  <c r="BE241" i="2"/>
  <c r="BD157" i="2"/>
  <c r="BD76" i="2"/>
  <c r="BV241" i="2"/>
  <c r="BU76" i="2"/>
  <c r="BU157" i="2"/>
  <c r="CP49" i="2"/>
  <c r="CH49" i="2"/>
  <c r="T49" i="2"/>
  <c r="AG49" i="2"/>
  <c r="U49" i="2"/>
  <c r="AP49" i="2"/>
  <c r="BK49" i="2"/>
  <c r="BQ242" i="2"/>
  <c r="BP77" i="2"/>
  <c r="BP158" i="2" s="1"/>
  <c r="T243" i="20"/>
  <c r="S78" i="20"/>
  <c r="S159" i="20" s="1"/>
  <c r="E243" i="20"/>
  <c r="D78" i="20"/>
  <c r="D159" i="20" s="1"/>
  <c r="D243" i="20"/>
  <c r="E215" i="20"/>
  <c r="I215" i="20" s="1"/>
  <c r="J215" i="20" s="1"/>
  <c r="D215" i="20"/>
  <c r="C243" i="20"/>
  <c r="BP243" i="20"/>
  <c r="BO78" i="20"/>
  <c r="BO159" i="20" s="1"/>
  <c r="BQ243" i="20"/>
  <c r="BP78" i="20"/>
  <c r="BP159" i="20" s="1"/>
  <c r="M243" i="20"/>
  <c r="L78" i="20"/>
  <c r="L159" i="20" s="1"/>
  <c r="BR243" i="20"/>
  <c r="BQ78" i="20"/>
  <c r="BQ159" i="20"/>
  <c r="BW243" i="20"/>
  <c r="BV78" i="20"/>
  <c r="BV159" i="20" s="1"/>
  <c r="CG243" i="20"/>
  <c r="CF78" i="20"/>
  <c r="CF159" i="20"/>
  <c r="AZ243" i="20"/>
  <c r="AY78" i="20"/>
  <c r="AY159" i="20" s="1"/>
  <c r="AW244" i="20"/>
  <c r="AV79" i="20"/>
  <c r="AV160" i="20" s="1"/>
  <c r="CM242" i="2"/>
  <c r="CL77" i="2"/>
  <c r="CL158" i="2"/>
  <c r="AU242" i="2"/>
  <c r="AT77" i="2"/>
  <c r="AT158" i="2" s="1"/>
  <c r="K216" i="20"/>
  <c r="F216" i="20"/>
  <c r="AC242" i="2"/>
  <c r="AB77" i="2"/>
  <c r="AB158" i="2"/>
  <c r="CS244" i="20"/>
  <c r="CR79" i="20"/>
  <c r="CR160" i="20"/>
  <c r="U244" i="20"/>
  <c r="T79" i="20"/>
  <c r="T160" i="20" s="1"/>
  <c r="BU242" i="2"/>
  <c r="BT77" i="2"/>
  <c r="BT158" i="2" s="1"/>
  <c r="CI242" i="2"/>
  <c r="CH77" i="2"/>
  <c r="CH158" i="2"/>
  <c r="BI241" i="2"/>
  <c r="BH76" i="2"/>
  <c r="BH157" i="2" s="1"/>
  <c r="CM241" i="2"/>
  <c r="CL76" i="2"/>
  <c r="CL157" i="2"/>
  <c r="BP241" i="2"/>
  <c r="BO76" i="2"/>
  <c r="BO157" i="2" s="1"/>
  <c r="BX243" i="20"/>
  <c r="BW78" i="20"/>
  <c r="BW159" i="20" s="1"/>
  <c r="CJ243" i="20"/>
  <c r="CI78" i="20"/>
  <c r="CI159" i="20"/>
  <c r="Q242" i="2"/>
  <c r="P77" i="2"/>
  <c r="P158" i="2" s="1"/>
  <c r="B239" i="19"/>
  <c r="B312" i="19" s="1"/>
  <c r="B210" i="19"/>
  <c r="CS77" i="2"/>
  <c r="CS158" i="2"/>
  <c r="E242" i="2"/>
  <c r="D77" i="2"/>
  <c r="D158" i="2" s="1"/>
  <c r="CP242" i="2"/>
  <c r="CO77" i="2"/>
  <c r="CO158" i="2" s="1"/>
  <c r="CK242" i="2"/>
  <c r="CJ77" i="2"/>
  <c r="CJ158" i="2"/>
  <c r="BH241" i="2"/>
  <c r="BG76" i="2"/>
  <c r="BG157" i="2" s="1"/>
  <c r="CC241" i="2"/>
  <c r="CB76" i="2"/>
  <c r="CB157" i="2" s="1"/>
  <c r="CP241" i="2"/>
  <c r="CO76" i="2"/>
  <c r="CO157" i="2" s="1"/>
  <c r="S76" i="2"/>
  <c r="S157" i="2" s="1"/>
  <c r="T241" i="2"/>
  <c r="H76" i="2"/>
  <c r="H157" i="2" s="1"/>
  <c r="I241" i="2"/>
  <c r="BJ241" i="2"/>
  <c r="BI76" i="2"/>
  <c r="BI157" i="2" s="1"/>
  <c r="BA76" i="2"/>
  <c r="BB241" i="2"/>
  <c r="BA157" i="2"/>
  <c r="BW241" i="2"/>
  <c r="BV76" i="2"/>
  <c r="BV157" i="2"/>
  <c r="CR241" i="2"/>
  <c r="CQ76" i="2"/>
  <c r="CQ157" i="2"/>
  <c r="CF241" i="2"/>
  <c r="CE76" i="2"/>
  <c r="CE157" i="2"/>
  <c r="J241" i="2"/>
  <c r="I76" i="2"/>
  <c r="I157" i="2" s="1"/>
  <c r="AE241" i="2"/>
  <c r="AD76" i="2"/>
  <c r="AD157" i="2" s="1"/>
  <c r="BK242" i="2"/>
  <c r="BJ77" i="2"/>
  <c r="BJ158" i="2" s="1"/>
  <c r="S243" i="20"/>
  <c r="R78" i="20"/>
  <c r="R159" i="20" s="1"/>
  <c r="AV243" i="20"/>
  <c r="AU78" i="20"/>
  <c r="AU159" i="20" s="1"/>
  <c r="AT243" i="20"/>
  <c r="AS78" i="20"/>
  <c r="AS159" i="20" s="1"/>
  <c r="BY243" i="20"/>
  <c r="BX78" i="20"/>
  <c r="BX159" i="20" s="1"/>
  <c r="AR243" i="20"/>
  <c r="AQ78" i="20"/>
  <c r="AQ159" i="20" s="1"/>
  <c r="G243" i="20"/>
  <c r="F78" i="20"/>
  <c r="F159" i="20" s="1"/>
  <c r="BF50" i="20"/>
  <c r="CP50" i="20"/>
  <c r="BO50" i="20"/>
  <c r="CE50" i="20"/>
  <c r="J50" i="20"/>
  <c r="BK50" i="20"/>
  <c r="AY50" i="20"/>
  <c r="CK50" i="20"/>
  <c r="CR50" i="20"/>
  <c r="AQ50" i="20"/>
  <c r="BM50" i="20"/>
  <c r="G50" i="20"/>
  <c r="CT50" i="20"/>
  <c r="BE50" i="20"/>
  <c r="I50" i="20"/>
  <c r="BS50" i="20"/>
  <c r="CL50" i="20"/>
  <c r="AW50" i="20"/>
  <c r="BG50" i="20"/>
  <c r="BU50" i="20"/>
  <c r="CD50" i="20"/>
  <c r="AO50" i="20"/>
  <c r="CN50" i="20"/>
  <c r="AP50" i="20"/>
  <c r="B104" i="20"/>
  <c r="L50" i="20"/>
  <c r="BV50" i="20"/>
  <c r="B49" i="20"/>
  <c r="BI50" i="20"/>
  <c r="AZ50" i="20"/>
  <c r="CG50" i="20"/>
  <c r="CH50" i="20"/>
  <c r="BA50" i="20"/>
  <c r="M50" i="20"/>
  <c r="Q50" i="20"/>
  <c r="R50" i="20"/>
  <c r="S50" i="20"/>
  <c r="T50" i="20"/>
  <c r="U50" i="20"/>
  <c r="J243" i="20"/>
  <c r="I78" i="20"/>
  <c r="I159" i="20" s="1"/>
  <c r="BD244" i="20"/>
  <c r="BC79" i="20"/>
  <c r="BC160" i="20" s="1"/>
  <c r="BN242" i="2"/>
  <c r="BM77" i="2"/>
  <c r="BM158" i="2" s="1"/>
  <c r="CH242" i="2"/>
  <c r="CG77" i="2"/>
  <c r="CG158" i="2" s="1"/>
  <c r="O216" i="20"/>
  <c r="M219" i="20"/>
  <c r="G219" i="20" s="1"/>
  <c r="H242" i="2"/>
  <c r="G77" i="2"/>
  <c r="G158" i="2"/>
  <c r="AS244" i="20"/>
  <c r="AR79" i="20"/>
  <c r="AR160" i="20" s="1"/>
  <c r="AZ242" i="2"/>
  <c r="AY77" i="2"/>
  <c r="AY158" i="2"/>
  <c r="CL75" i="19"/>
  <c r="CL156" i="19" s="1"/>
  <c r="BA242" i="2"/>
  <c r="AZ77" i="2"/>
  <c r="AZ158" i="2" s="1"/>
  <c r="BM242" i="2"/>
  <c r="BL77" i="2"/>
  <c r="BL158" i="2" s="1"/>
  <c r="BY242" i="2"/>
  <c r="BX77" i="2"/>
  <c r="BX158" i="2" s="1"/>
  <c r="CQ242" i="2"/>
  <c r="CP77" i="2"/>
  <c r="CP158" i="2" s="1"/>
  <c r="BP242" i="2"/>
  <c r="BO77" i="2"/>
  <c r="BO158" i="2" s="1"/>
  <c r="AB49" i="2"/>
  <c r="AM49" i="2"/>
  <c r="CJ49" i="2"/>
  <c r="CC49" i="2"/>
  <c r="G49" i="2"/>
  <c r="CF49" i="2"/>
  <c r="AZ49" i="2"/>
  <c r="AO49" i="2"/>
  <c r="BJ49" i="2"/>
  <c r="AX49" i="2"/>
  <c r="BS49" i="2"/>
  <c r="BX49" i="2"/>
  <c r="X244" i="20"/>
  <c r="W79" i="20"/>
  <c r="W160" i="20" s="1"/>
  <c r="AA242" i="2"/>
  <c r="Z77" i="2"/>
  <c r="Z158" i="2" s="1"/>
  <c r="R243" i="20"/>
  <c r="Q78" i="20"/>
  <c r="Q159" i="20" s="1"/>
  <c r="CK243" i="20"/>
  <c r="CJ78" i="20"/>
  <c r="CJ159" i="20" s="1"/>
  <c r="CA243" i="20"/>
  <c r="BZ78" i="20"/>
  <c r="BZ159" i="20" s="1"/>
  <c r="CN243" i="20"/>
  <c r="CM78" i="20"/>
  <c r="CM159" i="20" s="1"/>
  <c r="BO243" i="20"/>
  <c r="BN78" i="20"/>
  <c r="BN159" i="20" s="1"/>
  <c r="CL243" i="20"/>
  <c r="CK78" i="20"/>
  <c r="CK159" i="20"/>
  <c r="BU243" i="20"/>
  <c r="BT78" i="20"/>
  <c r="BT159" i="20"/>
  <c r="CE243" i="20"/>
  <c r="CD78" i="20"/>
  <c r="CD159" i="20" s="1"/>
  <c r="BD243" i="20"/>
  <c r="BC78" i="20"/>
  <c r="BC159" i="20" s="1"/>
  <c r="BR51" i="20"/>
  <c r="X51" i="20"/>
  <c r="BF244" i="20"/>
  <c r="BE79" i="20"/>
  <c r="BE160" i="20" s="1"/>
  <c r="CA242" i="2"/>
  <c r="BZ77" i="2"/>
  <c r="BZ158" i="2"/>
  <c r="I242" i="2"/>
  <c r="H77" i="2"/>
  <c r="H158" i="2" s="1"/>
  <c r="AD242" i="2"/>
  <c r="AC77" i="2"/>
  <c r="AC158" i="2" s="1"/>
  <c r="AQ244" i="20"/>
  <c r="AP79" i="20"/>
  <c r="AP160" i="20" s="1"/>
  <c r="N242" i="2"/>
  <c r="M77" i="2"/>
  <c r="M158" i="2" s="1"/>
  <c r="CG242" i="2"/>
  <c r="CF77" i="2"/>
  <c r="CF158" i="2" s="1"/>
  <c r="B240" i="20"/>
  <c r="B211" i="20"/>
  <c r="AG242" i="2"/>
  <c r="AF77" i="2"/>
  <c r="AF158" i="2" s="1"/>
  <c r="BZ241" i="2"/>
  <c r="BY157" i="2"/>
  <c r="BY76" i="2"/>
  <c r="AL241" i="2"/>
  <c r="AK76" i="2"/>
  <c r="AK157" i="2"/>
  <c r="AU241" i="2"/>
  <c r="AT76" i="2"/>
  <c r="AT157" i="2" s="1"/>
  <c r="CJ242" i="2"/>
  <c r="CI77" i="2"/>
  <c r="CI158" i="2" s="1"/>
  <c r="W243" i="20"/>
  <c r="V78" i="20"/>
  <c r="V159" i="20" s="1"/>
  <c r="BJ243" i="20"/>
  <c r="BI78" i="20"/>
  <c r="BI159" i="20" s="1"/>
  <c r="U75" i="19"/>
  <c r="U156" i="19" s="1"/>
  <c r="BZ242" i="2"/>
  <c r="BY77" i="2"/>
  <c r="BY158" i="2" s="1"/>
  <c r="BD242" i="2"/>
  <c r="BC77" i="2"/>
  <c r="BC158" i="2" s="1"/>
  <c r="Y242" i="2"/>
  <c r="X77" i="2"/>
  <c r="X158" i="2"/>
  <c r="BC76" i="2"/>
  <c r="BC157" i="2" s="1"/>
  <c r="BD241" i="2"/>
  <c r="AA241" i="2"/>
  <c r="Z76" i="2"/>
  <c r="Z157" i="2" s="1"/>
  <c r="G241" i="2"/>
  <c r="F76" i="2"/>
  <c r="F157" i="2" s="1"/>
  <c r="AB241" i="2"/>
  <c r="AA76" i="2"/>
  <c r="AA157" i="2" s="1"/>
  <c r="AO241" i="2"/>
  <c r="AN76" i="2"/>
  <c r="AN157" i="2" s="1"/>
  <c r="BR241" i="2"/>
  <c r="BQ76" i="2"/>
  <c r="BQ157" i="2"/>
  <c r="CT48" i="2"/>
  <c r="CS48" i="2" s="1"/>
  <c r="CS75" i="2" s="1"/>
  <c r="CS156" i="2" s="1"/>
  <c r="B47" i="2"/>
  <c r="B102" i="2"/>
  <c r="AA48" i="2"/>
  <c r="BH48" i="2"/>
  <c r="K48" i="2"/>
  <c r="AG48" i="2"/>
  <c r="AJ48" i="2"/>
  <c r="CM48" i="2"/>
  <c r="BQ48" i="2"/>
  <c r="BX48" i="2"/>
  <c r="I48" i="2"/>
  <c r="CI48" i="2"/>
  <c r="BL48" i="2"/>
  <c r="BS48" i="2"/>
  <c r="CE241" i="2"/>
  <c r="CD76" i="2"/>
  <c r="CD157" i="2" s="1"/>
  <c r="E241" i="2"/>
  <c r="D76" i="2"/>
  <c r="D157" i="2"/>
  <c r="AD241" i="2"/>
  <c r="AC76" i="2"/>
  <c r="AC157" i="2"/>
  <c r="R241" i="2"/>
  <c r="Q76" i="2"/>
  <c r="Q157" i="2"/>
  <c r="AM241" i="2"/>
  <c r="AL76" i="2"/>
  <c r="AL157" i="2" s="1"/>
  <c r="CN241" i="2"/>
  <c r="CM76" i="2"/>
  <c r="CM157" i="2" s="1"/>
  <c r="BK244" i="20"/>
  <c r="BJ160" i="20"/>
  <c r="BJ79" i="20"/>
  <c r="CB242" i="2"/>
  <c r="CA77" i="2"/>
  <c r="CA158" i="2"/>
  <c r="F242" i="2"/>
  <c r="E77" i="2"/>
  <c r="E158" i="2"/>
  <c r="Q243" i="20"/>
  <c r="P78" i="20"/>
  <c r="P159" i="20" s="1"/>
  <c r="CP243" i="20"/>
  <c r="CO78" i="20"/>
  <c r="CO159" i="20"/>
  <c r="BI243" i="20"/>
  <c r="BH78" i="20"/>
  <c r="BH159" i="20" s="1"/>
  <c r="CF243" i="20"/>
  <c r="CE78" i="20"/>
  <c r="CE159" i="20" s="1"/>
  <c r="BG243" i="20"/>
  <c r="BF78" i="20"/>
  <c r="BF159" i="20" s="1"/>
  <c r="CB243" i="20"/>
  <c r="CA78" i="20"/>
  <c r="CA159" i="20"/>
  <c r="BM243" i="20"/>
  <c r="BL159" i="20"/>
  <c r="BL78" i="20"/>
  <c r="CR243" i="20"/>
  <c r="CQ78" i="20"/>
  <c r="CQ159" i="20" s="1"/>
  <c r="H243" i="20"/>
  <c r="G78" i="20"/>
  <c r="G159" i="20"/>
  <c r="BT243" i="20"/>
  <c r="BS78" i="20"/>
  <c r="BS159" i="20" s="1"/>
  <c r="S244" i="20"/>
  <c r="R79" i="20"/>
  <c r="R160" i="20" s="1"/>
  <c r="AB242" i="2"/>
  <c r="AA77" i="2"/>
  <c r="AA158" i="2"/>
  <c r="BI242" i="2"/>
  <c r="BH77" i="2"/>
  <c r="BH158" i="2" s="1"/>
  <c r="M244" i="20"/>
  <c r="L79" i="20"/>
  <c r="L160" i="20" s="1"/>
  <c r="CE242" i="2"/>
  <c r="CD77" i="2"/>
  <c r="CD158" i="2"/>
  <c r="V242" i="2"/>
  <c r="U77" i="2"/>
  <c r="U158" i="2"/>
  <c r="AA12" i="2"/>
  <c r="AA68" i="2"/>
  <c r="AB13" i="2"/>
  <c r="CJ244" i="20"/>
  <c r="CI79" i="20"/>
  <c r="CI160" i="20" s="1"/>
  <c r="K242" i="2"/>
  <c r="J77" i="2"/>
  <c r="J158" i="2" s="1"/>
  <c r="AI242" i="2"/>
  <c r="AH77" i="2"/>
  <c r="AH158" i="2" s="1"/>
  <c r="D242" i="2"/>
  <c r="E214" i="2"/>
  <c r="I214" i="2" s="1"/>
  <c r="J214" i="2" s="1"/>
  <c r="D214" i="2"/>
  <c r="L76" i="2"/>
  <c r="L157" i="2" s="1"/>
  <c r="M241" i="2"/>
  <c r="AV241" i="2"/>
  <c r="AU76" i="2"/>
  <c r="AU157" i="2" s="1"/>
  <c r="BM241" i="2"/>
  <c r="BL76" i="2"/>
  <c r="BL157" i="2" s="1"/>
  <c r="CL241" i="2"/>
  <c r="CK76" i="2"/>
  <c r="CK157" i="2"/>
  <c r="P241" i="2"/>
  <c r="O76" i="2"/>
  <c r="O157" i="2"/>
  <c r="CS241" i="2"/>
  <c r="CR76" i="2"/>
  <c r="CR157" i="2" s="1"/>
  <c r="AX241" i="2"/>
  <c r="AW76" i="2"/>
  <c r="AW157" i="2" s="1"/>
  <c r="BS241" i="2"/>
  <c r="BR76" i="2"/>
  <c r="BR157" i="2" s="1"/>
  <c r="BG241" i="2"/>
  <c r="BF76" i="2"/>
  <c r="BF157" i="2" s="1"/>
  <c r="CB241" i="2"/>
  <c r="CA76" i="2"/>
  <c r="CA157" i="2" s="1"/>
  <c r="F241" i="2"/>
  <c r="E76" i="2"/>
  <c r="E157" i="2" s="1"/>
  <c r="BC242" i="2"/>
  <c r="BB77" i="2"/>
  <c r="BB158" i="2" s="1"/>
  <c r="CL242" i="2"/>
  <c r="CK77" i="2"/>
  <c r="CK158" i="2"/>
  <c r="R242" i="2"/>
  <c r="Q77" i="2"/>
  <c r="Q158" i="2" s="1"/>
  <c r="C242" i="2"/>
  <c r="B315" i="2"/>
  <c r="X243" i="20"/>
  <c r="W78" i="20"/>
  <c r="W159" i="20" s="1"/>
  <c r="P243" i="20"/>
  <c r="O78" i="20"/>
  <c r="O159" i="20" s="1"/>
  <c r="CH243" i="20"/>
  <c r="CG78" i="20"/>
  <c r="CG159" i="20" s="1"/>
  <c r="BA243" i="20"/>
  <c r="AZ78" i="20"/>
  <c r="AZ159" i="20" s="1"/>
  <c r="AY243" i="20"/>
  <c r="AX78" i="20"/>
  <c r="AX159" i="20" s="1"/>
  <c r="CD243" i="20"/>
  <c r="CC78" i="20"/>
  <c r="CC159" i="20"/>
  <c r="BE243" i="20"/>
  <c r="BD78" i="20"/>
  <c r="BD159" i="20" s="1"/>
  <c r="AU243" i="20"/>
  <c r="AT78" i="20"/>
  <c r="AT159" i="20" s="1"/>
  <c r="I243" i="20"/>
  <c r="H78" i="20"/>
  <c r="H159" i="20" s="1"/>
  <c r="AX243" i="20"/>
  <c r="AW78" i="20"/>
  <c r="AW159" i="20" s="1"/>
  <c r="BX244" i="20"/>
  <c r="BW79" i="20"/>
  <c r="BW160" i="20" s="1"/>
  <c r="G242" i="2"/>
  <c r="F77" i="2"/>
  <c r="F158" i="2"/>
  <c r="AN242" i="2"/>
  <c r="AM77" i="2"/>
  <c r="AM158" i="2" s="1"/>
  <c r="AR244" i="20"/>
  <c r="AQ79" i="20"/>
  <c r="AQ160" i="20" s="1"/>
  <c r="BL242" i="2"/>
  <c r="BK158" i="2"/>
  <c r="BK77" i="2"/>
  <c r="BB242" i="2"/>
  <c r="BA77" i="2"/>
  <c r="BA158" i="2" s="1"/>
  <c r="AR74" i="19"/>
  <c r="AR155" i="19" s="1"/>
  <c r="K75" i="19"/>
  <c r="K156" i="19" s="1"/>
  <c r="N75" i="19"/>
  <c r="N156" i="19" s="1"/>
  <c r="CN47" i="19"/>
  <c r="CO239" i="19" s="1"/>
  <c r="K47" i="19"/>
  <c r="L239" i="19" s="1"/>
  <c r="CK47" i="19"/>
  <c r="CL239" i="19" s="1"/>
  <c r="BZ47" i="19"/>
  <c r="CA239" i="19" s="1"/>
  <c r="AX47" i="19"/>
  <c r="AY239" i="19" s="1"/>
  <c r="CP47" i="19"/>
  <c r="CQ239" i="19" s="1"/>
  <c r="Z47" i="19"/>
  <c r="AA239" i="19" s="1"/>
  <c r="X47" i="19"/>
  <c r="Y239" i="19" s="1"/>
  <c r="BB47" i="19"/>
  <c r="BC239" i="19" s="1"/>
  <c r="Y79" i="20"/>
  <c r="Y160" i="20" s="1"/>
  <c r="Y82" i="20"/>
  <c r="Y163" i="20" s="1"/>
  <c r="Z81" i="19"/>
  <c r="Z162" i="19" s="1"/>
  <c r="Z88" i="19"/>
  <c r="Z169" i="19" s="1"/>
  <c r="AW74" i="19"/>
  <c r="AW155" i="19" s="1"/>
  <c r="BJ74" i="19"/>
  <c r="BJ155" i="19" s="1"/>
  <c r="CI74" i="19"/>
  <c r="CI155" i="19" s="1"/>
  <c r="AV74" i="19"/>
  <c r="AV155" i="19" s="1"/>
  <c r="AO74" i="19"/>
  <c r="AO155" i="19" s="1"/>
  <c r="BI74" i="19"/>
  <c r="BI155" i="19" s="1"/>
  <c r="Y92" i="20"/>
  <c r="Y173" i="20" s="1"/>
  <c r="Z85" i="19"/>
  <c r="Z166" i="19" s="1"/>
  <c r="AB41" i="19"/>
  <c r="AA65" i="19"/>
  <c r="AB257" i="19" s="1"/>
  <c r="AA64" i="19"/>
  <c r="AB256" i="19" s="1"/>
  <c r="AA62" i="19"/>
  <c r="AB254" i="19" s="1"/>
  <c r="AA61" i="19"/>
  <c r="AB253" i="19" s="1"/>
  <c r="AA60" i="19"/>
  <c r="AB252" i="19" s="1"/>
  <c r="AA63" i="19"/>
  <c r="AB255" i="19" s="1"/>
  <c r="AA59" i="19"/>
  <c r="AB251" i="19" s="1"/>
  <c r="AA58" i="19"/>
  <c r="AB250" i="19" s="1"/>
  <c r="AA57" i="19"/>
  <c r="AB249" i="19" s="1"/>
  <c r="AA56" i="19"/>
  <c r="AB248" i="19" s="1"/>
  <c r="AA55" i="19"/>
  <c r="AB247" i="19" s="1"/>
  <c r="AA54" i="19"/>
  <c r="AB246" i="19" s="1"/>
  <c r="AA53" i="19"/>
  <c r="AB245" i="19" s="1"/>
  <c r="AA52" i="19"/>
  <c r="AB244" i="19" s="1"/>
  <c r="AA51" i="19"/>
  <c r="AB243" i="19" s="1"/>
  <c r="AA50" i="19"/>
  <c r="AB242" i="19" s="1"/>
  <c r="AA49" i="19"/>
  <c r="AB241" i="19" s="1"/>
  <c r="AA48" i="19"/>
  <c r="AB240" i="19" s="1"/>
  <c r="BS74" i="19"/>
  <c r="BS155" i="19" s="1"/>
  <c r="BM74" i="19"/>
  <c r="BM155" i="19" s="1"/>
  <c r="Y88" i="20"/>
  <c r="Y169" i="20" s="1"/>
  <c r="B159" i="2"/>
  <c r="B132" i="2" s="1"/>
  <c r="A23" i="2"/>
  <c r="B78" i="2"/>
  <c r="B22" i="2"/>
  <c r="Z78" i="19"/>
  <c r="Z159" i="19" s="1"/>
  <c r="U74" i="19"/>
  <c r="U155" i="19" s="1"/>
  <c r="BU74" i="19"/>
  <c r="BU155" i="19" s="1"/>
  <c r="BG75" i="19"/>
  <c r="BG156" i="19" s="1"/>
  <c r="Y75" i="19"/>
  <c r="Y156" i="19" s="1"/>
  <c r="BN47" i="19"/>
  <c r="BO239" i="19" s="1"/>
  <c r="R47" i="19"/>
  <c r="S239" i="19" s="1"/>
  <c r="BD47" i="19"/>
  <c r="BE239" i="19" s="1"/>
  <c r="BW47" i="19"/>
  <c r="BX239" i="19" s="1"/>
  <c r="CH47" i="19"/>
  <c r="CI239" i="19" s="1"/>
  <c r="E47" i="19"/>
  <c r="F239" i="19" s="1"/>
  <c r="CO47" i="19"/>
  <c r="CP239" i="19" s="1"/>
  <c r="BQ47" i="19"/>
  <c r="BR239" i="19" s="1"/>
  <c r="Y87" i="20"/>
  <c r="Y168" i="20" s="1"/>
  <c r="Y84" i="20"/>
  <c r="Y165" i="20" s="1"/>
  <c r="Z80" i="19"/>
  <c r="Z161" i="19" s="1"/>
  <c r="Z89" i="19"/>
  <c r="Z170" i="19" s="1"/>
  <c r="W74" i="19"/>
  <c r="W155" i="19" s="1"/>
  <c r="BV74" i="19"/>
  <c r="BV155" i="19" s="1"/>
  <c r="CG75" i="19"/>
  <c r="CG156" i="19" s="1"/>
  <c r="T75" i="19"/>
  <c r="T156" i="19" s="1"/>
  <c r="F47" i="19"/>
  <c r="G239" i="19" s="1"/>
  <c r="CA47" i="19"/>
  <c r="CB239" i="19" s="1"/>
  <c r="L47" i="19"/>
  <c r="M239" i="19" s="1"/>
  <c r="BX47" i="19"/>
  <c r="BY239" i="19" s="1"/>
  <c r="CC47" i="19"/>
  <c r="CD239" i="19" s="1"/>
  <c r="BP47" i="19"/>
  <c r="BQ239" i="19" s="1"/>
  <c r="CS47" i="19"/>
  <c r="CS74" i="19" s="1"/>
  <c r="CS155" i="19" s="1"/>
  <c r="CL47" i="19"/>
  <c r="CM239" i="19" s="1"/>
  <c r="N47" i="19"/>
  <c r="O239" i="19" s="1"/>
  <c r="Q47" i="19"/>
  <c r="R239" i="19" s="1"/>
  <c r="AQ47" i="19"/>
  <c r="AR239" i="19" s="1"/>
  <c r="G47" i="19"/>
  <c r="H239" i="19" s="1"/>
  <c r="Y86" i="20"/>
  <c r="Y167" i="20" s="1"/>
  <c r="Z82" i="19"/>
  <c r="Z163" i="19" s="1"/>
  <c r="Z90" i="19"/>
  <c r="Z171" i="19" s="1"/>
  <c r="BO75" i="19"/>
  <c r="BO156" i="19" s="1"/>
  <c r="AA47" i="19"/>
  <c r="AB239" i="19" s="1"/>
  <c r="BC47" i="19"/>
  <c r="BD239" i="19" s="1"/>
  <c r="CE47" i="19"/>
  <c r="CF239" i="19" s="1"/>
  <c r="BF47" i="19"/>
  <c r="BG239" i="19" s="1"/>
  <c r="T47" i="19"/>
  <c r="U239" i="19" s="1"/>
  <c r="BE47" i="19"/>
  <c r="BF239" i="19" s="1"/>
  <c r="BH47" i="19"/>
  <c r="BI239" i="19" s="1"/>
  <c r="AU47" i="19"/>
  <c r="AV239" i="19" s="1"/>
  <c r="CQ47" i="19"/>
  <c r="CR239" i="19" s="1"/>
  <c r="B45" i="19"/>
  <c r="B100" i="19"/>
  <c r="CT46" i="19"/>
  <c r="F46" i="19" s="1"/>
  <c r="G238" i="19" s="1"/>
  <c r="Y91" i="20"/>
  <c r="Y172" i="20" s="1"/>
  <c r="Y89" i="20"/>
  <c r="Y170" i="20" s="1"/>
  <c r="Z83" i="19"/>
  <c r="Z164" i="19" s="1"/>
  <c r="Z91" i="19"/>
  <c r="Z172" i="19" s="1"/>
  <c r="M215" i="19"/>
  <c r="G215" i="19" s="1"/>
  <c r="O212" i="19"/>
  <c r="F354" i="19"/>
  <c r="Y74" i="19"/>
  <c r="Y155" i="19" s="1"/>
  <c r="S74" i="19"/>
  <c r="S155" i="19" s="1"/>
  <c r="BT74" i="19"/>
  <c r="BT155" i="19" s="1"/>
  <c r="AP74" i="19"/>
  <c r="AP155" i="19" s="1"/>
  <c r="CF74" i="19"/>
  <c r="CF155" i="19" s="1"/>
  <c r="CJ74" i="19"/>
  <c r="CJ155" i="19" s="1"/>
  <c r="BK74" i="19"/>
  <c r="BK155" i="19" s="1"/>
  <c r="Y85" i="20"/>
  <c r="Y166" i="20" s="1"/>
  <c r="Y83" i="20"/>
  <c r="Y164" i="20" s="1"/>
  <c r="A216" i="2"/>
  <c r="A244" i="2"/>
  <c r="A79" i="2"/>
  <c r="Z79" i="19"/>
  <c r="Z160" i="19" s="1"/>
  <c r="Z87" i="19"/>
  <c r="Z168" i="19" s="1"/>
  <c r="S13" i="20"/>
  <c r="R12" i="20"/>
  <c r="R68" i="20"/>
  <c r="BG47" i="19"/>
  <c r="BH239" i="19" s="1"/>
  <c r="CR47" i="19"/>
  <c r="CS239" i="19" s="1"/>
  <c r="AT47" i="19"/>
  <c r="AU239" i="19" s="1"/>
  <c r="CB47" i="19"/>
  <c r="CC239" i="19" s="1"/>
  <c r="BR47" i="19"/>
  <c r="BS239" i="19" s="1"/>
  <c r="P47" i="19"/>
  <c r="Q239" i="19" s="1"/>
  <c r="M47" i="19"/>
  <c r="N239" i="19" s="1"/>
  <c r="CG47" i="19"/>
  <c r="CH239" i="19" s="1"/>
  <c r="V47" i="19"/>
  <c r="W239" i="19" s="1"/>
  <c r="BO47" i="19"/>
  <c r="BP239" i="19" s="1"/>
  <c r="Y78" i="20"/>
  <c r="Y159" i="20" s="1"/>
  <c r="Y90" i="20"/>
  <c r="Y171" i="20" s="1"/>
  <c r="Z76" i="19"/>
  <c r="Z157" i="19" s="1"/>
  <c r="Z84" i="19"/>
  <c r="Z165" i="19" s="1"/>
  <c r="Z92" i="19"/>
  <c r="Z173" i="19" s="1"/>
  <c r="B158" i="20"/>
  <c r="B131" i="20" s="1"/>
  <c r="B77" i="20"/>
  <c r="A22" i="20"/>
  <c r="B21" i="20"/>
  <c r="K212" i="19"/>
  <c r="F212" i="19"/>
  <c r="B157" i="19"/>
  <c r="B130" i="19" s="1"/>
  <c r="B20" i="19"/>
  <c r="A21" i="19"/>
  <c r="B76" i="19"/>
  <c r="A243" i="20"/>
  <c r="A215" i="20"/>
  <c r="A78" i="20"/>
  <c r="A242" i="19"/>
  <c r="A214" i="19"/>
  <c r="A77" i="19"/>
  <c r="F363" i="20"/>
  <c r="BM75" i="19"/>
  <c r="BM156" i="19" s="1"/>
  <c r="Q149" i="20"/>
  <c r="Q186" i="20"/>
  <c r="Q176" i="20" s="1"/>
  <c r="Q95" i="20"/>
  <c r="Q122" i="20" s="1"/>
  <c r="AS74" i="19"/>
  <c r="AS155" i="19" s="1"/>
  <c r="D74" i="19"/>
  <c r="D155" i="19" s="1"/>
  <c r="AY74" i="19"/>
  <c r="AY155" i="19" s="1"/>
  <c r="BA74" i="19"/>
  <c r="BA155" i="19" s="1"/>
  <c r="I74" i="19"/>
  <c r="I155" i="19" s="1"/>
  <c r="Y80" i="20"/>
  <c r="Y161" i="20" s="1"/>
  <c r="Z77" i="19"/>
  <c r="Z158" i="19" s="1"/>
  <c r="CM74" i="19"/>
  <c r="CM155" i="19" s="1"/>
  <c r="H74" i="19"/>
  <c r="H155" i="19" s="1"/>
  <c r="BL74" i="19"/>
  <c r="BL155" i="19" s="1"/>
  <c r="AZ74" i="19"/>
  <c r="AZ155" i="19" s="1"/>
  <c r="Z86" i="19"/>
  <c r="Z167" i="19" s="1"/>
  <c r="R186" i="19"/>
  <c r="R176" i="19" s="1"/>
  <c r="R149" i="19"/>
  <c r="R95" i="19"/>
  <c r="R122" i="19" s="1"/>
  <c r="J74" i="19"/>
  <c r="J155" i="19" s="1"/>
  <c r="BY74" i="19"/>
  <c r="BY155" i="19" s="1"/>
  <c r="O74" i="19"/>
  <c r="O155" i="19" s="1"/>
  <c r="C239" i="19"/>
  <c r="D211" i="19"/>
  <c r="E211" i="19"/>
  <c r="I211" i="19" s="1"/>
  <c r="J211" i="19" s="1"/>
  <c r="Y81" i="20"/>
  <c r="Y162" i="20" s="1"/>
  <c r="AA41" i="20"/>
  <c r="Z64" i="20"/>
  <c r="AA256" i="20" s="1"/>
  <c r="Z63" i="20"/>
  <c r="AA255" i="20" s="1"/>
  <c r="Z65" i="20"/>
  <c r="AA257" i="20" s="1"/>
  <c r="Z61" i="20"/>
  <c r="AA253" i="20" s="1"/>
  <c r="Z59" i="20"/>
  <c r="AA251" i="20" s="1"/>
  <c r="Z58" i="20"/>
  <c r="AA250" i="20" s="1"/>
  <c r="Z57" i="20"/>
  <c r="AA249" i="20" s="1"/>
  <c r="Z56" i="20"/>
  <c r="AA248" i="20" s="1"/>
  <c r="Z55" i="20"/>
  <c r="AA247" i="20" s="1"/>
  <c r="Z54" i="20"/>
  <c r="AA246" i="20" s="1"/>
  <c r="Z53" i="20"/>
  <c r="AA245" i="20" s="1"/>
  <c r="Z52" i="20"/>
  <c r="AA244" i="20" s="1"/>
  <c r="Z51" i="20"/>
  <c r="AA243" i="20" s="1"/>
  <c r="Z50" i="20"/>
  <c r="AA242" i="20" s="1"/>
  <c r="Z60" i="20"/>
  <c r="AA252" i="20" s="1"/>
  <c r="Z62" i="20"/>
  <c r="AA254" i="20" s="1"/>
  <c r="BW75" i="19"/>
  <c r="BW156" i="19" s="1"/>
  <c r="S68" i="19"/>
  <c r="S12" i="19"/>
  <c r="T13" i="19"/>
  <c r="BN46" i="19" l="1"/>
  <c r="BO238" i="19" s="1"/>
  <c r="BT240" i="2"/>
  <c r="BS75" i="2"/>
  <c r="BS156" i="2" s="1"/>
  <c r="J240" i="2"/>
  <c r="I75" i="2"/>
  <c r="I156" i="2" s="1"/>
  <c r="CN240" i="2"/>
  <c r="CM75" i="2"/>
  <c r="CM156" i="2" s="1"/>
  <c r="L240" i="2"/>
  <c r="K75" i="2"/>
  <c r="K156" i="2" s="1"/>
  <c r="T242" i="20"/>
  <c r="S77" i="20"/>
  <c r="S158" i="20" s="1"/>
  <c r="BW242" i="20"/>
  <c r="BV77" i="20"/>
  <c r="BV158" i="20" s="1"/>
  <c r="AX242" i="20"/>
  <c r="AW77" i="20"/>
  <c r="AW158" i="20"/>
  <c r="AZ242" i="20"/>
  <c r="AY77" i="20"/>
  <c r="AY158" i="20" s="1"/>
  <c r="BP46" i="19"/>
  <c r="BQ238" i="19" s="1"/>
  <c r="CL46" i="19"/>
  <c r="CM238" i="19" s="1"/>
  <c r="AS46" i="19"/>
  <c r="AT238" i="19" s="1"/>
  <c r="BF46" i="19"/>
  <c r="BG238" i="19" s="1"/>
  <c r="F214" i="2"/>
  <c r="K214" i="2"/>
  <c r="AH48" i="2"/>
  <c r="V48" i="2"/>
  <c r="CN48" i="2"/>
  <c r="AD48" i="2"/>
  <c r="BN48" i="2"/>
  <c r="BA48" i="2"/>
  <c r="E48" i="2"/>
  <c r="BU48" i="2"/>
  <c r="AS48" i="2"/>
  <c r="CD48" i="2"/>
  <c r="AX48" i="2"/>
  <c r="W48" i="2"/>
  <c r="BT241" i="2"/>
  <c r="BS76" i="2"/>
  <c r="BS157" i="2" s="1"/>
  <c r="CK241" i="2"/>
  <c r="CJ76" i="2"/>
  <c r="CJ157" i="2"/>
  <c r="S242" i="20"/>
  <c r="R77" i="20"/>
  <c r="R158" i="20" s="1"/>
  <c r="CH242" i="20"/>
  <c r="CG77" i="20"/>
  <c r="CG158" i="20" s="1"/>
  <c r="M242" i="20"/>
  <c r="L77" i="20"/>
  <c r="L158" i="20" s="1"/>
  <c r="CE242" i="20"/>
  <c r="CD77" i="20"/>
  <c r="CD158" i="20" s="1"/>
  <c r="CM242" i="20"/>
  <c r="CL77" i="20"/>
  <c r="CL158" i="20" s="1"/>
  <c r="BD50" i="20"/>
  <c r="Y50" i="20"/>
  <c r="AS50" i="20"/>
  <c r="F50" i="20"/>
  <c r="BB50" i="20"/>
  <c r="D50" i="20"/>
  <c r="CQ241" i="2"/>
  <c r="CP76" i="2"/>
  <c r="CP157" i="2" s="1"/>
  <c r="BL46" i="19"/>
  <c r="BM238" i="19" s="1"/>
  <c r="CK46" i="19"/>
  <c r="CL238" i="19" s="1"/>
  <c r="BB46" i="19"/>
  <c r="BC238" i="19" s="1"/>
  <c r="CA46" i="19"/>
  <c r="CB238" i="19" s="1"/>
  <c r="O214" i="2"/>
  <c r="M217" i="2"/>
  <c r="G217" i="2" s="1"/>
  <c r="AB68" i="2"/>
  <c r="AB12" i="2"/>
  <c r="AC13" i="2"/>
  <c r="BG48" i="2"/>
  <c r="BI48" i="2"/>
  <c r="T48" i="2"/>
  <c r="AI48" i="2"/>
  <c r="Q48" i="2"/>
  <c r="BV48" i="2"/>
  <c r="Z48" i="2"/>
  <c r="BC48" i="2"/>
  <c r="CF48" i="2"/>
  <c r="AO48" i="2"/>
  <c r="Y48" i="2"/>
  <c r="BF48" i="2"/>
  <c r="AY241" i="2"/>
  <c r="AX76" i="2"/>
  <c r="AX157" i="2" s="1"/>
  <c r="AN241" i="2"/>
  <c r="AM76" i="2"/>
  <c r="AM157" i="2" s="1"/>
  <c r="R242" i="20"/>
  <c r="Q77" i="20"/>
  <c r="Q158" i="20" s="1"/>
  <c r="BA242" i="20"/>
  <c r="AZ77" i="20"/>
  <c r="AZ158" i="20" s="1"/>
  <c r="BZ50" i="20"/>
  <c r="BP50" i="20"/>
  <c r="BX50" i="20"/>
  <c r="CF50" i="20"/>
  <c r="H50" i="20"/>
  <c r="BT50" i="20"/>
  <c r="CB50" i="20"/>
  <c r="BR50" i="20"/>
  <c r="F215" i="20"/>
  <c r="K215" i="20"/>
  <c r="B240" i="2"/>
  <c r="B211" i="2"/>
  <c r="M216" i="2"/>
  <c r="G216" i="2" s="1"/>
  <c r="O213" i="2"/>
  <c r="W46" i="19"/>
  <c r="X238" i="19" s="1"/>
  <c r="L46" i="19"/>
  <c r="M238" i="19" s="1"/>
  <c r="J46" i="19"/>
  <c r="K238" i="19" s="1"/>
  <c r="BW46" i="19"/>
  <c r="BX238" i="19" s="1"/>
  <c r="AA95" i="2"/>
  <c r="AA122" i="2" s="1"/>
  <c r="AA149" i="2"/>
  <c r="AA186" i="2"/>
  <c r="AA176" i="2" s="1"/>
  <c r="L48" i="2"/>
  <c r="S48" i="2"/>
  <c r="AY48" i="2"/>
  <c r="CH48" i="2"/>
  <c r="CO48" i="2"/>
  <c r="CB48" i="2"/>
  <c r="F48" i="2"/>
  <c r="D48" i="2"/>
  <c r="O48" i="2"/>
  <c r="CE48" i="2"/>
  <c r="AR48" i="2"/>
  <c r="BM48" i="2"/>
  <c r="B210" i="20"/>
  <c r="B239" i="20"/>
  <c r="BK241" i="2"/>
  <c r="BJ76" i="2"/>
  <c r="BJ157" i="2" s="1"/>
  <c r="AC241" i="2"/>
  <c r="AB76" i="2"/>
  <c r="AB157" i="2"/>
  <c r="X50" i="20"/>
  <c r="P50" i="20"/>
  <c r="CO50" i="20"/>
  <c r="AU50" i="20"/>
  <c r="BC50" i="20"/>
  <c r="CI50" i="20"/>
  <c r="BL50" i="20"/>
  <c r="CQ50" i="20"/>
  <c r="BJ50" i="20"/>
  <c r="CJ50" i="20"/>
  <c r="O215" i="20"/>
  <c r="M218" i="20"/>
  <c r="G218" i="20" s="1"/>
  <c r="BL241" i="2"/>
  <c r="BK76" i="2"/>
  <c r="BK157" i="2" s="1"/>
  <c r="B314" i="2"/>
  <c r="C241" i="2"/>
  <c r="F213" i="2"/>
  <c r="K213" i="2"/>
  <c r="BS46" i="19"/>
  <c r="BT238" i="19" s="1"/>
  <c r="CO46" i="19"/>
  <c r="CP238" i="19" s="1"/>
  <c r="BZ46" i="19"/>
  <c r="CA238" i="19" s="1"/>
  <c r="H46" i="19"/>
  <c r="I238" i="19" s="1"/>
  <c r="AR46" i="19"/>
  <c r="AS238" i="19" s="1"/>
  <c r="CR48" i="2"/>
  <c r="J48" i="2"/>
  <c r="BY48" i="2"/>
  <c r="BR48" i="2"/>
  <c r="AT48" i="2"/>
  <c r="U48" i="2"/>
  <c r="BK48" i="2"/>
  <c r="AP48" i="2"/>
  <c r="N48" i="2"/>
  <c r="X48" i="2"/>
  <c r="G48" i="2"/>
  <c r="AN48" i="2"/>
  <c r="B313" i="20"/>
  <c r="AO76" i="2"/>
  <c r="AO157" i="2" s="1"/>
  <c r="AP241" i="2"/>
  <c r="W50" i="20"/>
  <c r="O50" i="20"/>
  <c r="CA50" i="20"/>
  <c r="BH50" i="20"/>
  <c r="CM50" i="20"/>
  <c r="BN50" i="20"/>
  <c r="CS50" i="20"/>
  <c r="CS77" i="20" s="1"/>
  <c r="CS158" i="20" s="1"/>
  <c r="K50" i="20"/>
  <c r="AX50" i="20"/>
  <c r="AV50" i="20"/>
  <c r="AP76" i="2"/>
  <c r="AQ241" i="2"/>
  <c r="AP157" i="2"/>
  <c r="AW46" i="19"/>
  <c r="AX238" i="19" s="1"/>
  <c r="CP46" i="19"/>
  <c r="CQ238" i="19" s="1"/>
  <c r="Z46" i="19"/>
  <c r="AA238" i="19" s="1"/>
  <c r="AZ46" i="19"/>
  <c r="BA238" i="19" s="1"/>
  <c r="CP48" i="2"/>
  <c r="P48" i="2"/>
  <c r="AQ48" i="2"/>
  <c r="BW48" i="2"/>
  <c r="H48" i="2"/>
  <c r="AM48" i="2"/>
  <c r="AB48" i="2"/>
  <c r="AV48" i="2"/>
  <c r="AE48" i="2"/>
  <c r="CK48" i="2"/>
  <c r="CL48" i="2"/>
  <c r="BJ48" i="2"/>
  <c r="Y243" i="20"/>
  <c r="X78" i="20"/>
  <c r="X159" i="20" s="1"/>
  <c r="BA241" i="2"/>
  <c r="AZ76" i="2"/>
  <c r="AZ157" i="2" s="1"/>
  <c r="V50" i="20"/>
  <c r="N50" i="20"/>
  <c r="C50" i="20"/>
  <c r="AT50" i="20"/>
  <c r="BY50" i="20"/>
  <c r="AR50" i="20"/>
  <c r="BW50" i="20"/>
  <c r="BQ50" i="20"/>
  <c r="E50" i="20"/>
  <c r="CC50" i="20"/>
  <c r="B238" i="19"/>
  <c r="B311" i="19" s="1"/>
  <c r="B209" i="19"/>
  <c r="V241" i="2"/>
  <c r="U76" i="2"/>
  <c r="U157" i="2" s="1"/>
  <c r="CJ240" i="2"/>
  <c r="CI75" i="2"/>
  <c r="CI156" i="2" s="1"/>
  <c r="BR240" i="2"/>
  <c r="BQ75" i="2"/>
  <c r="BQ156" i="2" s="1"/>
  <c r="AH240" i="2"/>
  <c r="AG75" i="2"/>
  <c r="AG156" i="2" s="1"/>
  <c r="AB240" i="2"/>
  <c r="AA75" i="2"/>
  <c r="AA156" i="2" s="1"/>
  <c r="BY241" i="2"/>
  <c r="BX76" i="2"/>
  <c r="BX157" i="2" s="1"/>
  <c r="CI242" i="20"/>
  <c r="CH77" i="20"/>
  <c r="CH158" i="20" s="1"/>
  <c r="AP242" i="20"/>
  <c r="AO77" i="20"/>
  <c r="AO158" i="20" s="1"/>
  <c r="AR242" i="20"/>
  <c r="AQ77" i="20"/>
  <c r="AQ158" i="20" s="1"/>
  <c r="CF242" i="20"/>
  <c r="CE77" i="20"/>
  <c r="CE158" i="20" s="1"/>
  <c r="BG242" i="20"/>
  <c r="BF77" i="20"/>
  <c r="BF158" i="20" s="1"/>
  <c r="I46" i="19"/>
  <c r="J238" i="19" s="1"/>
  <c r="AV46" i="19"/>
  <c r="AW238" i="19" s="1"/>
  <c r="U46" i="19"/>
  <c r="V238" i="19" s="1"/>
  <c r="BB48" i="2"/>
  <c r="BP48" i="2"/>
  <c r="BO48" i="2"/>
  <c r="CC48" i="2"/>
  <c r="AC48" i="2"/>
  <c r="AW48" i="2"/>
  <c r="CA48" i="2"/>
  <c r="CG48" i="2"/>
  <c r="AU48" i="2"/>
  <c r="AK48" i="2"/>
  <c r="M48" i="2"/>
  <c r="BS243" i="20"/>
  <c r="BR78" i="20"/>
  <c r="BR159" i="20"/>
  <c r="CG241" i="2"/>
  <c r="CF76" i="2"/>
  <c r="CF157" i="2" s="1"/>
  <c r="V242" i="20"/>
  <c r="U77" i="20"/>
  <c r="U158" i="20" s="1"/>
  <c r="N242" i="20"/>
  <c r="M77" i="20"/>
  <c r="M158" i="20" s="1"/>
  <c r="BJ242" i="20"/>
  <c r="BI77" i="20"/>
  <c r="BI158" i="20" s="1"/>
  <c r="AQ242" i="20"/>
  <c r="AP77" i="20"/>
  <c r="AP158" i="20"/>
  <c r="BV242" i="20"/>
  <c r="BU77" i="20"/>
  <c r="BU158" i="20" s="1"/>
  <c r="BT242" i="20"/>
  <c r="BS158" i="20"/>
  <c r="BS77" i="20"/>
  <c r="H242" i="20"/>
  <c r="G77" i="20"/>
  <c r="G158" i="20" s="1"/>
  <c r="CS242" i="20"/>
  <c r="CR77" i="20"/>
  <c r="CR158" i="20" s="1"/>
  <c r="BL242" i="20"/>
  <c r="BK77" i="20"/>
  <c r="BK158" i="20" s="1"/>
  <c r="BP242" i="20"/>
  <c r="BO77" i="20"/>
  <c r="BO158" i="20"/>
  <c r="AH241" i="2"/>
  <c r="AG157" i="2"/>
  <c r="AG76" i="2"/>
  <c r="BY46" i="19"/>
  <c r="BZ238" i="19" s="1"/>
  <c r="AU46" i="19"/>
  <c r="AV238" i="19" s="1"/>
  <c r="BM240" i="2"/>
  <c r="BL75" i="2"/>
  <c r="BL156" i="2" s="1"/>
  <c r="BY240" i="2"/>
  <c r="BX75" i="2"/>
  <c r="BX156" i="2" s="1"/>
  <c r="AK240" i="2"/>
  <c r="AJ75" i="2"/>
  <c r="AJ156" i="2" s="1"/>
  <c r="BI240" i="2"/>
  <c r="BH75" i="2"/>
  <c r="BH156" i="2" s="1"/>
  <c r="CD241" i="2"/>
  <c r="CC76" i="2"/>
  <c r="CC157" i="2"/>
  <c r="BF242" i="20"/>
  <c r="BE77" i="20"/>
  <c r="BE158" i="20" s="1"/>
  <c r="CI241" i="2"/>
  <c r="CH76" i="2"/>
  <c r="CH157" i="2" s="1"/>
  <c r="V46" i="19"/>
  <c r="W238" i="19" s="1"/>
  <c r="CI46" i="19"/>
  <c r="CJ238" i="19" s="1"/>
  <c r="Y46" i="19"/>
  <c r="Z238" i="19" s="1"/>
  <c r="Q46" i="19"/>
  <c r="R238" i="19" s="1"/>
  <c r="CD74" i="19"/>
  <c r="CD155" i="19" s="1"/>
  <c r="AF48" i="2"/>
  <c r="BE48" i="2"/>
  <c r="CJ48" i="2"/>
  <c r="CQ48" i="2"/>
  <c r="AL48" i="2"/>
  <c r="R48" i="2"/>
  <c r="C48" i="2"/>
  <c r="AZ48" i="2"/>
  <c r="BD48" i="2"/>
  <c r="BT48" i="2"/>
  <c r="BZ48" i="2"/>
  <c r="CT47" i="2"/>
  <c r="CS47" i="2" s="1"/>
  <c r="CS74" i="2" s="1"/>
  <c r="CS155" i="2" s="1"/>
  <c r="AL47" i="2"/>
  <c r="BG47" i="2"/>
  <c r="AR47" i="2"/>
  <c r="BK47" i="2"/>
  <c r="AO47" i="2"/>
  <c r="AW47" i="2"/>
  <c r="BO47" i="2"/>
  <c r="BZ47" i="2"/>
  <c r="BB47" i="2"/>
  <c r="B101" i="2"/>
  <c r="D47" i="2"/>
  <c r="BR47" i="2"/>
  <c r="BW47" i="2"/>
  <c r="Y47" i="2"/>
  <c r="CH47" i="2"/>
  <c r="CA47" i="2"/>
  <c r="AT47" i="2"/>
  <c r="H47" i="2"/>
  <c r="CE47" i="2"/>
  <c r="CP47" i="2"/>
  <c r="M47" i="2"/>
  <c r="CI47" i="2"/>
  <c r="I47" i="2"/>
  <c r="R47" i="2"/>
  <c r="CM47" i="2"/>
  <c r="AD47" i="2"/>
  <c r="X47" i="2"/>
  <c r="CQ47" i="2"/>
  <c r="AZ47" i="2"/>
  <c r="AC47" i="2"/>
  <c r="BD47" i="2"/>
  <c r="N47" i="2"/>
  <c r="AH47" i="2"/>
  <c r="BH47" i="2"/>
  <c r="AJ47" i="2"/>
  <c r="AN47" i="2"/>
  <c r="BL47" i="2"/>
  <c r="BJ47" i="2"/>
  <c r="AS47" i="2"/>
  <c r="BP47" i="2"/>
  <c r="E47" i="2"/>
  <c r="AX47" i="2"/>
  <c r="BT47" i="2"/>
  <c r="J47" i="2"/>
  <c r="BF47" i="2"/>
  <c r="BX47" i="2"/>
  <c r="P47" i="2"/>
  <c r="BV47" i="2"/>
  <c r="CB47" i="2"/>
  <c r="U47" i="2"/>
  <c r="CL47" i="2"/>
  <c r="CF47" i="2"/>
  <c r="Z47" i="2"/>
  <c r="C47" i="2"/>
  <c r="CJ47" i="2"/>
  <c r="AF47" i="2"/>
  <c r="G47" i="2"/>
  <c r="CN47" i="2"/>
  <c r="B46" i="2"/>
  <c r="AK47" i="2"/>
  <c r="K47" i="2"/>
  <c r="CR47" i="2"/>
  <c r="AP47" i="2"/>
  <c r="O47" i="2"/>
  <c r="BE47" i="2"/>
  <c r="AV47" i="2"/>
  <c r="S47" i="2"/>
  <c r="BI47" i="2"/>
  <c r="BA47" i="2"/>
  <c r="W47" i="2"/>
  <c r="BM47" i="2"/>
  <c r="BN47" i="2"/>
  <c r="AA47" i="2"/>
  <c r="BQ47" i="2"/>
  <c r="CD47" i="2"/>
  <c r="AE47" i="2"/>
  <c r="BU47" i="2"/>
  <c r="F47" i="2"/>
  <c r="AI47" i="2"/>
  <c r="BY47" i="2"/>
  <c r="L47" i="2"/>
  <c r="AM47" i="2"/>
  <c r="CC47" i="2"/>
  <c r="AU47" i="2"/>
  <c r="CK47" i="2"/>
  <c r="AB47" i="2"/>
  <c r="AY47" i="2"/>
  <c r="Q47" i="2"/>
  <c r="CO47" i="2"/>
  <c r="AQ47" i="2"/>
  <c r="AG47" i="2"/>
  <c r="CG47" i="2"/>
  <c r="BC47" i="2"/>
  <c r="V47" i="2"/>
  <c r="H241" i="2"/>
  <c r="G76" i="2"/>
  <c r="G157" i="2" s="1"/>
  <c r="U242" i="20"/>
  <c r="T77" i="20"/>
  <c r="T158" i="20" s="1"/>
  <c r="BB242" i="20"/>
  <c r="BA77" i="20"/>
  <c r="BA158" i="20" s="1"/>
  <c r="BC49" i="20"/>
  <c r="BP49" i="20"/>
  <c r="BM49" i="20"/>
  <c r="G49" i="20"/>
  <c r="AZ49" i="20"/>
  <c r="AP49" i="20"/>
  <c r="B48" i="20"/>
  <c r="BB49" i="20"/>
  <c r="CE49" i="20"/>
  <c r="CJ49" i="20"/>
  <c r="F49" i="20"/>
  <c r="BO49" i="20"/>
  <c r="BT49" i="20"/>
  <c r="AY49" i="20"/>
  <c r="BD49" i="20"/>
  <c r="C49" i="20"/>
  <c r="B103" i="20"/>
  <c r="CI49" i="20"/>
  <c r="E49" i="20"/>
  <c r="CT49" i="20"/>
  <c r="BF49" i="20" s="1"/>
  <c r="CS49" i="20"/>
  <c r="CS76" i="20" s="1"/>
  <c r="CS157" i="20" s="1"/>
  <c r="BS49" i="20"/>
  <c r="BV49" i="20"/>
  <c r="BK49" i="20"/>
  <c r="AR49" i="20"/>
  <c r="BH49" i="20"/>
  <c r="BZ49" i="20"/>
  <c r="CR49" i="20"/>
  <c r="BY49" i="20"/>
  <c r="AU49" i="20"/>
  <c r="BE49" i="20"/>
  <c r="AT49" i="20"/>
  <c r="BJ49" i="20"/>
  <c r="CB49" i="20"/>
  <c r="CA49" i="20"/>
  <c r="CQ49" i="20"/>
  <c r="AO49" i="20"/>
  <c r="BG49" i="20"/>
  <c r="AV49" i="20"/>
  <c r="BL49" i="20"/>
  <c r="AQ49" i="20"/>
  <c r="CN49" i="20"/>
  <c r="AX49" i="20"/>
  <c r="CK49" i="20"/>
  <c r="L49" i="20"/>
  <c r="BI49" i="20"/>
  <c r="K49" i="20"/>
  <c r="BU49" i="20"/>
  <c r="BN49" i="20"/>
  <c r="BX49" i="20"/>
  <c r="CP49" i="20"/>
  <c r="CM49" i="20"/>
  <c r="BW49" i="20"/>
  <c r="AS49" i="20"/>
  <c r="CH49" i="20"/>
  <c r="BR49" i="20"/>
  <c r="CL49" i="20"/>
  <c r="D49" i="20"/>
  <c r="H49" i="20"/>
  <c r="BA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CO242" i="20"/>
  <c r="CN77" i="20"/>
  <c r="CN158" i="20"/>
  <c r="BH242" i="20"/>
  <c r="BG77" i="20"/>
  <c r="BG158" i="20" s="1"/>
  <c r="J242" i="20"/>
  <c r="I77" i="20"/>
  <c r="I158" i="20" s="1"/>
  <c r="BN242" i="20"/>
  <c r="BM77" i="20"/>
  <c r="BM158" i="20" s="1"/>
  <c r="CL242" i="20"/>
  <c r="CK77" i="20"/>
  <c r="CK158" i="20" s="1"/>
  <c r="K242" i="20"/>
  <c r="J77" i="20"/>
  <c r="J158" i="20" s="1"/>
  <c r="CQ242" i="20"/>
  <c r="CP77" i="20"/>
  <c r="CP158" i="20" s="1"/>
  <c r="U241" i="2"/>
  <c r="T76" i="2"/>
  <c r="T157" i="2" s="1"/>
  <c r="F73" i="19"/>
  <c r="F154" i="19" s="1"/>
  <c r="Z87" i="20"/>
  <c r="Z168" i="20" s="1"/>
  <c r="Z84" i="20"/>
  <c r="Z165" i="20" s="1"/>
  <c r="Z77" i="20"/>
  <c r="Z158" i="20" s="1"/>
  <c r="Z85" i="20"/>
  <c r="Z166" i="20" s="1"/>
  <c r="BO74" i="19"/>
  <c r="BO155" i="19" s="1"/>
  <c r="O46" i="19"/>
  <c r="P238" i="19" s="1"/>
  <c r="T46" i="19"/>
  <c r="U238" i="19" s="1"/>
  <c r="AB46" i="19"/>
  <c r="AC238" i="19" s="1"/>
  <c r="P46" i="19"/>
  <c r="Q238" i="19" s="1"/>
  <c r="BV46" i="19"/>
  <c r="BW238" i="19" s="1"/>
  <c r="CJ46" i="19"/>
  <c r="CK238" i="19" s="1"/>
  <c r="CM46" i="19"/>
  <c r="CN238" i="19" s="1"/>
  <c r="AO46" i="19"/>
  <c r="AP238" i="19" s="1"/>
  <c r="BA46" i="19"/>
  <c r="BB238" i="19" s="1"/>
  <c r="BM46" i="19"/>
  <c r="BN238" i="19" s="1"/>
  <c r="BX46" i="19"/>
  <c r="BY238" i="19" s="1"/>
  <c r="BF74" i="19"/>
  <c r="BF155" i="19" s="1"/>
  <c r="Q74" i="19"/>
  <c r="Q155" i="19" s="1"/>
  <c r="CA74" i="19"/>
  <c r="CA155" i="19" s="1"/>
  <c r="BD74" i="19"/>
  <c r="BD155" i="19" s="1"/>
  <c r="AA79" i="19"/>
  <c r="AA160" i="19" s="1"/>
  <c r="AA90" i="19"/>
  <c r="AA171" i="19" s="1"/>
  <c r="AX74" i="19"/>
  <c r="AX155" i="19" s="1"/>
  <c r="S186" i="19"/>
  <c r="S176" i="19" s="1"/>
  <c r="S95" i="19"/>
  <c r="S122" i="19" s="1"/>
  <c r="S149" i="19"/>
  <c r="O211" i="19"/>
  <c r="M214" i="19"/>
  <c r="G214" i="19" s="1"/>
  <c r="A213" i="19"/>
  <c r="A76" i="19"/>
  <c r="A241" i="19"/>
  <c r="BS73" i="19"/>
  <c r="BS154" i="19" s="1"/>
  <c r="V73" i="19"/>
  <c r="V154" i="19" s="1"/>
  <c r="W73" i="19"/>
  <c r="W154" i="19" s="1"/>
  <c r="AV73" i="19"/>
  <c r="AV154" i="19" s="1"/>
  <c r="CL73" i="19"/>
  <c r="CL154" i="19" s="1"/>
  <c r="BZ73" i="19"/>
  <c r="BZ154" i="19" s="1"/>
  <c r="Y73" i="19"/>
  <c r="Y154" i="19" s="1"/>
  <c r="J73" i="19"/>
  <c r="J154" i="19" s="1"/>
  <c r="U73" i="19"/>
  <c r="U154" i="19" s="1"/>
  <c r="BW73" i="19"/>
  <c r="BW154" i="19" s="1"/>
  <c r="AZ73" i="19"/>
  <c r="AZ154" i="19" s="1"/>
  <c r="CE74" i="19"/>
  <c r="CE155" i="19" s="1"/>
  <c r="N74" i="19"/>
  <c r="N155" i="19" s="1"/>
  <c r="F74" i="19"/>
  <c r="F155" i="19" s="1"/>
  <c r="R74" i="19"/>
  <c r="R155" i="19" s="1"/>
  <c r="AA80" i="19"/>
  <c r="AA161" i="19" s="1"/>
  <c r="AA87" i="19"/>
  <c r="AA168" i="19" s="1"/>
  <c r="BZ74" i="19"/>
  <c r="BZ155" i="19" s="1"/>
  <c r="V74" i="19"/>
  <c r="V155" i="19" s="1"/>
  <c r="AT74" i="19"/>
  <c r="AT155" i="19" s="1"/>
  <c r="Z79" i="20"/>
  <c r="Z160" i="20" s="1"/>
  <c r="Z88" i="20"/>
  <c r="Z169" i="20" s="1"/>
  <c r="K211" i="19"/>
  <c r="F211" i="19"/>
  <c r="A20" i="19"/>
  <c r="B156" i="19"/>
  <c r="B129" i="19" s="1"/>
  <c r="B75" i="19"/>
  <c r="B19" i="19"/>
  <c r="CG74" i="19"/>
  <c r="CG155" i="19" s="1"/>
  <c r="CR74" i="19"/>
  <c r="CR155" i="19" s="1"/>
  <c r="CF46" i="19"/>
  <c r="CG238" i="19" s="1"/>
  <c r="BI46" i="19"/>
  <c r="BJ238" i="19" s="1"/>
  <c r="AY46" i="19"/>
  <c r="AZ238" i="19" s="1"/>
  <c r="BG46" i="19"/>
  <c r="BH238" i="19" s="1"/>
  <c r="R46" i="19"/>
  <c r="S238" i="19" s="1"/>
  <c r="AQ46" i="19"/>
  <c r="AR238" i="19" s="1"/>
  <c r="BE46" i="19"/>
  <c r="BF238" i="19" s="1"/>
  <c r="BT46" i="19"/>
  <c r="BU238" i="19" s="1"/>
  <c r="CS46" i="19"/>
  <c r="CS73" i="19" s="1"/>
  <c r="CS154" i="19" s="1"/>
  <c r="AX46" i="19"/>
  <c r="AY238" i="19" s="1"/>
  <c r="BC74" i="19"/>
  <c r="BC155" i="19" s="1"/>
  <c r="CL74" i="19"/>
  <c r="CL155" i="19" s="1"/>
  <c r="A22" i="2"/>
  <c r="B21" i="2"/>
  <c r="B158" i="2"/>
  <c r="B131" i="2" s="1"/>
  <c r="B77" i="2"/>
  <c r="AA81" i="19"/>
  <c r="AA162" i="19" s="1"/>
  <c r="AA88" i="19"/>
  <c r="AA169" i="19" s="1"/>
  <c r="T68" i="19"/>
  <c r="T12" i="19"/>
  <c r="U13" i="19"/>
  <c r="Z78" i="20"/>
  <c r="Z159" i="20" s="1"/>
  <c r="Z86" i="20"/>
  <c r="Z167" i="20" s="1"/>
  <c r="A21" i="20"/>
  <c r="B20" i="20"/>
  <c r="B157" i="20"/>
  <c r="B130" i="20" s="1"/>
  <c r="B76" i="20"/>
  <c r="BG74" i="19"/>
  <c r="BG155" i="19" s="1"/>
  <c r="CH46" i="19"/>
  <c r="CI238" i="19" s="1"/>
  <c r="CD46" i="19"/>
  <c r="CE238" i="19" s="1"/>
  <c r="N46" i="19"/>
  <c r="O238" i="19" s="1"/>
  <c r="X46" i="19"/>
  <c r="Y238" i="19" s="1"/>
  <c r="BU46" i="19"/>
  <c r="BV238" i="19" s="1"/>
  <c r="C46" i="19"/>
  <c r="D238" i="19" s="1"/>
  <c r="CE46" i="19"/>
  <c r="CF238" i="19" s="1"/>
  <c r="BH46" i="19"/>
  <c r="BI238" i="19" s="1"/>
  <c r="CQ74" i="19"/>
  <c r="CQ155" i="19" s="1"/>
  <c r="AA74" i="19"/>
  <c r="AA155" i="19" s="1"/>
  <c r="BQ74" i="19"/>
  <c r="BQ155" i="19" s="1"/>
  <c r="AA82" i="19"/>
  <c r="AA163" i="19" s="1"/>
  <c r="AA89" i="19"/>
  <c r="AA170" i="19" s="1"/>
  <c r="F355" i="19"/>
  <c r="AW73" i="19"/>
  <c r="AW154" i="19" s="1"/>
  <c r="BP73" i="19"/>
  <c r="BP154" i="19" s="1"/>
  <c r="CI73" i="19"/>
  <c r="CI154" i="19" s="1"/>
  <c r="CK73" i="19"/>
  <c r="CK154" i="19" s="1"/>
  <c r="CP73" i="19"/>
  <c r="CP154" i="19" s="1"/>
  <c r="BB73" i="19"/>
  <c r="BB154" i="19" s="1"/>
  <c r="H73" i="19"/>
  <c r="H154" i="19" s="1"/>
  <c r="Q73" i="19"/>
  <c r="Q154" i="19" s="1"/>
  <c r="CA73" i="19"/>
  <c r="CA154" i="19" s="1"/>
  <c r="AR73" i="19"/>
  <c r="AR154" i="19" s="1"/>
  <c r="AU74" i="19"/>
  <c r="AU155" i="19" s="1"/>
  <c r="BP74" i="19"/>
  <c r="BP155" i="19" s="1"/>
  <c r="CO74" i="19"/>
  <c r="CO155" i="19" s="1"/>
  <c r="BN74" i="19"/>
  <c r="BN155" i="19" s="1"/>
  <c r="A215" i="2"/>
  <c r="A243" i="2"/>
  <c r="A78" i="2"/>
  <c r="AA75" i="19"/>
  <c r="AA156" i="19" s="1"/>
  <c r="AA83" i="19"/>
  <c r="AA164" i="19" s="1"/>
  <c r="AA91" i="19"/>
  <c r="AA172" i="19" s="1"/>
  <c r="BB74" i="19"/>
  <c r="BB155" i="19" s="1"/>
  <c r="CK74" i="19"/>
  <c r="CK155" i="19" s="1"/>
  <c r="Z80" i="20"/>
  <c r="Z161" i="20" s="1"/>
  <c r="Z92" i="20"/>
  <c r="Z173" i="20" s="1"/>
  <c r="Z81" i="20"/>
  <c r="Z162" i="20" s="1"/>
  <c r="Z90" i="20"/>
  <c r="Z171" i="20" s="1"/>
  <c r="M74" i="19"/>
  <c r="M155" i="19" s="1"/>
  <c r="F364" i="20"/>
  <c r="P74" i="19"/>
  <c r="P155" i="19" s="1"/>
  <c r="I73" i="19"/>
  <c r="I154" i="19" s="1"/>
  <c r="BL73" i="19"/>
  <c r="BL154" i="19" s="1"/>
  <c r="BN73" i="19"/>
  <c r="BN154" i="19" s="1"/>
  <c r="L73" i="19"/>
  <c r="L154" i="19" s="1"/>
  <c r="P45" i="19"/>
  <c r="Q237" i="19" s="1"/>
  <c r="B44" i="19"/>
  <c r="BW45" i="19"/>
  <c r="BX237" i="19" s="1"/>
  <c r="H45" i="19"/>
  <c r="I237" i="19" s="1"/>
  <c r="BI45" i="19"/>
  <c r="BJ237" i="19" s="1"/>
  <c r="CQ45" i="19"/>
  <c r="CR237" i="19" s="1"/>
  <c r="AA45" i="19"/>
  <c r="AB237" i="19" s="1"/>
  <c r="CH45" i="19"/>
  <c r="CI237" i="19" s="1"/>
  <c r="CA45" i="19"/>
  <c r="CB237" i="19" s="1"/>
  <c r="K45" i="19"/>
  <c r="L237" i="19" s="1"/>
  <c r="V45" i="19"/>
  <c r="W237" i="19" s="1"/>
  <c r="AP45" i="19"/>
  <c r="AQ237" i="19" s="1"/>
  <c r="AU45" i="19"/>
  <c r="AV237" i="19" s="1"/>
  <c r="BU45" i="19"/>
  <c r="BV237" i="19" s="1"/>
  <c r="BC45" i="19"/>
  <c r="BD237" i="19" s="1"/>
  <c r="D45" i="19"/>
  <c r="E237" i="19" s="1"/>
  <c r="AO45" i="19"/>
  <c r="AP237" i="19" s="1"/>
  <c r="BP45" i="19"/>
  <c r="BQ237" i="19" s="1"/>
  <c r="L45" i="19"/>
  <c r="M237" i="19" s="1"/>
  <c r="CC45" i="19"/>
  <c r="CD237" i="19" s="1"/>
  <c r="CT45" i="19"/>
  <c r="CI45" i="19" s="1"/>
  <c r="CJ237" i="19" s="1"/>
  <c r="BL45" i="19"/>
  <c r="BM237" i="19" s="1"/>
  <c r="BJ45" i="19"/>
  <c r="BK237" i="19" s="1"/>
  <c r="C45" i="19"/>
  <c r="D237" i="19" s="1"/>
  <c r="CM45" i="19"/>
  <c r="CN237" i="19" s="1"/>
  <c r="Y45" i="19"/>
  <c r="Z237" i="19" s="1"/>
  <c r="AZ45" i="19"/>
  <c r="BA237" i="19" s="1"/>
  <c r="AB45" i="19"/>
  <c r="AC237" i="19" s="1"/>
  <c r="BM45" i="19"/>
  <c r="BN237" i="19" s="1"/>
  <c r="S45" i="19"/>
  <c r="T237" i="19" s="1"/>
  <c r="BG45" i="19"/>
  <c r="BH237" i="19" s="1"/>
  <c r="U45" i="19"/>
  <c r="V237" i="19" s="1"/>
  <c r="B99" i="19"/>
  <c r="BV45" i="19"/>
  <c r="BW237" i="19" s="1"/>
  <c r="N45" i="19"/>
  <c r="O237" i="19" s="1"/>
  <c r="AR45" i="19"/>
  <c r="AS237" i="19" s="1"/>
  <c r="CP45" i="19"/>
  <c r="CQ237" i="19" s="1"/>
  <c r="CG45" i="19"/>
  <c r="CH237" i="19" s="1"/>
  <c r="AS73" i="19"/>
  <c r="AS154" i="19" s="1"/>
  <c r="Z73" i="19"/>
  <c r="Z154" i="19" s="1"/>
  <c r="AU73" i="19"/>
  <c r="AU154" i="19" s="1"/>
  <c r="AP46" i="19"/>
  <c r="AQ238" i="19" s="1"/>
  <c r="BH74" i="19"/>
  <c r="BH155" i="19" s="1"/>
  <c r="CC74" i="19"/>
  <c r="CC155" i="19" s="1"/>
  <c r="E74" i="19"/>
  <c r="E155" i="19" s="1"/>
  <c r="AA76" i="19"/>
  <c r="AA157" i="19" s="1"/>
  <c r="AA84" i="19"/>
  <c r="AA165" i="19" s="1"/>
  <c r="AA92" i="19"/>
  <c r="AA173" i="19" s="1"/>
  <c r="X74" i="19"/>
  <c r="X155" i="19" s="1"/>
  <c r="K74" i="19"/>
  <c r="K155" i="19" s="1"/>
  <c r="A242" i="20"/>
  <c r="A214" i="20"/>
  <c r="A77" i="20"/>
  <c r="R95" i="20"/>
  <c r="R122" i="20" s="1"/>
  <c r="R149" i="20"/>
  <c r="R186" i="20"/>
  <c r="R176" i="20" s="1"/>
  <c r="Z82" i="20"/>
  <c r="Z163" i="20" s="1"/>
  <c r="Z91" i="20"/>
  <c r="Z172" i="20" s="1"/>
  <c r="Z89" i="20"/>
  <c r="Z170" i="20" s="1"/>
  <c r="Z83" i="20"/>
  <c r="Z164" i="20" s="1"/>
  <c r="AB41" i="20"/>
  <c r="AA64" i="20"/>
  <c r="AB256" i="20" s="1"/>
  <c r="AA63" i="20"/>
  <c r="AB255" i="20" s="1"/>
  <c r="AA65" i="20"/>
  <c r="AB257" i="20" s="1"/>
  <c r="AA62" i="20"/>
  <c r="AB254" i="20" s="1"/>
  <c r="AA59" i="20"/>
  <c r="AB251" i="20" s="1"/>
  <c r="AA58" i="20"/>
  <c r="AB250" i="20" s="1"/>
  <c r="AA57" i="20"/>
  <c r="AB249" i="20" s="1"/>
  <c r="AA56" i="20"/>
  <c r="AB248" i="20" s="1"/>
  <c r="AA55" i="20"/>
  <c r="AB247" i="20" s="1"/>
  <c r="AA53" i="20"/>
  <c r="AB245" i="20" s="1"/>
  <c r="AA54" i="20"/>
  <c r="AB246" i="20" s="1"/>
  <c r="AA50" i="20"/>
  <c r="AB242" i="20" s="1"/>
  <c r="AA51" i="20"/>
  <c r="AB243" i="20" s="1"/>
  <c r="AA49" i="20"/>
  <c r="AB241" i="20" s="1"/>
  <c r="AA61" i="20"/>
  <c r="AB253" i="20" s="1"/>
  <c r="AA52" i="20"/>
  <c r="AB244" i="20" s="1"/>
  <c r="AA60" i="20"/>
  <c r="AB252" i="20" s="1"/>
  <c r="BR74" i="19"/>
  <c r="BR155" i="19" s="1"/>
  <c r="S68" i="20"/>
  <c r="S12" i="20"/>
  <c r="T13" i="20"/>
  <c r="AA46" i="19"/>
  <c r="AB238" i="19" s="1"/>
  <c r="CN46" i="19"/>
  <c r="CO238" i="19" s="1"/>
  <c r="BJ46" i="19"/>
  <c r="BK238" i="19" s="1"/>
  <c r="D46" i="19"/>
  <c r="E238" i="19" s="1"/>
  <c r="BO46" i="19"/>
  <c r="BP238" i="19" s="1"/>
  <c r="M46" i="19"/>
  <c r="N238" i="19" s="1"/>
  <c r="BK46" i="19"/>
  <c r="BL238" i="19" s="1"/>
  <c r="CR46" i="19"/>
  <c r="CS238" i="19" s="1"/>
  <c r="BR46" i="19"/>
  <c r="BS238" i="19" s="1"/>
  <c r="E46" i="19"/>
  <c r="F238" i="19" s="1"/>
  <c r="CG46" i="19"/>
  <c r="CH238" i="19" s="1"/>
  <c r="BE74" i="19"/>
  <c r="BE155" i="19" s="1"/>
  <c r="G74" i="19"/>
  <c r="G155" i="19" s="1"/>
  <c r="BX74" i="19"/>
  <c r="BX155" i="19" s="1"/>
  <c r="CH74" i="19"/>
  <c r="CH155" i="19" s="1"/>
  <c r="AA77" i="19"/>
  <c r="AA158" i="19" s="1"/>
  <c r="AA85" i="19"/>
  <c r="AA166" i="19" s="1"/>
  <c r="AC41" i="19"/>
  <c r="AC46" i="19" s="1"/>
  <c r="AD238" i="19" s="1"/>
  <c r="AB65" i="19"/>
  <c r="AC257" i="19" s="1"/>
  <c r="AB64" i="19"/>
  <c r="AC256" i="19" s="1"/>
  <c r="AB63" i="19"/>
  <c r="AC255" i="19" s="1"/>
  <c r="AB61" i="19"/>
  <c r="AC253" i="19" s="1"/>
  <c r="AB62" i="19"/>
  <c r="AC254" i="19" s="1"/>
  <c r="AB60" i="19"/>
  <c r="AC252" i="19" s="1"/>
  <c r="AB58" i="19"/>
  <c r="AC250" i="19" s="1"/>
  <c r="AB59" i="19"/>
  <c r="AC251" i="19" s="1"/>
  <c r="AB57" i="19"/>
  <c r="AC249" i="19" s="1"/>
  <c r="AB56" i="19"/>
  <c r="AC248" i="19" s="1"/>
  <c r="AB55" i="19"/>
  <c r="AC247" i="19" s="1"/>
  <c r="AB54" i="19"/>
  <c r="AC246" i="19" s="1"/>
  <c r="AB53" i="19"/>
  <c r="AC245" i="19" s="1"/>
  <c r="AB52" i="19"/>
  <c r="AC244" i="19" s="1"/>
  <c r="AB50" i="19"/>
  <c r="AC242" i="19" s="1"/>
  <c r="AB51" i="19"/>
  <c r="AC243" i="19" s="1"/>
  <c r="AB49" i="19"/>
  <c r="AC241" i="19" s="1"/>
  <c r="AB48" i="19"/>
  <c r="AC240" i="19" s="1"/>
  <c r="AB47" i="19"/>
  <c r="AC239" i="19" s="1"/>
  <c r="Z74" i="19"/>
  <c r="Z155" i="19" s="1"/>
  <c r="CN74" i="19"/>
  <c r="CN155" i="19" s="1"/>
  <c r="CB74" i="19"/>
  <c r="CB155" i="19" s="1"/>
  <c r="K46" i="19"/>
  <c r="L238" i="19" s="1"/>
  <c r="G46" i="19"/>
  <c r="H238" i="19" s="1"/>
  <c r="CQ46" i="19"/>
  <c r="CR238" i="19" s="1"/>
  <c r="CB46" i="19"/>
  <c r="CC238" i="19" s="1"/>
  <c r="BD46" i="19"/>
  <c r="BE238" i="19" s="1"/>
  <c r="AT46" i="19"/>
  <c r="AU238" i="19" s="1"/>
  <c r="CC46" i="19"/>
  <c r="CD238" i="19" s="1"/>
  <c r="S46" i="19"/>
  <c r="T238" i="19" s="1"/>
  <c r="BQ46" i="19"/>
  <c r="BR238" i="19" s="1"/>
  <c r="BC46" i="19"/>
  <c r="BD238" i="19" s="1"/>
  <c r="T74" i="19"/>
  <c r="T155" i="19" s="1"/>
  <c r="AQ74" i="19"/>
  <c r="AQ155" i="19" s="1"/>
  <c r="L74" i="19"/>
  <c r="L155" i="19" s="1"/>
  <c r="BW74" i="19"/>
  <c r="BW155" i="19" s="1"/>
  <c r="AA78" i="19"/>
  <c r="AA159" i="19" s="1"/>
  <c r="AA86" i="19"/>
  <c r="AA167" i="19" s="1"/>
  <c r="CP74" i="19"/>
  <c r="CP155" i="19" s="1"/>
  <c r="BG241" i="20" l="1"/>
  <c r="BF76" i="20"/>
  <c r="BF157" i="20" s="1"/>
  <c r="BF73" i="19"/>
  <c r="BF154" i="19" s="1"/>
  <c r="V241" i="20"/>
  <c r="U76" i="20"/>
  <c r="U157" i="20" s="1"/>
  <c r="N241" i="20"/>
  <c r="M76" i="20"/>
  <c r="M157" i="20" s="1"/>
  <c r="BX241" i="20"/>
  <c r="BW76" i="20"/>
  <c r="BW157" i="20"/>
  <c r="M241" i="20"/>
  <c r="L76" i="20"/>
  <c r="L157" i="20" s="1"/>
  <c r="BH241" i="20"/>
  <c r="BG76" i="20"/>
  <c r="BG157" i="20" s="1"/>
  <c r="BF241" i="20"/>
  <c r="BE76" i="20"/>
  <c r="BE157" i="20" s="1"/>
  <c r="BL241" i="20"/>
  <c r="BK76" i="20"/>
  <c r="BK157" i="20" s="1"/>
  <c r="G241" i="20"/>
  <c r="F76" i="20"/>
  <c r="F157" i="20" s="1"/>
  <c r="H241" i="20"/>
  <c r="G76" i="20"/>
  <c r="G157" i="20" s="1"/>
  <c r="AH239" i="2"/>
  <c r="AG74" i="2"/>
  <c r="AG155" i="2" s="1"/>
  <c r="CD239" i="2"/>
  <c r="CC74" i="2"/>
  <c r="CC155" i="2" s="1"/>
  <c r="CE239" i="2"/>
  <c r="CD74" i="2"/>
  <c r="CD155" i="2" s="1"/>
  <c r="T239" i="2"/>
  <c r="S74" i="2"/>
  <c r="S155" i="2" s="1"/>
  <c r="CT46" i="2"/>
  <c r="CO46" i="2" s="1"/>
  <c r="BX46" i="2"/>
  <c r="E46" i="2"/>
  <c r="P46" i="2"/>
  <c r="BD46" i="2"/>
  <c r="S46" i="2"/>
  <c r="J46" i="2"/>
  <c r="R46" i="2"/>
  <c r="AV46" i="2"/>
  <c r="C46" i="2"/>
  <c r="B100" i="2"/>
  <c r="X46" i="2"/>
  <c r="AD46" i="2"/>
  <c r="BL46" i="2"/>
  <c r="AL46" i="2"/>
  <c r="BW46" i="2"/>
  <c r="CL46" i="2"/>
  <c r="I46" i="2"/>
  <c r="AX46" i="2"/>
  <c r="CM46" i="2"/>
  <c r="BF46" i="2"/>
  <c r="G46" i="2"/>
  <c r="AE46" i="2"/>
  <c r="Q46" i="2"/>
  <c r="AO46" i="2"/>
  <c r="BV46" i="2"/>
  <c r="AZ46" i="2"/>
  <c r="CD46" i="2"/>
  <c r="AM46" i="2"/>
  <c r="BU46" i="2"/>
  <c r="H46" i="2"/>
  <c r="BH46" i="2"/>
  <c r="CF46" i="2"/>
  <c r="CP46" i="2"/>
  <c r="B45" i="2"/>
  <c r="CM239" i="2"/>
  <c r="CL74" i="2"/>
  <c r="CL155" i="2" s="1"/>
  <c r="BT74" i="2"/>
  <c r="BT155" i="2" s="1"/>
  <c r="BU239" i="2"/>
  <c r="AK239" i="2"/>
  <c r="AJ74" i="2"/>
  <c r="AJ155" i="2" s="1"/>
  <c r="Y239" i="2"/>
  <c r="X74" i="2"/>
  <c r="X155" i="2" s="1"/>
  <c r="CF239" i="2"/>
  <c r="CE74" i="2"/>
  <c r="CE155" i="2" s="1"/>
  <c r="E239" i="2"/>
  <c r="D74" i="2"/>
  <c r="D155" i="2" s="1"/>
  <c r="BL239" i="2"/>
  <c r="BK74" i="2"/>
  <c r="BK155" i="2" s="1"/>
  <c r="BE240" i="2"/>
  <c r="BD75" i="2"/>
  <c r="BD156" i="2" s="1"/>
  <c r="AG240" i="2"/>
  <c r="AF75" i="2"/>
  <c r="AF156" i="2" s="1"/>
  <c r="AD240" i="2"/>
  <c r="AC75" i="2"/>
  <c r="AC156" i="2" s="1"/>
  <c r="D242" i="20"/>
  <c r="D214" i="20"/>
  <c r="E214" i="20"/>
  <c r="I214" i="20" s="1"/>
  <c r="J214" i="20" s="1"/>
  <c r="C242" i="20"/>
  <c r="CM240" i="2"/>
  <c r="CL75" i="2"/>
  <c r="CL156" i="2" s="1"/>
  <c r="AR240" i="2"/>
  <c r="AQ75" i="2"/>
  <c r="AQ156" i="2" s="1"/>
  <c r="BI242" i="20"/>
  <c r="BH77" i="20"/>
  <c r="BH158" i="20"/>
  <c r="AO240" i="2"/>
  <c r="AN75" i="2"/>
  <c r="AN156" i="2" s="1"/>
  <c r="BS240" i="2"/>
  <c r="BR75" i="2"/>
  <c r="BR156" i="2" s="1"/>
  <c r="BM242" i="20"/>
  <c r="BL77" i="20"/>
  <c r="BL158" i="20" s="1"/>
  <c r="AS240" i="2"/>
  <c r="AR75" i="2"/>
  <c r="AR156" i="2" s="1"/>
  <c r="AZ240" i="2"/>
  <c r="AY75" i="2"/>
  <c r="AY156" i="2" s="1"/>
  <c r="CA242" i="20"/>
  <c r="BZ77" i="20"/>
  <c r="BZ158" i="20"/>
  <c r="BW240" i="2"/>
  <c r="BV75" i="2"/>
  <c r="BV156" i="2" s="1"/>
  <c r="AB95" i="2"/>
  <c r="AB122" i="2" s="1"/>
  <c r="AB149" i="2"/>
  <c r="AB186" i="2"/>
  <c r="AB176" i="2" s="1"/>
  <c r="BE242" i="20"/>
  <c r="BD77" i="20"/>
  <c r="BD158" i="20" s="1"/>
  <c r="BO240" i="2"/>
  <c r="BN75" i="2"/>
  <c r="BN156" i="2" s="1"/>
  <c r="AU241" i="20"/>
  <c r="AT76" i="20"/>
  <c r="AT157" i="20"/>
  <c r="CH239" i="2"/>
  <c r="CG74" i="2"/>
  <c r="CG155" i="2" s="1"/>
  <c r="BS239" i="2"/>
  <c r="BR74" i="2"/>
  <c r="BR155" i="2" s="1"/>
  <c r="U241" i="20"/>
  <c r="T76" i="20"/>
  <c r="T157" i="20" s="1"/>
  <c r="BB241" i="20"/>
  <c r="BA76" i="20"/>
  <c r="BA157" i="20" s="1"/>
  <c r="CN241" i="20"/>
  <c r="CM76" i="20"/>
  <c r="CM157" i="20"/>
  <c r="CL241" i="20"/>
  <c r="CK76" i="20"/>
  <c r="CK157" i="20"/>
  <c r="AP241" i="20"/>
  <c r="AO76" i="20"/>
  <c r="AO157" i="20" s="1"/>
  <c r="AV241" i="20"/>
  <c r="AU76" i="20"/>
  <c r="AU157" i="20" s="1"/>
  <c r="BW241" i="20"/>
  <c r="BV76" i="20"/>
  <c r="BV157" i="20" s="1"/>
  <c r="D241" i="20"/>
  <c r="E213" i="20"/>
  <c r="I213" i="20" s="1"/>
  <c r="J213" i="20" s="1"/>
  <c r="D213" i="20"/>
  <c r="C241" i="20"/>
  <c r="CK241" i="20"/>
  <c r="CJ76" i="20"/>
  <c r="CJ157" i="20" s="1"/>
  <c r="BN241" i="20"/>
  <c r="BM76" i="20"/>
  <c r="BM157" i="20"/>
  <c r="AQ74" i="2"/>
  <c r="AQ155" i="2" s="1"/>
  <c r="AR239" i="2"/>
  <c r="AM74" i="2"/>
  <c r="AM155" i="2" s="1"/>
  <c r="AN239" i="2"/>
  <c r="BR239" i="2"/>
  <c r="BQ74" i="2"/>
  <c r="BQ155" i="2" s="1"/>
  <c r="AW239" i="2"/>
  <c r="AV74" i="2"/>
  <c r="AV155" i="2" s="1"/>
  <c r="CO239" i="2"/>
  <c r="CN74" i="2"/>
  <c r="CN155" i="2" s="1"/>
  <c r="V239" i="2"/>
  <c r="U74" i="2"/>
  <c r="U155" i="2" s="1"/>
  <c r="AY239" i="2"/>
  <c r="AX74" i="2"/>
  <c r="AX155" i="2" s="1"/>
  <c r="BI239" i="2"/>
  <c r="BH74" i="2"/>
  <c r="BH155" i="2" s="1"/>
  <c r="AE239" i="2"/>
  <c r="AD74" i="2"/>
  <c r="AD155" i="2" s="1"/>
  <c r="I239" i="2"/>
  <c r="H74" i="2"/>
  <c r="H155" i="2" s="1"/>
  <c r="AS239" i="2"/>
  <c r="AR74" i="2"/>
  <c r="AR155" i="2" s="1"/>
  <c r="BA240" i="2"/>
  <c r="AZ75" i="2"/>
  <c r="AZ156" i="2" s="1"/>
  <c r="CD240" i="2"/>
  <c r="CC75" i="2"/>
  <c r="CC156" i="2" s="1"/>
  <c r="CD242" i="20"/>
  <c r="CC77" i="20"/>
  <c r="CC158" i="20" s="1"/>
  <c r="O242" i="20"/>
  <c r="N77" i="20"/>
  <c r="N158" i="20" s="1"/>
  <c r="CL240" i="2"/>
  <c r="CK75" i="2"/>
  <c r="CK156" i="2" s="1"/>
  <c r="Q240" i="2"/>
  <c r="P75" i="2"/>
  <c r="P156" i="2" s="1"/>
  <c r="CB242" i="20"/>
  <c r="CA77" i="20"/>
  <c r="CA158" i="20" s="1"/>
  <c r="H240" i="2"/>
  <c r="G75" i="2"/>
  <c r="G156" i="2" s="1"/>
  <c r="BZ240" i="2"/>
  <c r="BY75" i="2"/>
  <c r="BY156" i="2" s="1"/>
  <c r="CJ242" i="20"/>
  <c r="CI77" i="20"/>
  <c r="CI158" i="20" s="1"/>
  <c r="CF240" i="2"/>
  <c r="CE75" i="2"/>
  <c r="CE156" i="2" s="1"/>
  <c r="T240" i="2"/>
  <c r="S75" i="2"/>
  <c r="S156" i="2" s="1"/>
  <c r="BS242" i="20"/>
  <c r="BR77" i="20"/>
  <c r="BR158" i="20" s="1"/>
  <c r="R240" i="2"/>
  <c r="Q75" i="2"/>
  <c r="Q156" i="2" s="1"/>
  <c r="X240" i="2"/>
  <c r="W75" i="2"/>
  <c r="W156" i="2" s="1"/>
  <c r="AE240" i="2"/>
  <c r="AD75" i="2"/>
  <c r="AD156" i="2" s="1"/>
  <c r="O241" i="20"/>
  <c r="N76" i="20"/>
  <c r="N157" i="20" s="1"/>
  <c r="AW241" i="20"/>
  <c r="AV157" i="20"/>
  <c r="AV76" i="20"/>
  <c r="CJ241" i="20"/>
  <c r="CI76" i="20"/>
  <c r="CI157" i="20" s="1"/>
  <c r="BJ239" i="2"/>
  <c r="BI74" i="2"/>
  <c r="BI155" i="2" s="1"/>
  <c r="K239" i="2"/>
  <c r="J74" i="2"/>
  <c r="J155" i="2" s="1"/>
  <c r="CQ239" i="2"/>
  <c r="CP74" i="2"/>
  <c r="CP155" i="2" s="1"/>
  <c r="BU240" i="2"/>
  <c r="BT75" i="2"/>
  <c r="BT156" i="2" s="1"/>
  <c r="AX240" i="2"/>
  <c r="AW75" i="2"/>
  <c r="AW156" i="2" s="1"/>
  <c r="B208" i="19"/>
  <c r="B237" i="19"/>
  <c r="B310" i="19" s="1"/>
  <c r="BK240" i="2"/>
  <c r="BJ75" i="2"/>
  <c r="BJ156" i="2" s="1"/>
  <c r="BX240" i="2"/>
  <c r="BW75" i="2"/>
  <c r="BW156" i="2" s="1"/>
  <c r="CN242" i="20"/>
  <c r="CM77" i="20"/>
  <c r="CM158" i="20" s="1"/>
  <c r="CR242" i="20"/>
  <c r="CQ77" i="20"/>
  <c r="CQ158" i="20" s="1"/>
  <c r="CI240" i="2"/>
  <c r="CH75" i="2"/>
  <c r="CH156" i="2" s="1"/>
  <c r="BQ242" i="20"/>
  <c r="BP77" i="20"/>
  <c r="BP158" i="20" s="1"/>
  <c r="AA240" i="2"/>
  <c r="Z75" i="2"/>
  <c r="Z156" i="2" s="1"/>
  <c r="O45" i="19"/>
  <c r="P237" i="19" s="1"/>
  <c r="CS45" i="19"/>
  <c r="CS72" i="19" s="1"/>
  <c r="CS153" i="19" s="1"/>
  <c r="E45" i="19"/>
  <c r="F237" i="19" s="1"/>
  <c r="Q45" i="19"/>
  <c r="R237" i="19" s="1"/>
  <c r="BN45" i="19"/>
  <c r="BO237" i="19" s="1"/>
  <c r="T241" i="20"/>
  <c r="S76" i="20"/>
  <c r="S157" i="20" s="1"/>
  <c r="I241" i="20"/>
  <c r="H76" i="20"/>
  <c r="H157" i="20" s="1"/>
  <c r="CQ241" i="20"/>
  <c r="CP76" i="20"/>
  <c r="CP157" i="20" s="1"/>
  <c r="I49" i="20"/>
  <c r="CD49" i="20"/>
  <c r="CO49" i="20"/>
  <c r="CF49" i="20"/>
  <c r="BQ49" i="20"/>
  <c r="J49" i="20"/>
  <c r="CP239" i="2"/>
  <c r="CO74" i="2"/>
  <c r="CO155" i="2" s="1"/>
  <c r="M239" i="2"/>
  <c r="L74" i="2"/>
  <c r="L155" i="2" s="1"/>
  <c r="AB239" i="2"/>
  <c r="AA74" i="2"/>
  <c r="AA155" i="2" s="1"/>
  <c r="BE74" i="2"/>
  <c r="BE155" i="2" s="1"/>
  <c r="BF239" i="2"/>
  <c r="H239" i="2"/>
  <c r="G74" i="2"/>
  <c r="G155" i="2" s="1"/>
  <c r="CC239" i="2"/>
  <c r="CB74" i="2"/>
  <c r="CB155" i="2" s="1"/>
  <c r="F239" i="2"/>
  <c r="E74" i="2"/>
  <c r="E155" i="2" s="1"/>
  <c r="AI239" i="2"/>
  <c r="AH74" i="2"/>
  <c r="AH155" i="2" s="1"/>
  <c r="CN239" i="2"/>
  <c r="CM74" i="2"/>
  <c r="CM155" i="2" s="1"/>
  <c r="AU239" i="2"/>
  <c r="AT74" i="2"/>
  <c r="AT155" i="2" s="1"/>
  <c r="BS47" i="2"/>
  <c r="T47" i="2"/>
  <c r="D240" i="2"/>
  <c r="E212" i="2"/>
  <c r="I212" i="2" s="1"/>
  <c r="J212" i="2" s="1"/>
  <c r="D212" i="2"/>
  <c r="N240" i="2"/>
  <c r="M75" i="2"/>
  <c r="M156" i="2" s="1"/>
  <c r="BP240" i="2"/>
  <c r="BO75" i="2"/>
  <c r="BO156" i="2" s="1"/>
  <c r="F242" i="20"/>
  <c r="E77" i="20"/>
  <c r="E158" i="20" s="1"/>
  <c r="W242" i="20"/>
  <c r="V77" i="20"/>
  <c r="V158" i="20" s="1"/>
  <c r="AF240" i="2"/>
  <c r="AE75" i="2"/>
  <c r="AE156" i="2" s="1"/>
  <c r="CQ240" i="2"/>
  <c r="CP75" i="2"/>
  <c r="CP156" i="2" s="1"/>
  <c r="AW242" i="20"/>
  <c r="AV77" i="20"/>
  <c r="AV158" i="20" s="1"/>
  <c r="P242" i="20"/>
  <c r="O77" i="20"/>
  <c r="O158" i="20" s="1"/>
  <c r="Y240" i="2"/>
  <c r="X75" i="2"/>
  <c r="X156" i="2" s="1"/>
  <c r="K240" i="2"/>
  <c r="J75" i="2"/>
  <c r="J156" i="2" s="1"/>
  <c r="BD242" i="20"/>
  <c r="BC77" i="20"/>
  <c r="BC158" i="20" s="1"/>
  <c r="P240" i="2"/>
  <c r="O75" i="2"/>
  <c r="O156" i="2" s="1"/>
  <c r="M240" i="2"/>
  <c r="L75" i="2"/>
  <c r="L156" i="2" s="1"/>
  <c r="CC242" i="20"/>
  <c r="CB77" i="20"/>
  <c r="CB158" i="20" s="1"/>
  <c r="BG240" i="2"/>
  <c r="BF75" i="2"/>
  <c r="BF156" i="2" s="1"/>
  <c r="AJ240" i="2"/>
  <c r="AI75" i="2"/>
  <c r="AI156" i="2" s="1"/>
  <c r="AY240" i="2"/>
  <c r="AX75" i="2"/>
  <c r="AX156" i="2" s="1"/>
  <c r="CO240" i="2"/>
  <c r="CN75" i="2"/>
  <c r="CN156" i="2" s="1"/>
  <c r="BJ241" i="20"/>
  <c r="BI76" i="20"/>
  <c r="BI157" i="20" s="1"/>
  <c r="BP241" i="20"/>
  <c r="BO76" i="20"/>
  <c r="BO157" i="20" s="1"/>
  <c r="AV239" i="2"/>
  <c r="AU74" i="2"/>
  <c r="AU155" i="2" s="1"/>
  <c r="AL239" i="2"/>
  <c r="AK74" i="2"/>
  <c r="AK155" i="2" s="1"/>
  <c r="AO239" i="2"/>
  <c r="AN74" i="2"/>
  <c r="AN155" i="2" s="1"/>
  <c r="AP239" i="2"/>
  <c r="AO74" i="2"/>
  <c r="AO155" i="2" s="1"/>
  <c r="AU242" i="20"/>
  <c r="AT77" i="20"/>
  <c r="AT158" i="20" s="1"/>
  <c r="AU240" i="2"/>
  <c r="AT75" i="2"/>
  <c r="AT156" i="2" s="1"/>
  <c r="BN240" i="2"/>
  <c r="BM75" i="2"/>
  <c r="BM156" i="2" s="1"/>
  <c r="S241" i="20"/>
  <c r="R76" i="20"/>
  <c r="R157" i="20" s="1"/>
  <c r="E241" i="20"/>
  <c r="D76" i="20"/>
  <c r="D157" i="20" s="1"/>
  <c r="BY241" i="20"/>
  <c r="BX76" i="20"/>
  <c r="BX157" i="20" s="1"/>
  <c r="AY241" i="20"/>
  <c r="AX76" i="20"/>
  <c r="AX157" i="20" s="1"/>
  <c r="CR241" i="20"/>
  <c r="CQ76" i="20"/>
  <c r="CQ157" i="20" s="1"/>
  <c r="BZ241" i="20"/>
  <c r="BY76" i="20"/>
  <c r="BY157" i="20"/>
  <c r="BT241" i="20"/>
  <c r="BS76" i="20"/>
  <c r="BS157" i="20" s="1"/>
  <c r="BE241" i="20"/>
  <c r="BD76" i="20"/>
  <c r="BD157" i="20" s="1"/>
  <c r="CF241" i="20"/>
  <c r="CE76" i="20"/>
  <c r="CE157" i="20"/>
  <c r="BQ241" i="20"/>
  <c r="BP76" i="20"/>
  <c r="BP157" i="20" s="1"/>
  <c r="Q74" i="2"/>
  <c r="Q155" i="2" s="1"/>
  <c r="R239" i="2"/>
  <c r="BZ239" i="2"/>
  <c r="BY74" i="2"/>
  <c r="BY155" i="2" s="1"/>
  <c r="BO239" i="2"/>
  <c r="BN74" i="2"/>
  <c r="BN155" i="2" s="1"/>
  <c r="P239" i="2"/>
  <c r="O74" i="2"/>
  <c r="O155" i="2" s="1"/>
  <c r="AG239" i="2"/>
  <c r="AF74" i="2"/>
  <c r="AF155" i="2" s="1"/>
  <c r="BW239" i="2"/>
  <c r="BV74" i="2"/>
  <c r="BV155" i="2" s="1"/>
  <c r="BQ239" i="2"/>
  <c r="BP74" i="2"/>
  <c r="BP155" i="2" s="1"/>
  <c r="O239" i="2"/>
  <c r="N74" i="2"/>
  <c r="N155" i="2" s="1"/>
  <c r="S239" i="2"/>
  <c r="R74" i="2"/>
  <c r="R155" i="2" s="1"/>
  <c r="CB239" i="2"/>
  <c r="CA74" i="2"/>
  <c r="CA155" i="2" s="1"/>
  <c r="BC239" i="2"/>
  <c r="BB74" i="2"/>
  <c r="BB155" i="2" s="1"/>
  <c r="BH239" i="2"/>
  <c r="BG74" i="2"/>
  <c r="BG155" i="2" s="1"/>
  <c r="S240" i="2"/>
  <c r="R75" i="2"/>
  <c r="R156" i="2" s="1"/>
  <c r="AL240" i="2"/>
  <c r="AK75" i="2"/>
  <c r="AK156" i="2" s="1"/>
  <c r="BQ240" i="2"/>
  <c r="BP75" i="2"/>
  <c r="BP156" i="2" s="1"/>
  <c r="BR242" i="20"/>
  <c r="BQ77" i="20"/>
  <c r="BQ158" i="20"/>
  <c r="AW240" i="2"/>
  <c r="AV75" i="2"/>
  <c r="AV156" i="2" s="1"/>
  <c r="AY242" i="20"/>
  <c r="AX77" i="20"/>
  <c r="AX158" i="20" s="1"/>
  <c r="X242" i="20"/>
  <c r="W77" i="20"/>
  <c r="W158" i="20" s="1"/>
  <c r="O240" i="2"/>
  <c r="N75" i="2"/>
  <c r="N156" i="2" s="1"/>
  <c r="CS240" i="2"/>
  <c r="CR75" i="2"/>
  <c r="CR156" i="2" s="1"/>
  <c r="AV242" i="20"/>
  <c r="AU77" i="20"/>
  <c r="AU158" i="20" s="1"/>
  <c r="E240" i="2"/>
  <c r="D75" i="2"/>
  <c r="D156" i="2" s="1"/>
  <c r="BU242" i="20"/>
  <c r="BT77" i="20"/>
  <c r="BT158" i="20" s="1"/>
  <c r="Z240" i="2"/>
  <c r="Y75" i="2"/>
  <c r="Y156" i="2" s="1"/>
  <c r="U240" i="2"/>
  <c r="T75" i="2"/>
  <c r="T156" i="2" s="1"/>
  <c r="E242" i="20"/>
  <c r="D77" i="20"/>
  <c r="D158" i="20" s="1"/>
  <c r="CE240" i="2"/>
  <c r="CD75" i="2"/>
  <c r="CD156" i="2" s="1"/>
  <c r="W240" i="2"/>
  <c r="V75" i="2"/>
  <c r="V156" i="2" s="1"/>
  <c r="BB45" i="19"/>
  <c r="BC237" i="19" s="1"/>
  <c r="R45" i="19"/>
  <c r="S237" i="19" s="1"/>
  <c r="W45" i="19"/>
  <c r="X237" i="19" s="1"/>
  <c r="BD45" i="19"/>
  <c r="BE237" i="19" s="1"/>
  <c r="BO45" i="19"/>
  <c r="BP237" i="19" s="1"/>
  <c r="BQ45" i="19"/>
  <c r="BR237" i="19" s="1"/>
  <c r="AW45" i="19"/>
  <c r="AX237" i="19" s="1"/>
  <c r="CJ45" i="19"/>
  <c r="CK237" i="19" s="1"/>
  <c r="BZ45" i="19"/>
  <c r="CA237" i="19" s="1"/>
  <c r="AV45" i="19"/>
  <c r="AW237" i="19" s="1"/>
  <c r="Z45" i="19"/>
  <c r="AA237" i="19" s="1"/>
  <c r="G45" i="19"/>
  <c r="H237" i="19" s="1"/>
  <c r="CK45" i="19"/>
  <c r="CL237" i="19" s="1"/>
  <c r="T45" i="19"/>
  <c r="U237" i="19" s="1"/>
  <c r="CO73" i="19"/>
  <c r="CO154" i="19" s="1"/>
  <c r="Z241" i="20"/>
  <c r="Y76" i="20"/>
  <c r="Y157" i="20" s="1"/>
  <c r="R241" i="20"/>
  <c r="Q76" i="20"/>
  <c r="Q157" i="20" s="1"/>
  <c r="CM241" i="20"/>
  <c r="CL76" i="20"/>
  <c r="CL157" i="20" s="1"/>
  <c r="BO241" i="20"/>
  <c r="BN76" i="20"/>
  <c r="BN157" i="20" s="1"/>
  <c r="CO241" i="20"/>
  <c r="CN76" i="20"/>
  <c r="CN157" i="20" s="1"/>
  <c r="CB241" i="20"/>
  <c r="CA76" i="20"/>
  <c r="CA157" i="20"/>
  <c r="CS241" i="20"/>
  <c r="CR76" i="20"/>
  <c r="CR157" i="20" s="1"/>
  <c r="AZ241" i="20"/>
  <c r="AY76" i="20"/>
  <c r="AY157" i="20" s="1"/>
  <c r="BC241" i="20"/>
  <c r="BB76" i="20"/>
  <c r="BB157" i="20" s="1"/>
  <c r="BD241" i="20"/>
  <c r="BC76" i="20"/>
  <c r="BC157" i="20" s="1"/>
  <c r="AZ239" i="2"/>
  <c r="AY74" i="2"/>
  <c r="AY155" i="2" s="1"/>
  <c r="AJ239" i="2"/>
  <c r="AI74" i="2"/>
  <c r="AI155" i="2" s="1"/>
  <c r="BN239" i="2"/>
  <c r="BM74" i="2"/>
  <c r="BM155" i="2" s="1"/>
  <c r="AQ239" i="2"/>
  <c r="AP74" i="2"/>
  <c r="AP155" i="2" s="1"/>
  <c r="CK239" i="2"/>
  <c r="CJ74" i="2"/>
  <c r="CJ155" i="2" s="1"/>
  <c r="Q239" i="2"/>
  <c r="P74" i="2"/>
  <c r="P155" i="2" s="1"/>
  <c r="AT239" i="2"/>
  <c r="AS74" i="2"/>
  <c r="AS155" i="2" s="1"/>
  <c r="BE239" i="2"/>
  <c r="BD74" i="2"/>
  <c r="BD155" i="2" s="1"/>
  <c r="J239" i="2"/>
  <c r="I74" i="2"/>
  <c r="I155" i="2" s="1"/>
  <c r="CI239" i="2"/>
  <c r="CH74" i="2"/>
  <c r="CH155" i="2" s="1"/>
  <c r="CA239" i="2"/>
  <c r="BZ74" i="2"/>
  <c r="BZ155" i="2" s="1"/>
  <c r="AM239" i="2"/>
  <c r="AL74" i="2"/>
  <c r="AL155" i="2" s="1"/>
  <c r="AM240" i="2"/>
  <c r="AL75" i="2"/>
  <c r="AL156" i="2" s="1"/>
  <c r="AV240" i="2"/>
  <c r="AU75" i="2"/>
  <c r="AU156" i="2" s="1"/>
  <c r="BC240" i="2"/>
  <c r="BB75" i="2"/>
  <c r="BB156" i="2" s="1"/>
  <c r="BX242" i="20"/>
  <c r="BW77" i="20"/>
  <c r="BW158" i="20" s="1"/>
  <c r="AC240" i="2"/>
  <c r="AB75" i="2"/>
  <c r="AB156" i="2" s="1"/>
  <c r="L242" i="20"/>
  <c r="K77" i="20"/>
  <c r="K158" i="20" s="1"/>
  <c r="AQ240" i="2"/>
  <c r="AP75" i="2"/>
  <c r="AP156" i="2" s="1"/>
  <c r="CP242" i="20"/>
  <c r="CO77" i="20"/>
  <c r="CO158" i="20" s="1"/>
  <c r="G240" i="2"/>
  <c r="F75" i="2"/>
  <c r="F156" i="2" s="1"/>
  <c r="I242" i="20"/>
  <c r="H77" i="20"/>
  <c r="H158" i="20" s="1"/>
  <c r="AP240" i="2"/>
  <c r="AO75" i="2"/>
  <c r="AO156" i="2" s="1"/>
  <c r="BJ240" i="2"/>
  <c r="BI75" i="2"/>
  <c r="BI156" i="2" s="1"/>
  <c r="BC242" i="20"/>
  <c r="BB77" i="20"/>
  <c r="BB158" i="20" s="1"/>
  <c r="AT240" i="2"/>
  <c r="AS75" i="2"/>
  <c r="AS156" i="2" s="1"/>
  <c r="AI240" i="2"/>
  <c r="AH75" i="2"/>
  <c r="AH156" i="2" s="1"/>
  <c r="W241" i="20"/>
  <c r="V76" i="20"/>
  <c r="V157" i="20" s="1"/>
  <c r="AT241" i="20"/>
  <c r="AS76" i="20"/>
  <c r="AS157" i="20"/>
  <c r="AS241" i="20"/>
  <c r="AR76" i="20"/>
  <c r="AR157" i="20" s="1"/>
  <c r="BA241" i="20"/>
  <c r="AZ157" i="20"/>
  <c r="AZ76" i="20"/>
  <c r="AF239" i="2"/>
  <c r="AE74" i="2"/>
  <c r="AE155" i="2" s="1"/>
  <c r="CG239" i="2"/>
  <c r="CF74" i="2"/>
  <c r="CF155" i="2" s="1"/>
  <c r="CR239" i="2"/>
  <c r="CQ74" i="2"/>
  <c r="CQ155" i="2" s="1"/>
  <c r="BF240" i="2"/>
  <c r="BE75" i="2"/>
  <c r="BE156" i="2" s="1"/>
  <c r="Z242" i="20"/>
  <c r="Y77" i="20"/>
  <c r="Y158" i="20" s="1"/>
  <c r="BB240" i="2"/>
  <c r="BA75" i="2"/>
  <c r="BA156" i="2" s="1"/>
  <c r="BY73" i="19"/>
  <c r="BY154" i="19" s="1"/>
  <c r="CD45" i="19"/>
  <c r="CE237" i="19" s="1"/>
  <c r="CR45" i="19"/>
  <c r="CS237" i="19" s="1"/>
  <c r="M45" i="19"/>
  <c r="N237" i="19" s="1"/>
  <c r="BS45" i="19"/>
  <c r="BT237" i="19" s="1"/>
  <c r="AS45" i="19"/>
  <c r="AT237" i="19" s="1"/>
  <c r="BX45" i="19"/>
  <c r="BY237" i="19" s="1"/>
  <c r="AQ45" i="19"/>
  <c r="AR237" i="19" s="1"/>
  <c r="AY45" i="19"/>
  <c r="AZ237" i="19" s="1"/>
  <c r="BA45" i="19"/>
  <c r="BB237" i="19" s="1"/>
  <c r="BT45" i="19"/>
  <c r="BU237" i="19" s="1"/>
  <c r="Y241" i="20"/>
  <c r="X76" i="20"/>
  <c r="X157" i="20" s="1"/>
  <c r="Q241" i="20"/>
  <c r="P76" i="20"/>
  <c r="P157" i="20" s="1"/>
  <c r="BS241" i="20"/>
  <c r="BR76" i="20"/>
  <c r="BR157" i="20" s="1"/>
  <c r="BV241" i="20"/>
  <c r="BU76" i="20"/>
  <c r="BU157" i="20" s="1"/>
  <c r="AR241" i="20"/>
  <c r="AQ76" i="20"/>
  <c r="AQ157" i="20" s="1"/>
  <c r="CC241" i="20"/>
  <c r="CB76" i="20"/>
  <c r="CB157" i="20" s="1"/>
  <c r="CA241" i="20"/>
  <c r="BZ76" i="20"/>
  <c r="BZ157" i="20" s="1"/>
  <c r="AW49" i="20"/>
  <c r="Z49" i="20"/>
  <c r="CG49" i="20"/>
  <c r="B47" i="20"/>
  <c r="CR48" i="20"/>
  <c r="AT48" i="20"/>
  <c r="BN48" i="20"/>
  <c r="CJ48" i="20"/>
  <c r="BE48" i="20"/>
  <c r="CA48" i="20"/>
  <c r="AO48" i="20"/>
  <c r="AV48" i="20"/>
  <c r="BD48" i="20"/>
  <c r="CQ48" i="20"/>
  <c r="BG48" i="20"/>
  <c r="CC48" i="20"/>
  <c r="BL48" i="20"/>
  <c r="H48" i="20"/>
  <c r="BU48" i="20"/>
  <c r="CK48" i="20"/>
  <c r="BT48" i="20"/>
  <c r="BX48" i="20"/>
  <c r="B102" i="20"/>
  <c r="AP48" i="20"/>
  <c r="BF48" i="20"/>
  <c r="CS48" i="20"/>
  <c r="AS48" i="20"/>
  <c r="CT48" i="20"/>
  <c r="AA48" i="20" s="1"/>
  <c r="AB240" i="20" s="1"/>
  <c r="AZ48" i="20"/>
  <c r="BZ48" i="20"/>
  <c r="BY48" i="20"/>
  <c r="CD48" i="20"/>
  <c r="AU48" i="20"/>
  <c r="BH48" i="20"/>
  <c r="BS48" i="20"/>
  <c r="AY48" i="20"/>
  <c r="BO48" i="20"/>
  <c r="BQ48" i="20"/>
  <c r="CF48" i="20"/>
  <c r="AW48" i="20"/>
  <c r="G48" i="20"/>
  <c r="BM48" i="20"/>
  <c r="C48" i="20"/>
  <c r="BC48" i="20"/>
  <c r="M48" i="20"/>
  <c r="N48" i="20"/>
  <c r="O48" i="20"/>
  <c r="P48" i="20"/>
  <c r="Q48" i="20"/>
  <c r="R48" i="20"/>
  <c r="U48" i="20"/>
  <c r="V48" i="20"/>
  <c r="W48" i="20"/>
  <c r="X48" i="20"/>
  <c r="Y48" i="20"/>
  <c r="Z48" i="20"/>
  <c r="CC49" i="20"/>
  <c r="W239" i="2"/>
  <c r="V74" i="2"/>
  <c r="V155" i="2" s="1"/>
  <c r="AC239" i="2"/>
  <c r="AB74" i="2"/>
  <c r="AB155" i="2" s="1"/>
  <c r="G239" i="2"/>
  <c r="F74" i="2"/>
  <c r="F155" i="2" s="1"/>
  <c r="X239" i="2"/>
  <c r="W74" i="2"/>
  <c r="W155" i="2" s="1"/>
  <c r="CS239" i="2"/>
  <c r="CR74" i="2"/>
  <c r="CR155" i="2" s="1"/>
  <c r="D239" i="2"/>
  <c r="D211" i="2"/>
  <c r="E211" i="2"/>
  <c r="I211" i="2" s="1"/>
  <c r="J211" i="2" s="1"/>
  <c r="BY239" i="2"/>
  <c r="BX74" i="2"/>
  <c r="BX155" i="2" s="1"/>
  <c r="BK239" i="2"/>
  <c r="BJ74" i="2"/>
  <c r="BJ155" i="2" s="1"/>
  <c r="AD239" i="2"/>
  <c r="AC74" i="2"/>
  <c r="AC155" i="2" s="1"/>
  <c r="CJ239" i="2"/>
  <c r="CI74" i="2"/>
  <c r="CI155" i="2" s="1"/>
  <c r="Z239" i="2"/>
  <c r="Y74" i="2"/>
  <c r="Y155" i="2" s="1"/>
  <c r="BP239" i="2"/>
  <c r="BO74" i="2"/>
  <c r="BO155" i="2" s="1"/>
  <c r="CR240" i="2"/>
  <c r="CQ75" i="2"/>
  <c r="CQ156" i="2" s="1"/>
  <c r="CH240" i="2"/>
  <c r="CG75" i="2"/>
  <c r="CG156" i="2" s="1"/>
  <c r="AS242" i="20"/>
  <c r="AR77" i="20"/>
  <c r="AR158" i="20" s="1"/>
  <c r="AN240" i="2"/>
  <c r="AM75" i="2"/>
  <c r="AM156" i="2" s="1"/>
  <c r="BL240" i="2"/>
  <c r="BK75" i="2"/>
  <c r="BK156" i="2" s="1"/>
  <c r="CK242" i="20"/>
  <c r="CJ77" i="20"/>
  <c r="CJ158" i="20" s="1"/>
  <c r="Q242" i="20"/>
  <c r="P77" i="20"/>
  <c r="P158" i="20" s="1"/>
  <c r="B312" i="20"/>
  <c r="CC240" i="2"/>
  <c r="CB75" i="2"/>
  <c r="CB156" i="2" s="1"/>
  <c r="B239" i="2"/>
  <c r="B210" i="2"/>
  <c r="CG242" i="20"/>
  <c r="CF77" i="20"/>
  <c r="CF158" i="20" s="1"/>
  <c r="CG240" i="2"/>
  <c r="CF75" i="2"/>
  <c r="CF156" i="2" s="1"/>
  <c r="BH240" i="2"/>
  <c r="BG75" i="2"/>
  <c r="BG156" i="2" s="1"/>
  <c r="G242" i="20"/>
  <c r="F77" i="20"/>
  <c r="F158" i="20" s="1"/>
  <c r="BV240" i="2"/>
  <c r="BU75" i="2"/>
  <c r="BU156" i="2" s="1"/>
  <c r="X241" i="20"/>
  <c r="W76" i="20"/>
  <c r="W157" i="20" s="1"/>
  <c r="P241" i="20"/>
  <c r="O76" i="20"/>
  <c r="O157" i="20" s="1"/>
  <c r="CI241" i="20"/>
  <c r="CH76" i="20"/>
  <c r="CH157" i="20" s="1"/>
  <c r="L241" i="20"/>
  <c r="K76" i="20"/>
  <c r="K157" i="20" s="1"/>
  <c r="BM241" i="20"/>
  <c r="BL76" i="20"/>
  <c r="BL157" i="20"/>
  <c r="BK241" i="20"/>
  <c r="BJ76" i="20"/>
  <c r="BJ157" i="20" s="1"/>
  <c r="BI241" i="20"/>
  <c r="BH157" i="20"/>
  <c r="BH76" i="20"/>
  <c r="F241" i="20"/>
  <c r="E76" i="20"/>
  <c r="E157" i="20"/>
  <c r="BU241" i="20"/>
  <c r="BT76" i="20"/>
  <c r="BT157" i="20" s="1"/>
  <c r="AQ241" i="20"/>
  <c r="AP76" i="20"/>
  <c r="AP157" i="20" s="1"/>
  <c r="BD239" i="2"/>
  <c r="BC74" i="2"/>
  <c r="BC155" i="2" s="1"/>
  <c r="CL239" i="2"/>
  <c r="CK74" i="2"/>
  <c r="CK155" i="2" s="1"/>
  <c r="BV239" i="2"/>
  <c r="BU74" i="2"/>
  <c r="BU155" i="2" s="1"/>
  <c r="BB239" i="2"/>
  <c r="BA74" i="2"/>
  <c r="BA155" i="2" s="1"/>
  <c r="L239" i="2"/>
  <c r="K74" i="2"/>
  <c r="K155" i="2" s="1"/>
  <c r="Z74" i="2"/>
  <c r="Z155" i="2" s="1"/>
  <c r="AA239" i="2"/>
  <c r="BG239" i="2"/>
  <c r="BF74" i="2"/>
  <c r="BF155" i="2" s="1"/>
  <c r="BM239" i="2"/>
  <c r="BL74" i="2"/>
  <c r="BL155" i="2" s="1"/>
  <c r="BA239" i="2"/>
  <c r="AZ74" i="2"/>
  <c r="AZ155" i="2" s="1"/>
  <c r="N239" i="2"/>
  <c r="M74" i="2"/>
  <c r="M155" i="2" s="1"/>
  <c r="BX239" i="2"/>
  <c r="BW74" i="2"/>
  <c r="BW155" i="2" s="1"/>
  <c r="AX239" i="2"/>
  <c r="AW74" i="2"/>
  <c r="AW155" i="2" s="1"/>
  <c r="CA240" i="2"/>
  <c r="BZ75" i="2"/>
  <c r="BZ156" i="2" s="1"/>
  <c r="CK240" i="2"/>
  <c r="CJ75" i="2"/>
  <c r="CJ156" i="2" s="1"/>
  <c r="CB240" i="2"/>
  <c r="CA75" i="2"/>
  <c r="CA156" i="2" s="1"/>
  <c r="BZ242" i="20"/>
  <c r="BY77" i="20"/>
  <c r="BY158" i="20" s="1"/>
  <c r="I240" i="2"/>
  <c r="H75" i="2"/>
  <c r="H156" i="2" s="1"/>
  <c r="BO242" i="20"/>
  <c r="BN77" i="20"/>
  <c r="BN158" i="20" s="1"/>
  <c r="V240" i="2"/>
  <c r="U75" i="2"/>
  <c r="U156" i="2" s="1"/>
  <c r="BK242" i="20"/>
  <c r="BJ77" i="20"/>
  <c r="BJ158" i="20"/>
  <c r="Y242" i="20"/>
  <c r="X77" i="20"/>
  <c r="X158" i="20" s="1"/>
  <c r="B209" i="20"/>
  <c r="B238" i="20"/>
  <c r="CP240" i="2"/>
  <c r="CO75" i="2"/>
  <c r="CO156" i="2" s="1"/>
  <c r="B313" i="2"/>
  <c r="C240" i="2"/>
  <c r="BY242" i="20"/>
  <c r="BX77" i="20"/>
  <c r="BX158" i="20" s="1"/>
  <c r="BD240" i="2"/>
  <c r="BC75" i="2"/>
  <c r="BC156" i="2" s="1"/>
  <c r="AC12" i="2"/>
  <c r="AC68" i="2"/>
  <c r="AD13" i="2"/>
  <c r="AT242" i="20"/>
  <c r="AS77" i="20"/>
  <c r="AS158" i="20" s="1"/>
  <c r="F240" i="2"/>
  <c r="E75" i="2"/>
  <c r="E156" i="2" s="1"/>
  <c r="AC73" i="19"/>
  <c r="AC154" i="19" s="1"/>
  <c r="CH73" i="19"/>
  <c r="CH154" i="19" s="1"/>
  <c r="BD73" i="19"/>
  <c r="BD154" i="19" s="1"/>
  <c r="AA78" i="20"/>
  <c r="AA159" i="20" s="1"/>
  <c r="CP72" i="19"/>
  <c r="CP153" i="19" s="1"/>
  <c r="R72" i="19"/>
  <c r="R153" i="19" s="1"/>
  <c r="BL72" i="19"/>
  <c r="BL153" i="19" s="1"/>
  <c r="BP72" i="19"/>
  <c r="BP153" i="19" s="1"/>
  <c r="V72" i="19"/>
  <c r="V153" i="19" s="1"/>
  <c r="BO72" i="19"/>
  <c r="BO153" i="19" s="1"/>
  <c r="CQ72" i="19"/>
  <c r="CQ153" i="19" s="1"/>
  <c r="H72" i="19"/>
  <c r="H153" i="19" s="1"/>
  <c r="BQ72" i="19"/>
  <c r="BQ153" i="19" s="1"/>
  <c r="U68" i="19"/>
  <c r="U12" i="19"/>
  <c r="V13" i="19"/>
  <c r="AY73" i="19"/>
  <c r="AY154" i="19" s="1"/>
  <c r="CM73" i="19"/>
  <c r="CM154" i="19" s="1"/>
  <c r="O73" i="19"/>
  <c r="O154" i="19" s="1"/>
  <c r="G73" i="19"/>
  <c r="G154" i="19" s="1"/>
  <c r="CA72" i="19"/>
  <c r="CA153" i="19" s="1"/>
  <c r="S73" i="19"/>
  <c r="S154" i="19" s="1"/>
  <c r="K73" i="19"/>
  <c r="K154" i="19" s="1"/>
  <c r="AB86" i="19"/>
  <c r="AB167" i="19" s="1"/>
  <c r="CN73" i="19"/>
  <c r="CN154" i="19" s="1"/>
  <c r="BS72" i="19"/>
  <c r="BS153" i="19" s="1"/>
  <c r="AB72" i="19"/>
  <c r="AB153" i="19" s="1"/>
  <c r="AC45" i="19"/>
  <c r="AD237" i="19" s="1"/>
  <c r="CC73" i="19"/>
  <c r="CC154" i="19" s="1"/>
  <c r="AB77" i="19"/>
  <c r="AB158" i="19" s="1"/>
  <c r="AA73" i="19"/>
  <c r="AA154" i="19" s="1"/>
  <c r="AA76" i="20"/>
  <c r="AA157" i="20" s="1"/>
  <c r="N72" i="19"/>
  <c r="N153" i="19" s="1"/>
  <c r="CJ72" i="19"/>
  <c r="CJ153" i="19" s="1"/>
  <c r="AZ72" i="19"/>
  <c r="AZ153" i="19" s="1"/>
  <c r="C237" i="19"/>
  <c r="D209" i="19"/>
  <c r="E209" i="19"/>
  <c r="I209" i="19" s="1"/>
  <c r="J209" i="19" s="1"/>
  <c r="CC72" i="19"/>
  <c r="CC153" i="19" s="1"/>
  <c r="BU72" i="19"/>
  <c r="BU153" i="19" s="1"/>
  <c r="CH72" i="19"/>
  <c r="CH153" i="19" s="1"/>
  <c r="T72" i="19"/>
  <c r="T153" i="19" s="1"/>
  <c r="P72" i="19"/>
  <c r="P153" i="19" s="1"/>
  <c r="BH73" i="19"/>
  <c r="BH154" i="19" s="1"/>
  <c r="CD73" i="19"/>
  <c r="CD154" i="19" s="1"/>
  <c r="AT73" i="19"/>
  <c r="AT154" i="19" s="1"/>
  <c r="AB79" i="19"/>
  <c r="AB160" i="19" s="1"/>
  <c r="AB87" i="19"/>
  <c r="AB168" i="19" s="1"/>
  <c r="CR73" i="19"/>
  <c r="CR154" i="19" s="1"/>
  <c r="T68" i="20"/>
  <c r="U13" i="20"/>
  <c r="T12" i="20"/>
  <c r="AA75" i="20"/>
  <c r="AA156" i="20" s="1"/>
  <c r="AA85" i="20"/>
  <c r="AA166" i="20" s="1"/>
  <c r="CG72" i="19"/>
  <c r="CG153" i="19" s="1"/>
  <c r="AS72" i="19"/>
  <c r="AS153" i="19" s="1"/>
  <c r="Y72" i="19"/>
  <c r="Y153" i="19" s="1"/>
  <c r="BJ72" i="19"/>
  <c r="BJ153" i="19" s="1"/>
  <c r="L72" i="19"/>
  <c r="L153" i="19" s="1"/>
  <c r="Z72" i="19"/>
  <c r="Z153" i="19" s="1"/>
  <c r="AU72" i="19"/>
  <c r="AU153" i="19" s="1"/>
  <c r="AP72" i="19"/>
  <c r="AP153" i="19" s="1"/>
  <c r="E72" i="19"/>
  <c r="E153" i="19" s="1"/>
  <c r="AA72" i="19"/>
  <c r="AA153" i="19" s="1"/>
  <c r="CI72" i="19"/>
  <c r="CI153" i="19" s="1"/>
  <c r="BN72" i="19"/>
  <c r="BN153" i="19" s="1"/>
  <c r="CE73" i="19"/>
  <c r="CE154" i="19" s="1"/>
  <c r="AB80" i="19"/>
  <c r="AB161" i="19" s="1"/>
  <c r="AB89" i="19"/>
  <c r="AB170" i="19" s="1"/>
  <c r="BK73" i="19"/>
  <c r="BK154" i="19" s="1"/>
  <c r="AA88" i="20"/>
  <c r="AA169" i="20" s="1"/>
  <c r="AP73" i="19"/>
  <c r="AP154" i="19" s="1"/>
  <c r="AY72" i="19"/>
  <c r="AY153" i="19" s="1"/>
  <c r="AX73" i="19"/>
  <c r="AX154" i="19" s="1"/>
  <c r="CJ73" i="19"/>
  <c r="CJ154" i="19" s="1"/>
  <c r="A241" i="20"/>
  <c r="A213" i="20"/>
  <c r="A76" i="20"/>
  <c r="AA79" i="20"/>
  <c r="AA160" i="20" s="1"/>
  <c r="AA86" i="20"/>
  <c r="AA167" i="20" s="1"/>
  <c r="CB73" i="19"/>
  <c r="CB154" i="19" s="1"/>
  <c r="AB81" i="19"/>
  <c r="AB162" i="19" s="1"/>
  <c r="AB88" i="19"/>
  <c r="AB169" i="19" s="1"/>
  <c r="M73" i="19"/>
  <c r="M154" i="19" s="1"/>
  <c r="S186" i="20"/>
  <c r="S176" i="20" s="1"/>
  <c r="S95" i="20"/>
  <c r="S122" i="20" s="1"/>
  <c r="S149" i="20"/>
  <c r="AA77" i="20"/>
  <c r="AA158" i="20" s="1"/>
  <c r="AA89" i="20"/>
  <c r="AA170" i="20" s="1"/>
  <c r="AR72" i="19"/>
  <c r="AR153" i="19" s="1"/>
  <c r="BV72" i="19"/>
  <c r="BV153" i="19" s="1"/>
  <c r="S72" i="19"/>
  <c r="S153" i="19" s="1"/>
  <c r="BE45" i="19"/>
  <c r="BF237" i="19" s="1"/>
  <c r="I45" i="19"/>
  <c r="J237" i="19" s="1"/>
  <c r="J45" i="19"/>
  <c r="K237" i="19" s="1"/>
  <c r="CO45" i="19"/>
  <c r="CP237" i="19" s="1"/>
  <c r="BY45" i="19"/>
  <c r="BZ237" i="19" s="1"/>
  <c r="CE45" i="19"/>
  <c r="CF237" i="19" s="1"/>
  <c r="BH45" i="19"/>
  <c r="BI237" i="19" s="1"/>
  <c r="F365" i="20"/>
  <c r="F356" i="19"/>
  <c r="CQ73" i="19"/>
  <c r="CQ154" i="19" s="1"/>
  <c r="AB74" i="19"/>
  <c r="AB155" i="19" s="1"/>
  <c r="AB82" i="19"/>
  <c r="AB163" i="19" s="1"/>
  <c r="AB90" i="19"/>
  <c r="AB171" i="19" s="1"/>
  <c r="BO73" i="19"/>
  <c r="BO154" i="19" s="1"/>
  <c r="AA81" i="20"/>
  <c r="AA162" i="20" s="1"/>
  <c r="AA92" i="20"/>
  <c r="AA173" i="20" s="1"/>
  <c r="BF45" i="19"/>
  <c r="BG237" i="19" s="1"/>
  <c r="AT45" i="19"/>
  <c r="AU237" i="19" s="1"/>
  <c r="X45" i="19"/>
  <c r="Y237" i="19" s="1"/>
  <c r="CL45" i="19"/>
  <c r="CM237" i="19" s="1"/>
  <c r="F45" i="19"/>
  <c r="G237" i="19" s="1"/>
  <c r="BK45" i="19"/>
  <c r="BL237" i="19" s="1"/>
  <c r="CN45" i="19"/>
  <c r="CO237" i="19" s="1"/>
  <c r="BR45" i="19"/>
  <c r="BS237" i="19" s="1"/>
  <c r="CF45" i="19"/>
  <c r="CG237" i="19" s="1"/>
  <c r="AX45" i="19"/>
  <c r="AY237" i="19" s="1"/>
  <c r="CB45" i="19"/>
  <c r="CC237" i="19" s="1"/>
  <c r="D210" i="19"/>
  <c r="E210" i="19"/>
  <c r="I210" i="19" s="1"/>
  <c r="J210" i="19" s="1"/>
  <c r="C238" i="19"/>
  <c r="T186" i="19"/>
  <c r="T176" i="19" s="1"/>
  <c r="T95" i="19"/>
  <c r="T122" i="19" s="1"/>
  <c r="T149" i="19"/>
  <c r="B20" i="2"/>
  <c r="A21" i="2"/>
  <c r="B76" i="2"/>
  <c r="B157" i="2"/>
  <c r="B130" i="2" s="1"/>
  <c r="BI73" i="19"/>
  <c r="BI154" i="19" s="1"/>
  <c r="B155" i="19"/>
  <c r="B128" i="19" s="1"/>
  <c r="B74" i="19"/>
  <c r="A19" i="19"/>
  <c r="B18" i="19"/>
  <c r="BV73" i="19"/>
  <c r="BV154" i="19" s="1"/>
  <c r="BQ73" i="19"/>
  <c r="BQ154" i="19" s="1"/>
  <c r="AB76" i="19"/>
  <c r="AB157" i="19" s="1"/>
  <c r="AB84" i="19"/>
  <c r="AB165" i="19" s="1"/>
  <c r="CG73" i="19"/>
  <c r="CG154" i="19" s="1"/>
  <c r="AA91" i="20"/>
  <c r="AA172" i="20" s="1"/>
  <c r="AW72" i="19"/>
  <c r="AW153" i="19" s="1"/>
  <c r="BG72" i="19"/>
  <c r="BG153" i="19" s="1"/>
  <c r="AV72" i="19"/>
  <c r="AV153" i="19" s="1"/>
  <c r="O72" i="19"/>
  <c r="O153" i="19" s="1"/>
  <c r="BC72" i="19"/>
  <c r="BC153" i="19" s="1"/>
  <c r="G72" i="19"/>
  <c r="G153" i="19" s="1"/>
  <c r="Q72" i="19"/>
  <c r="Q153" i="19" s="1"/>
  <c r="BW72" i="19"/>
  <c r="BW153" i="19" s="1"/>
  <c r="BE73" i="19"/>
  <c r="BE154" i="19" s="1"/>
  <c r="BX73" i="19"/>
  <c r="BX154" i="19" s="1"/>
  <c r="AB78" i="19"/>
  <c r="AB159" i="19" s="1"/>
  <c r="AD41" i="19"/>
  <c r="AC65" i="19"/>
  <c r="AD257" i="19" s="1"/>
  <c r="AC64" i="19"/>
  <c r="AD256" i="19" s="1"/>
  <c r="AC63" i="19"/>
  <c r="AD255" i="19" s="1"/>
  <c r="AC62" i="19"/>
  <c r="AD254" i="19" s="1"/>
  <c r="AC61" i="19"/>
  <c r="AD253" i="19" s="1"/>
  <c r="AC60" i="19"/>
  <c r="AD252" i="19" s="1"/>
  <c r="AC59" i="19"/>
  <c r="AD251" i="19" s="1"/>
  <c r="AC58" i="19"/>
  <c r="AD250" i="19" s="1"/>
  <c r="AC57" i="19"/>
  <c r="AD249" i="19" s="1"/>
  <c r="AC56" i="19"/>
  <c r="AD248" i="19" s="1"/>
  <c r="AC55" i="19"/>
  <c r="AD247" i="19" s="1"/>
  <c r="AC54" i="19"/>
  <c r="AD246" i="19" s="1"/>
  <c r="AC53" i="19"/>
  <c r="AD245" i="19" s="1"/>
  <c r="AC52" i="19"/>
  <c r="AD244" i="19" s="1"/>
  <c r="AC51" i="19"/>
  <c r="AD243" i="19" s="1"/>
  <c r="AC50" i="19"/>
  <c r="AD242" i="19" s="1"/>
  <c r="AC49" i="19"/>
  <c r="AD241" i="19" s="1"/>
  <c r="AC48" i="19"/>
  <c r="AD240" i="19" s="1"/>
  <c r="AC47" i="19"/>
  <c r="AD239" i="19" s="1"/>
  <c r="E73" i="19"/>
  <c r="E154" i="19" s="1"/>
  <c r="AA83" i="20"/>
  <c r="AA164" i="20" s="1"/>
  <c r="AC41" i="20"/>
  <c r="AB63" i="20"/>
  <c r="AC255" i="20" s="1"/>
  <c r="AB65" i="20"/>
  <c r="AC257" i="20" s="1"/>
  <c r="AB62" i="20"/>
  <c r="AC254" i="20" s="1"/>
  <c r="AB58" i="20"/>
  <c r="AC250" i="20" s="1"/>
  <c r="AB59" i="20"/>
  <c r="AC251" i="20" s="1"/>
  <c r="AB56" i="20"/>
  <c r="AC248" i="20" s="1"/>
  <c r="AB57" i="20"/>
  <c r="AC249" i="20" s="1"/>
  <c r="AB55" i="20"/>
  <c r="AC247" i="20" s="1"/>
  <c r="AB54" i="20"/>
  <c r="AC246" i="20" s="1"/>
  <c r="AB53" i="20"/>
  <c r="AC245" i="20" s="1"/>
  <c r="AB51" i="20"/>
  <c r="AC243" i="20" s="1"/>
  <c r="AB52" i="20"/>
  <c r="AC244" i="20" s="1"/>
  <c r="AB50" i="20"/>
  <c r="AC242" i="20" s="1"/>
  <c r="AB49" i="20"/>
  <c r="AC241" i="20" s="1"/>
  <c r="AB48" i="20"/>
  <c r="AC240" i="20" s="1"/>
  <c r="AB60" i="20"/>
  <c r="AC252" i="20" s="1"/>
  <c r="AB64" i="20"/>
  <c r="AC256" i="20" s="1"/>
  <c r="AB61" i="20"/>
  <c r="AC253" i="20" s="1"/>
  <c r="CD72" i="19"/>
  <c r="CD153" i="19" s="1"/>
  <c r="CM72" i="19"/>
  <c r="CM153" i="19" s="1"/>
  <c r="AQ72" i="19"/>
  <c r="AQ153" i="19" s="1"/>
  <c r="BA72" i="19"/>
  <c r="BA153" i="19" s="1"/>
  <c r="M72" i="19"/>
  <c r="M153" i="19" s="1"/>
  <c r="CT44" i="19"/>
  <c r="CH44" i="19" s="1"/>
  <c r="CI236" i="19" s="1"/>
  <c r="AW44" i="19"/>
  <c r="AX236" i="19" s="1"/>
  <c r="BK44" i="19"/>
  <c r="BL236" i="19" s="1"/>
  <c r="B98" i="19"/>
  <c r="AA44" i="19"/>
  <c r="AB236" i="19" s="1"/>
  <c r="B43" i="19"/>
  <c r="AC44" i="19"/>
  <c r="AD236" i="19" s="1"/>
  <c r="BJ44" i="19"/>
  <c r="BK236" i="19" s="1"/>
  <c r="AB85" i="19"/>
  <c r="AB166" i="19" s="1"/>
  <c r="BR73" i="19"/>
  <c r="BR154" i="19" s="1"/>
  <c r="AA87" i="20"/>
  <c r="AA168" i="20" s="1"/>
  <c r="AA84" i="20"/>
  <c r="AA165" i="20" s="1"/>
  <c r="BC73" i="19"/>
  <c r="BC154" i="19" s="1"/>
  <c r="AB75" i="19"/>
  <c r="AB156" i="19" s="1"/>
  <c r="AB83" i="19"/>
  <c r="AB164" i="19" s="1"/>
  <c r="AB91" i="19"/>
  <c r="AB172" i="19" s="1"/>
  <c r="D73" i="19"/>
  <c r="D154" i="19" s="1"/>
  <c r="AA80" i="20"/>
  <c r="AA161" i="20" s="1"/>
  <c r="AA90" i="20"/>
  <c r="AA171" i="20" s="1"/>
  <c r="U72" i="19"/>
  <c r="U153" i="19" s="1"/>
  <c r="BM72" i="19"/>
  <c r="BM153" i="19" s="1"/>
  <c r="BX72" i="19"/>
  <c r="BX153" i="19" s="1"/>
  <c r="W72" i="19"/>
  <c r="W153" i="19" s="1"/>
  <c r="AO72" i="19"/>
  <c r="AO153" i="19" s="1"/>
  <c r="D72" i="19"/>
  <c r="D153" i="19" s="1"/>
  <c r="BD72" i="19"/>
  <c r="BD153" i="19" s="1"/>
  <c r="K72" i="19"/>
  <c r="K153" i="19" s="1"/>
  <c r="CK72" i="19"/>
  <c r="CK153" i="19" s="1"/>
  <c r="BI72" i="19"/>
  <c r="BI153" i="19" s="1"/>
  <c r="BU73" i="19"/>
  <c r="BU154" i="19" s="1"/>
  <c r="A77" i="2"/>
  <c r="A242" i="2"/>
  <c r="A214" i="2"/>
  <c r="BT73" i="19"/>
  <c r="BT154" i="19" s="1"/>
  <c r="CF73" i="19"/>
  <c r="CF154" i="19" s="1"/>
  <c r="P73" i="19"/>
  <c r="P154" i="19" s="1"/>
  <c r="AB92" i="19"/>
  <c r="AB173" i="19" s="1"/>
  <c r="AA82" i="20"/>
  <c r="AA163" i="20" s="1"/>
  <c r="N73" i="19"/>
  <c r="N154" i="19" s="1"/>
  <c r="A20" i="20"/>
  <c r="B19" i="20"/>
  <c r="B156" i="20"/>
  <c r="B129" i="20" s="1"/>
  <c r="B75" i="20"/>
  <c r="AQ73" i="19"/>
  <c r="AQ154" i="19" s="1"/>
  <c r="A240" i="19"/>
  <c r="A212" i="19"/>
  <c r="A75" i="19"/>
  <c r="BM73" i="19"/>
  <c r="BM154" i="19" s="1"/>
  <c r="AB73" i="19"/>
  <c r="AB154" i="19" s="1"/>
  <c r="BJ73" i="19"/>
  <c r="BJ154" i="19" s="1"/>
  <c r="X73" i="19"/>
  <c r="X154" i="19" s="1"/>
  <c r="R73" i="19"/>
  <c r="R154" i="19" s="1"/>
  <c r="BA73" i="19"/>
  <c r="BA154" i="19" s="1"/>
  <c r="T73" i="19"/>
  <c r="T154" i="19" s="1"/>
  <c r="BG73" i="19"/>
  <c r="BG154" i="19" s="1"/>
  <c r="AO73" i="19"/>
  <c r="AO154" i="19" s="1"/>
  <c r="CP238" i="2" l="1"/>
  <c r="CO73" i="2"/>
  <c r="CO154" i="2" s="1"/>
  <c r="V240" i="20"/>
  <c r="U75" i="20"/>
  <c r="U156" i="20" s="1"/>
  <c r="N240" i="20"/>
  <c r="M75" i="20"/>
  <c r="M156" i="20" s="1"/>
  <c r="CG240" i="20"/>
  <c r="CF75" i="20"/>
  <c r="CF156" i="20" s="1"/>
  <c r="BA240" i="20"/>
  <c r="AZ75" i="20"/>
  <c r="AZ156" i="20" s="1"/>
  <c r="AQ240" i="20"/>
  <c r="AP75" i="20"/>
  <c r="AP156" i="20" s="1"/>
  <c r="BV240" i="20"/>
  <c r="BU75" i="20"/>
  <c r="BU156" i="20" s="1"/>
  <c r="BH240" i="20"/>
  <c r="BG75" i="20"/>
  <c r="BG156" i="20"/>
  <c r="AP240" i="20"/>
  <c r="AO75" i="20"/>
  <c r="AO156" i="20" s="1"/>
  <c r="BO240" i="20"/>
  <c r="BN75" i="20"/>
  <c r="BN156" i="20" s="1"/>
  <c r="AA241" i="20"/>
  <c r="Z76" i="20"/>
  <c r="Z157" i="20" s="1"/>
  <c r="BR241" i="20"/>
  <c r="BQ76" i="20"/>
  <c r="BQ157" i="20"/>
  <c r="CG238" i="2"/>
  <c r="CF73" i="2"/>
  <c r="CF154" i="2" s="1"/>
  <c r="BV238" i="2"/>
  <c r="BU154" i="2"/>
  <c r="BU73" i="2"/>
  <c r="AZ73" i="2"/>
  <c r="AZ154" i="2" s="1"/>
  <c r="BA238" i="2"/>
  <c r="Q73" i="2"/>
  <c r="Q154" i="2" s="1"/>
  <c r="R238" i="2"/>
  <c r="BF73" i="2"/>
  <c r="BF154" i="2" s="1"/>
  <c r="BG238" i="2"/>
  <c r="I73" i="2"/>
  <c r="I154" i="2" s="1"/>
  <c r="J238" i="2"/>
  <c r="AM238" i="2"/>
  <c r="AL73" i="2"/>
  <c r="AL154" i="2" s="1"/>
  <c r="Y238" i="2"/>
  <c r="X73" i="2"/>
  <c r="X154" i="2"/>
  <c r="S238" i="2"/>
  <c r="R73" i="2"/>
  <c r="R154" i="2" s="1"/>
  <c r="T238" i="2"/>
  <c r="S154" i="2"/>
  <c r="S73" i="2"/>
  <c r="P73" i="2"/>
  <c r="P154" i="2" s="1"/>
  <c r="Q238" i="2"/>
  <c r="BY238" i="2"/>
  <c r="BX73" i="2"/>
  <c r="BX154" i="2" s="1"/>
  <c r="O44" i="19"/>
  <c r="P236" i="19" s="1"/>
  <c r="AX44" i="19"/>
  <c r="AY236" i="19" s="1"/>
  <c r="BM44" i="19"/>
  <c r="BN236" i="19" s="1"/>
  <c r="AD12" i="2"/>
  <c r="AD68" i="2"/>
  <c r="AE13" i="2"/>
  <c r="T48" i="20"/>
  <c r="CH48" i="20"/>
  <c r="CN48" i="20"/>
  <c r="BK48" i="20"/>
  <c r="AR48" i="20"/>
  <c r="BW48" i="20"/>
  <c r="K48" i="20"/>
  <c r="J48" i="20"/>
  <c r="F48" i="20"/>
  <c r="BP48" i="20"/>
  <c r="AX241" i="20"/>
  <c r="AW76" i="20"/>
  <c r="AW157" i="20" s="1"/>
  <c r="U239" i="2"/>
  <c r="T74" i="2"/>
  <c r="T155" i="2" s="1"/>
  <c r="CG241" i="20"/>
  <c r="CF76" i="20"/>
  <c r="CF157" i="20" s="1"/>
  <c r="AW46" i="2"/>
  <c r="AR46" i="2"/>
  <c r="BZ46" i="2"/>
  <c r="AJ46" i="2"/>
  <c r="CR46" i="2"/>
  <c r="AT46" i="2"/>
  <c r="BQ46" i="2"/>
  <c r="AQ46" i="2"/>
  <c r="F46" i="2"/>
  <c r="AI46" i="2"/>
  <c r="CQ46" i="2"/>
  <c r="BI240" i="20"/>
  <c r="BH75" i="20"/>
  <c r="BH156" i="20" s="1"/>
  <c r="E44" i="19"/>
  <c r="F236" i="19" s="1"/>
  <c r="BT44" i="19"/>
  <c r="BU236" i="19" s="1"/>
  <c r="BU44" i="19"/>
  <c r="BV236" i="19" s="1"/>
  <c r="AC95" i="2"/>
  <c r="AC122" i="2" s="1"/>
  <c r="AC186" i="2"/>
  <c r="AC176" i="2" s="1"/>
  <c r="AC149" i="2"/>
  <c r="CD241" i="20"/>
  <c r="CC157" i="20"/>
  <c r="CC76" i="20"/>
  <c r="S48" i="20"/>
  <c r="E48" i="20"/>
  <c r="CL48" i="20"/>
  <c r="CG48" i="20"/>
  <c r="CP48" i="20"/>
  <c r="BI48" i="20"/>
  <c r="BV48" i="20"/>
  <c r="AQ48" i="20"/>
  <c r="BJ48" i="20"/>
  <c r="CO48" i="20"/>
  <c r="BT239" i="2"/>
  <c r="BS74" i="2"/>
  <c r="BS155" i="2" s="1"/>
  <c r="CP241" i="20"/>
  <c r="CO76" i="20"/>
  <c r="CO157" i="20"/>
  <c r="B236" i="19"/>
  <c r="B309" i="19" s="1"/>
  <c r="B207" i="19"/>
  <c r="AC46" i="2"/>
  <c r="BK46" i="2"/>
  <c r="AB46" i="2"/>
  <c r="BN46" i="2"/>
  <c r="T46" i="2"/>
  <c r="CB46" i="2"/>
  <c r="BO46" i="2"/>
  <c r="Z46" i="2"/>
  <c r="BI46" i="2"/>
  <c r="AA46" i="2"/>
  <c r="CI46" i="2"/>
  <c r="BT46" i="2"/>
  <c r="BA44" i="19"/>
  <c r="BB236" i="19" s="1"/>
  <c r="BI44" i="19"/>
  <c r="BJ236" i="19" s="1"/>
  <c r="J44" i="19"/>
  <c r="K236" i="19" s="1"/>
  <c r="BT72" i="19"/>
  <c r="BT153" i="19" s="1"/>
  <c r="BZ72" i="19"/>
  <c r="BZ153" i="19" s="1"/>
  <c r="CR72" i="19"/>
  <c r="CR153" i="19" s="1"/>
  <c r="AA240" i="20"/>
  <c r="Z75" i="20"/>
  <c r="Z156" i="20" s="1"/>
  <c r="S240" i="20"/>
  <c r="R75" i="20"/>
  <c r="R156" i="20" s="1"/>
  <c r="BD240" i="20"/>
  <c r="BC75" i="20"/>
  <c r="BC156" i="20" s="1"/>
  <c r="BR240" i="20"/>
  <c r="BQ75" i="20"/>
  <c r="BQ156" i="20" s="1"/>
  <c r="AV240" i="20"/>
  <c r="AU75" i="20"/>
  <c r="AU156" i="20" s="1"/>
  <c r="L48" i="20"/>
  <c r="BR48" i="20"/>
  <c r="CI48" i="20"/>
  <c r="BB48" i="20"/>
  <c r="CE241" i="20"/>
  <c r="CD76" i="20"/>
  <c r="CD157" i="20" s="1"/>
  <c r="BP46" i="2"/>
  <c r="CH46" i="2"/>
  <c r="AU46" i="2"/>
  <c r="L46" i="2"/>
  <c r="BB46" i="2"/>
  <c r="D46" i="2"/>
  <c r="AH46" i="2"/>
  <c r="BA46" i="2"/>
  <c r="N46" i="2"/>
  <c r="BY46" i="2"/>
  <c r="K46" i="2"/>
  <c r="BS46" i="2"/>
  <c r="BB72" i="19"/>
  <c r="BB153" i="19" s="1"/>
  <c r="CP44" i="19"/>
  <c r="CQ236" i="19" s="1"/>
  <c r="N44" i="19"/>
  <c r="O236" i="19" s="1"/>
  <c r="B311" i="20"/>
  <c r="B209" i="2"/>
  <c r="B238" i="2"/>
  <c r="Z240" i="20"/>
  <c r="Y75" i="20"/>
  <c r="Y156" i="20" s="1"/>
  <c r="R240" i="20"/>
  <c r="Q75" i="20"/>
  <c r="Q156" i="20" s="1"/>
  <c r="D240" i="20"/>
  <c r="E212" i="20"/>
  <c r="I212" i="20" s="1"/>
  <c r="J212" i="20" s="1"/>
  <c r="D212" i="20"/>
  <c r="C240" i="20"/>
  <c r="BP240" i="20"/>
  <c r="BO75" i="20"/>
  <c r="BO156" i="20" s="1"/>
  <c r="CE240" i="20"/>
  <c r="CD75" i="20"/>
  <c r="CD156" i="20" s="1"/>
  <c r="AT240" i="20"/>
  <c r="AS75" i="20"/>
  <c r="AS156" i="20" s="1"/>
  <c r="BY240" i="20"/>
  <c r="BX75" i="20"/>
  <c r="BX156" i="20" s="1"/>
  <c r="I240" i="20"/>
  <c r="H75" i="20"/>
  <c r="H156" i="20"/>
  <c r="CR240" i="20"/>
  <c r="CQ75" i="20"/>
  <c r="CQ156" i="20" s="1"/>
  <c r="CB240" i="20"/>
  <c r="CA75" i="20"/>
  <c r="CA156" i="20" s="1"/>
  <c r="AU240" i="20"/>
  <c r="AT75" i="20"/>
  <c r="AT156" i="20" s="1"/>
  <c r="J241" i="20"/>
  <c r="I76" i="20"/>
  <c r="I157" i="20"/>
  <c r="BI238" i="2"/>
  <c r="BH73" i="2"/>
  <c r="BH154" i="2" s="1"/>
  <c r="AM73" i="2"/>
  <c r="AN238" i="2"/>
  <c r="AM154" i="2"/>
  <c r="BW238" i="2"/>
  <c r="BV73" i="2"/>
  <c r="BV154" i="2"/>
  <c r="AF238" i="2"/>
  <c r="AE73" i="2"/>
  <c r="AE154" i="2" s="1"/>
  <c r="CN238" i="2"/>
  <c r="CM73" i="2"/>
  <c r="CM154" i="2" s="1"/>
  <c r="CM238" i="2"/>
  <c r="CL73" i="2"/>
  <c r="CL154" i="2" s="1"/>
  <c r="BL73" i="2"/>
  <c r="BM238" i="2"/>
  <c r="BL154" i="2"/>
  <c r="D238" i="2"/>
  <c r="E210" i="2"/>
  <c r="I210" i="2" s="1"/>
  <c r="J210" i="2" s="1"/>
  <c r="D210" i="2"/>
  <c r="AK46" i="2"/>
  <c r="CS46" i="2"/>
  <c r="M46" i="2"/>
  <c r="CK46" i="2"/>
  <c r="D44" i="19"/>
  <c r="E236" i="19" s="1"/>
  <c r="AQ44" i="19"/>
  <c r="AR236" i="19" s="1"/>
  <c r="B237" i="20"/>
  <c r="B208" i="20"/>
  <c r="C239" i="2"/>
  <c r="B312" i="2"/>
  <c r="O211" i="2"/>
  <c r="M214" i="2"/>
  <c r="G214" i="2" s="1"/>
  <c r="Y240" i="20"/>
  <c r="X75" i="20"/>
  <c r="X156" i="20" s="1"/>
  <c r="Q240" i="20"/>
  <c r="P75" i="20"/>
  <c r="P156" i="20" s="1"/>
  <c r="BN240" i="20"/>
  <c r="BM75" i="20"/>
  <c r="BM156" i="20" s="1"/>
  <c r="AZ240" i="20"/>
  <c r="AY75" i="20"/>
  <c r="AY156" i="20" s="1"/>
  <c r="BZ240" i="20"/>
  <c r="BY75" i="20"/>
  <c r="BY156" i="20" s="1"/>
  <c r="CS75" i="20"/>
  <c r="CS156" i="20"/>
  <c r="BU240" i="20"/>
  <c r="BT75" i="20"/>
  <c r="BT156" i="20"/>
  <c r="BM240" i="20"/>
  <c r="BL156" i="20"/>
  <c r="BL75" i="20"/>
  <c r="BE240" i="20"/>
  <c r="BD75" i="20"/>
  <c r="BD156" i="20"/>
  <c r="BF240" i="20"/>
  <c r="BE75" i="20"/>
  <c r="BE156" i="20"/>
  <c r="CS240" i="20"/>
  <c r="CR75" i="20"/>
  <c r="CR156" i="20" s="1"/>
  <c r="K213" i="20"/>
  <c r="F213" i="20"/>
  <c r="CT45" i="2"/>
  <c r="CS45" i="2" s="1"/>
  <c r="CS72" i="2" s="1"/>
  <c r="CS153" i="2" s="1"/>
  <c r="BC45" i="2"/>
  <c r="B99" i="2"/>
  <c r="B44" i="2"/>
  <c r="L45" i="2"/>
  <c r="CF45" i="2"/>
  <c r="AD45" i="2"/>
  <c r="AN45" i="2"/>
  <c r="BY45" i="2"/>
  <c r="BG45" i="2"/>
  <c r="AT45" i="2"/>
  <c r="BB45" i="2"/>
  <c r="BE45" i="2"/>
  <c r="CP45" i="2"/>
  <c r="BV45" i="2"/>
  <c r="BN45" i="2"/>
  <c r="R45" i="2"/>
  <c r="M45" i="2"/>
  <c r="V45" i="2"/>
  <c r="AH45" i="2"/>
  <c r="AG45" i="2"/>
  <c r="CA46" i="2"/>
  <c r="BE46" i="2"/>
  <c r="W46" i="2"/>
  <c r="BJ46" i="2"/>
  <c r="O46" i="2"/>
  <c r="AP46" i="2"/>
  <c r="AS46" i="2"/>
  <c r="V46" i="2"/>
  <c r="AN46" i="2"/>
  <c r="U46" i="2"/>
  <c r="CC46" i="2"/>
  <c r="AY46" i="2"/>
  <c r="K211" i="2"/>
  <c r="F211" i="2"/>
  <c r="X240" i="20"/>
  <c r="W75" i="20"/>
  <c r="W156" i="20" s="1"/>
  <c r="P240" i="20"/>
  <c r="O75" i="20"/>
  <c r="O156" i="20" s="1"/>
  <c r="H240" i="20"/>
  <c r="G75" i="20"/>
  <c r="G156" i="20" s="1"/>
  <c r="BT240" i="20"/>
  <c r="BS75" i="20"/>
  <c r="BS156" i="20" s="1"/>
  <c r="CA240" i="20"/>
  <c r="BZ75" i="20"/>
  <c r="BZ156" i="20" s="1"/>
  <c r="BG240" i="20"/>
  <c r="BF75" i="20"/>
  <c r="BF156" i="20"/>
  <c r="CL240" i="20"/>
  <c r="CK75" i="20"/>
  <c r="CK156" i="20" s="1"/>
  <c r="CD240" i="20"/>
  <c r="CC75" i="20"/>
  <c r="CC156" i="20" s="1"/>
  <c r="AW240" i="20"/>
  <c r="AV75" i="20"/>
  <c r="AV156" i="20"/>
  <c r="CK240" i="20"/>
  <c r="CJ75" i="20"/>
  <c r="CJ156" i="20"/>
  <c r="BN47" i="20"/>
  <c r="BZ47" i="20"/>
  <c r="CS47" i="20"/>
  <c r="CS74" i="20" s="1"/>
  <c r="CS155" i="20" s="1"/>
  <c r="AZ47" i="20"/>
  <c r="BW47" i="20"/>
  <c r="AU47" i="20"/>
  <c r="CG47" i="20"/>
  <c r="CB47" i="20"/>
  <c r="BQ47" i="20"/>
  <c r="BB47" i="20"/>
  <c r="AO47" i="20"/>
  <c r="B101" i="20"/>
  <c r="BI47" i="20"/>
  <c r="CI47" i="20"/>
  <c r="CM47" i="20"/>
  <c r="B46" i="20"/>
  <c r="CF47" i="20"/>
  <c r="L47" i="20"/>
  <c r="BV47" i="20"/>
  <c r="CT47" i="20"/>
  <c r="CR47" i="20"/>
  <c r="BP47" i="20"/>
  <c r="CC47" i="20"/>
  <c r="BX47" i="20"/>
  <c r="H47" i="20"/>
  <c r="AR47" i="20"/>
  <c r="AS47" i="20"/>
  <c r="AX47" i="20"/>
  <c r="CE47" i="20"/>
  <c r="AQ47" i="20"/>
  <c r="CL47" i="20"/>
  <c r="BS47" i="20"/>
  <c r="CP47" i="20"/>
  <c r="CO47" i="20"/>
  <c r="AV47" i="20"/>
  <c r="BL47" i="20"/>
  <c r="CA47" i="20"/>
  <c r="C47" i="20"/>
  <c r="BT47" i="20"/>
  <c r="CQ47" i="20"/>
  <c r="BE47" i="20"/>
  <c r="BY47" i="20"/>
  <c r="AW47" i="20"/>
  <c r="BH47" i="20"/>
  <c r="D47" i="20"/>
  <c r="AY47" i="20"/>
  <c r="BM47" i="20"/>
  <c r="CN47" i="20"/>
  <c r="AP47" i="20"/>
  <c r="E47" i="20"/>
  <c r="BA47" i="20"/>
  <c r="CH47" i="20"/>
  <c r="F47" i="20"/>
  <c r="BK47" i="20"/>
  <c r="CJ47" i="20"/>
  <c r="N47" i="20"/>
  <c r="O47" i="20"/>
  <c r="P47" i="20"/>
  <c r="R47" i="20"/>
  <c r="S47" i="20"/>
  <c r="T47" i="20"/>
  <c r="U47" i="20"/>
  <c r="V47" i="20"/>
  <c r="W47" i="20"/>
  <c r="X47" i="20"/>
  <c r="Z47" i="20"/>
  <c r="AA47" i="20"/>
  <c r="K212" i="2"/>
  <c r="F212" i="2"/>
  <c r="O213" i="20"/>
  <c r="M216" i="20"/>
  <c r="G216" i="20" s="1"/>
  <c r="O214" i="20"/>
  <c r="M217" i="20"/>
  <c r="G217" i="20" s="1"/>
  <c r="CQ238" i="2"/>
  <c r="CP73" i="2"/>
  <c r="CP154" i="2" s="1"/>
  <c r="I238" i="2"/>
  <c r="H73" i="2"/>
  <c r="H154" i="2" s="1"/>
  <c r="CE238" i="2"/>
  <c r="CD73" i="2"/>
  <c r="CD154" i="2" s="1"/>
  <c r="AP238" i="2"/>
  <c r="AO73" i="2"/>
  <c r="AO154" i="2" s="1"/>
  <c r="G73" i="2"/>
  <c r="G154" i="2" s="1"/>
  <c r="H238" i="2"/>
  <c r="AY238" i="2"/>
  <c r="AX73" i="2"/>
  <c r="AX154" i="2" s="1"/>
  <c r="BX238" i="2"/>
  <c r="BW73" i="2"/>
  <c r="BW154" i="2"/>
  <c r="AD73" i="2"/>
  <c r="AD154" i="2" s="1"/>
  <c r="AE238" i="2"/>
  <c r="AW238" i="2"/>
  <c r="AV73" i="2"/>
  <c r="AV154" i="2" s="1"/>
  <c r="K238" i="2"/>
  <c r="J73" i="2"/>
  <c r="J154" i="2" s="1"/>
  <c r="BE238" i="2"/>
  <c r="BD73" i="2"/>
  <c r="BD154" i="2" s="1"/>
  <c r="F238" i="2"/>
  <c r="E73" i="2"/>
  <c r="E154" i="2" s="1"/>
  <c r="CC44" i="19"/>
  <c r="CD236" i="19" s="1"/>
  <c r="CE44" i="19"/>
  <c r="CF236" i="19" s="1"/>
  <c r="W240" i="20"/>
  <c r="V75" i="20"/>
  <c r="V156" i="20" s="1"/>
  <c r="O240" i="20"/>
  <c r="N75" i="20"/>
  <c r="N156" i="20" s="1"/>
  <c r="AX240" i="20"/>
  <c r="AW75" i="20"/>
  <c r="AW156" i="20" s="1"/>
  <c r="D48" i="20"/>
  <c r="CM48" i="20"/>
  <c r="CE48" i="20"/>
  <c r="AX48" i="20"/>
  <c r="I48" i="20"/>
  <c r="BA48" i="20"/>
  <c r="CB48" i="20"/>
  <c r="CH241" i="20"/>
  <c r="CG76" i="20"/>
  <c r="CG157" i="20"/>
  <c r="O212" i="2"/>
  <c r="M215" i="2"/>
  <c r="G215" i="2" s="1"/>
  <c r="K241" i="20"/>
  <c r="J76" i="20"/>
  <c r="J157" i="20" s="1"/>
  <c r="K214" i="20"/>
  <c r="F214" i="20"/>
  <c r="BM46" i="2"/>
  <c r="BC46" i="2"/>
  <c r="AG46" i="2"/>
  <c r="BR46" i="2"/>
  <c r="Y46" i="2"/>
  <c r="CG46" i="2"/>
  <c r="CJ46" i="2"/>
  <c r="BG46" i="2"/>
  <c r="CE46" i="2"/>
  <c r="AF46" i="2"/>
  <c r="CN46" i="2"/>
  <c r="CH71" i="19"/>
  <c r="CH152" i="19" s="1"/>
  <c r="BJ71" i="19"/>
  <c r="BJ152" i="19" s="1"/>
  <c r="AQ71" i="19"/>
  <c r="AQ152" i="19" s="1"/>
  <c r="AU44" i="19"/>
  <c r="AV236" i="19" s="1"/>
  <c r="T44" i="19"/>
  <c r="U236" i="19" s="1"/>
  <c r="CI44" i="19"/>
  <c r="CJ236" i="19" s="1"/>
  <c r="K44" i="19"/>
  <c r="L236" i="19" s="1"/>
  <c r="BQ44" i="19"/>
  <c r="BR236" i="19" s="1"/>
  <c r="I44" i="19"/>
  <c r="J236" i="19" s="1"/>
  <c r="AD44" i="19"/>
  <c r="AE236" i="19" s="1"/>
  <c r="CM44" i="19"/>
  <c r="CN236" i="19" s="1"/>
  <c r="BX44" i="19"/>
  <c r="BY236" i="19" s="1"/>
  <c r="AB88" i="20"/>
  <c r="AB169" i="20" s="1"/>
  <c r="AB82" i="20"/>
  <c r="AB163" i="20" s="1"/>
  <c r="AD41" i="20"/>
  <c r="AC63" i="20"/>
  <c r="AD255" i="20" s="1"/>
  <c r="AC65" i="20"/>
  <c r="AD257" i="20" s="1"/>
  <c r="AC64" i="20"/>
  <c r="AD256" i="20" s="1"/>
  <c r="AC62" i="20"/>
  <c r="AD254" i="20" s="1"/>
  <c r="AC59" i="20"/>
  <c r="AD251" i="20" s="1"/>
  <c r="AC58" i="20"/>
  <c r="AD250" i="20" s="1"/>
  <c r="AC57" i="20"/>
  <c r="AD249" i="20" s="1"/>
  <c r="AC56" i="20"/>
  <c r="AD248" i="20" s="1"/>
  <c r="AC55" i="20"/>
  <c r="AD247" i="20" s="1"/>
  <c r="AC54" i="20"/>
  <c r="AD246" i="20" s="1"/>
  <c r="AC53" i="20"/>
  <c r="AD245" i="20" s="1"/>
  <c r="AC51" i="20"/>
  <c r="AD243" i="20" s="1"/>
  <c r="AC50" i="20"/>
  <c r="AD242" i="20" s="1"/>
  <c r="AC49" i="20"/>
  <c r="AD241" i="20" s="1"/>
  <c r="AC48" i="20"/>
  <c r="AD240" i="20" s="1"/>
  <c r="AC47" i="20"/>
  <c r="AD239" i="20" s="1"/>
  <c r="AC61" i="20"/>
  <c r="AD253" i="20" s="1"/>
  <c r="AC60" i="20"/>
  <c r="AD252" i="20" s="1"/>
  <c r="AC52" i="20"/>
  <c r="AD244" i="20" s="1"/>
  <c r="AC75" i="19"/>
  <c r="AC156" i="19" s="1"/>
  <c r="AC83" i="19"/>
  <c r="AC164" i="19" s="1"/>
  <c r="AC91" i="19"/>
  <c r="AC172" i="19" s="1"/>
  <c r="B17" i="19"/>
  <c r="A18" i="19"/>
  <c r="B154" i="19"/>
  <c r="B127" i="19" s="1"/>
  <c r="B73" i="19"/>
  <c r="AX72" i="19"/>
  <c r="AX153" i="19" s="1"/>
  <c r="AT72" i="19"/>
  <c r="AT153" i="19" s="1"/>
  <c r="F366" i="20"/>
  <c r="I72" i="19"/>
  <c r="I153" i="19" s="1"/>
  <c r="AC71" i="19"/>
  <c r="AC152" i="19" s="1"/>
  <c r="E71" i="19"/>
  <c r="E152" i="19" s="1"/>
  <c r="CP71" i="19"/>
  <c r="CP152" i="19" s="1"/>
  <c r="AA71" i="19"/>
  <c r="AA152" i="19" s="1"/>
  <c r="AX71" i="19"/>
  <c r="AX152" i="19" s="1"/>
  <c r="BI71" i="19"/>
  <c r="BI152" i="19" s="1"/>
  <c r="BM71" i="19"/>
  <c r="BM152" i="19" s="1"/>
  <c r="BU71" i="19"/>
  <c r="BU152" i="19" s="1"/>
  <c r="J71" i="19"/>
  <c r="J152" i="19" s="1"/>
  <c r="AB81" i="20"/>
  <c r="AB162" i="20" s="1"/>
  <c r="AB90" i="20"/>
  <c r="AB171" i="20" s="1"/>
  <c r="AC74" i="19"/>
  <c r="AC155" i="19" s="1"/>
  <c r="AC82" i="19"/>
  <c r="AC163" i="19" s="1"/>
  <c r="AC90" i="19"/>
  <c r="AC171" i="19" s="1"/>
  <c r="BB44" i="19"/>
  <c r="BC236" i="19" s="1"/>
  <c r="AY44" i="19"/>
  <c r="AZ236" i="19" s="1"/>
  <c r="Z44" i="19"/>
  <c r="AA236" i="19" s="1"/>
  <c r="BZ44" i="19"/>
  <c r="CA236" i="19" s="1"/>
  <c r="CL44" i="19"/>
  <c r="CM236" i="19" s="1"/>
  <c r="BO44" i="19"/>
  <c r="BP236" i="19" s="1"/>
  <c r="BE44" i="19"/>
  <c r="BF236" i="19" s="1"/>
  <c r="BR44" i="19"/>
  <c r="BS236" i="19" s="1"/>
  <c r="BL44" i="19"/>
  <c r="BM236" i="19" s="1"/>
  <c r="AB84" i="20"/>
  <c r="AB165" i="20" s="1"/>
  <c r="AC76" i="19"/>
  <c r="AC157" i="19" s="1"/>
  <c r="AC84" i="19"/>
  <c r="AC165" i="19" s="1"/>
  <c r="AC92" i="19"/>
  <c r="AC173" i="19" s="1"/>
  <c r="A239" i="19"/>
  <c r="A211" i="19"/>
  <c r="A74" i="19"/>
  <c r="BF72" i="19"/>
  <c r="BF153" i="19" s="1"/>
  <c r="CF72" i="19"/>
  <c r="CF153" i="19" s="1"/>
  <c r="BE72" i="19"/>
  <c r="BE153" i="19" s="1"/>
  <c r="BY44" i="19"/>
  <c r="BZ236" i="19" s="1"/>
  <c r="Q44" i="19"/>
  <c r="R236" i="19" s="1"/>
  <c r="CN44" i="19"/>
  <c r="CO236" i="19" s="1"/>
  <c r="H44" i="19"/>
  <c r="I236" i="19" s="1"/>
  <c r="BV44" i="19"/>
  <c r="BW236" i="19" s="1"/>
  <c r="F44" i="19"/>
  <c r="G236" i="19" s="1"/>
  <c r="CA44" i="19"/>
  <c r="CB236" i="19" s="1"/>
  <c r="BD44" i="19"/>
  <c r="BE236" i="19" s="1"/>
  <c r="G44" i="19"/>
  <c r="H236" i="19" s="1"/>
  <c r="W44" i="19"/>
  <c r="X236" i="19" s="1"/>
  <c r="CB44" i="19"/>
  <c r="CC236" i="19" s="1"/>
  <c r="CF44" i="19"/>
  <c r="CG236" i="19" s="1"/>
  <c r="AB91" i="20"/>
  <c r="AB172" i="20" s="1"/>
  <c r="AB76" i="20"/>
  <c r="AB157" i="20" s="1"/>
  <c r="AB83" i="20"/>
  <c r="AB164" i="20" s="1"/>
  <c r="AC77" i="19"/>
  <c r="AC158" i="19" s="1"/>
  <c r="AC85" i="19"/>
  <c r="AC166" i="19" s="1"/>
  <c r="AE41" i="19"/>
  <c r="AD65" i="19"/>
  <c r="AE257" i="19" s="1"/>
  <c r="AD64" i="19"/>
  <c r="AE256" i="19" s="1"/>
  <c r="AD63" i="19"/>
  <c r="AE255" i="19" s="1"/>
  <c r="AD62" i="19"/>
  <c r="AE254" i="19" s="1"/>
  <c r="AD61" i="19"/>
  <c r="AE253" i="19" s="1"/>
  <c r="AD60" i="19"/>
  <c r="AE252" i="19" s="1"/>
  <c r="AD59" i="19"/>
  <c r="AE251" i="19" s="1"/>
  <c r="AD58" i="19"/>
  <c r="AE250" i="19" s="1"/>
  <c r="AD57" i="19"/>
  <c r="AE249" i="19" s="1"/>
  <c r="AD56" i="19"/>
  <c r="AE248" i="19" s="1"/>
  <c r="AD55" i="19"/>
  <c r="AE247" i="19" s="1"/>
  <c r="AD54" i="19"/>
  <c r="AE246" i="19" s="1"/>
  <c r="AD53" i="19"/>
  <c r="AE245" i="19" s="1"/>
  <c r="AD52" i="19"/>
  <c r="AE244" i="19" s="1"/>
  <c r="AD51" i="19"/>
  <c r="AE243" i="19" s="1"/>
  <c r="AD50" i="19"/>
  <c r="AE242" i="19" s="1"/>
  <c r="AD48" i="19"/>
  <c r="AE240" i="19" s="1"/>
  <c r="AD49" i="19"/>
  <c r="AE241" i="19" s="1"/>
  <c r="AD47" i="19"/>
  <c r="AE239" i="19" s="1"/>
  <c r="AD46" i="19"/>
  <c r="AE238" i="19" s="1"/>
  <c r="AD45" i="19"/>
  <c r="AE237" i="19" s="1"/>
  <c r="BR72" i="19"/>
  <c r="BR153" i="19" s="1"/>
  <c r="AC72" i="19"/>
  <c r="AC153" i="19" s="1"/>
  <c r="B155" i="20"/>
  <c r="B128" i="20" s="1"/>
  <c r="B74" i="20"/>
  <c r="A19" i="20"/>
  <c r="B18" i="20"/>
  <c r="A75" i="20"/>
  <c r="A240" i="20"/>
  <c r="A212" i="20"/>
  <c r="CO44" i="19"/>
  <c r="CP236" i="19" s="1"/>
  <c r="BG44" i="19"/>
  <c r="BH236" i="19" s="1"/>
  <c r="CR44" i="19"/>
  <c r="CS236" i="19" s="1"/>
  <c r="AP44" i="19"/>
  <c r="AQ236" i="19" s="1"/>
  <c r="R44" i="19"/>
  <c r="S236" i="19" s="1"/>
  <c r="BS44" i="19"/>
  <c r="BT236" i="19" s="1"/>
  <c r="BN44" i="19"/>
  <c r="BO236" i="19" s="1"/>
  <c r="AB44" i="19"/>
  <c r="AC236" i="19" s="1"/>
  <c r="CJ44" i="19"/>
  <c r="CK236" i="19" s="1"/>
  <c r="AZ44" i="19"/>
  <c r="BA236" i="19" s="1"/>
  <c r="CG44" i="19"/>
  <c r="CH236" i="19" s="1"/>
  <c r="C44" i="19"/>
  <c r="D236" i="19" s="1"/>
  <c r="AB87" i="20"/>
  <c r="AB168" i="20" s="1"/>
  <c r="AB77" i="20"/>
  <c r="AB158" i="20" s="1"/>
  <c r="AB86" i="20"/>
  <c r="AB167" i="20" s="1"/>
  <c r="AC78" i="19"/>
  <c r="AC159" i="19" s="1"/>
  <c r="AC86" i="19"/>
  <c r="AC167" i="19" s="1"/>
  <c r="A76" i="2"/>
  <c r="A213" i="2"/>
  <c r="A241" i="2"/>
  <c r="CN72" i="19"/>
  <c r="CN153" i="19" s="1"/>
  <c r="BH72" i="19"/>
  <c r="BH153" i="19" s="1"/>
  <c r="CS44" i="19"/>
  <c r="CS71" i="19" s="1"/>
  <c r="CS152" i="19" s="1"/>
  <c r="L44" i="19"/>
  <c r="M236" i="19" s="1"/>
  <c r="CK44" i="19"/>
  <c r="CL236" i="19" s="1"/>
  <c r="BP44" i="19"/>
  <c r="BQ236" i="19" s="1"/>
  <c r="AE44" i="19"/>
  <c r="AF236" i="19" s="1"/>
  <c r="X44" i="19"/>
  <c r="Y236" i="19" s="1"/>
  <c r="Y44" i="19"/>
  <c r="Z236" i="19" s="1"/>
  <c r="AO44" i="19"/>
  <c r="AP236" i="19" s="1"/>
  <c r="CQ44" i="19"/>
  <c r="CR236" i="19" s="1"/>
  <c r="AR44" i="19"/>
  <c r="AS236" i="19" s="1"/>
  <c r="BH44" i="19"/>
  <c r="BI236" i="19" s="1"/>
  <c r="CD44" i="19"/>
  <c r="CE236" i="19" s="1"/>
  <c r="AS44" i="19"/>
  <c r="AT236" i="19" s="1"/>
  <c r="AB79" i="20"/>
  <c r="AB160" i="20" s="1"/>
  <c r="AB85" i="20"/>
  <c r="AB166" i="20" s="1"/>
  <c r="AC79" i="19"/>
  <c r="AC160" i="19" s="1"/>
  <c r="AC87" i="19"/>
  <c r="AC168" i="19" s="1"/>
  <c r="A20" i="2"/>
  <c r="B19" i="2"/>
  <c r="B75" i="2"/>
  <c r="B156" i="2"/>
  <c r="B129" i="2" s="1"/>
  <c r="BK72" i="19"/>
  <c r="BK153" i="19" s="1"/>
  <c r="CE72" i="19"/>
  <c r="CE153" i="19" s="1"/>
  <c r="V68" i="19"/>
  <c r="V12" i="19"/>
  <c r="W13" i="19"/>
  <c r="U44" i="19"/>
  <c r="V236" i="19" s="1"/>
  <c r="AV44" i="19"/>
  <c r="AW236" i="19" s="1"/>
  <c r="S44" i="19"/>
  <c r="T236" i="19" s="1"/>
  <c r="BF44" i="19"/>
  <c r="BG236" i="19" s="1"/>
  <c r="M44" i="19"/>
  <c r="N236" i="19" s="1"/>
  <c r="BW44" i="19"/>
  <c r="BX236" i="19" s="1"/>
  <c r="AT44" i="19"/>
  <c r="AU236" i="19" s="1"/>
  <c r="P44" i="19"/>
  <c r="Q236" i="19" s="1"/>
  <c r="V44" i="19"/>
  <c r="W236" i="19" s="1"/>
  <c r="AB75" i="20"/>
  <c r="AB156" i="20" s="1"/>
  <c r="AB78" i="20"/>
  <c r="AB159" i="20" s="1"/>
  <c r="AB89" i="20"/>
  <c r="AB170" i="20" s="1"/>
  <c r="AC80" i="19"/>
  <c r="AC161" i="19" s="1"/>
  <c r="AC88" i="19"/>
  <c r="AC169" i="19" s="1"/>
  <c r="O210" i="19"/>
  <c r="M213" i="19"/>
  <c r="G213" i="19" s="1"/>
  <c r="F72" i="19"/>
  <c r="F153" i="19" s="1"/>
  <c r="F357" i="19"/>
  <c r="BY72" i="19"/>
  <c r="BY153" i="19" s="1"/>
  <c r="U68" i="20"/>
  <c r="U12" i="20"/>
  <c r="V13" i="20"/>
  <c r="D71" i="19"/>
  <c r="D152" i="19" s="1"/>
  <c r="CC71" i="19"/>
  <c r="CC152" i="19" s="1"/>
  <c r="O71" i="19"/>
  <c r="O152" i="19" s="1"/>
  <c r="BA71" i="19"/>
  <c r="BA152" i="19" s="1"/>
  <c r="CT43" i="19"/>
  <c r="R43" i="19" s="1"/>
  <c r="S235" i="19" s="1"/>
  <c r="B42" i="19"/>
  <c r="CK43" i="19"/>
  <c r="CL235" i="19" s="1"/>
  <c r="H43" i="19"/>
  <c r="I235" i="19" s="1"/>
  <c r="CN43" i="19"/>
  <c r="CO235" i="19" s="1"/>
  <c r="BZ43" i="19"/>
  <c r="CA235" i="19" s="1"/>
  <c r="CB43" i="19"/>
  <c r="CC235" i="19" s="1"/>
  <c r="BJ43" i="19"/>
  <c r="BK235" i="19" s="1"/>
  <c r="G43" i="19"/>
  <c r="H235" i="19" s="1"/>
  <c r="AX43" i="19"/>
  <c r="AY235" i="19" s="1"/>
  <c r="BH43" i="19"/>
  <c r="BI235" i="19" s="1"/>
  <c r="L43" i="19"/>
  <c r="M235" i="19" s="1"/>
  <c r="AD43" i="19"/>
  <c r="AE235" i="19" s="1"/>
  <c r="AW43" i="19"/>
  <c r="AX235" i="19" s="1"/>
  <c r="CP43" i="19"/>
  <c r="CQ235" i="19" s="1"/>
  <c r="BO43" i="19"/>
  <c r="BP235" i="19" s="1"/>
  <c r="S43" i="19"/>
  <c r="T235" i="19" s="1"/>
  <c r="J43" i="19"/>
  <c r="K235" i="19" s="1"/>
  <c r="BN43" i="19"/>
  <c r="BO235" i="19" s="1"/>
  <c r="B97" i="19"/>
  <c r="BK71" i="19"/>
  <c r="BK152" i="19" s="1"/>
  <c r="BT71" i="19"/>
  <c r="BT152" i="19" s="1"/>
  <c r="N71" i="19"/>
  <c r="N152" i="19" s="1"/>
  <c r="AW71" i="19"/>
  <c r="AW152" i="19" s="1"/>
  <c r="BC44" i="19"/>
  <c r="BD236" i="19" s="1"/>
  <c r="AB80" i="20"/>
  <c r="AB161" i="20" s="1"/>
  <c r="AB92" i="20"/>
  <c r="AB173" i="20" s="1"/>
  <c r="AC81" i="19"/>
  <c r="AC162" i="19" s="1"/>
  <c r="AC89" i="19"/>
  <c r="AC170" i="19" s="1"/>
  <c r="F210" i="19"/>
  <c r="K210" i="19"/>
  <c r="CL72" i="19"/>
  <c r="CL153" i="19" s="1"/>
  <c r="CO72" i="19"/>
  <c r="CO153" i="19" s="1"/>
  <c r="T186" i="20"/>
  <c r="T176" i="20" s="1"/>
  <c r="T149" i="20"/>
  <c r="T95" i="20"/>
  <c r="T122" i="20" s="1"/>
  <c r="M212" i="19"/>
  <c r="G212" i="19" s="1"/>
  <c r="O209" i="19"/>
  <c r="U186" i="19"/>
  <c r="U176" i="19" s="1"/>
  <c r="U149" i="19"/>
  <c r="U95" i="19"/>
  <c r="U122" i="19" s="1"/>
  <c r="CB72" i="19"/>
  <c r="CB153" i="19" s="1"/>
  <c r="X72" i="19"/>
  <c r="X153" i="19" s="1"/>
  <c r="J72" i="19"/>
  <c r="J153" i="19" s="1"/>
  <c r="F209" i="19"/>
  <c r="K209" i="19"/>
  <c r="BQ43" i="19" l="1"/>
  <c r="BR235" i="19" s="1"/>
  <c r="O43" i="19"/>
  <c r="P235" i="19" s="1"/>
  <c r="CI43" i="19"/>
  <c r="CJ235" i="19" s="1"/>
  <c r="W43" i="19"/>
  <c r="X235" i="19" s="1"/>
  <c r="BD43" i="19"/>
  <c r="BE235" i="19" s="1"/>
  <c r="BI43" i="19"/>
  <c r="BJ235" i="19" s="1"/>
  <c r="K43" i="19"/>
  <c r="L235" i="19" s="1"/>
  <c r="CL43" i="19"/>
  <c r="CM235" i="19" s="1"/>
  <c r="BM43" i="19"/>
  <c r="BN235" i="19" s="1"/>
  <c r="BC43" i="19"/>
  <c r="BD235" i="19" s="1"/>
  <c r="BG73" i="2"/>
  <c r="BG154" i="2" s="1"/>
  <c r="BH238" i="2"/>
  <c r="W239" i="20"/>
  <c r="V74" i="20"/>
  <c r="V155" i="20" s="1"/>
  <c r="O239" i="20"/>
  <c r="N74" i="20"/>
  <c r="N155" i="20" s="1"/>
  <c r="AQ239" i="20"/>
  <c r="AP74" i="20"/>
  <c r="AP155" i="20" s="1"/>
  <c r="BZ239" i="20"/>
  <c r="BY74" i="20"/>
  <c r="BY155" i="20" s="1"/>
  <c r="AW239" i="20"/>
  <c r="AV74" i="20"/>
  <c r="AV155" i="20" s="1"/>
  <c r="AY239" i="20"/>
  <c r="AX74" i="20"/>
  <c r="AX155" i="20" s="1"/>
  <c r="CS239" i="20"/>
  <c r="CR74" i="20"/>
  <c r="CR155" i="20" s="1"/>
  <c r="CN239" i="20"/>
  <c r="CM74" i="20"/>
  <c r="CM155" i="20" s="1"/>
  <c r="BR239" i="20"/>
  <c r="BQ74" i="20"/>
  <c r="BQ155" i="20" s="1"/>
  <c r="BA239" i="20"/>
  <c r="AZ74" i="20"/>
  <c r="AZ155" i="20" s="1"/>
  <c r="AP73" i="2"/>
  <c r="AP154" i="2" s="1"/>
  <c r="AQ238" i="2"/>
  <c r="BK45" i="2"/>
  <c r="AP45" i="2"/>
  <c r="CR45" i="2"/>
  <c r="CD45" i="2"/>
  <c r="AL45" i="2"/>
  <c r="CE45" i="2"/>
  <c r="X45" i="2"/>
  <c r="F45" i="2"/>
  <c r="AS45" i="2"/>
  <c r="AZ45" i="2"/>
  <c r="G45" i="2"/>
  <c r="CK45" i="2"/>
  <c r="B310" i="20"/>
  <c r="O210" i="2"/>
  <c r="M213" i="2"/>
  <c r="G213" i="2" s="1"/>
  <c r="BB73" i="2"/>
  <c r="BB154" i="2" s="1"/>
  <c r="BC238" i="2"/>
  <c r="BC240" i="20"/>
  <c r="BB75" i="20"/>
  <c r="BB156" i="20" s="1"/>
  <c r="BJ238" i="2"/>
  <c r="BI73" i="2"/>
  <c r="BI154" i="2" s="1"/>
  <c r="AC73" i="2"/>
  <c r="AC154" i="2" s="1"/>
  <c r="AD238" i="2"/>
  <c r="CH240" i="20"/>
  <c r="CG75" i="20"/>
  <c r="CG156" i="20"/>
  <c r="CR238" i="2"/>
  <c r="CQ73" i="2"/>
  <c r="CQ154" i="2" s="1"/>
  <c r="CA238" i="2"/>
  <c r="BZ154" i="2"/>
  <c r="BZ73" i="2"/>
  <c r="AS240" i="20"/>
  <c r="AR75" i="20"/>
  <c r="AR156" i="20" s="1"/>
  <c r="CJ73" i="2"/>
  <c r="CJ154" i="2" s="1"/>
  <c r="CK238" i="2"/>
  <c r="CC240" i="20"/>
  <c r="CB75" i="20"/>
  <c r="CB156" i="20" s="1"/>
  <c r="V239" i="20"/>
  <c r="U74" i="20"/>
  <c r="U155" i="20" s="1"/>
  <c r="CK239" i="20"/>
  <c r="CJ74" i="20"/>
  <c r="CJ155" i="20" s="1"/>
  <c r="CO239" i="20"/>
  <c r="CN74" i="20"/>
  <c r="CN155" i="20" s="1"/>
  <c r="BF239" i="20"/>
  <c r="BE74" i="20"/>
  <c r="BE155" i="20" s="1"/>
  <c r="CP239" i="20"/>
  <c r="CO74" i="20"/>
  <c r="CO155" i="20" s="1"/>
  <c r="AT239" i="20"/>
  <c r="AS74" i="20"/>
  <c r="AS155" i="20" s="1"/>
  <c r="BO47" i="20"/>
  <c r="AB47" i="20"/>
  <c r="J47" i="20"/>
  <c r="BU47" i="20"/>
  <c r="BJ47" i="20"/>
  <c r="P238" i="2"/>
  <c r="O73" i="2"/>
  <c r="O154" i="2" s="1"/>
  <c r="W45" i="2"/>
  <c r="AX45" i="2"/>
  <c r="T45" i="2"/>
  <c r="BW45" i="2"/>
  <c r="AK45" i="2"/>
  <c r="AU45" i="2"/>
  <c r="I45" i="2"/>
  <c r="C45" i="2"/>
  <c r="CA45" i="2"/>
  <c r="CN45" i="2"/>
  <c r="BS45" i="2"/>
  <c r="AQ45" i="2"/>
  <c r="BS73" i="2"/>
  <c r="BT238" i="2"/>
  <c r="BS154" i="2"/>
  <c r="L73" i="2"/>
  <c r="L154" i="2" s="1"/>
  <c r="M238" i="2"/>
  <c r="CJ240" i="20"/>
  <c r="CI75" i="20"/>
  <c r="CI156" i="20" s="1"/>
  <c r="Z73" i="2"/>
  <c r="AA238" i="2"/>
  <c r="Z154" i="2"/>
  <c r="B235" i="19"/>
  <c r="B308" i="19" s="1"/>
  <c r="B206" i="19"/>
  <c r="B234" i="19" s="1"/>
  <c r="B307" i="19" s="1"/>
  <c r="CM240" i="20"/>
  <c r="CL75" i="20"/>
  <c r="CL156" i="20" s="1"/>
  <c r="AJ238" i="2"/>
  <c r="AI73" i="2"/>
  <c r="AI154" i="2"/>
  <c r="AS238" i="2"/>
  <c r="AR73" i="2"/>
  <c r="AR154" i="2"/>
  <c r="BL240" i="20"/>
  <c r="BK75" i="20"/>
  <c r="BK156" i="20" s="1"/>
  <c r="CA43" i="19"/>
  <c r="CB235" i="19" s="1"/>
  <c r="M43" i="19"/>
  <c r="N235" i="19" s="1"/>
  <c r="BL43" i="19"/>
  <c r="BM235" i="19" s="1"/>
  <c r="AC43" i="19"/>
  <c r="AD235" i="19" s="1"/>
  <c r="CQ43" i="19"/>
  <c r="CR235" i="19" s="1"/>
  <c r="AE43" i="19"/>
  <c r="AF235" i="19" s="1"/>
  <c r="AU43" i="19"/>
  <c r="AV235" i="19" s="1"/>
  <c r="F43" i="19"/>
  <c r="G235" i="19" s="1"/>
  <c r="BP43" i="19"/>
  <c r="BQ235" i="19" s="1"/>
  <c r="P43" i="19"/>
  <c r="Q235" i="19" s="1"/>
  <c r="AV43" i="19"/>
  <c r="AW235" i="19" s="1"/>
  <c r="BK43" i="19"/>
  <c r="BL235" i="19" s="1"/>
  <c r="AT43" i="19"/>
  <c r="AU235" i="19" s="1"/>
  <c r="BX43" i="19"/>
  <c r="BY235" i="19" s="1"/>
  <c r="BB43" i="19"/>
  <c r="BC235" i="19" s="1"/>
  <c r="CF43" i="19"/>
  <c r="CG235" i="19" s="1"/>
  <c r="AR43" i="19"/>
  <c r="AS235" i="19" s="1"/>
  <c r="AO43" i="19"/>
  <c r="AP235" i="19" s="1"/>
  <c r="BT43" i="19"/>
  <c r="BU235" i="19" s="1"/>
  <c r="CH238" i="2"/>
  <c r="CG73" i="2"/>
  <c r="CG154" i="2" s="1"/>
  <c r="BB240" i="20"/>
  <c r="BA75" i="20"/>
  <c r="BA156" i="20" s="1"/>
  <c r="U239" i="20"/>
  <c r="T74" i="20"/>
  <c r="T155" i="20" s="1"/>
  <c r="BL239" i="20"/>
  <c r="BK74" i="20"/>
  <c r="BK155" i="20" s="1"/>
  <c r="BN239" i="20"/>
  <c r="BM74" i="20"/>
  <c r="BM155" i="20" s="1"/>
  <c r="CR239" i="20"/>
  <c r="CQ74" i="20"/>
  <c r="CQ155" i="20" s="1"/>
  <c r="CQ239" i="20"/>
  <c r="CP74" i="20"/>
  <c r="CP155" i="20" s="1"/>
  <c r="AS239" i="20"/>
  <c r="AR74" i="20"/>
  <c r="AR155" i="20" s="1"/>
  <c r="BW239" i="20"/>
  <c r="BV74" i="20"/>
  <c r="BV155" i="20" s="1"/>
  <c r="CJ239" i="20"/>
  <c r="CI74" i="20"/>
  <c r="CI155" i="20"/>
  <c r="CC239" i="20"/>
  <c r="CB74" i="20"/>
  <c r="CB155" i="20"/>
  <c r="AY73" i="2"/>
  <c r="AY154" i="2" s="1"/>
  <c r="AZ238" i="2"/>
  <c r="BJ73" i="2"/>
  <c r="BJ154" i="2" s="1"/>
  <c r="BK238" i="2"/>
  <c r="AI237" i="2"/>
  <c r="AH72" i="2"/>
  <c r="AH153" i="2"/>
  <c r="N237" i="2"/>
  <c r="M72" i="2"/>
  <c r="M153" i="2" s="1"/>
  <c r="BO237" i="2"/>
  <c r="BN72" i="2"/>
  <c r="BN153" i="2" s="1"/>
  <c r="CQ237" i="2"/>
  <c r="CP72" i="2"/>
  <c r="CP153" i="2" s="1"/>
  <c r="BC237" i="2"/>
  <c r="BB72" i="2"/>
  <c r="BB153" i="2" s="1"/>
  <c r="BH237" i="2"/>
  <c r="BG72" i="2"/>
  <c r="BG153" i="2" s="1"/>
  <c r="AO237" i="2"/>
  <c r="AN72" i="2"/>
  <c r="AN153" i="2" s="1"/>
  <c r="CH45" i="2"/>
  <c r="AB45" i="2"/>
  <c r="BD45" i="2"/>
  <c r="CB45" i="2"/>
  <c r="BJ45" i="2"/>
  <c r="B311" i="2"/>
  <c r="C238" i="2"/>
  <c r="L238" i="2"/>
  <c r="K73" i="2"/>
  <c r="K154" i="2" s="1"/>
  <c r="AU73" i="2"/>
  <c r="AU154" i="2" s="1"/>
  <c r="AV238" i="2"/>
  <c r="BS240" i="20"/>
  <c r="BR75" i="20"/>
  <c r="BR156" i="20" s="1"/>
  <c r="BO73" i="2"/>
  <c r="BO154" i="2" s="1"/>
  <c r="BP238" i="2"/>
  <c r="CP240" i="20"/>
  <c r="CO75" i="20"/>
  <c r="CO156" i="20" s="1"/>
  <c r="F240" i="20"/>
  <c r="E75" i="20"/>
  <c r="E156" i="20" s="1"/>
  <c r="F73" i="2"/>
  <c r="F154" i="2" s="1"/>
  <c r="G238" i="2"/>
  <c r="AX238" i="2"/>
  <c r="AW73" i="2"/>
  <c r="AW154" i="2"/>
  <c r="CO240" i="20"/>
  <c r="CN75" i="20"/>
  <c r="CN156" i="20" s="1"/>
  <c r="D43" i="19"/>
  <c r="E235" i="19" s="1"/>
  <c r="Q43" i="19"/>
  <c r="R235" i="19" s="1"/>
  <c r="BA43" i="19"/>
  <c r="BB235" i="19" s="1"/>
  <c r="CJ43" i="19"/>
  <c r="CK235" i="19" s="1"/>
  <c r="BG43" i="19"/>
  <c r="BH235" i="19" s="1"/>
  <c r="I43" i="19"/>
  <c r="J235" i="19" s="1"/>
  <c r="AA43" i="19"/>
  <c r="AB235" i="19" s="1"/>
  <c r="AY43" i="19"/>
  <c r="AZ235" i="19" s="1"/>
  <c r="Z43" i="19"/>
  <c r="AA235" i="19" s="1"/>
  <c r="CD43" i="19"/>
  <c r="CE235" i="19" s="1"/>
  <c r="Z238" i="2"/>
  <c r="Y73" i="2"/>
  <c r="Y154" i="2" s="1"/>
  <c r="J240" i="20"/>
  <c r="I75" i="20"/>
  <c r="I156" i="20"/>
  <c r="AB239" i="20"/>
  <c r="AA74" i="20"/>
  <c r="AA155" i="20" s="1"/>
  <c r="T239" i="20"/>
  <c r="S74" i="20"/>
  <c r="S155" i="20" s="1"/>
  <c r="G239" i="20"/>
  <c r="F74" i="20"/>
  <c r="F155" i="20" s="1"/>
  <c r="AZ239" i="20"/>
  <c r="AY74" i="20"/>
  <c r="AY155" i="20" s="1"/>
  <c r="BU239" i="20"/>
  <c r="BT74" i="20"/>
  <c r="BT155" i="20" s="1"/>
  <c r="BT239" i="20"/>
  <c r="BS74" i="20"/>
  <c r="BS155" i="20" s="1"/>
  <c r="I239" i="20"/>
  <c r="H74" i="20"/>
  <c r="H155" i="20" s="1"/>
  <c r="M239" i="20"/>
  <c r="L74" i="20"/>
  <c r="L155" i="20" s="1"/>
  <c r="BJ239" i="20"/>
  <c r="BI74" i="20"/>
  <c r="BI155" i="20" s="1"/>
  <c r="CH239" i="20"/>
  <c r="CG155" i="20"/>
  <c r="CG74" i="20"/>
  <c r="CA239" i="20"/>
  <c r="BZ74" i="20"/>
  <c r="BZ155" i="20" s="1"/>
  <c r="CD238" i="2"/>
  <c r="CC73" i="2"/>
  <c r="CC154" i="2" s="1"/>
  <c r="W73" i="2"/>
  <c r="W154" i="2" s="1"/>
  <c r="X238" i="2"/>
  <c r="AC45" i="2"/>
  <c r="AJ45" i="2"/>
  <c r="CM45" i="2"/>
  <c r="BH45" i="2"/>
  <c r="BT45" i="2"/>
  <c r="CC45" i="2"/>
  <c r="E45" i="2"/>
  <c r="S45" i="2"/>
  <c r="BL45" i="2"/>
  <c r="BA45" i="2"/>
  <c r="BZ45" i="2"/>
  <c r="CG45" i="2"/>
  <c r="CL238" i="2"/>
  <c r="CK73" i="2"/>
  <c r="CK154" i="2" s="1"/>
  <c r="K212" i="20"/>
  <c r="F212" i="20"/>
  <c r="B237" i="2"/>
  <c r="B208" i="2"/>
  <c r="BZ238" i="2"/>
  <c r="BY73" i="2"/>
  <c r="BY154" i="2"/>
  <c r="CI238" i="2"/>
  <c r="CH73" i="2"/>
  <c r="CH154" i="2"/>
  <c r="M240" i="20"/>
  <c r="L75" i="20"/>
  <c r="L156" i="20" s="1"/>
  <c r="CC238" i="2"/>
  <c r="CB73" i="2"/>
  <c r="CB154" i="2" s="1"/>
  <c r="BK240" i="20"/>
  <c r="BJ75" i="20"/>
  <c r="BJ156" i="20" s="1"/>
  <c r="T240" i="20"/>
  <c r="S75" i="20"/>
  <c r="S156" i="20" s="1"/>
  <c r="AR238" i="2"/>
  <c r="AQ73" i="2"/>
  <c r="AQ154" i="2" s="1"/>
  <c r="BQ240" i="20"/>
  <c r="BP75" i="20"/>
  <c r="BP156" i="20" s="1"/>
  <c r="CI240" i="20"/>
  <c r="CH75" i="20"/>
  <c r="CH156" i="20" s="1"/>
  <c r="BS238" i="2"/>
  <c r="BR73" i="2"/>
  <c r="BR154" i="2" s="1"/>
  <c r="AY240" i="20"/>
  <c r="AX75" i="20"/>
  <c r="AX156" i="20" s="1"/>
  <c r="AA239" i="20"/>
  <c r="Z74" i="20"/>
  <c r="Z155" i="20" s="1"/>
  <c r="S239" i="20"/>
  <c r="R74" i="20"/>
  <c r="R155" i="20" s="1"/>
  <c r="CI239" i="20"/>
  <c r="CH74" i="20"/>
  <c r="CH155" i="20" s="1"/>
  <c r="E239" i="20"/>
  <c r="D74" i="20"/>
  <c r="D155" i="20" s="1"/>
  <c r="D239" i="20"/>
  <c r="E211" i="20"/>
  <c r="I211" i="20" s="1"/>
  <c r="J211" i="20" s="1"/>
  <c r="D211" i="20"/>
  <c r="C239" i="20"/>
  <c r="CM239" i="20"/>
  <c r="CL74" i="20"/>
  <c r="CL155" i="20" s="1"/>
  <c r="BY239" i="20"/>
  <c r="BX74" i="20"/>
  <c r="BX155" i="20"/>
  <c r="CK47" i="20"/>
  <c r="I47" i="20"/>
  <c r="BG47" i="20"/>
  <c r="K47" i="20"/>
  <c r="U73" i="2"/>
  <c r="U154" i="2" s="1"/>
  <c r="V238" i="2"/>
  <c r="BE73" i="2"/>
  <c r="BF238" i="2"/>
  <c r="BE154" i="2"/>
  <c r="BF45" i="2"/>
  <c r="AM45" i="2"/>
  <c r="O45" i="2"/>
  <c r="BR45" i="2"/>
  <c r="CO45" i="2"/>
  <c r="AF45" i="2"/>
  <c r="BM45" i="2"/>
  <c r="Z45" i="2"/>
  <c r="BX45" i="2"/>
  <c r="BP45" i="2"/>
  <c r="BQ45" i="2"/>
  <c r="P45" i="2"/>
  <c r="M73" i="2"/>
  <c r="M154" i="2" s="1"/>
  <c r="N238" i="2"/>
  <c r="O212" i="20"/>
  <c r="M215" i="20"/>
  <c r="G215" i="20" s="1"/>
  <c r="O238" i="2"/>
  <c r="N73" i="2"/>
  <c r="N154" i="2" s="1"/>
  <c r="BQ238" i="2"/>
  <c r="BP73" i="2"/>
  <c r="BP154" i="2" s="1"/>
  <c r="U238" i="2"/>
  <c r="T154" i="2"/>
  <c r="T73" i="2"/>
  <c r="AR240" i="20"/>
  <c r="AQ75" i="20"/>
  <c r="AQ156" i="20" s="1"/>
  <c r="BQ73" i="2"/>
  <c r="BQ154" i="2" s="1"/>
  <c r="BR238" i="2"/>
  <c r="G240" i="20"/>
  <c r="F75" i="20"/>
  <c r="F156" i="20" s="1"/>
  <c r="U240" i="20"/>
  <c r="T75" i="20"/>
  <c r="T156" i="20" s="1"/>
  <c r="CE71" i="19"/>
  <c r="CE152" i="19" s="1"/>
  <c r="CO238" i="2"/>
  <c r="CN73" i="2"/>
  <c r="CN154" i="2" s="1"/>
  <c r="AG73" i="2"/>
  <c r="AH238" i="2"/>
  <c r="AG154" i="2"/>
  <c r="CF240" i="20"/>
  <c r="CE75" i="20"/>
  <c r="CE156" i="20" s="1"/>
  <c r="Y47" i="20"/>
  <c r="Q47" i="20"/>
  <c r="BR47" i="20"/>
  <c r="M47" i="20"/>
  <c r="G47" i="20"/>
  <c r="CD47" i="20"/>
  <c r="BF47" i="20"/>
  <c r="BD47" i="20"/>
  <c r="AT47" i="20"/>
  <c r="BC47" i="20"/>
  <c r="AO238" i="2"/>
  <c r="AN73" i="2"/>
  <c r="AN154" i="2" s="1"/>
  <c r="CB238" i="2"/>
  <c r="CA73" i="2"/>
  <c r="CA154" i="2" s="1"/>
  <c r="AR45" i="2"/>
  <c r="CQ45" i="2"/>
  <c r="BU45" i="2"/>
  <c r="CJ45" i="2"/>
  <c r="AV45" i="2"/>
  <c r="AY45" i="2"/>
  <c r="K45" i="2"/>
  <c r="AW45" i="2"/>
  <c r="AI45" i="2"/>
  <c r="CT44" i="2"/>
  <c r="CD44" i="2" s="1"/>
  <c r="AR44" i="2"/>
  <c r="BK44" i="2"/>
  <c r="AW44" i="2"/>
  <c r="AN44" i="2"/>
  <c r="G44" i="2"/>
  <c r="CE44" i="2"/>
  <c r="CI44" i="2"/>
  <c r="BV44" i="2"/>
  <c r="CH44" i="2"/>
  <c r="BZ44" i="2"/>
  <c r="AY44" i="2"/>
  <c r="C44" i="2"/>
  <c r="AO44" i="2"/>
  <c r="Q44" i="2"/>
  <c r="O44" i="2"/>
  <c r="AK44" i="2"/>
  <c r="AT44" i="2"/>
  <c r="AU44" i="2"/>
  <c r="BI44" i="2"/>
  <c r="BF44" i="2"/>
  <c r="B43" i="2"/>
  <c r="AZ44" i="2"/>
  <c r="J44" i="2"/>
  <c r="W44" i="2"/>
  <c r="F44" i="2"/>
  <c r="BE44" i="2"/>
  <c r="B98" i="2"/>
  <c r="BC44" i="2"/>
  <c r="BX44" i="2"/>
  <c r="BD44" i="2"/>
  <c r="CK44" i="2"/>
  <c r="AQ44" i="2"/>
  <c r="CC44" i="2"/>
  <c r="CF44" i="2"/>
  <c r="AL44" i="2"/>
  <c r="H44" i="2"/>
  <c r="M44" i="2"/>
  <c r="P44" i="2"/>
  <c r="CL44" i="2"/>
  <c r="BN44" i="2"/>
  <c r="U44" i="2"/>
  <c r="D44" i="2"/>
  <c r="L44" i="2"/>
  <c r="AD44" i="2"/>
  <c r="T44" i="2"/>
  <c r="BB44" i="2"/>
  <c r="CG44" i="2"/>
  <c r="BS44" i="2"/>
  <c r="CJ44" i="2"/>
  <c r="CS44" i="2"/>
  <c r="CS71" i="2" s="1"/>
  <c r="CS152" i="2" s="1"/>
  <c r="CB44" i="2"/>
  <c r="Z44" i="2"/>
  <c r="BY44" i="2"/>
  <c r="AM44" i="2"/>
  <c r="AJ44" i="2"/>
  <c r="CN44" i="2"/>
  <c r="AP44" i="2"/>
  <c r="AE44" i="2"/>
  <c r="K44" i="2"/>
  <c r="BL44" i="2"/>
  <c r="E44" i="2"/>
  <c r="R44" i="2"/>
  <c r="BA44" i="2"/>
  <c r="CL45" i="2"/>
  <c r="N45" i="2"/>
  <c r="CS73" i="2"/>
  <c r="CS154" i="2"/>
  <c r="BA73" i="2"/>
  <c r="BA154" i="2" s="1"/>
  <c r="BB238" i="2"/>
  <c r="BU238" i="2"/>
  <c r="BT73" i="2"/>
  <c r="BT154" i="2" s="1"/>
  <c r="BO238" i="2"/>
  <c r="BN73" i="2"/>
  <c r="BN154" i="2" s="1"/>
  <c r="BW240" i="20"/>
  <c r="BV75" i="20"/>
  <c r="BV156" i="20" s="1"/>
  <c r="AU238" i="2"/>
  <c r="AT73" i="2"/>
  <c r="AT154" i="2" s="1"/>
  <c r="K240" i="20"/>
  <c r="J75" i="20"/>
  <c r="J156" i="20" s="1"/>
  <c r="AE12" i="2"/>
  <c r="AE68" i="2"/>
  <c r="AF13" i="2"/>
  <c r="Y43" i="19"/>
  <c r="Z235" i="19" s="1"/>
  <c r="BW43" i="19"/>
  <c r="BX235" i="19" s="1"/>
  <c r="CO43" i="19"/>
  <c r="CP235" i="19" s="1"/>
  <c r="AQ43" i="19"/>
  <c r="AR235" i="19" s="1"/>
  <c r="V43" i="19"/>
  <c r="W235" i="19" s="1"/>
  <c r="CM43" i="19"/>
  <c r="CN235" i="19" s="1"/>
  <c r="T43" i="19"/>
  <c r="U235" i="19" s="1"/>
  <c r="AS43" i="19"/>
  <c r="AT235" i="19" s="1"/>
  <c r="N43" i="19"/>
  <c r="O235" i="19" s="1"/>
  <c r="AG238" i="2"/>
  <c r="AF73" i="2"/>
  <c r="AF154" i="2" s="1"/>
  <c r="BD238" i="2"/>
  <c r="BC73" i="2"/>
  <c r="BC154" i="2" s="1"/>
  <c r="CN240" i="20"/>
  <c r="CM75" i="20"/>
  <c r="CM156" i="20" s="1"/>
  <c r="Y239" i="20"/>
  <c r="X74" i="20"/>
  <c r="X155" i="20" s="1"/>
  <c r="Q239" i="20"/>
  <c r="P74" i="20"/>
  <c r="P155" i="20" s="1"/>
  <c r="BB239" i="20"/>
  <c r="BA74" i="20"/>
  <c r="BA155" i="20" s="1"/>
  <c r="BI239" i="20"/>
  <c r="BH74" i="20"/>
  <c r="BH155" i="20" s="1"/>
  <c r="CB239" i="20"/>
  <c r="CA74" i="20"/>
  <c r="CA155" i="20" s="1"/>
  <c r="AR239" i="20"/>
  <c r="AQ74" i="20"/>
  <c r="AQ155" i="20" s="1"/>
  <c r="CD239" i="20"/>
  <c r="CC74" i="20"/>
  <c r="CC155" i="20"/>
  <c r="CG239" i="20"/>
  <c r="CF74" i="20"/>
  <c r="CF155" i="20" s="1"/>
  <c r="AP239" i="20"/>
  <c r="AO74" i="20"/>
  <c r="AO155" i="20" s="1"/>
  <c r="AV239" i="20"/>
  <c r="AU74" i="20"/>
  <c r="AU155" i="20" s="1"/>
  <c r="BO239" i="20"/>
  <c r="BN74" i="20"/>
  <c r="BN155" i="20" s="1"/>
  <c r="W238" i="2"/>
  <c r="V73" i="2"/>
  <c r="V154" i="2" s="1"/>
  <c r="AH237" i="2"/>
  <c r="AG72" i="2"/>
  <c r="AG153" i="2" s="1"/>
  <c r="W237" i="2"/>
  <c r="V72" i="2"/>
  <c r="V153" i="2" s="1"/>
  <c r="S237" i="2"/>
  <c r="R72" i="2"/>
  <c r="R153" i="2" s="1"/>
  <c r="BW237" i="2"/>
  <c r="BV72" i="2"/>
  <c r="BV153" i="2" s="1"/>
  <c r="BF237" i="2"/>
  <c r="BE72" i="2"/>
  <c r="BE153" i="2" s="1"/>
  <c r="AU237" i="2"/>
  <c r="AT72" i="2"/>
  <c r="AT153" i="2" s="1"/>
  <c r="BZ237" i="2"/>
  <c r="BY72" i="2"/>
  <c r="BY153" i="2" s="1"/>
  <c r="AE237" i="2"/>
  <c r="AD72" i="2"/>
  <c r="AD153" i="2" s="1"/>
  <c r="CG237" i="2"/>
  <c r="CF72" i="2"/>
  <c r="CF153" i="2" s="1"/>
  <c r="M237" i="2"/>
  <c r="L72" i="2"/>
  <c r="L153" i="2" s="1"/>
  <c r="BD237" i="2"/>
  <c r="BC72" i="2"/>
  <c r="BC153" i="2" s="1"/>
  <c r="AL238" i="2"/>
  <c r="AK73" i="2"/>
  <c r="AK154" i="2"/>
  <c r="AI238" i="2"/>
  <c r="AH73" i="2"/>
  <c r="AH154" i="2"/>
  <c r="CJ238" i="2"/>
  <c r="CI73" i="2"/>
  <c r="CI154" i="2" s="1"/>
  <c r="AB73" i="2"/>
  <c r="AB154" i="2" s="1"/>
  <c r="AC238" i="2"/>
  <c r="BJ240" i="20"/>
  <c r="BI75" i="20"/>
  <c r="BI156" i="20" s="1"/>
  <c r="CR73" i="2"/>
  <c r="CR154" i="2" s="1"/>
  <c r="CS238" i="2"/>
  <c r="L240" i="20"/>
  <c r="K75" i="20"/>
  <c r="K156" i="20" s="1"/>
  <c r="AD186" i="2"/>
  <c r="AD176" i="2" s="1"/>
  <c r="AD149" i="2"/>
  <c r="AD95" i="2"/>
  <c r="AD122" i="2" s="1"/>
  <c r="AB43" i="19"/>
  <c r="AC235" i="19" s="1"/>
  <c r="CC43" i="19"/>
  <c r="CD235" i="19" s="1"/>
  <c r="CG43" i="19"/>
  <c r="CH235" i="19" s="1"/>
  <c r="BE43" i="19"/>
  <c r="BF235" i="19" s="1"/>
  <c r="CR43" i="19"/>
  <c r="CS235" i="19" s="1"/>
  <c r="BU43" i="19"/>
  <c r="BV235" i="19" s="1"/>
  <c r="AZ43" i="19"/>
  <c r="BA235" i="19" s="1"/>
  <c r="E43" i="19"/>
  <c r="F235" i="19" s="1"/>
  <c r="BF43" i="19"/>
  <c r="BG235" i="19" s="1"/>
  <c r="X43" i="19"/>
  <c r="Y235" i="19" s="1"/>
  <c r="CF238" i="2"/>
  <c r="CE73" i="2"/>
  <c r="CE154" i="2" s="1"/>
  <c r="BM73" i="2"/>
  <c r="BM154" i="2" s="1"/>
  <c r="BN238" i="2"/>
  <c r="E240" i="20"/>
  <c r="D75" i="20"/>
  <c r="D156" i="20"/>
  <c r="X239" i="20"/>
  <c r="W74" i="20"/>
  <c r="W155" i="20" s="1"/>
  <c r="P239" i="20"/>
  <c r="O74" i="20"/>
  <c r="O155" i="20" s="1"/>
  <c r="F239" i="20"/>
  <c r="E74" i="20"/>
  <c r="E155" i="20" s="1"/>
  <c r="AX239" i="20"/>
  <c r="AW74" i="20"/>
  <c r="AW155" i="20" s="1"/>
  <c r="BM239" i="20"/>
  <c r="BL74" i="20"/>
  <c r="BL155" i="20" s="1"/>
  <c r="CF239" i="20"/>
  <c r="CE74" i="20"/>
  <c r="CE155" i="20" s="1"/>
  <c r="BQ239" i="20"/>
  <c r="BP74" i="20"/>
  <c r="BP155" i="20"/>
  <c r="B100" i="20"/>
  <c r="CD46" i="20"/>
  <c r="CN46" i="20"/>
  <c r="AP46" i="20"/>
  <c r="B45" i="20"/>
  <c r="BC46" i="20"/>
  <c r="BX46" i="20"/>
  <c r="CF46" i="20"/>
  <c r="F46" i="20"/>
  <c r="BT46" i="20"/>
  <c r="AY46" i="20"/>
  <c r="AQ46" i="20"/>
  <c r="BM46" i="20"/>
  <c r="CB46" i="20"/>
  <c r="BL46" i="20"/>
  <c r="CP46" i="20"/>
  <c r="BQ46" i="20"/>
  <c r="H46" i="20"/>
  <c r="CT46" i="20"/>
  <c r="I46" i="20" s="1"/>
  <c r="AW46" i="20"/>
  <c r="CQ46" i="20"/>
  <c r="BZ46" i="20"/>
  <c r="BI46" i="20"/>
  <c r="CM46" i="20"/>
  <c r="BP46" i="20"/>
  <c r="BR46" i="20"/>
  <c r="CH46" i="20"/>
  <c r="CL46" i="20"/>
  <c r="K46" i="20"/>
  <c r="CI46" i="20"/>
  <c r="BW46" i="20"/>
  <c r="CE46" i="20"/>
  <c r="BJ46" i="20"/>
  <c r="N46" i="20"/>
  <c r="O46" i="20"/>
  <c r="P46" i="20"/>
  <c r="Q46" i="20"/>
  <c r="R46" i="20"/>
  <c r="V46" i="20"/>
  <c r="W46" i="20"/>
  <c r="X46" i="20"/>
  <c r="Y46" i="20"/>
  <c r="Z46" i="20"/>
  <c r="BC239" i="20"/>
  <c r="BB74" i="20"/>
  <c r="BB155" i="20"/>
  <c r="BX239" i="20"/>
  <c r="BW74" i="20"/>
  <c r="BW155" i="20" s="1"/>
  <c r="AS73" i="2"/>
  <c r="AT238" i="2"/>
  <c r="AS154" i="2"/>
  <c r="CI45" i="2"/>
  <c r="Q45" i="2"/>
  <c r="D45" i="2"/>
  <c r="U45" i="2"/>
  <c r="J45" i="2"/>
  <c r="AO45" i="2"/>
  <c r="AA45" i="2"/>
  <c r="BI45" i="2"/>
  <c r="H45" i="2"/>
  <c r="Y45" i="2"/>
  <c r="AE45" i="2"/>
  <c r="BO45" i="2"/>
  <c r="B236" i="20"/>
  <c r="B207" i="20"/>
  <c r="F210" i="2"/>
  <c r="K210" i="2"/>
  <c r="E238" i="2"/>
  <c r="D73" i="2"/>
  <c r="D154" i="2" s="1"/>
  <c r="AA73" i="2"/>
  <c r="AA154" i="2" s="1"/>
  <c r="AB238" i="2"/>
  <c r="BK73" i="2"/>
  <c r="BK154" i="2" s="1"/>
  <c r="BL238" i="2"/>
  <c r="CQ240" i="20"/>
  <c r="CP75" i="20"/>
  <c r="CP156" i="20" s="1"/>
  <c r="AK238" i="2"/>
  <c r="AJ73" i="2"/>
  <c r="AJ154" i="2" s="1"/>
  <c r="BX240" i="20"/>
  <c r="BW75" i="20"/>
  <c r="BW156" i="20" s="1"/>
  <c r="R70" i="19"/>
  <c r="R151" i="19" s="1"/>
  <c r="BC71" i="19"/>
  <c r="BC152" i="19" s="1"/>
  <c r="D70" i="19"/>
  <c r="D151" i="19" s="1"/>
  <c r="O70" i="19"/>
  <c r="O151" i="19" s="1"/>
  <c r="BW70" i="19"/>
  <c r="BW151" i="19" s="1"/>
  <c r="CP70" i="19"/>
  <c r="CP151" i="19" s="1"/>
  <c r="AW70" i="19"/>
  <c r="AW151" i="19" s="1"/>
  <c r="BG70" i="19"/>
  <c r="BG151" i="19" s="1"/>
  <c r="BI70" i="19"/>
  <c r="BI151" i="19" s="1"/>
  <c r="AZ70" i="19"/>
  <c r="AZ151" i="19" s="1"/>
  <c r="CB70" i="19"/>
  <c r="CB151" i="19" s="1"/>
  <c r="AY70" i="19"/>
  <c r="AY151" i="19" s="1"/>
  <c r="BT70" i="19"/>
  <c r="BT151" i="19" s="1"/>
  <c r="P70" i="19"/>
  <c r="P151" i="19" s="1"/>
  <c r="M71" i="19"/>
  <c r="M152" i="19" s="1"/>
  <c r="CD71" i="19"/>
  <c r="CD152" i="19" s="1"/>
  <c r="BP71" i="19"/>
  <c r="BP152" i="19" s="1"/>
  <c r="R71" i="19"/>
  <c r="R152" i="19" s="1"/>
  <c r="AD73" i="19"/>
  <c r="AD154" i="19" s="1"/>
  <c r="AD81" i="19"/>
  <c r="AD162" i="19" s="1"/>
  <c r="AD89" i="19"/>
  <c r="AD170" i="19" s="1"/>
  <c r="CB71" i="19"/>
  <c r="CB152" i="19" s="1"/>
  <c r="CN71" i="19"/>
  <c r="CN152" i="19" s="1"/>
  <c r="BO71" i="19"/>
  <c r="BO152" i="19" s="1"/>
  <c r="AC81" i="20"/>
  <c r="AC162" i="20" s="1"/>
  <c r="AC92" i="20"/>
  <c r="AC173" i="20" s="1"/>
  <c r="BQ71" i="19"/>
  <c r="BQ152" i="19" s="1"/>
  <c r="M70" i="19"/>
  <c r="M151" i="19" s="1"/>
  <c r="CO70" i="19"/>
  <c r="CO151" i="19" s="1"/>
  <c r="AD70" i="19"/>
  <c r="AD151" i="19" s="1"/>
  <c r="L70" i="19"/>
  <c r="L151" i="19" s="1"/>
  <c r="AE70" i="19"/>
  <c r="AE151" i="19" s="1"/>
  <c r="BZ70" i="19"/>
  <c r="BZ151" i="19" s="1"/>
  <c r="Z70" i="19"/>
  <c r="Z151" i="19" s="1"/>
  <c r="B96" i="19"/>
  <c r="CT42" i="19"/>
  <c r="BT42" i="19" s="1"/>
  <c r="BU234" i="19" s="1"/>
  <c r="AA42" i="19"/>
  <c r="AB234" i="19" s="1"/>
  <c r="BZ42" i="19"/>
  <c r="CA234" i="19" s="1"/>
  <c r="V42" i="19"/>
  <c r="W234" i="19" s="1"/>
  <c r="BF42" i="19"/>
  <c r="BG234" i="19" s="1"/>
  <c r="BH42" i="19"/>
  <c r="BI234" i="19" s="1"/>
  <c r="BF71" i="19"/>
  <c r="BF152" i="19" s="1"/>
  <c r="BH71" i="19"/>
  <c r="BH152" i="19" s="1"/>
  <c r="CK71" i="19"/>
  <c r="CK152" i="19" s="1"/>
  <c r="D208" i="19"/>
  <c r="E208" i="19"/>
  <c r="I208" i="19" s="1"/>
  <c r="J208" i="19" s="1"/>
  <c r="C236" i="19"/>
  <c r="AP71" i="19"/>
  <c r="AP152" i="19" s="1"/>
  <c r="B17" i="20"/>
  <c r="B73" i="20"/>
  <c r="B154" i="20"/>
  <c r="B127" i="20" s="1"/>
  <c r="A18" i="20"/>
  <c r="AD74" i="19"/>
  <c r="AD155" i="19" s="1"/>
  <c r="AD82" i="19"/>
  <c r="AD163" i="19" s="1"/>
  <c r="AD90" i="19"/>
  <c r="AD171" i="19" s="1"/>
  <c r="W71" i="19"/>
  <c r="W152" i="19" s="1"/>
  <c r="Q71" i="19"/>
  <c r="Q152" i="19" s="1"/>
  <c r="CL71" i="19"/>
  <c r="CL152" i="19" s="1"/>
  <c r="AC82" i="20"/>
  <c r="AC163" i="20" s="1"/>
  <c r="AC90" i="20"/>
  <c r="AC171" i="20" s="1"/>
  <c r="BX71" i="19"/>
  <c r="BX152" i="19" s="1"/>
  <c r="K71" i="19"/>
  <c r="K152" i="19" s="1"/>
  <c r="BV43" i="19"/>
  <c r="BW235" i="19" s="1"/>
  <c r="AP43" i="19"/>
  <c r="AQ235" i="19" s="1"/>
  <c r="U43" i="19"/>
  <c r="V235" i="19" s="1"/>
  <c r="C43" i="19"/>
  <c r="D235" i="19" s="1"/>
  <c r="CH43" i="19"/>
  <c r="CI235" i="19" s="1"/>
  <c r="BS43" i="19"/>
  <c r="BT235" i="19" s="1"/>
  <c r="CS43" i="19"/>
  <c r="CS70" i="19" s="1"/>
  <c r="CS151" i="19" s="1"/>
  <c r="BR43" i="19"/>
  <c r="BS235" i="19" s="1"/>
  <c r="CE43" i="19"/>
  <c r="CF235" i="19" s="1"/>
  <c r="BY43" i="19"/>
  <c r="BZ235" i="19" s="1"/>
  <c r="F358" i="19"/>
  <c r="W68" i="19"/>
  <c r="X13" i="19"/>
  <c r="W12" i="19"/>
  <c r="AR71" i="19"/>
  <c r="AR152" i="19" s="1"/>
  <c r="L71" i="19"/>
  <c r="L152" i="19" s="1"/>
  <c r="CG71" i="19"/>
  <c r="CG152" i="19" s="1"/>
  <c r="CR71" i="19"/>
  <c r="CR152" i="19" s="1"/>
  <c r="A211" i="20"/>
  <c r="A74" i="20"/>
  <c r="A239" i="20"/>
  <c r="AD76" i="19"/>
  <c r="AD157" i="19" s="1"/>
  <c r="AD83" i="19"/>
  <c r="AD164" i="19" s="1"/>
  <c r="AD91" i="19"/>
  <c r="AD172" i="19" s="1"/>
  <c r="G71" i="19"/>
  <c r="G152" i="19" s="1"/>
  <c r="BY71" i="19"/>
  <c r="BY152" i="19" s="1"/>
  <c r="A238" i="19"/>
  <c r="A73" i="19"/>
  <c r="A210" i="19"/>
  <c r="AC79" i="20"/>
  <c r="AC160" i="20" s="1"/>
  <c r="AC83" i="20"/>
  <c r="AC164" i="20" s="1"/>
  <c r="AE41" i="20"/>
  <c r="AD63" i="20"/>
  <c r="AE255" i="20" s="1"/>
  <c r="AD64" i="20"/>
  <c r="AE256" i="20" s="1"/>
  <c r="AD65" i="20"/>
  <c r="AE257" i="20" s="1"/>
  <c r="AD61" i="20"/>
  <c r="AE253" i="20" s="1"/>
  <c r="AD62" i="20"/>
  <c r="AE254" i="20" s="1"/>
  <c r="AD59" i="20"/>
  <c r="AE251" i="20" s="1"/>
  <c r="AD58" i="20"/>
  <c r="AE250" i="20" s="1"/>
  <c r="AD57" i="20"/>
  <c r="AE249" i="20" s="1"/>
  <c r="AD56" i="20"/>
  <c r="AE248" i="20" s="1"/>
  <c r="AD55" i="20"/>
  <c r="AE247" i="20" s="1"/>
  <c r="AD54" i="20"/>
  <c r="AE246" i="20" s="1"/>
  <c r="AD53" i="20"/>
  <c r="AE245" i="20" s="1"/>
  <c r="AD51" i="20"/>
  <c r="AE243" i="20" s="1"/>
  <c r="AD52" i="20"/>
  <c r="AE244" i="20" s="1"/>
  <c r="AD49" i="20"/>
  <c r="AE241" i="20" s="1"/>
  <c r="AD48" i="20"/>
  <c r="AE240" i="20" s="1"/>
  <c r="AD50" i="20"/>
  <c r="AE242" i="20" s="1"/>
  <c r="AD46" i="20"/>
  <c r="AE238" i="20" s="1"/>
  <c r="AD47" i="20"/>
  <c r="AE239" i="20" s="1"/>
  <c r="AD60" i="20"/>
  <c r="AE252" i="20" s="1"/>
  <c r="CI71" i="19"/>
  <c r="CI152" i="19" s="1"/>
  <c r="AB70" i="19"/>
  <c r="AB151" i="19" s="1"/>
  <c r="BK70" i="19"/>
  <c r="BK151" i="19" s="1"/>
  <c r="CI70" i="19"/>
  <c r="CI151" i="19" s="1"/>
  <c r="BE70" i="19"/>
  <c r="BE151" i="19" s="1"/>
  <c r="AQ70" i="19"/>
  <c r="AQ151" i="19" s="1"/>
  <c r="CF70" i="19"/>
  <c r="CF151" i="19" s="1"/>
  <c r="K70" i="19"/>
  <c r="K151" i="19" s="1"/>
  <c r="CN70" i="19"/>
  <c r="CN151" i="19" s="1"/>
  <c r="H70" i="19"/>
  <c r="H151" i="19" s="1"/>
  <c r="CD70" i="19"/>
  <c r="CD151" i="19" s="1"/>
  <c r="V71" i="19"/>
  <c r="V152" i="19" s="1"/>
  <c r="S71" i="19"/>
  <c r="S152" i="19" s="1"/>
  <c r="B155" i="2"/>
  <c r="B128" i="2" s="1"/>
  <c r="A19" i="2"/>
  <c r="B18" i="2"/>
  <c r="B74" i="2"/>
  <c r="CQ71" i="19"/>
  <c r="CQ152" i="19" s="1"/>
  <c r="AZ71" i="19"/>
  <c r="AZ152" i="19" s="1"/>
  <c r="BG71" i="19"/>
  <c r="BG152" i="19" s="1"/>
  <c r="AD75" i="19"/>
  <c r="AD156" i="19" s="1"/>
  <c r="AD84" i="19"/>
  <c r="AD165" i="19" s="1"/>
  <c r="AD92" i="19"/>
  <c r="AD173" i="19" s="1"/>
  <c r="BD71" i="19"/>
  <c r="BD152" i="19" s="1"/>
  <c r="BZ71" i="19"/>
  <c r="BZ152" i="19" s="1"/>
  <c r="B72" i="19"/>
  <c r="B16" i="19"/>
  <c r="B153" i="19"/>
  <c r="B126" i="19" s="1"/>
  <c r="A17" i="19"/>
  <c r="AC87" i="20"/>
  <c r="AC168" i="20" s="1"/>
  <c r="AC75" i="20"/>
  <c r="AC156" i="20" s="1"/>
  <c r="AC84" i="20"/>
  <c r="AC165" i="20" s="1"/>
  <c r="CM71" i="19"/>
  <c r="CM152" i="19" s="1"/>
  <c r="T71" i="19"/>
  <c r="T152" i="19" s="1"/>
  <c r="BQ70" i="19"/>
  <c r="BQ151" i="19" s="1"/>
  <c r="Q70" i="19"/>
  <c r="Q151" i="19" s="1"/>
  <c r="BL70" i="19"/>
  <c r="BL151" i="19" s="1"/>
  <c r="W70" i="19"/>
  <c r="W151" i="19" s="1"/>
  <c r="CR70" i="19"/>
  <c r="CR151" i="19" s="1"/>
  <c r="BH70" i="19"/>
  <c r="BH151" i="19" s="1"/>
  <c r="I70" i="19"/>
  <c r="I151" i="19" s="1"/>
  <c r="AU70" i="19"/>
  <c r="AU151" i="19" s="1"/>
  <c r="E70" i="19"/>
  <c r="E151" i="19" s="1"/>
  <c r="AS70" i="19"/>
  <c r="AS151" i="19" s="1"/>
  <c r="CK70" i="19"/>
  <c r="CK151" i="19" s="1"/>
  <c r="V12" i="20"/>
  <c r="W13" i="20"/>
  <c r="V68" i="20"/>
  <c r="AV71" i="19"/>
  <c r="AV152" i="19" s="1"/>
  <c r="V186" i="19"/>
  <c r="V176" i="19" s="1"/>
  <c r="V149" i="19"/>
  <c r="V95" i="19"/>
  <c r="V122" i="19" s="1"/>
  <c r="A212" i="2"/>
  <c r="A240" i="2"/>
  <c r="A75" i="2"/>
  <c r="AO71" i="19"/>
  <c r="AO152" i="19" s="1"/>
  <c r="CJ71" i="19"/>
  <c r="CJ152" i="19" s="1"/>
  <c r="CO71" i="19"/>
  <c r="CO152" i="19" s="1"/>
  <c r="AD77" i="19"/>
  <c r="AD158" i="19" s="1"/>
  <c r="AD85" i="19"/>
  <c r="AD166" i="19" s="1"/>
  <c r="AF41" i="19"/>
  <c r="AE64" i="19"/>
  <c r="AF256" i="19" s="1"/>
  <c r="AE65" i="19"/>
  <c r="AF257" i="19" s="1"/>
  <c r="AE63" i="19"/>
  <c r="AF255" i="19" s="1"/>
  <c r="AE62" i="19"/>
  <c r="AF254" i="19" s="1"/>
  <c r="AE60" i="19"/>
  <c r="AF252" i="19" s="1"/>
  <c r="AE61" i="19"/>
  <c r="AF253" i="19" s="1"/>
  <c r="AE59" i="19"/>
  <c r="AF251" i="19" s="1"/>
  <c r="AE58" i="19"/>
  <c r="AF250" i="19" s="1"/>
  <c r="AE57" i="19"/>
  <c r="AF249" i="19" s="1"/>
  <c r="AE56" i="19"/>
  <c r="AF248" i="19" s="1"/>
  <c r="AE55" i="19"/>
  <c r="AF247" i="19" s="1"/>
  <c r="AE54" i="19"/>
  <c r="AF246" i="19" s="1"/>
  <c r="AE53" i="19"/>
  <c r="AF245" i="19" s="1"/>
  <c r="AE52" i="19"/>
  <c r="AF244" i="19" s="1"/>
  <c r="AE51" i="19"/>
  <c r="AF243" i="19" s="1"/>
  <c r="AE50" i="19"/>
  <c r="AF242" i="19" s="1"/>
  <c r="AE49" i="19"/>
  <c r="AF241" i="19" s="1"/>
  <c r="AE48" i="19"/>
  <c r="AF240" i="19" s="1"/>
  <c r="AE47" i="19"/>
  <c r="AF239" i="19" s="1"/>
  <c r="AE46" i="19"/>
  <c r="AF238" i="19" s="1"/>
  <c r="AE45" i="19"/>
  <c r="AF237" i="19" s="1"/>
  <c r="CA71" i="19"/>
  <c r="CA152" i="19" s="1"/>
  <c r="BL71" i="19"/>
  <c r="BL152" i="19" s="1"/>
  <c r="Z71" i="19"/>
  <c r="Z152" i="19" s="1"/>
  <c r="AC88" i="20"/>
  <c r="AC169" i="20" s="1"/>
  <c r="AC76" i="20"/>
  <c r="AC157" i="20" s="1"/>
  <c r="AC85" i="20"/>
  <c r="AC166" i="20" s="1"/>
  <c r="AD71" i="19"/>
  <c r="AD152" i="19" s="1"/>
  <c r="AU71" i="19"/>
  <c r="AU152" i="19" s="1"/>
  <c r="BN70" i="19"/>
  <c r="BN151" i="19" s="1"/>
  <c r="J70" i="19"/>
  <c r="J151" i="19" s="1"/>
  <c r="AT70" i="19"/>
  <c r="AT151" i="19" s="1"/>
  <c r="AC70" i="19"/>
  <c r="AC151" i="19" s="1"/>
  <c r="BD70" i="19"/>
  <c r="BD151" i="19" s="1"/>
  <c r="V70" i="19"/>
  <c r="V151" i="19" s="1"/>
  <c r="AX70" i="19"/>
  <c r="AX151" i="19" s="1"/>
  <c r="AR70" i="19"/>
  <c r="AR151" i="19" s="1"/>
  <c r="CL70" i="19"/>
  <c r="CL151" i="19" s="1"/>
  <c r="BF70" i="19"/>
  <c r="BF151" i="19" s="1"/>
  <c r="N70" i="19"/>
  <c r="N151" i="19" s="1"/>
  <c r="P71" i="19"/>
  <c r="P152" i="19" s="1"/>
  <c r="U71" i="19"/>
  <c r="U152" i="19" s="1"/>
  <c r="Y71" i="19"/>
  <c r="Y152" i="19" s="1"/>
  <c r="AB71" i="19"/>
  <c r="AB152" i="19" s="1"/>
  <c r="AD78" i="19"/>
  <c r="AD159" i="19" s="1"/>
  <c r="AD86" i="19"/>
  <c r="AD167" i="19" s="1"/>
  <c r="F71" i="19"/>
  <c r="F152" i="19" s="1"/>
  <c r="BR71" i="19"/>
  <c r="BR152" i="19" s="1"/>
  <c r="AY71" i="19"/>
  <c r="AY152" i="19" s="1"/>
  <c r="AC77" i="20"/>
  <c r="AC158" i="20" s="1"/>
  <c r="AC86" i="20"/>
  <c r="AC167" i="20" s="1"/>
  <c r="CA70" i="19"/>
  <c r="CA151" i="19" s="1"/>
  <c r="Y70" i="19"/>
  <c r="Y151" i="19" s="1"/>
  <c r="S70" i="19"/>
  <c r="S151" i="19" s="1"/>
  <c r="BA70" i="19"/>
  <c r="BA151" i="19" s="1"/>
  <c r="BX70" i="19"/>
  <c r="BX151" i="19" s="1"/>
  <c r="CQ70" i="19"/>
  <c r="CQ151" i="19" s="1"/>
  <c r="BU70" i="19"/>
  <c r="BU151" i="19" s="1"/>
  <c r="G70" i="19"/>
  <c r="G151" i="19" s="1"/>
  <c r="AA70" i="19"/>
  <c r="AA151" i="19" s="1"/>
  <c r="F70" i="19"/>
  <c r="F151" i="19" s="1"/>
  <c r="BM70" i="19"/>
  <c r="BM151" i="19" s="1"/>
  <c r="X70" i="19"/>
  <c r="X151" i="19" s="1"/>
  <c r="U186" i="20"/>
  <c r="U176" i="20" s="1"/>
  <c r="U95" i="20"/>
  <c r="U122" i="20" s="1"/>
  <c r="U149" i="20"/>
  <c r="AT71" i="19"/>
  <c r="AT152" i="19" s="1"/>
  <c r="X71" i="19"/>
  <c r="X152" i="19" s="1"/>
  <c r="BN71" i="19"/>
  <c r="BN152" i="19" s="1"/>
  <c r="AD79" i="19"/>
  <c r="AD160" i="19" s="1"/>
  <c r="AD87" i="19"/>
  <c r="AD168" i="19" s="1"/>
  <c r="BV71" i="19"/>
  <c r="BV152" i="19" s="1"/>
  <c r="BB71" i="19"/>
  <c r="BB152" i="19" s="1"/>
  <c r="AC74" i="20"/>
  <c r="AC155" i="20" s="1"/>
  <c r="AC78" i="20"/>
  <c r="AC159" i="20" s="1"/>
  <c r="AC89" i="20"/>
  <c r="AC170" i="20" s="1"/>
  <c r="AV70" i="19"/>
  <c r="AV151" i="19" s="1"/>
  <c r="CC70" i="19"/>
  <c r="CC151" i="19" s="1"/>
  <c r="BO70" i="19"/>
  <c r="BO151" i="19" s="1"/>
  <c r="CJ70" i="19"/>
  <c r="CJ151" i="19" s="1"/>
  <c r="BB70" i="19"/>
  <c r="BB151" i="19" s="1"/>
  <c r="CM70" i="19"/>
  <c r="CM151" i="19" s="1"/>
  <c r="BJ70" i="19"/>
  <c r="BJ151" i="19" s="1"/>
  <c r="AO70" i="19"/>
  <c r="AO151" i="19" s="1"/>
  <c r="BP70" i="19"/>
  <c r="BP151" i="19" s="1"/>
  <c r="BC70" i="19"/>
  <c r="BC151" i="19" s="1"/>
  <c r="BW71" i="19"/>
  <c r="BW152" i="19" s="1"/>
  <c r="AS71" i="19"/>
  <c r="AS152" i="19" s="1"/>
  <c r="AE71" i="19"/>
  <c r="AE152" i="19" s="1"/>
  <c r="BS71" i="19"/>
  <c r="BS152" i="19" s="1"/>
  <c r="AD72" i="19"/>
  <c r="AD153" i="19" s="1"/>
  <c r="AD80" i="19"/>
  <c r="AD161" i="19" s="1"/>
  <c r="AD88" i="19"/>
  <c r="AD169" i="19" s="1"/>
  <c r="CF71" i="19"/>
  <c r="CF152" i="19" s="1"/>
  <c r="H71" i="19"/>
  <c r="H152" i="19" s="1"/>
  <c r="BE71" i="19"/>
  <c r="BE152" i="19" s="1"/>
  <c r="F367" i="20"/>
  <c r="AC80" i="20"/>
  <c r="AC161" i="20" s="1"/>
  <c r="AC91" i="20"/>
  <c r="AC172" i="20" s="1"/>
  <c r="I71" i="19"/>
  <c r="I152" i="19" s="1"/>
  <c r="J238" i="20" l="1"/>
  <c r="I73" i="20"/>
  <c r="I154" i="20" s="1"/>
  <c r="CE236" i="2"/>
  <c r="CD71" i="2"/>
  <c r="CD152" i="2" s="1"/>
  <c r="BV42" i="19"/>
  <c r="BW234" i="19" s="1"/>
  <c r="CC42" i="19"/>
  <c r="CD234" i="19" s="1"/>
  <c r="BW42" i="19"/>
  <c r="BX234" i="19" s="1"/>
  <c r="BY42" i="19"/>
  <c r="BZ234" i="19" s="1"/>
  <c r="CR42" i="19"/>
  <c r="CS234" i="19" s="1"/>
  <c r="BJ237" i="2"/>
  <c r="BI72" i="2"/>
  <c r="BI153" i="2" s="1"/>
  <c r="U46" i="20"/>
  <c r="M46" i="20"/>
  <c r="AO46" i="20"/>
  <c r="BF46" i="20"/>
  <c r="BN46" i="20"/>
  <c r="C46" i="20"/>
  <c r="CG46" i="20"/>
  <c r="CO46" i="20"/>
  <c r="AZ46" i="20"/>
  <c r="AS46" i="20"/>
  <c r="O237" i="2"/>
  <c r="N72" i="2"/>
  <c r="N153" i="2" s="1"/>
  <c r="AS44" i="2"/>
  <c r="CP44" i="2"/>
  <c r="CR44" i="2"/>
  <c r="V44" i="2"/>
  <c r="X44" i="2"/>
  <c r="AF44" i="2"/>
  <c r="Y44" i="2"/>
  <c r="BT44" i="2"/>
  <c r="BO44" i="2"/>
  <c r="AB44" i="2"/>
  <c r="CM44" i="2"/>
  <c r="BU44" i="2"/>
  <c r="AW237" i="2"/>
  <c r="AV72" i="2"/>
  <c r="AV153" i="2" s="1"/>
  <c r="H239" i="20"/>
  <c r="G74" i="20"/>
  <c r="G155" i="20" s="1"/>
  <c r="BN237" i="2"/>
  <c r="BM72" i="2"/>
  <c r="BM153" i="2" s="1"/>
  <c r="CL239" i="20"/>
  <c r="CK74" i="20"/>
  <c r="CK155" i="20"/>
  <c r="O211" i="20"/>
  <c r="M214" i="20"/>
  <c r="G214" i="20" s="1"/>
  <c r="CD237" i="2"/>
  <c r="CC72" i="2"/>
  <c r="CC153" i="2" s="1"/>
  <c r="AR237" i="2"/>
  <c r="AQ72" i="2"/>
  <c r="AQ153" i="2" s="1"/>
  <c r="BX237" i="2"/>
  <c r="BW72" i="2"/>
  <c r="BW153" i="2" s="1"/>
  <c r="K239" i="20"/>
  <c r="J74" i="20"/>
  <c r="J155" i="20"/>
  <c r="CL237" i="2"/>
  <c r="CK72" i="2"/>
  <c r="CK153" i="2" s="1"/>
  <c r="CE237" i="2"/>
  <c r="CD72" i="2"/>
  <c r="CD153" i="2" s="1"/>
  <c r="BO42" i="19"/>
  <c r="BP234" i="19" s="1"/>
  <c r="CB42" i="19"/>
  <c r="CC234" i="19" s="1"/>
  <c r="BG42" i="19"/>
  <c r="BH234" i="19" s="1"/>
  <c r="CM42" i="19"/>
  <c r="CN234" i="19" s="1"/>
  <c r="AY42" i="19"/>
  <c r="AZ234" i="19" s="1"/>
  <c r="AB237" i="2"/>
  <c r="AA72" i="2"/>
  <c r="AA153" i="2" s="1"/>
  <c r="AB46" i="20"/>
  <c r="T46" i="20"/>
  <c r="BA46" i="20"/>
  <c r="CS46" i="20"/>
  <c r="CS73" i="20" s="1"/>
  <c r="CS154" i="20" s="1"/>
  <c r="AX46" i="20"/>
  <c r="CK46" i="20"/>
  <c r="L46" i="20"/>
  <c r="AU46" i="20"/>
  <c r="BK46" i="20"/>
  <c r="E46" i="20"/>
  <c r="BB46" i="20"/>
  <c r="CM237" i="2"/>
  <c r="CL72" i="2"/>
  <c r="CL153" i="2" s="1"/>
  <c r="AF236" i="2"/>
  <c r="AE71" i="2"/>
  <c r="AE152" i="2" s="1"/>
  <c r="BH44" i="2"/>
  <c r="AH44" i="2"/>
  <c r="BJ44" i="2"/>
  <c r="AC44" i="2"/>
  <c r="I44" i="2"/>
  <c r="S44" i="2"/>
  <c r="AX44" i="2"/>
  <c r="N44" i="2"/>
  <c r="BM44" i="2"/>
  <c r="CO44" i="2"/>
  <c r="BQ44" i="2"/>
  <c r="CK237" i="2"/>
  <c r="CJ72" i="2"/>
  <c r="CJ153" i="2" s="1"/>
  <c r="N239" i="20"/>
  <c r="M74" i="20"/>
  <c r="M155" i="20" s="1"/>
  <c r="AG237" i="2"/>
  <c r="AF72" i="2"/>
  <c r="AF153" i="2" s="1"/>
  <c r="BU237" i="2"/>
  <c r="BT72" i="2"/>
  <c r="BT153" i="2" s="1"/>
  <c r="BT237" i="2"/>
  <c r="BS72" i="2"/>
  <c r="BS153" i="2" s="1"/>
  <c r="U237" i="2"/>
  <c r="T72" i="2"/>
  <c r="T153" i="2" s="1"/>
  <c r="AC239" i="20"/>
  <c r="AB74" i="20"/>
  <c r="AB155" i="20" s="1"/>
  <c r="H237" i="2"/>
  <c r="G72" i="2"/>
  <c r="G153" i="2" s="1"/>
  <c r="CS237" i="2"/>
  <c r="CR72" i="2"/>
  <c r="CR153" i="2" s="1"/>
  <c r="AB42" i="19"/>
  <c r="AC234" i="19" s="1"/>
  <c r="CQ42" i="19"/>
  <c r="CR234" i="19" s="1"/>
  <c r="L42" i="19"/>
  <c r="M234" i="19" s="1"/>
  <c r="AZ42" i="19"/>
  <c r="BA234" i="19" s="1"/>
  <c r="BX42" i="19"/>
  <c r="BY234" i="19" s="1"/>
  <c r="T70" i="19"/>
  <c r="T151" i="19" s="1"/>
  <c r="B206" i="20"/>
  <c r="B234" i="20" s="1"/>
  <c r="B235" i="20"/>
  <c r="AP237" i="2"/>
  <c r="AO72" i="2"/>
  <c r="AO153" i="2" s="1"/>
  <c r="AA46" i="20"/>
  <c r="S46" i="20"/>
  <c r="BV46" i="20"/>
  <c r="BD46" i="20"/>
  <c r="D46" i="20"/>
  <c r="CC46" i="20"/>
  <c r="BY46" i="20"/>
  <c r="CJ46" i="20"/>
  <c r="CR46" i="20"/>
  <c r="AT46" i="20"/>
  <c r="CA46" i="20"/>
  <c r="CA44" i="2"/>
  <c r="BW44" i="2"/>
  <c r="BG44" i="2"/>
  <c r="BR44" i="2"/>
  <c r="BP44" i="2"/>
  <c r="AG44" i="2"/>
  <c r="AI44" i="2"/>
  <c r="BC43" i="2"/>
  <c r="Q43" i="2"/>
  <c r="BJ43" i="2"/>
  <c r="I43" i="2"/>
  <c r="AB43" i="2"/>
  <c r="AT43" i="2"/>
  <c r="CM43" i="2"/>
  <c r="BB43" i="2"/>
  <c r="M43" i="2"/>
  <c r="T43" i="2"/>
  <c r="AP43" i="2"/>
  <c r="CC43" i="2"/>
  <c r="AS43" i="2"/>
  <c r="B97" i="2"/>
  <c r="AA43" i="2"/>
  <c r="CN43" i="2"/>
  <c r="BL43" i="2"/>
  <c r="AH43" i="2"/>
  <c r="N43" i="2"/>
  <c r="CS43" i="2"/>
  <c r="CS70" i="2" s="1"/>
  <c r="CS151" i="2" s="1"/>
  <c r="CD43" i="2"/>
  <c r="AL43" i="2"/>
  <c r="BX43" i="2"/>
  <c r="CT43" i="2"/>
  <c r="AM43" i="2" s="1"/>
  <c r="CI43" i="2"/>
  <c r="AJ43" i="2"/>
  <c r="BZ43" i="2"/>
  <c r="B42" i="2"/>
  <c r="BW43" i="2"/>
  <c r="CJ43" i="2"/>
  <c r="E43" i="2"/>
  <c r="BV43" i="2"/>
  <c r="H43" i="2"/>
  <c r="BG43" i="2"/>
  <c r="AE43" i="2"/>
  <c r="BH43" i="2"/>
  <c r="BF43" i="2"/>
  <c r="AY43" i="2"/>
  <c r="CP43" i="2"/>
  <c r="CF43" i="2"/>
  <c r="X43" i="2"/>
  <c r="AK43" i="2"/>
  <c r="V43" i="2"/>
  <c r="BE43" i="2"/>
  <c r="P43" i="2"/>
  <c r="AU43" i="2"/>
  <c r="CG43" i="2"/>
  <c r="O43" i="2"/>
  <c r="BA43" i="2"/>
  <c r="W43" i="2"/>
  <c r="BQ43" i="2"/>
  <c r="AR43" i="2"/>
  <c r="D43" i="2"/>
  <c r="BI43" i="2"/>
  <c r="BP43" i="2"/>
  <c r="BR43" i="2"/>
  <c r="CH43" i="2"/>
  <c r="AD43" i="2"/>
  <c r="AX43" i="2"/>
  <c r="AI43" i="2"/>
  <c r="F43" i="2"/>
  <c r="AZ43" i="2"/>
  <c r="CQ44" i="2"/>
  <c r="AV44" i="2"/>
  <c r="AA44" i="2"/>
  <c r="BV237" i="2"/>
  <c r="BU72" i="2"/>
  <c r="BU153" i="2" s="1"/>
  <c r="BS239" i="20"/>
  <c r="BR74" i="20"/>
  <c r="BR155" i="20" s="1"/>
  <c r="CP237" i="2"/>
  <c r="CO72" i="2"/>
  <c r="CO153" i="2" s="1"/>
  <c r="CH237" i="2"/>
  <c r="CG72" i="2"/>
  <c r="CG153" i="2" s="1"/>
  <c r="BI237" i="2"/>
  <c r="BH72" i="2"/>
  <c r="BH153" i="2" s="1"/>
  <c r="CO237" i="2"/>
  <c r="CN72" i="2"/>
  <c r="CN153" i="2" s="1"/>
  <c r="AY237" i="2"/>
  <c r="AX72" i="2"/>
  <c r="AX153" i="2" s="1"/>
  <c r="BP239" i="20"/>
  <c r="BO74" i="20"/>
  <c r="BO155" i="20"/>
  <c r="BA237" i="2"/>
  <c r="AZ72" i="2"/>
  <c r="AZ153" i="2" s="1"/>
  <c r="AQ237" i="2"/>
  <c r="AP72" i="2"/>
  <c r="AP153" i="2" s="1"/>
  <c r="E42" i="19"/>
  <c r="F234" i="19" s="1"/>
  <c r="CE42" i="19"/>
  <c r="CF234" i="19" s="1"/>
  <c r="BI42" i="19"/>
  <c r="BJ234" i="19" s="1"/>
  <c r="T42" i="19"/>
  <c r="U234" i="19" s="1"/>
  <c r="CP42" i="19"/>
  <c r="CQ234" i="19" s="1"/>
  <c r="B309" i="20"/>
  <c r="K237" i="2"/>
  <c r="J72" i="2"/>
  <c r="J153" i="2" s="1"/>
  <c r="AA238" i="20"/>
  <c r="Z73" i="20"/>
  <c r="Z154" i="20" s="1"/>
  <c r="S238" i="20"/>
  <c r="R73" i="20"/>
  <c r="R154" i="20" s="1"/>
  <c r="BK238" i="20"/>
  <c r="BJ154" i="20"/>
  <c r="BJ73" i="20"/>
  <c r="CM238" i="20"/>
  <c r="CL73" i="20"/>
  <c r="CL154" i="20" s="1"/>
  <c r="BJ238" i="20"/>
  <c r="BI73" i="20"/>
  <c r="BI154" i="20" s="1"/>
  <c r="I238" i="20"/>
  <c r="H73" i="20"/>
  <c r="H154" i="20" s="1"/>
  <c r="G46" i="20"/>
  <c r="BU46" i="20"/>
  <c r="J46" i="20"/>
  <c r="BS46" i="20"/>
  <c r="BB236" i="2"/>
  <c r="BA71" i="2"/>
  <c r="BA152" i="2" s="1"/>
  <c r="AQ236" i="2"/>
  <c r="AP71" i="2"/>
  <c r="AP152" i="2" s="1"/>
  <c r="AA236" i="2"/>
  <c r="Z71" i="2"/>
  <c r="Z152" i="2" s="1"/>
  <c r="CH236" i="2"/>
  <c r="CG71" i="2"/>
  <c r="CG152" i="2" s="1"/>
  <c r="E236" i="2"/>
  <c r="D71" i="2"/>
  <c r="D152" i="2" s="1"/>
  <c r="N236" i="2"/>
  <c r="M71" i="2"/>
  <c r="M152" i="2" s="1"/>
  <c r="AR236" i="2"/>
  <c r="AQ71" i="2"/>
  <c r="AQ152" i="2" s="1"/>
  <c r="BF236" i="2"/>
  <c r="BE71" i="2"/>
  <c r="BE152" i="2" s="1"/>
  <c r="BG236" i="2"/>
  <c r="BF71" i="2"/>
  <c r="BF152" i="2" s="1"/>
  <c r="P236" i="2"/>
  <c r="O71" i="2"/>
  <c r="O152" i="2" s="1"/>
  <c r="CA236" i="2"/>
  <c r="BZ71" i="2"/>
  <c r="BZ152" i="2" s="1"/>
  <c r="H236" i="2"/>
  <c r="G71" i="2"/>
  <c r="G152" i="2" s="1"/>
  <c r="CR237" i="2"/>
  <c r="CQ72" i="2"/>
  <c r="CQ153" i="2" s="1"/>
  <c r="BD239" i="20"/>
  <c r="BC74" i="20"/>
  <c r="BC155" i="20"/>
  <c r="R239" i="20"/>
  <c r="Q74" i="20"/>
  <c r="Q155" i="20" s="1"/>
  <c r="Q237" i="2"/>
  <c r="P72" i="2"/>
  <c r="P153" i="2" s="1"/>
  <c r="BS237" i="2"/>
  <c r="BR72" i="2"/>
  <c r="BR153" i="2" s="1"/>
  <c r="CA237" i="2"/>
  <c r="BZ72" i="2"/>
  <c r="BZ153" i="2" s="1"/>
  <c r="CN237" i="2"/>
  <c r="CM72" i="2"/>
  <c r="CM153" i="2" s="1"/>
  <c r="BK237" i="2"/>
  <c r="BJ72" i="2"/>
  <c r="BJ153" i="2" s="1"/>
  <c r="CB237" i="2"/>
  <c r="CA72" i="2"/>
  <c r="CA153" i="2" s="1"/>
  <c r="X237" i="2"/>
  <c r="W72" i="2"/>
  <c r="W153" i="2" s="1"/>
  <c r="AT237" i="2"/>
  <c r="AS72" i="2"/>
  <c r="AS153" i="2" s="1"/>
  <c r="BL237" i="2"/>
  <c r="BK72" i="2"/>
  <c r="BK153" i="2" s="1"/>
  <c r="BA42" i="19"/>
  <c r="BB234" i="19" s="1"/>
  <c r="AC42" i="19"/>
  <c r="AD234" i="19" s="1"/>
  <c r="BE42" i="19"/>
  <c r="BF234" i="19" s="1"/>
  <c r="U42" i="19"/>
  <c r="V234" i="19" s="1"/>
  <c r="CK42" i="19"/>
  <c r="CL234" i="19" s="1"/>
  <c r="BP237" i="2"/>
  <c r="BO72" i="2"/>
  <c r="BO153" i="2" s="1"/>
  <c r="V237" i="2"/>
  <c r="U72" i="2"/>
  <c r="U153" i="2" s="1"/>
  <c r="Z238" i="20"/>
  <c r="Y73" i="20"/>
  <c r="Y154" i="20" s="1"/>
  <c r="R238" i="20"/>
  <c r="Q73" i="20"/>
  <c r="Q154" i="20" s="1"/>
  <c r="CF238" i="20"/>
  <c r="CE154" i="20"/>
  <c r="CE73" i="20"/>
  <c r="CI238" i="20"/>
  <c r="CH73" i="20"/>
  <c r="CH154" i="20" s="1"/>
  <c r="CA238" i="20"/>
  <c r="BZ73" i="20"/>
  <c r="BZ154" i="20"/>
  <c r="BR238" i="20"/>
  <c r="BQ73" i="20"/>
  <c r="BQ154" i="20"/>
  <c r="CC238" i="20"/>
  <c r="CB73" i="20"/>
  <c r="CB154" i="20" s="1"/>
  <c r="AZ238" i="20"/>
  <c r="AY73" i="20"/>
  <c r="AY154" i="20"/>
  <c r="CG238" i="20"/>
  <c r="CF154" i="20"/>
  <c r="CF73" i="20"/>
  <c r="AS45" i="20"/>
  <c r="CT45" i="20"/>
  <c r="CS45" i="20"/>
  <c r="BQ45" i="20"/>
  <c r="CR45" i="20"/>
  <c r="B44" i="20"/>
  <c r="BL45" i="20"/>
  <c r="BK45" i="20"/>
  <c r="BE45" i="20"/>
  <c r="CJ45" i="20"/>
  <c r="BV45" i="20"/>
  <c r="AQ45" i="20"/>
  <c r="CH45" i="20"/>
  <c r="BG45" i="20"/>
  <c r="BS45" i="20"/>
  <c r="CB45" i="20"/>
  <c r="BF45" i="20"/>
  <c r="D45" i="20"/>
  <c r="L45" i="20"/>
  <c r="BC45" i="20"/>
  <c r="CN45" i="20"/>
  <c r="BT45" i="20"/>
  <c r="AX45" i="20"/>
  <c r="B99" i="20"/>
  <c r="CE45" i="20"/>
  <c r="BP45" i="20"/>
  <c r="BX45" i="20"/>
  <c r="BD45" i="20"/>
  <c r="AP45" i="20"/>
  <c r="K45" i="20"/>
  <c r="CF45" i="20"/>
  <c r="CG45" i="20"/>
  <c r="AZ45" i="20"/>
  <c r="BU45" i="20"/>
  <c r="CL45" i="20"/>
  <c r="C45" i="20"/>
  <c r="BW45" i="20"/>
  <c r="CP45" i="20"/>
  <c r="CO45" i="20"/>
  <c r="AO45" i="20"/>
  <c r="BZ45" i="20"/>
  <c r="AY45" i="20"/>
  <c r="BO45" i="20"/>
  <c r="BA45" i="20"/>
  <c r="AR45" i="20"/>
  <c r="CC45" i="20"/>
  <c r="AW45" i="20"/>
  <c r="F45" i="20"/>
  <c r="AU45" i="20"/>
  <c r="BI45" i="20"/>
  <c r="BB45" i="20"/>
  <c r="BR45" i="20"/>
  <c r="AV45" i="20"/>
  <c r="CK45" i="20"/>
  <c r="BY45" i="20"/>
  <c r="AT45" i="20"/>
  <c r="BM45" i="20"/>
  <c r="CI45" i="20"/>
  <c r="G45" i="20"/>
  <c r="J45" i="20"/>
  <c r="CA45" i="20"/>
  <c r="CD45" i="20"/>
  <c r="E45" i="20"/>
  <c r="H45" i="20"/>
  <c r="CQ45" i="20"/>
  <c r="BJ45" i="20"/>
  <c r="CM45" i="20"/>
  <c r="M45" i="20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B45" i="20"/>
  <c r="AC45" i="20"/>
  <c r="CE238" i="20"/>
  <c r="CD73" i="20"/>
  <c r="CD154" i="20" s="1"/>
  <c r="S236" i="2"/>
  <c r="R71" i="2"/>
  <c r="R152" i="2" s="1"/>
  <c r="CO236" i="2"/>
  <c r="CN71" i="2"/>
  <c r="CN152" i="2" s="1"/>
  <c r="CC236" i="2"/>
  <c r="CB71" i="2"/>
  <c r="CB152" i="2" s="1"/>
  <c r="BC236" i="2"/>
  <c r="BB71" i="2"/>
  <c r="BB152" i="2" s="1"/>
  <c r="V236" i="2"/>
  <c r="U71" i="2"/>
  <c r="U152" i="2" s="1"/>
  <c r="I236" i="2"/>
  <c r="H71" i="2"/>
  <c r="H152" i="2" s="1"/>
  <c r="CL236" i="2"/>
  <c r="CK71" i="2"/>
  <c r="CK152" i="2" s="1"/>
  <c r="G236" i="2"/>
  <c r="F71" i="2"/>
  <c r="F152" i="2" s="1"/>
  <c r="BJ236" i="2"/>
  <c r="BI71" i="2"/>
  <c r="BI152" i="2" s="1"/>
  <c r="R236" i="2"/>
  <c r="Q71" i="2"/>
  <c r="Q152" i="2" s="1"/>
  <c r="CI236" i="2"/>
  <c r="CH71" i="2"/>
  <c r="CH152" i="2" s="1"/>
  <c r="AO236" i="2"/>
  <c r="AN71" i="2"/>
  <c r="AN152" i="2" s="1"/>
  <c r="AJ237" i="2"/>
  <c r="AI72" i="2"/>
  <c r="AI153" i="2" s="1"/>
  <c r="AS237" i="2"/>
  <c r="AR72" i="2"/>
  <c r="AR153" i="2" s="1"/>
  <c r="AU239" i="20"/>
  <c r="AT74" i="20"/>
  <c r="AT155" i="20" s="1"/>
  <c r="Z239" i="20"/>
  <c r="Y74" i="20"/>
  <c r="Y155" i="20" s="1"/>
  <c r="BR237" i="2"/>
  <c r="BQ72" i="2"/>
  <c r="BQ153" i="2" s="1"/>
  <c r="P237" i="2"/>
  <c r="O72" i="2"/>
  <c r="O153" i="2" s="1"/>
  <c r="B207" i="2"/>
  <c r="B236" i="2"/>
  <c r="BB237" i="2"/>
  <c r="BA153" i="2"/>
  <c r="BA72" i="2"/>
  <c r="AK237" i="2"/>
  <c r="AJ72" i="2"/>
  <c r="AJ153" i="2" s="1"/>
  <c r="CC237" i="2"/>
  <c r="CB72" i="2"/>
  <c r="CB153" i="2" s="1"/>
  <c r="D237" i="2"/>
  <c r="E209" i="2"/>
  <c r="I209" i="2" s="1"/>
  <c r="J209" i="2" s="1"/>
  <c r="D209" i="2"/>
  <c r="G237" i="2"/>
  <c r="F72" i="2"/>
  <c r="F153" i="2" s="1"/>
  <c r="BQ42" i="19"/>
  <c r="BR234" i="19" s="1"/>
  <c r="AO42" i="19"/>
  <c r="AP234" i="19" s="1"/>
  <c r="AT42" i="19"/>
  <c r="AU234" i="19" s="1"/>
  <c r="K42" i="19"/>
  <c r="L234" i="19" s="1"/>
  <c r="H42" i="19"/>
  <c r="I234" i="19" s="1"/>
  <c r="BM42" i="19"/>
  <c r="BN234" i="19" s="1"/>
  <c r="AF237" i="2"/>
  <c r="AE72" i="2"/>
  <c r="AE153" i="2" s="1"/>
  <c r="E237" i="2"/>
  <c r="D72" i="2"/>
  <c r="D153" i="2" s="1"/>
  <c r="Y238" i="20"/>
  <c r="X73" i="20"/>
  <c r="X154" i="20" s="1"/>
  <c r="Q238" i="20"/>
  <c r="P73" i="20"/>
  <c r="P154" i="20" s="1"/>
  <c r="BX238" i="20"/>
  <c r="BW73" i="20"/>
  <c r="BW154" i="20"/>
  <c r="BS238" i="20"/>
  <c r="BR73" i="20"/>
  <c r="BR154" i="20" s="1"/>
  <c r="CR238" i="20"/>
  <c r="CQ73" i="20"/>
  <c r="CQ154" i="20"/>
  <c r="CQ238" i="20"/>
  <c r="CP73" i="20"/>
  <c r="CP154" i="20"/>
  <c r="BN238" i="20"/>
  <c r="BM73" i="20"/>
  <c r="BM154" i="20" s="1"/>
  <c r="BU238" i="20"/>
  <c r="BT73" i="20"/>
  <c r="BT154" i="20" s="1"/>
  <c r="BY238" i="20"/>
  <c r="BX73" i="20"/>
  <c r="BX154" i="20" s="1"/>
  <c r="AQ238" i="20"/>
  <c r="AP73" i="20"/>
  <c r="AP154" i="20" s="1"/>
  <c r="AF68" i="2"/>
  <c r="AF12" i="2"/>
  <c r="AG13" i="2"/>
  <c r="F236" i="2"/>
  <c r="E71" i="2"/>
  <c r="E152" i="2" s="1"/>
  <c r="AK236" i="2"/>
  <c r="AJ71" i="2"/>
  <c r="AJ152" i="2" s="1"/>
  <c r="U236" i="2"/>
  <c r="T71" i="2"/>
  <c r="T152" i="2" s="1"/>
  <c r="BO236" i="2"/>
  <c r="BN71" i="2"/>
  <c r="BN152" i="2" s="1"/>
  <c r="AM236" i="2"/>
  <c r="AL71" i="2"/>
  <c r="AL152" i="2" s="1"/>
  <c r="BE236" i="2"/>
  <c r="BD71" i="2"/>
  <c r="BD152" i="2" s="1"/>
  <c r="X236" i="2"/>
  <c r="W71" i="2"/>
  <c r="W152" i="2" s="1"/>
  <c r="AV236" i="2"/>
  <c r="AU71" i="2"/>
  <c r="AU152" i="2" s="1"/>
  <c r="AP236" i="2"/>
  <c r="AO71" i="2"/>
  <c r="AO152" i="2" s="1"/>
  <c r="BW236" i="2"/>
  <c r="BV71" i="2"/>
  <c r="BV152" i="2" s="1"/>
  <c r="AX236" i="2"/>
  <c r="AW71" i="2"/>
  <c r="AW152" i="2" s="1"/>
  <c r="AX237" i="2"/>
  <c r="AW72" i="2"/>
  <c r="AW153" i="2" s="1"/>
  <c r="BE239" i="20"/>
  <c r="BD74" i="20"/>
  <c r="BD155" i="20" s="1"/>
  <c r="BQ237" i="2"/>
  <c r="BP72" i="2"/>
  <c r="BP153" i="2" s="1"/>
  <c r="AN237" i="2"/>
  <c r="AM72" i="2"/>
  <c r="AM153" i="2" s="1"/>
  <c r="L239" i="20"/>
  <c r="K74" i="20"/>
  <c r="K155" i="20" s="1"/>
  <c r="B310" i="2"/>
  <c r="C237" i="2"/>
  <c r="BM237" i="2"/>
  <c r="BL72" i="2"/>
  <c r="BL153" i="2" s="1"/>
  <c r="AD237" i="2"/>
  <c r="AC72" i="2"/>
  <c r="AC153" i="2" s="1"/>
  <c r="BE237" i="2"/>
  <c r="BD72" i="2"/>
  <c r="BD153" i="2" s="1"/>
  <c r="J237" i="2"/>
  <c r="I72" i="2"/>
  <c r="I153" i="2" s="1"/>
  <c r="Y237" i="2"/>
  <c r="X72" i="2"/>
  <c r="X153" i="2" s="1"/>
  <c r="Z237" i="2"/>
  <c r="Y72" i="2"/>
  <c r="Y153" i="2" s="1"/>
  <c r="R237" i="2"/>
  <c r="Q72" i="2"/>
  <c r="Q153" i="2" s="1"/>
  <c r="X238" i="20"/>
  <c r="W73" i="20"/>
  <c r="W154" i="20" s="1"/>
  <c r="P238" i="20"/>
  <c r="O73" i="20"/>
  <c r="O154" i="20" s="1"/>
  <c r="CJ238" i="20"/>
  <c r="CI73" i="20"/>
  <c r="CI154" i="20"/>
  <c r="BQ238" i="20"/>
  <c r="BP73" i="20"/>
  <c r="BP154" i="20" s="1"/>
  <c r="AX238" i="20"/>
  <c r="AW73" i="20"/>
  <c r="AW154" i="20"/>
  <c r="BM238" i="20"/>
  <c r="BL73" i="20"/>
  <c r="BL154" i="20" s="1"/>
  <c r="AR238" i="20"/>
  <c r="AQ73" i="20"/>
  <c r="AQ154" i="20"/>
  <c r="G238" i="20"/>
  <c r="F73" i="20"/>
  <c r="F154" i="20"/>
  <c r="BD238" i="20"/>
  <c r="BC73" i="20"/>
  <c r="BC154" i="20" s="1"/>
  <c r="CO238" i="20"/>
  <c r="CN73" i="20"/>
  <c r="CN154" i="20"/>
  <c r="AE149" i="2"/>
  <c r="AE186" i="2"/>
  <c r="AE176" i="2" s="1"/>
  <c r="AE95" i="2"/>
  <c r="AE122" i="2" s="1"/>
  <c r="BM236" i="2"/>
  <c r="BL71" i="2"/>
  <c r="BL152" i="2" s="1"/>
  <c r="AN236" i="2"/>
  <c r="AM71" i="2"/>
  <c r="AM152" i="2" s="1"/>
  <c r="CK236" i="2"/>
  <c r="CJ71" i="2"/>
  <c r="CJ152" i="2" s="1"/>
  <c r="AE236" i="2"/>
  <c r="AD71" i="2"/>
  <c r="AD152" i="2" s="1"/>
  <c r="CM236" i="2"/>
  <c r="CL71" i="2"/>
  <c r="CL152" i="2" s="1"/>
  <c r="CG236" i="2"/>
  <c r="CF71" i="2"/>
  <c r="CF152" i="2" s="1"/>
  <c r="BY236" i="2"/>
  <c r="BX71" i="2"/>
  <c r="BX152" i="2" s="1"/>
  <c r="K236" i="2"/>
  <c r="J71" i="2"/>
  <c r="J152" i="2" s="1"/>
  <c r="AU236" i="2"/>
  <c r="AT71" i="2"/>
  <c r="AT152" i="2" s="1"/>
  <c r="D236" i="2"/>
  <c r="E208" i="2"/>
  <c r="I208" i="2" s="1"/>
  <c r="J208" i="2" s="1"/>
  <c r="D208" i="2"/>
  <c r="CJ236" i="2"/>
  <c r="CI71" i="2"/>
  <c r="CI152" i="2" s="1"/>
  <c r="BL236" i="2"/>
  <c r="BK71" i="2"/>
  <c r="BK152" i="2" s="1"/>
  <c r="L237" i="2"/>
  <c r="K72" i="2"/>
  <c r="K153" i="2" s="1"/>
  <c r="BG239" i="20"/>
  <c r="BF74" i="20"/>
  <c r="BF155" i="20"/>
  <c r="BY237" i="2"/>
  <c r="BX72" i="2"/>
  <c r="BX153" i="2" s="1"/>
  <c r="BG237" i="2"/>
  <c r="BF72" i="2"/>
  <c r="BF153" i="2"/>
  <c r="BH239" i="20"/>
  <c r="BG74" i="20"/>
  <c r="BG155" i="20" s="1"/>
  <c r="T237" i="2"/>
  <c r="S72" i="2"/>
  <c r="S153" i="2" s="1"/>
  <c r="AC237" i="2"/>
  <c r="AB72" i="2"/>
  <c r="AB153" i="2" s="1"/>
  <c r="AV237" i="2"/>
  <c r="AU72" i="2"/>
  <c r="AU153" i="2" s="1"/>
  <c r="BK239" i="20"/>
  <c r="BJ74" i="20"/>
  <c r="BJ155" i="20"/>
  <c r="CF237" i="2"/>
  <c r="CE72" i="2"/>
  <c r="CE153" i="2" s="1"/>
  <c r="W42" i="19"/>
  <c r="X234" i="19" s="1"/>
  <c r="CO42" i="19"/>
  <c r="CP234" i="19" s="1"/>
  <c r="S42" i="19"/>
  <c r="T234" i="19" s="1"/>
  <c r="J42" i="19"/>
  <c r="K234" i="19" s="1"/>
  <c r="G42" i="19"/>
  <c r="H234" i="19" s="1"/>
  <c r="CG70" i="19"/>
  <c r="CG151" i="19" s="1"/>
  <c r="I237" i="2"/>
  <c r="H72" i="2"/>
  <c r="H153" i="2" s="1"/>
  <c r="CJ237" i="2"/>
  <c r="CI72" i="2"/>
  <c r="CI153" i="2" s="1"/>
  <c r="W238" i="20"/>
  <c r="V73" i="20"/>
  <c r="V154" i="20" s="1"/>
  <c r="O238" i="20"/>
  <c r="N73" i="20"/>
  <c r="N154" i="20" s="1"/>
  <c r="L238" i="20"/>
  <c r="K73" i="20"/>
  <c r="K154" i="20" s="1"/>
  <c r="CN238" i="20"/>
  <c r="CM73" i="20"/>
  <c r="CM154" i="20"/>
  <c r="BO46" i="20"/>
  <c r="AC46" i="20"/>
  <c r="BE46" i="20"/>
  <c r="AR46" i="20"/>
  <c r="AV46" i="20"/>
  <c r="BG46" i="20"/>
  <c r="BH46" i="20"/>
  <c r="L236" i="2"/>
  <c r="K71" i="2"/>
  <c r="K152" i="2" s="1"/>
  <c r="BZ236" i="2"/>
  <c r="BY71" i="2"/>
  <c r="BY152" i="2" s="1"/>
  <c r="BT236" i="2"/>
  <c r="BS71" i="2"/>
  <c r="BS152" i="2" s="1"/>
  <c r="M236" i="2"/>
  <c r="L71" i="2"/>
  <c r="L152" i="2" s="1"/>
  <c r="Q236" i="2"/>
  <c r="P71" i="2"/>
  <c r="P152" i="2" s="1"/>
  <c r="CD236" i="2"/>
  <c r="CC71" i="2"/>
  <c r="CC152" i="2" s="1"/>
  <c r="BD236" i="2"/>
  <c r="BC71" i="2"/>
  <c r="BC152" i="2" s="1"/>
  <c r="BA236" i="2"/>
  <c r="AZ71" i="2"/>
  <c r="AZ152" i="2" s="1"/>
  <c r="AL236" i="2"/>
  <c r="AK71" i="2"/>
  <c r="AK152" i="2" s="1"/>
  <c r="AZ236" i="2"/>
  <c r="AY71" i="2"/>
  <c r="AY152" i="2" s="1"/>
  <c r="CF236" i="2"/>
  <c r="CE71" i="2"/>
  <c r="CE152" i="2" s="1"/>
  <c r="AS236" i="2"/>
  <c r="AR71" i="2"/>
  <c r="AR152" i="2" s="1"/>
  <c r="AZ237" i="2"/>
  <c r="AY72" i="2"/>
  <c r="AY153" i="2" s="1"/>
  <c r="CE239" i="20"/>
  <c r="CD74" i="20"/>
  <c r="CD155" i="20" s="1"/>
  <c r="AA237" i="2"/>
  <c r="Z72" i="2"/>
  <c r="Z153" i="2" s="1"/>
  <c r="J239" i="20"/>
  <c r="I74" i="20"/>
  <c r="I155" i="20" s="1"/>
  <c r="K211" i="20"/>
  <c r="F211" i="20"/>
  <c r="F237" i="2"/>
  <c r="E72" i="2"/>
  <c r="E153" i="2" s="1"/>
  <c r="CI237" i="2"/>
  <c r="CH72" i="2"/>
  <c r="CH153" i="2" s="1"/>
  <c r="AL237" i="2"/>
  <c r="AK72" i="2"/>
  <c r="AK153" i="2" s="1"/>
  <c r="BV239" i="20"/>
  <c r="BU74" i="20"/>
  <c r="BU155" i="20" s="1"/>
  <c r="AM237" i="2"/>
  <c r="AL72" i="2"/>
  <c r="AL153" i="2" s="1"/>
  <c r="BT175" i="19"/>
  <c r="BT69" i="19"/>
  <c r="BT150" i="19" s="1"/>
  <c r="AE73" i="19"/>
  <c r="AE154" i="19" s="1"/>
  <c r="AE81" i="19"/>
  <c r="AE162" i="19" s="1"/>
  <c r="AE89" i="19"/>
  <c r="AE170" i="19" s="1"/>
  <c r="A16" i="19"/>
  <c r="B152" i="19"/>
  <c r="B125" i="19" s="1"/>
  <c r="B71" i="19"/>
  <c r="B15" i="19"/>
  <c r="AD77" i="20"/>
  <c r="AD158" i="20" s="1"/>
  <c r="AD83" i="20"/>
  <c r="AD164" i="20" s="1"/>
  <c r="AD90" i="20"/>
  <c r="AD171" i="20" s="1"/>
  <c r="W186" i="19"/>
  <c r="W176" i="19" s="1"/>
  <c r="W95" i="19"/>
  <c r="W122" i="19" s="1"/>
  <c r="W149" i="19"/>
  <c r="BS70" i="19"/>
  <c r="BS151" i="19" s="1"/>
  <c r="BU42" i="19"/>
  <c r="BV234" i="19" s="1"/>
  <c r="BK42" i="19"/>
  <c r="BL234" i="19" s="1"/>
  <c r="O42" i="19"/>
  <c r="P234" i="19" s="1"/>
  <c r="X42" i="19"/>
  <c r="Y234" i="19" s="1"/>
  <c r="R42" i="19"/>
  <c r="S234" i="19" s="1"/>
  <c r="BP42" i="19"/>
  <c r="BQ234" i="19" s="1"/>
  <c r="AW42" i="19"/>
  <c r="AX234" i="19" s="1"/>
  <c r="M42" i="19"/>
  <c r="N234" i="19" s="1"/>
  <c r="AP42" i="19"/>
  <c r="AQ234" i="19" s="1"/>
  <c r="CI42" i="19"/>
  <c r="CJ234" i="19" s="1"/>
  <c r="AD42" i="19"/>
  <c r="AE234" i="19" s="1"/>
  <c r="AE74" i="19"/>
  <c r="AE155" i="19" s="1"/>
  <c r="AE82" i="19"/>
  <c r="AE163" i="19" s="1"/>
  <c r="AE90" i="19"/>
  <c r="AE171" i="19" s="1"/>
  <c r="AD87" i="20"/>
  <c r="AD168" i="20" s="1"/>
  <c r="AD75" i="20"/>
  <c r="AD156" i="20" s="1"/>
  <c r="AD84" i="20"/>
  <c r="AD165" i="20" s="1"/>
  <c r="AF41" i="20"/>
  <c r="AE64" i="20"/>
  <c r="AF256" i="20" s="1"/>
  <c r="AE65" i="20"/>
  <c r="AF257" i="20" s="1"/>
  <c r="AE63" i="20"/>
  <c r="AF255" i="20" s="1"/>
  <c r="AE62" i="20"/>
  <c r="AF254" i="20" s="1"/>
  <c r="AE59" i="20"/>
  <c r="AF251" i="20" s="1"/>
  <c r="AE58" i="20"/>
  <c r="AF250" i="20" s="1"/>
  <c r="AE57" i="20"/>
  <c r="AF249" i="20" s="1"/>
  <c r="AE56" i="20"/>
  <c r="AF248" i="20" s="1"/>
  <c r="AE54" i="20"/>
  <c r="AF246" i="20" s="1"/>
  <c r="AE55" i="20"/>
  <c r="AF247" i="20" s="1"/>
  <c r="AE53" i="20"/>
  <c r="AF245" i="20" s="1"/>
  <c r="AE51" i="20"/>
  <c r="AF243" i="20" s="1"/>
  <c r="AE50" i="20"/>
  <c r="AF242" i="20" s="1"/>
  <c r="AE49" i="20"/>
  <c r="AF241" i="20" s="1"/>
  <c r="AE48" i="20"/>
  <c r="AF240" i="20" s="1"/>
  <c r="AE46" i="20"/>
  <c r="AF238" i="20" s="1"/>
  <c r="AE45" i="20"/>
  <c r="AF237" i="20" s="1"/>
  <c r="AE52" i="20"/>
  <c r="AF244" i="20" s="1"/>
  <c r="AE47" i="20"/>
  <c r="AF239" i="20" s="1"/>
  <c r="AE61" i="20"/>
  <c r="AF253" i="20" s="1"/>
  <c r="AE60" i="20"/>
  <c r="AF252" i="20" s="1"/>
  <c r="CH70" i="19"/>
  <c r="CH151" i="19" s="1"/>
  <c r="O208" i="19"/>
  <c r="M211" i="19"/>
  <c r="G211" i="19" s="1"/>
  <c r="W175" i="19"/>
  <c r="W69" i="19"/>
  <c r="W150" i="19" s="1"/>
  <c r="AB175" i="19"/>
  <c r="AB69" i="19"/>
  <c r="AB150" i="19" s="1"/>
  <c r="BF175" i="19"/>
  <c r="BF69" i="19"/>
  <c r="BF150" i="19" s="1"/>
  <c r="CQ175" i="19"/>
  <c r="CQ69" i="19"/>
  <c r="CQ150" i="19" s="1"/>
  <c r="AT69" i="19"/>
  <c r="AT150" i="19" s="1"/>
  <c r="AT175" i="19"/>
  <c r="BG175" i="19"/>
  <c r="BG69" i="19"/>
  <c r="BG150" i="19" s="1"/>
  <c r="K175" i="19"/>
  <c r="K69" i="19"/>
  <c r="K150" i="19" s="1"/>
  <c r="CM175" i="19"/>
  <c r="CM69" i="19"/>
  <c r="CM150" i="19" s="1"/>
  <c r="H175" i="19"/>
  <c r="H69" i="19"/>
  <c r="H150" i="19" s="1"/>
  <c r="CR175" i="19"/>
  <c r="CR69" i="19"/>
  <c r="CR150" i="19" s="1"/>
  <c r="BX175" i="19"/>
  <c r="BX69" i="19"/>
  <c r="BX150" i="19" s="1"/>
  <c r="BM175" i="19"/>
  <c r="BM69" i="19"/>
  <c r="BM150" i="19" s="1"/>
  <c r="AE83" i="19"/>
  <c r="AE164" i="19" s="1"/>
  <c r="AE92" i="19"/>
  <c r="AE173" i="19" s="1"/>
  <c r="AD76" i="20"/>
  <c r="AD157" i="20" s="1"/>
  <c r="AD85" i="20"/>
  <c r="AD166" i="20" s="1"/>
  <c r="F359" i="19"/>
  <c r="D207" i="19"/>
  <c r="E207" i="19"/>
  <c r="I207" i="19" s="1"/>
  <c r="J207" i="19" s="1"/>
  <c r="C235" i="19"/>
  <c r="A73" i="20"/>
  <c r="A238" i="20"/>
  <c r="A210" i="20"/>
  <c r="K208" i="19"/>
  <c r="G208" i="19"/>
  <c r="F208" i="19"/>
  <c r="CH42" i="19"/>
  <c r="CI234" i="19" s="1"/>
  <c r="D42" i="19"/>
  <c r="E234" i="19" s="1"/>
  <c r="C42" i="19"/>
  <c r="D234" i="19" s="1"/>
  <c r="CN42" i="19"/>
  <c r="CO234" i="19" s="1"/>
  <c r="P42" i="19"/>
  <c r="Q234" i="19" s="1"/>
  <c r="BC42" i="19"/>
  <c r="BD234" i="19" s="1"/>
  <c r="AX42" i="19"/>
  <c r="AY234" i="19" s="1"/>
  <c r="N42" i="19"/>
  <c r="O234" i="19" s="1"/>
  <c r="CS42" i="19"/>
  <c r="AV42" i="19"/>
  <c r="AW234" i="19" s="1"/>
  <c r="F368" i="20"/>
  <c r="AE75" i="19"/>
  <c r="AE156" i="19" s="1"/>
  <c r="A18" i="2"/>
  <c r="B154" i="2"/>
  <c r="B127" i="2" s="1"/>
  <c r="B17" i="2"/>
  <c r="B73" i="2"/>
  <c r="AE76" i="19"/>
  <c r="AE157" i="19" s="1"/>
  <c r="AE91" i="19"/>
  <c r="AE172" i="19" s="1"/>
  <c r="A239" i="2"/>
  <c r="A74" i="2"/>
  <c r="A211" i="2"/>
  <c r="AD79" i="20"/>
  <c r="AD160" i="20" s="1"/>
  <c r="AD86" i="20"/>
  <c r="AD167" i="20" s="1"/>
  <c r="U70" i="19"/>
  <c r="U151" i="19" s="1"/>
  <c r="BV69" i="19"/>
  <c r="BV150" i="19" s="1"/>
  <c r="BV175" i="19"/>
  <c r="E69" i="19"/>
  <c r="E150" i="19" s="1"/>
  <c r="E175" i="19"/>
  <c r="CO175" i="19"/>
  <c r="CO69" i="19"/>
  <c r="CO150" i="19" s="1"/>
  <c r="CE69" i="19"/>
  <c r="CE150" i="19" s="1"/>
  <c r="CE175" i="19"/>
  <c r="V175" i="19"/>
  <c r="V69" i="19"/>
  <c r="V150" i="19" s="1"/>
  <c r="L175" i="19"/>
  <c r="L69" i="19"/>
  <c r="L150" i="19" s="1"/>
  <c r="BZ69" i="19"/>
  <c r="BZ150" i="19" s="1"/>
  <c r="BZ175" i="19"/>
  <c r="AZ69" i="19"/>
  <c r="AZ150" i="19" s="1"/>
  <c r="AZ175" i="19"/>
  <c r="AA175" i="19"/>
  <c r="AA69" i="19"/>
  <c r="AA150" i="19" s="1"/>
  <c r="AY175" i="19"/>
  <c r="AY69" i="19"/>
  <c r="AY150" i="19" s="1"/>
  <c r="CP69" i="19"/>
  <c r="CP150" i="19" s="1"/>
  <c r="CP175" i="19"/>
  <c r="AD78" i="20"/>
  <c r="AD159" i="20" s="1"/>
  <c r="AD89" i="20"/>
  <c r="AD170" i="20" s="1"/>
  <c r="BY70" i="19"/>
  <c r="BY151" i="19" s="1"/>
  <c r="AP70" i="19"/>
  <c r="AP151" i="19" s="1"/>
  <c r="CA42" i="19"/>
  <c r="CB234" i="19" s="1"/>
  <c r="F42" i="19"/>
  <c r="G234" i="19" s="1"/>
  <c r="BL42" i="19"/>
  <c r="BM234" i="19" s="1"/>
  <c r="Z42" i="19"/>
  <c r="AA234" i="19" s="1"/>
  <c r="AS42" i="19"/>
  <c r="AT234" i="19" s="1"/>
  <c r="AE42" i="19"/>
  <c r="AF234" i="19" s="1"/>
  <c r="AU42" i="19"/>
  <c r="AV234" i="19" s="1"/>
  <c r="BR42" i="19"/>
  <c r="BS234" i="19" s="1"/>
  <c r="BS42" i="19"/>
  <c r="BT234" i="19" s="1"/>
  <c r="BD42" i="19"/>
  <c r="BE234" i="19" s="1"/>
  <c r="AQ42" i="19"/>
  <c r="AR234" i="19" s="1"/>
  <c r="AE84" i="19"/>
  <c r="AE165" i="19" s="1"/>
  <c r="AE77" i="19"/>
  <c r="AE158" i="19" s="1"/>
  <c r="AE85" i="19"/>
  <c r="AE166" i="19" s="1"/>
  <c r="AG41" i="19"/>
  <c r="AG42" i="19" s="1"/>
  <c r="AH234" i="19" s="1"/>
  <c r="AF65" i="19"/>
  <c r="AG257" i="19" s="1"/>
  <c r="AF64" i="19"/>
  <c r="AG256" i="19" s="1"/>
  <c r="AF63" i="19"/>
  <c r="AG255" i="19" s="1"/>
  <c r="AF61" i="19"/>
  <c r="AG253" i="19" s="1"/>
  <c r="AF60" i="19"/>
  <c r="AG252" i="19" s="1"/>
  <c r="AF62" i="19"/>
  <c r="AG254" i="19" s="1"/>
  <c r="AF59" i="19"/>
  <c r="AG251" i="19" s="1"/>
  <c r="AF57" i="19"/>
  <c r="AG249" i="19" s="1"/>
  <c r="AF58" i="19"/>
  <c r="AG250" i="19" s="1"/>
  <c r="AF55" i="19"/>
  <c r="AG247" i="19" s="1"/>
  <c r="AF56" i="19"/>
  <c r="AG248" i="19" s="1"/>
  <c r="AF54" i="19"/>
  <c r="AG246" i="19" s="1"/>
  <c r="AF53" i="19"/>
  <c r="AG245" i="19" s="1"/>
  <c r="AF52" i="19"/>
  <c r="AG244" i="19" s="1"/>
  <c r="AF51" i="19"/>
  <c r="AG243" i="19" s="1"/>
  <c r="AF50" i="19"/>
  <c r="AG242" i="19" s="1"/>
  <c r="AF48" i="19"/>
  <c r="AG240" i="19" s="1"/>
  <c r="AF49" i="19"/>
  <c r="AG241" i="19" s="1"/>
  <c r="AF47" i="19"/>
  <c r="AG239" i="19" s="1"/>
  <c r="AF46" i="19"/>
  <c r="AG238" i="19" s="1"/>
  <c r="AF45" i="19"/>
  <c r="AG237" i="19" s="1"/>
  <c r="AF44" i="19"/>
  <c r="AG236" i="19" s="1"/>
  <c r="AF43" i="19"/>
  <c r="AG235" i="19" s="1"/>
  <c r="AE78" i="19"/>
  <c r="AE159" i="19" s="1"/>
  <c r="AE86" i="19"/>
  <c r="AE167" i="19" s="1"/>
  <c r="V186" i="20"/>
  <c r="V176" i="20" s="1"/>
  <c r="V149" i="20"/>
  <c r="V95" i="20"/>
  <c r="V122" i="20" s="1"/>
  <c r="AD74" i="20"/>
  <c r="AD155" i="20" s="1"/>
  <c r="AD80" i="20"/>
  <c r="AD161" i="20" s="1"/>
  <c r="AD88" i="20"/>
  <c r="AD169" i="20" s="1"/>
  <c r="CE70" i="19"/>
  <c r="CE151" i="19" s="1"/>
  <c r="BV70" i="19"/>
  <c r="BV151" i="19" s="1"/>
  <c r="A17" i="20"/>
  <c r="B16" i="20"/>
  <c r="B153" i="20"/>
  <c r="B126" i="20" s="1"/>
  <c r="B72" i="20"/>
  <c r="BJ42" i="19"/>
  <c r="BK234" i="19" s="1"/>
  <c r="BN42" i="19"/>
  <c r="BO234" i="19" s="1"/>
  <c r="CJ42" i="19"/>
  <c r="CK234" i="19" s="1"/>
  <c r="Y42" i="19"/>
  <c r="Z234" i="19" s="1"/>
  <c r="CL42" i="19"/>
  <c r="CM234" i="19" s="1"/>
  <c r="CD42" i="19"/>
  <c r="CE234" i="19" s="1"/>
  <c r="CG42" i="19"/>
  <c r="CH234" i="19" s="1"/>
  <c r="AR42" i="19"/>
  <c r="AS234" i="19" s="1"/>
  <c r="Q42" i="19"/>
  <c r="R234" i="19" s="1"/>
  <c r="I42" i="19"/>
  <c r="J234" i="19" s="1"/>
  <c r="AE79" i="19"/>
  <c r="AE160" i="19" s="1"/>
  <c r="AE88" i="19"/>
  <c r="AE169" i="19" s="1"/>
  <c r="W68" i="20"/>
  <c r="X13" i="20"/>
  <c r="W12" i="20"/>
  <c r="A237" i="19"/>
  <c r="A209" i="19"/>
  <c r="A72" i="19"/>
  <c r="AD81" i="20"/>
  <c r="AD162" i="20" s="1"/>
  <c r="AD92" i="20"/>
  <c r="AD173" i="20" s="1"/>
  <c r="BR70" i="19"/>
  <c r="BR151" i="19" s="1"/>
  <c r="BQ175" i="19"/>
  <c r="BQ69" i="19"/>
  <c r="BQ150" i="19" s="1"/>
  <c r="BO69" i="19"/>
  <c r="BO150" i="19" s="1"/>
  <c r="BO175" i="19"/>
  <c r="BA175" i="19"/>
  <c r="BA69" i="19"/>
  <c r="BA150" i="19" s="1"/>
  <c r="CC175" i="19"/>
  <c r="CC69" i="19"/>
  <c r="CC150" i="19" s="1"/>
  <c r="S175" i="19"/>
  <c r="S69" i="19"/>
  <c r="S150" i="19" s="1"/>
  <c r="BI175" i="19"/>
  <c r="BI69" i="19"/>
  <c r="BI150" i="19" s="1"/>
  <c r="J175" i="19"/>
  <c r="J69" i="19"/>
  <c r="J150" i="19" s="1"/>
  <c r="T69" i="19"/>
  <c r="T150" i="19" s="1"/>
  <c r="T175" i="19"/>
  <c r="CK175" i="19"/>
  <c r="CK69" i="19"/>
  <c r="CK150" i="19" s="1"/>
  <c r="AE72" i="19"/>
  <c r="AE153" i="19" s="1"/>
  <c r="AE80" i="19"/>
  <c r="AE161" i="19" s="1"/>
  <c r="AE87" i="19"/>
  <c r="AE168" i="19" s="1"/>
  <c r="AD73" i="20"/>
  <c r="AD154" i="20" s="1"/>
  <c r="AD82" i="20"/>
  <c r="AD163" i="20" s="1"/>
  <c r="AD91" i="20"/>
  <c r="AD172" i="20" s="1"/>
  <c r="X68" i="19"/>
  <c r="Y13" i="19"/>
  <c r="X12" i="19"/>
  <c r="BH175" i="19"/>
  <c r="BH69" i="19"/>
  <c r="BH150" i="19" s="1"/>
  <c r="AF42" i="19"/>
  <c r="AG234" i="19" s="1"/>
  <c r="AO175" i="19"/>
  <c r="AO69" i="19"/>
  <c r="AO150" i="19" s="1"/>
  <c r="CB175" i="19"/>
  <c r="CB69" i="19"/>
  <c r="CB150" i="19" s="1"/>
  <c r="AC175" i="19"/>
  <c r="AC69" i="19"/>
  <c r="AC150" i="19" s="1"/>
  <c r="BW175" i="19"/>
  <c r="BW69" i="19"/>
  <c r="BW150" i="19" s="1"/>
  <c r="BE69" i="19"/>
  <c r="BE150" i="19" s="1"/>
  <c r="BE175" i="19"/>
  <c r="BY175" i="19"/>
  <c r="BY69" i="19"/>
  <c r="BY150" i="19" s="1"/>
  <c r="U175" i="19"/>
  <c r="U69" i="19"/>
  <c r="U150" i="19" s="1"/>
  <c r="G175" i="19"/>
  <c r="G69" i="19"/>
  <c r="G150" i="19" s="1"/>
  <c r="CF42" i="19"/>
  <c r="CG234" i="19" s="1"/>
  <c r="BB42" i="19"/>
  <c r="BC234" i="19" s="1"/>
  <c r="BP238" i="20" l="1"/>
  <c r="BO73" i="20"/>
  <c r="BO154" i="20" s="1"/>
  <c r="O208" i="2"/>
  <c r="M211" i="2"/>
  <c r="G211" i="2" s="1"/>
  <c r="AA237" i="20"/>
  <c r="Z72" i="20"/>
  <c r="Z153" i="20" s="1"/>
  <c r="S237" i="20"/>
  <c r="R72" i="20"/>
  <c r="R153" i="20" s="1"/>
  <c r="CR237" i="20"/>
  <c r="CQ72" i="20"/>
  <c r="CQ153" i="20" s="1"/>
  <c r="BN237" i="20"/>
  <c r="BM72" i="20"/>
  <c r="BM153" i="20" s="1"/>
  <c r="AV237" i="20"/>
  <c r="AU72" i="20"/>
  <c r="AU153" i="20" s="1"/>
  <c r="CA237" i="20"/>
  <c r="BZ72" i="20"/>
  <c r="BZ153" i="20"/>
  <c r="BA237" i="20"/>
  <c r="AZ72" i="20"/>
  <c r="AZ153" i="20" s="1"/>
  <c r="CF237" i="20"/>
  <c r="CE72" i="20"/>
  <c r="CE153" i="20"/>
  <c r="BG237" i="20"/>
  <c r="BF72" i="20"/>
  <c r="BF153" i="20"/>
  <c r="BF237" i="20"/>
  <c r="BE72" i="20"/>
  <c r="BE153" i="20" s="1"/>
  <c r="BN45" i="20"/>
  <c r="AD45" i="20"/>
  <c r="BV238" i="20"/>
  <c r="BU73" i="20"/>
  <c r="BU154" i="20"/>
  <c r="J43" i="2"/>
  <c r="AV43" i="2"/>
  <c r="R43" i="2"/>
  <c r="S43" i="2"/>
  <c r="BO43" i="2"/>
  <c r="CQ43" i="2"/>
  <c r="BN43" i="2"/>
  <c r="CB43" i="2"/>
  <c r="BU43" i="2"/>
  <c r="G43" i="2"/>
  <c r="L43" i="2"/>
  <c r="CK43" i="2"/>
  <c r="BQ236" i="2"/>
  <c r="BP71" i="2"/>
  <c r="BP152" i="2" s="1"/>
  <c r="CK238" i="20"/>
  <c r="CJ73" i="20"/>
  <c r="CJ154" i="20" s="1"/>
  <c r="AY236" i="2"/>
  <c r="AX71" i="2"/>
  <c r="AX152" i="2" s="1"/>
  <c r="CL238" i="20"/>
  <c r="CK73" i="20"/>
  <c r="CK154" i="20" s="1"/>
  <c r="BP236" i="2"/>
  <c r="BO71" i="2"/>
  <c r="BO152" i="2" s="1"/>
  <c r="AT236" i="2"/>
  <c r="AS71" i="2"/>
  <c r="AS152" i="2" s="1"/>
  <c r="BO238" i="20"/>
  <c r="BN73" i="20"/>
  <c r="BN154" i="20" s="1"/>
  <c r="AH13" i="2"/>
  <c r="AG12" i="2"/>
  <c r="AG68" i="2"/>
  <c r="K209" i="2"/>
  <c r="F209" i="2"/>
  <c r="Z237" i="20"/>
  <c r="Y72" i="20"/>
  <c r="Y153" i="20" s="1"/>
  <c r="R237" i="20"/>
  <c r="Q72" i="20"/>
  <c r="Q153" i="20" s="1"/>
  <c r="I237" i="20"/>
  <c r="H72" i="20"/>
  <c r="H153" i="20" s="1"/>
  <c r="AU237" i="20"/>
  <c r="AT72" i="20"/>
  <c r="AT153" i="20" s="1"/>
  <c r="G237" i="20"/>
  <c r="F72" i="20"/>
  <c r="F153" i="20"/>
  <c r="AP237" i="20"/>
  <c r="AO72" i="20"/>
  <c r="AO153" i="20"/>
  <c r="CH237" i="20"/>
  <c r="CG72" i="20"/>
  <c r="CG153" i="20"/>
  <c r="CC237" i="20"/>
  <c r="CB72" i="20"/>
  <c r="CB153" i="20" s="1"/>
  <c r="BL237" i="20"/>
  <c r="BK72" i="20"/>
  <c r="BK153" i="20" s="1"/>
  <c r="AT237" i="20"/>
  <c r="AS72" i="20"/>
  <c r="AS153" i="20" s="1"/>
  <c r="H238" i="20"/>
  <c r="G73" i="20"/>
  <c r="G154" i="20" s="1"/>
  <c r="AY235" i="2"/>
  <c r="AX70" i="2"/>
  <c r="AX151" i="2" s="1"/>
  <c r="E235" i="2"/>
  <c r="D70" i="2"/>
  <c r="D151" i="2" s="1"/>
  <c r="CH235" i="2"/>
  <c r="CG70" i="2"/>
  <c r="CG151" i="2" s="1"/>
  <c r="Y235" i="2"/>
  <c r="X70" i="2"/>
  <c r="X151" i="2" s="1"/>
  <c r="AF235" i="2"/>
  <c r="AE70" i="2"/>
  <c r="AE151" i="2" s="1"/>
  <c r="BX235" i="2"/>
  <c r="BW70" i="2"/>
  <c r="BW151" i="2" s="1"/>
  <c r="BY235" i="2"/>
  <c r="BX70" i="2"/>
  <c r="BX151" i="2" s="1"/>
  <c r="O235" i="2"/>
  <c r="N70" i="2"/>
  <c r="N151" i="2" s="1"/>
  <c r="AB235" i="2"/>
  <c r="AA70" i="2"/>
  <c r="AA151" i="2" s="1"/>
  <c r="AQ235" i="2"/>
  <c r="AP70" i="2"/>
  <c r="AP151" i="2" s="1"/>
  <c r="CN235" i="2"/>
  <c r="CM70" i="2"/>
  <c r="CM151" i="2" s="1"/>
  <c r="BK235" i="2"/>
  <c r="BJ70" i="2"/>
  <c r="BJ151" i="2" s="1"/>
  <c r="BS236" i="2"/>
  <c r="BR71" i="2"/>
  <c r="BR152" i="2" s="1"/>
  <c r="BZ238" i="20"/>
  <c r="BY73" i="20"/>
  <c r="BY154" i="20"/>
  <c r="T236" i="2"/>
  <c r="S71" i="2"/>
  <c r="S152" i="2" s="1"/>
  <c r="AY238" i="20"/>
  <c r="AX73" i="20"/>
  <c r="AX154" i="20" s="1"/>
  <c r="BU236" i="2"/>
  <c r="BT71" i="2"/>
  <c r="BT152" i="2" s="1"/>
  <c r="BG238" i="20"/>
  <c r="BF73" i="20"/>
  <c r="BF154" i="20"/>
  <c r="BI238" i="20"/>
  <c r="BH73" i="20"/>
  <c r="BH154" i="20" s="1"/>
  <c r="O209" i="2"/>
  <c r="M212" i="2"/>
  <c r="G212" i="2" s="1"/>
  <c r="Y237" i="20"/>
  <c r="X72" i="20"/>
  <c r="X153" i="20" s="1"/>
  <c r="Q237" i="20"/>
  <c r="P72" i="20"/>
  <c r="P153" i="20" s="1"/>
  <c r="F237" i="20"/>
  <c r="E72" i="20"/>
  <c r="E153" i="20" s="1"/>
  <c r="BZ237" i="20"/>
  <c r="BY72" i="20"/>
  <c r="BY153" i="20" s="1"/>
  <c r="AX237" i="20"/>
  <c r="AW72" i="20"/>
  <c r="AW153" i="20" s="1"/>
  <c r="CP237" i="20"/>
  <c r="CO72" i="20"/>
  <c r="CO153" i="20" s="1"/>
  <c r="CG237" i="20"/>
  <c r="CF72" i="20"/>
  <c r="CF153" i="20" s="1"/>
  <c r="AY237" i="20"/>
  <c r="AX72" i="20"/>
  <c r="AX153" i="20"/>
  <c r="BT237" i="20"/>
  <c r="BS72" i="20"/>
  <c r="BS153" i="20" s="1"/>
  <c r="I45" i="20"/>
  <c r="BH45" i="20"/>
  <c r="AB236" i="2"/>
  <c r="AA71" i="2"/>
  <c r="AA152" i="2" s="1"/>
  <c r="C43" i="2"/>
  <c r="K43" i="2"/>
  <c r="CL43" i="2"/>
  <c r="BK43" i="2"/>
  <c r="BS43" i="2"/>
  <c r="B96" i="2"/>
  <c r="CO42" i="2"/>
  <c r="CQ42" i="2"/>
  <c r="CT42" i="2"/>
  <c r="AN42" i="2" s="1"/>
  <c r="BB42" i="2"/>
  <c r="R42" i="2"/>
  <c r="AR42" i="2"/>
  <c r="AB42" i="2"/>
  <c r="AJ42" i="2"/>
  <c r="BJ42" i="2"/>
  <c r="BO42" i="2"/>
  <c r="BU42" i="2"/>
  <c r="AU42" i="2"/>
  <c r="CH42" i="2"/>
  <c r="V42" i="2"/>
  <c r="AD42" i="2"/>
  <c r="C42" i="2"/>
  <c r="AV42" i="2"/>
  <c r="CL42" i="2"/>
  <c r="AS42" i="2"/>
  <c r="AM42" i="2"/>
  <c r="U42" i="2"/>
  <c r="BD42" i="2"/>
  <c r="U43" i="2"/>
  <c r="AO43" i="2"/>
  <c r="CO43" i="2"/>
  <c r="BD43" i="2"/>
  <c r="CR43" i="2"/>
  <c r="CE43" i="2"/>
  <c r="BH236" i="2"/>
  <c r="BG71" i="2"/>
  <c r="BG152" i="2" s="1"/>
  <c r="CD238" i="20"/>
  <c r="CC73" i="20"/>
  <c r="CC154" i="20"/>
  <c r="B308" i="20"/>
  <c r="J236" i="2"/>
  <c r="I71" i="2"/>
  <c r="I152" i="2" s="1"/>
  <c r="Z236" i="2"/>
  <c r="Y71" i="2"/>
  <c r="Y152" i="2" s="1"/>
  <c r="AP238" i="20"/>
  <c r="AO73" i="20"/>
  <c r="AO154" i="20" s="1"/>
  <c r="BH238" i="20"/>
  <c r="BG73" i="20"/>
  <c r="BG154" i="20"/>
  <c r="AF186" i="2"/>
  <c r="AF176" i="2" s="1"/>
  <c r="AF149" i="2"/>
  <c r="AF95" i="2"/>
  <c r="AF122" i="2" s="1"/>
  <c r="C236" i="2"/>
  <c r="B309" i="2"/>
  <c r="X237" i="20"/>
  <c r="W72" i="20"/>
  <c r="W153" i="20" s="1"/>
  <c r="P237" i="20"/>
  <c r="O72" i="20"/>
  <c r="O153" i="20" s="1"/>
  <c r="CE237" i="20"/>
  <c r="CD72" i="20"/>
  <c r="CD153" i="20" s="1"/>
  <c r="CL237" i="20"/>
  <c r="CK72" i="20"/>
  <c r="CK153" i="20" s="1"/>
  <c r="CD237" i="20"/>
  <c r="CC72" i="20"/>
  <c r="CC153" i="20" s="1"/>
  <c r="CQ237" i="20"/>
  <c r="CP72" i="20"/>
  <c r="CP153" i="20"/>
  <c r="L237" i="20"/>
  <c r="K72" i="20"/>
  <c r="K153" i="20"/>
  <c r="BU237" i="20"/>
  <c r="BT72" i="20"/>
  <c r="BT153" i="20"/>
  <c r="BH237" i="20"/>
  <c r="BG72" i="20"/>
  <c r="BG153" i="20" s="1"/>
  <c r="BM237" i="20"/>
  <c r="BL72" i="20"/>
  <c r="BL153" i="20"/>
  <c r="AW236" i="2"/>
  <c r="AV71" i="2"/>
  <c r="AV152" i="2" s="1"/>
  <c r="AE235" i="2"/>
  <c r="AD70" i="2"/>
  <c r="AD151" i="2" s="1"/>
  <c r="AS235" i="2"/>
  <c r="AR70" i="2"/>
  <c r="AR151" i="2" s="1"/>
  <c r="AV235" i="2"/>
  <c r="AU70" i="2"/>
  <c r="AU151" i="2" s="1"/>
  <c r="CG235" i="2"/>
  <c r="CF70" i="2"/>
  <c r="CF151" i="2" s="1"/>
  <c r="BH235" i="2"/>
  <c r="BG70" i="2"/>
  <c r="BG151" i="2" s="1"/>
  <c r="AQ43" i="2"/>
  <c r="Y43" i="2"/>
  <c r="AW43" i="2"/>
  <c r="AG43" i="2"/>
  <c r="CA43" i="2"/>
  <c r="BT43" i="2"/>
  <c r="Z43" i="2"/>
  <c r="BX236" i="2"/>
  <c r="BW71" i="2"/>
  <c r="BW152" i="2" s="1"/>
  <c r="E238" i="20"/>
  <c r="D73" i="20"/>
  <c r="D154" i="20" s="1"/>
  <c r="B307" i="20"/>
  <c r="AD236" i="2"/>
  <c r="AC71" i="2"/>
  <c r="AC152" i="2" s="1"/>
  <c r="BC238" i="20"/>
  <c r="BB73" i="20"/>
  <c r="BB154" i="20"/>
  <c r="BB238" i="20"/>
  <c r="BA73" i="20"/>
  <c r="BA154" i="20" s="1"/>
  <c r="AG236" i="2"/>
  <c r="AF71" i="2"/>
  <c r="AF152" i="2" s="1"/>
  <c r="AT238" i="20"/>
  <c r="AS73" i="20"/>
  <c r="AS154" i="20"/>
  <c r="N238" i="20"/>
  <c r="M73" i="20"/>
  <c r="M154" i="20" s="1"/>
  <c r="AW238" i="20"/>
  <c r="AV73" i="20"/>
  <c r="AV154" i="20" s="1"/>
  <c r="B235" i="2"/>
  <c r="B206" i="2"/>
  <c r="B234" i="2" s="1"/>
  <c r="W237" i="20"/>
  <c r="V72" i="20"/>
  <c r="V153" i="20" s="1"/>
  <c r="O237" i="20"/>
  <c r="N72" i="20"/>
  <c r="N153" i="20" s="1"/>
  <c r="CB237" i="20"/>
  <c r="CA72" i="20"/>
  <c r="CA153" i="20" s="1"/>
  <c r="AW237" i="20"/>
  <c r="AV72" i="20"/>
  <c r="AV153" i="20" s="1"/>
  <c r="AS237" i="20"/>
  <c r="AR72" i="20"/>
  <c r="AR153" i="20" s="1"/>
  <c r="BX237" i="20"/>
  <c r="BW72" i="20"/>
  <c r="BW153" i="20" s="1"/>
  <c r="AQ237" i="20"/>
  <c r="AP72" i="20"/>
  <c r="AP153" i="20" s="1"/>
  <c r="CO237" i="20"/>
  <c r="CN72" i="20"/>
  <c r="CN153" i="20" s="1"/>
  <c r="CI237" i="20"/>
  <c r="CH72" i="20"/>
  <c r="CH153" i="20" s="1"/>
  <c r="CT44" i="20"/>
  <c r="BI44" i="20" s="1"/>
  <c r="CR44" i="20"/>
  <c r="BS44" i="20"/>
  <c r="AR44" i="20"/>
  <c r="C44" i="20"/>
  <c r="AX44" i="20"/>
  <c r="B43" i="20"/>
  <c r="I44" i="20"/>
  <c r="CH44" i="20"/>
  <c r="B98" i="20"/>
  <c r="CK44" i="20"/>
  <c r="BM44" i="20"/>
  <c r="AZ44" i="20"/>
  <c r="BT44" i="20"/>
  <c r="J44" i="20"/>
  <c r="D44" i="20"/>
  <c r="BG44" i="20"/>
  <c r="BC44" i="20"/>
  <c r="K44" i="20"/>
  <c r="P44" i="20"/>
  <c r="S44" i="20"/>
  <c r="X44" i="20"/>
  <c r="AA44" i="20"/>
  <c r="CR236" i="2"/>
  <c r="CQ71" i="2"/>
  <c r="CQ152" i="2" s="1"/>
  <c r="CI235" i="2"/>
  <c r="CH70" i="2"/>
  <c r="CH151" i="2" s="1"/>
  <c r="BR235" i="2"/>
  <c r="BQ70" i="2"/>
  <c r="BQ151" i="2" s="1"/>
  <c r="Q235" i="2"/>
  <c r="P70" i="2"/>
  <c r="P151" i="2" s="1"/>
  <c r="CQ235" i="2"/>
  <c r="CP70" i="2"/>
  <c r="CP151" i="2" s="1"/>
  <c r="I235" i="2"/>
  <c r="H70" i="2"/>
  <c r="H151" i="2" s="1"/>
  <c r="CA235" i="2"/>
  <c r="BZ70" i="2"/>
  <c r="BZ151" i="2" s="1"/>
  <c r="AM235" i="2"/>
  <c r="AL70" i="2"/>
  <c r="AL151" i="2" s="1"/>
  <c r="AI235" i="2"/>
  <c r="AH70" i="2"/>
  <c r="AH151" i="2" s="1"/>
  <c r="U235" i="2"/>
  <c r="T70" i="2"/>
  <c r="T151" i="2" s="1"/>
  <c r="AU235" i="2"/>
  <c r="AT70" i="2"/>
  <c r="AT151" i="2" s="1"/>
  <c r="R235" i="2"/>
  <c r="Q70" i="2"/>
  <c r="Q151" i="2" s="1"/>
  <c r="CB236" i="2"/>
  <c r="CA71" i="2"/>
  <c r="CA152" i="2" s="1"/>
  <c r="BE238" i="20"/>
  <c r="BD73" i="20"/>
  <c r="BD154" i="20"/>
  <c r="BR236" i="2"/>
  <c r="BQ71" i="2"/>
  <c r="BQ152" i="2" s="1"/>
  <c r="BK236" i="2"/>
  <c r="BJ71" i="2"/>
  <c r="BJ152" i="2" s="1"/>
  <c r="F238" i="20"/>
  <c r="E73" i="20"/>
  <c r="E154" i="20"/>
  <c r="U238" i="20"/>
  <c r="T73" i="20"/>
  <c r="T154" i="20" s="1"/>
  <c r="Y236" i="2"/>
  <c r="X71" i="2"/>
  <c r="X152" i="2" s="1"/>
  <c r="BA238" i="20"/>
  <c r="AZ154" i="20"/>
  <c r="AZ73" i="20"/>
  <c r="V238" i="20"/>
  <c r="U73" i="20"/>
  <c r="U154" i="20" s="1"/>
  <c r="AS238" i="20"/>
  <c r="AR73" i="20"/>
  <c r="AR154" i="20" s="1"/>
  <c r="AD237" i="20"/>
  <c r="AC72" i="20"/>
  <c r="AC153" i="20" s="1"/>
  <c r="V237" i="20"/>
  <c r="U72" i="20"/>
  <c r="U153" i="20" s="1"/>
  <c r="N237" i="20"/>
  <c r="M72" i="20"/>
  <c r="M153" i="20" s="1"/>
  <c r="K237" i="20"/>
  <c r="J72" i="20"/>
  <c r="J153" i="20" s="1"/>
  <c r="BS237" i="20"/>
  <c r="BR153" i="20"/>
  <c r="BR72" i="20"/>
  <c r="BB237" i="20"/>
  <c r="BA72" i="20"/>
  <c r="BA153" i="20" s="1"/>
  <c r="D237" i="20"/>
  <c r="E209" i="20"/>
  <c r="I209" i="20" s="1"/>
  <c r="J209" i="20" s="1"/>
  <c r="D209" i="20"/>
  <c r="C237" i="20"/>
  <c r="BE237" i="20"/>
  <c r="BD72" i="20"/>
  <c r="BD153" i="20"/>
  <c r="BD237" i="20"/>
  <c r="BC72" i="20"/>
  <c r="BC153" i="20" s="1"/>
  <c r="AR237" i="20"/>
  <c r="AQ72" i="20"/>
  <c r="AQ153" i="20" s="1"/>
  <c r="CS237" i="20"/>
  <c r="CR72" i="20"/>
  <c r="CR153" i="20" s="1"/>
  <c r="BA235" i="2"/>
  <c r="AZ70" i="2"/>
  <c r="AZ151" i="2" s="1"/>
  <c r="BS235" i="2"/>
  <c r="BR70" i="2"/>
  <c r="BR151" i="2" s="1"/>
  <c r="X235" i="2"/>
  <c r="W70" i="2"/>
  <c r="W151" i="2" s="1"/>
  <c r="BF235" i="2"/>
  <c r="BE70" i="2"/>
  <c r="BE151" i="2" s="1"/>
  <c r="AZ235" i="2"/>
  <c r="AY70" i="2"/>
  <c r="AY151" i="2" s="1"/>
  <c r="BW235" i="2"/>
  <c r="BV70" i="2"/>
  <c r="BV151" i="2" s="1"/>
  <c r="AK235" i="2"/>
  <c r="AJ70" i="2"/>
  <c r="AJ151" i="2" s="1"/>
  <c r="CE235" i="2"/>
  <c r="CD70" i="2"/>
  <c r="CD151" i="2" s="1"/>
  <c r="BM235" i="2"/>
  <c r="BL70" i="2"/>
  <c r="BL151" i="2" s="1"/>
  <c r="AT235" i="2"/>
  <c r="AS70" i="2"/>
  <c r="AS151" i="2" s="1"/>
  <c r="N235" i="2"/>
  <c r="M70" i="2"/>
  <c r="M151" i="2" s="1"/>
  <c r="AC235" i="2"/>
  <c r="AB70" i="2"/>
  <c r="AB151" i="2" s="1"/>
  <c r="BD235" i="2"/>
  <c r="BC70" i="2"/>
  <c r="BC151" i="2" s="1"/>
  <c r="CB238" i="20"/>
  <c r="CA73" i="20"/>
  <c r="CA154" i="20" s="1"/>
  <c r="BW238" i="20"/>
  <c r="BV73" i="20"/>
  <c r="BV154" i="20" s="1"/>
  <c r="CP236" i="2"/>
  <c r="CO71" i="2"/>
  <c r="CO152" i="2" s="1"/>
  <c r="AI236" i="2"/>
  <c r="AH71" i="2"/>
  <c r="AH152" i="2" s="1"/>
  <c r="BL238" i="20"/>
  <c r="BK73" i="20"/>
  <c r="BK154" i="20" s="1"/>
  <c r="AC238" i="20"/>
  <c r="AB73" i="20"/>
  <c r="AB154" i="20" s="1"/>
  <c r="BV236" i="2"/>
  <c r="BU71" i="2"/>
  <c r="BU152" i="2" s="1"/>
  <c r="W236" i="2"/>
  <c r="V71" i="2"/>
  <c r="V152" i="2" s="1"/>
  <c r="CP238" i="20"/>
  <c r="CO73" i="20"/>
  <c r="CO154" i="20" s="1"/>
  <c r="BF238" i="20"/>
  <c r="BE73" i="20"/>
  <c r="BE154" i="20" s="1"/>
  <c r="AC237" i="20"/>
  <c r="AB72" i="20"/>
  <c r="AB153" i="20" s="1"/>
  <c r="U237" i="20"/>
  <c r="T72" i="20"/>
  <c r="T153" i="20" s="1"/>
  <c r="CN237" i="20"/>
  <c r="CM72" i="20"/>
  <c r="CM153" i="20" s="1"/>
  <c r="H237" i="20"/>
  <c r="G72" i="20"/>
  <c r="G153" i="20" s="1"/>
  <c r="BC237" i="20"/>
  <c r="BB72" i="20"/>
  <c r="BB153" i="20" s="1"/>
  <c r="BP237" i="20"/>
  <c r="BO72" i="20"/>
  <c r="BO153" i="20" s="1"/>
  <c r="CM237" i="20"/>
  <c r="CL72" i="20"/>
  <c r="CL153" i="20" s="1"/>
  <c r="BY237" i="20"/>
  <c r="BX72" i="20"/>
  <c r="BX153" i="20" s="1"/>
  <c r="M237" i="20"/>
  <c r="L72" i="20"/>
  <c r="L153" i="20" s="1"/>
  <c r="BW237" i="20"/>
  <c r="BV72" i="20"/>
  <c r="BV153" i="20" s="1"/>
  <c r="BR237" i="20"/>
  <c r="BQ72" i="20"/>
  <c r="BQ153" i="20" s="1"/>
  <c r="BT238" i="20"/>
  <c r="BS73" i="20"/>
  <c r="BS154" i="20" s="1"/>
  <c r="G235" i="2"/>
  <c r="F70" i="2"/>
  <c r="F151" i="2" s="1"/>
  <c r="BQ235" i="2"/>
  <c r="BP70" i="2"/>
  <c r="BP151" i="2" s="1"/>
  <c r="BB235" i="2"/>
  <c r="BA70" i="2"/>
  <c r="BA151" i="2" s="1"/>
  <c r="W235" i="2"/>
  <c r="V70" i="2"/>
  <c r="V151" i="2" s="1"/>
  <c r="BG235" i="2"/>
  <c r="BF70" i="2"/>
  <c r="BF151" i="2" s="1"/>
  <c r="F235" i="2"/>
  <c r="E70" i="2"/>
  <c r="E151" i="2" s="1"/>
  <c r="CJ235" i="2"/>
  <c r="CI70" i="2"/>
  <c r="CI151" i="2" s="1"/>
  <c r="CO235" i="2"/>
  <c r="CN70" i="2"/>
  <c r="CN151" i="2" s="1"/>
  <c r="CD235" i="2"/>
  <c r="CC70" i="2"/>
  <c r="CC151" i="2" s="1"/>
  <c r="BC235" i="2"/>
  <c r="BB70" i="2"/>
  <c r="BB151" i="2" s="1"/>
  <c r="J235" i="2"/>
  <c r="I70" i="2"/>
  <c r="I151" i="2" s="1"/>
  <c r="AJ236" i="2"/>
  <c r="AI71" i="2"/>
  <c r="AI152" i="2" s="1"/>
  <c r="AU238" i="20"/>
  <c r="AT73" i="20"/>
  <c r="AT154" i="20" s="1"/>
  <c r="T238" i="20"/>
  <c r="S73" i="20"/>
  <c r="S154" i="20" s="1"/>
  <c r="BN236" i="2"/>
  <c r="BM71" i="2"/>
  <c r="BM152" i="2" s="1"/>
  <c r="BI236" i="2"/>
  <c r="BH71" i="2"/>
  <c r="BH152" i="2" s="1"/>
  <c r="AV238" i="20"/>
  <c r="AU73" i="20"/>
  <c r="AU154" i="20" s="1"/>
  <c r="CN236" i="2"/>
  <c r="CM71" i="2"/>
  <c r="CM152" i="2" s="1"/>
  <c r="CS236" i="2"/>
  <c r="CR71" i="2"/>
  <c r="CR152" i="2" s="1"/>
  <c r="CH238" i="20"/>
  <c r="CG73" i="20"/>
  <c r="CG154" i="20" s="1"/>
  <c r="AD238" i="20"/>
  <c r="AC73" i="20"/>
  <c r="AC154" i="20" s="1"/>
  <c r="K208" i="2"/>
  <c r="G208" i="2"/>
  <c r="F208" i="2"/>
  <c r="AB237" i="20"/>
  <c r="AA72" i="20"/>
  <c r="AA153" i="20" s="1"/>
  <c r="T237" i="20"/>
  <c r="S72" i="20"/>
  <c r="S153" i="20" s="1"/>
  <c r="BK237" i="20"/>
  <c r="BJ72" i="20"/>
  <c r="BJ153" i="20" s="1"/>
  <c r="CJ237" i="20"/>
  <c r="CI72" i="20"/>
  <c r="CI153" i="20" s="1"/>
  <c r="BJ237" i="20"/>
  <c r="BI72" i="20"/>
  <c r="BI153" i="20" s="1"/>
  <c r="AZ237" i="20"/>
  <c r="AY72" i="20"/>
  <c r="AY153" i="20" s="1"/>
  <c r="BV237" i="20"/>
  <c r="BU72" i="20"/>
  <c r="BU153" i="20" s="1"/>
  <c r="BQ237" i="20"/>
  <c r="BP72" i="20"/>
  <c r="BP153" i="20" s="1"/>
  <c r="E237" i="20"/>
  <c r="D72" i="20"/>
  <c r="D153" i="20" s="1"/>
  <c r="CK237" i="20"/>
  <c r="CJ72" i="20"/>
  <c r="CJ153" i="20" s="1"/>
  <c r="CS72" i="20"/>
  <c r="CS153" i="20" s="1"/>
  <c r="K238" i="20"/>
  <c r="J73" i="20"/>
  <c r="J154" i="20" s="1"/>
  <c r="AJ235" i="2"/>
  <c r="AI70" i="2"/>
  <c r="AI151" i="2" s="1"/>
  <c r="BJ235" i="2"/>
  <c r="BI70" i="2"/>
  <c r="BI151" i="2" s="1"/>
  <c r="P235" i="2"/>
  <c r="O70" i="2"/>
  <c r="O151" i="2" s="1"/>
  <c r="AL235" i="2"/>
  <c r="AK70" i="2"/>
  <c r="AK151" i="2" s="1"/>
  <c r="BI235" i="2"/>
  <c r="BH70" i="2"/>
  <c r="BH151" i="2" s="1"/>
  <c r="CK235" i="2"/>
  <c r="CJ70" i="2"/>
  <c r="CJ151" i="2" s="1"/>
  <c r="AN235" i="2"/>
  <c r="AM70" i="2"/>
  <c r="AM151" i="2" s="1"/>
  <c r="AN43" i="2"/>
  <c r="AF43" i="2"/>
  <c r="BY43" i="2"/>
  <c r="AC43" i="2"/>
  <c r="BM43" i="2"/>
  <c r="AH236" i="2"/>
  <c r="AG71" i="2"/>
  <c r="AG152" i="2" s="1"/>
  <c r="CS238" i="20"/>
  <c r="CR73" i="20"/>
  <c r="CR154" i="20"/>
  <c r="AB238" i="20"/>
  <c r="AA73" i="20"/>
  <c r="AA154" i="20" s="1"/>
  <c r="O236" i="2"/>
  <c r="N71" i="2"/>
  <c r="N152" i="2" s="1"/>
  <c r="M238" i="20"/>
  <c r="L73" i="20"/>
  <c r="L154" i="20" s="1"/>
  <c r="AC236" i="2"/>
  <c r="AB71" i="2"/>
  <c r="AB152" i="2" s="1"/>
  <c r="CQ236" i="2"/>
  <c r="CP71" i="2"/>
  <c r="CP152" i="2" s="1"/>
  <c r="D238" i="20"/>
  <c r="D210" i="20"/>
  <c r="E210" i="20"/>
  <c r="I210" i="20" s="1"/>
  <c r="J210" i="20" s="1"/>
  <c r="C238" i="20"/>
  <c r="AF175" i="19"/>
  <c r="AF69" i="19"/>
  <c r="AF150" i="19" s="1"/>
  <c r="U177" i="19"/>
  <c r="U187" i="19" s="1"/>
  <c r="U181" i="19"/>
  <c r="U191" i="19" s="1"/>
  <c r="U195" i="19" s="1"/>
  <c r="CB180" i="19"/>
  <c r="CB190" i="19" s="1"/>
  <c r="CB183" i="19"/>
  <c r="CB193" i="19" s="1"/>
  <c r="CB182" i="19"/>
  <c r="CB192" i="19" s="1"/>
  <c r="CB179" i="19"/>
  <c r="CB189" i="19" s="1"/>
  <c r="CB178" i="19"/>
  <c r="CB188" i="19" s="1"/>
  <c r="CB184" i="19"/>
  <c r="CB194" i="19" s="1"/>
  <c r="U184" i="19"/>
  <c r="U194" i="19" s="1"/>
  <c r="U179" i="19"/>
  <c r="U189" i="19" s="1"/>
  <c r="U178" i="19"/>
  <c r="U188" i="19" s="1"/>
  <c r="U180" i="19"/>
  <c r="U190" i="19" s="1"/>
  <c r="U183" i="19"/>
  <c r="U193" i="19" s="1"/>
  <c r="U182" i="19"/>
  <c r="U192" i="19" s="1"/>
  <c r="BW177" i="19"/>
  <c r="BW187" i="19" s="1"/>
  <c r="BW181" i="19"/>
  <c r="BW191" i="19" s="1"/>
  <c r="BW195" i="19" s="1"/>
  <c r="T181" i="19"/>
  <c r="T191" i="19" s="1"/>
  <c r="T195" i="19" s="1"/>
  <c r="T177" i="19"/>
  <c r="T187" i="19" s="1"/>
  <c r="S183" i="19"/>
  <c r="S193" i="19" s="1"/>
  <c r="S184" i="19"/>
  <c r="S194" i="19" s="1"/>
  <c r="S182" i="19"/>
  <c r="S192" i="19" s="1"/>
  <c r="S179" i="19"/>
  <c r="S189" i="19" s="1"/>
  <c r="S178" i="19"/>
  <c r="S188" i="19" s="1"/>
  <c r="S180" i="19"/>
  <c r="S190" i="19" s="1"/>
  <c r="BO183" i="19"/>
  <c r="BO193" i="19" s="1"/>
  <c r="BO184" i="19"/>
  <c r="BO194" i="19" s="1"/>
  <c r="BO182" i="19"/>
  <c r="BO192" i="19" s="1"/>
  <c r="BO179" i="19"/>
  <c r="BO189" i="19" s="1"/>
  <c r="BO178" i="19"/>
  <c r="BO188" i="19" s="1"/>
  <c r="BO180" i="19"/>
  <c r="BO190" i="19" s="1"/>
  <c r="I175" i="19"/>
  <c r="I69" i="19"/>
  <c r="I150" i="19" s="1"/>
  <c r="CJ175" i="19"/>
  <c r="CJ69" i="19"/>
  <c r="CJ150" i="19" s="1"/>
  <c r="AF72" i="19"/>
  <c r="AF153" i="19" s="1"/>
  <c r="AF80" i="19"/>
  <c r="AF161" i="19" s="1"/>
  <c r="AF87" i="19"/>
  <c r="AF168" i="19" s="1"/>
  <c r="BS175" i="19"/>
  <c r="BS69" i="19"/>
  <c r="BS150" i="19" s="1"/>
  <c r="CA175" i="19"/>
  <c r="CA69" i="19"/>
  <c r="CA150" i="19" s="1"/>
  <c r="AA182" i="19"/>
  <c r="AA192" i="19" s="1"/>
  <c r="AA179" i="19"/>
  <c r="AA189" i="19" s="1"/>
  <c r="AA178" i="19"/>
  <c r="AA188" i="19" s="1"/>
  <c r="AA180" i="19"/>
  <c r="AA190" i="19" s="1"/>
  <c r="AA183" i="19"/>
  <c r="AA193" i="19" s="1"/>
  <c r="AA184" i="19"/>
  <c r="AA194" i="19" s="1"/>
  <c r="L181" i="19"/>
  <c r="L191" i="19" s="1"/>
  <c r="L195" i="19" s="1"/>
  <c r="L177" i="19"/>
  <c r="L187" i="19" s="1"/>
  <c r="CE181" i="19"/>
  <c r="CE191" i="19" s="1"/>
  <c r="CE195" i="19" s="1"/>
  <c r="CE177" i="19"/>
  <c r="CE187" i="19" s="1"/>
  <c r="N69" i="19"/>
  <c r="N150" i="19" s="1"/>
  <c r="N175" i="19"/>
  <c r="CH175" i="19"/>
  <c r="CH69" i="19"/>
  <c r="CH150" i="19" s="1"/>
  <c r="BX184" i="19"/>
  <c r="BX194" i="19" s="1"/>
  <c r="BX182" i="19"/>
  <c r="BX192" i="19" s="1"/>
  <c r="BX179" i="19"/>
  <c r="BX189" i="19" s="1"/>
  <c r="BX178" i="19"/>
  <c r="BX188" i="19" s="1"/>
  <c r="BX180" i="19"/>
  <c r="BX190" i="19" s="1"/>
  <c r="BX183" i="19"/>
  <c r="BX193" i="19" s="1"/>
  <c r="CM177" i="19"/>
  <c r="CM187" i="19" s="1"/>
  <c r="CM181" i="19"/>
  <c r="CM191" i="19" s="1"/>
  <c r="CM195" i="19" s="1"/>
  <c r="BF183" i="19"/>
  <c r="BF193" i="19" s="1"/>
  <c r="BF182" i="19"/>
  <c r="BF192" i="19" s="1"/>
  <c r="BF179" i="19"/>
  <c r="BF189" i="19" s="1"/>
  <c r="BF178" i="19"/>
  <c r="BF188" i="19" s="1"/>
  <c r="BF180" i="19"/>
  <c r="BF190" i="19" s="1"/>
  <c r="BF184" i="19"/>
  <c r="BF194" i="19" s="1"/>
  <c r="AE79" i="20"/>
  <c r="AE160" i="20" s="1"/>
  <c r="AE78" i="20"/>
  <c r="AE159" i="20" s="1"/>
  <c r="AE89" i="20"/>
  <c r="AE170" i="20" s="1"/>
  <c r="X175" i="19"/>
  <c r="X69" i="19"/>
  <c r="X150" i="19" s="1"/>
  <c r="A208" i="19"/>
  <c r="A236" i="19"/>
  <c r="A71" i="19"/>
  <c r="J177" i="19"/>
  <c r="J187" i="19" s="1"/>
  <c r="J181" i="19"/>
  <c r="J191" i="19" s="1"/>
  <c r="J195" i="19" s="1"/>
  <c r="AG69" i="19"/>
  <c r="AG150" i="19" s="1"/>
  <c r="AF73" i="19"/>
  <c r="AF154" i="19" s="1"/>
  <c r="AF81" i="19"/>
  <c r="AF162" i="19" s="1"/>
  <c r="AF88" i="19"/>
  <c r="AF169" i="19" s="1"/>
  <c r="BR175" i="19"/>
  <c r="BR69" i="19"/>
  <c r="BR150" i="19" s="1"/>
  <c r="CP183" i="19"/>
  <c r="CP193" i="19" s="1"/>
  <c r="CP182" i="19"/>
  <c r="CP192" i="19" s="1"/>
  <c r="CP184" i="19"/>
  <c r="CP194" i="19" s="1"/>
  <c r="CP178" i="19"/>
  <c r="CP188" i="19" s="1"/>
  <c r="CP179" i="19"/>
  <c r="CP189" i="19" s="1"/>
  <c r="CP180" i="19"/>
  <c r="CP190" i="19" s="1"/>
  <c r="L178" i="19"/>
  <c r="L188" i="19" s="1"/>
  <c r="L180" i="19"/>
  <c r="L190" i="19" s="1"/>
  <c r="L183" i="19"/>
  <c r="L193" i="19" s="1"/>
  <c r="L184" i="19"/>
  <c r="L194" i="19" s="1"/>
  <c r="L182" i="19"/>
  <c r="L192" i="19" s="1"/>
  <c r="L179" i="19"/>
  <c r="L189" i="19" s="1"/>
  <c r="CO177" i="19"/>
  <c r="CO187" i="19" s="1"/>
  <c r="CO181" i="19"/>
  <c r="CO191" i="19" s="1"/>
  <c r="CO195" i="19" s="1"/>
  <c r="BV181" i="19"/>
  <c r="BV191" i="19" s="1"/>
  <c r="BV195" i="19" s="1"/>
  <c r="BV177" i="19"/>
  <c r="BV187" i="19" s="1"/>
  <c r="B72" i="2"/>
  <c r="A17" i="2"/>
  <c r="B16" i="2"/>
  <c r="B153" i="2"/>
  <c r="B126" i="2" s="1"/>
  <c r="AX69" i="19"/>
  <c r="AX150" i="19" s="1"/>
  <c r="AX175" i="19"/>
  <c r="O207" i="19"/>
  <c r="M210" i="19"/>
  <c r="G210" i="19" s="1"/>
  <c r="CM178" i="19"/>
  <c r="CM188" i="19" s="1"/>
  <c r="CM180" i="19"/>
  <c r="CM190" i="19" s="1"/>
  <c r="CM183" i="19"/>
  <c r="CM193" i="19" s="1"/>
  <c r="CM184" i="19"/>
  <c r="CM194" i="19" s="1"/>
  <c r="CM182" i="19"/>
  <c r="CM192" i="19" s="1"/>
  <c r="CM179" i="19"/>
  <c r="CM189" i="19" s="1"/>
  <c r="AT184" i="19"/>
  <c r="AT194" i="19" s="1"/>
  <c r="AT178" i="19"/>
  <c r="AT188" i="19" s="1"/>
  <c r="AT179" i="19"/>
  <c r="AT189" i="19" s="1"/>
  <c r="AT180" i="19"/>
  <c r="AT190" i="19" s="1"/>
  <c r="AT183" i="19"/>
  <c r="AT193" i="19" s="1"/>
  <c r="AT182" i="19"/>
  <c r="AT192" i="19" s="1"/>
  <c r="AE80" i="20"/>
  <c r="AE161" i="20" s="1"/>
  <c r="AE90" i="20"/>
  <c r="AE171" i="20" s="1"/>
  <c r="AD175" i="19"/>
  <c r="AD69" i="19"/>
  <c r="AD150" i="19" s="1"/>
  <c r="J182" i="19"/>
  <c r="J192" i="19" s="1"/>
  <c r="J179" i="19"/>
  <c r="J189" i="19" s="1"/>
  <c r="J178" i="19"/>
  <c r="J188" i="19" s="1"/>
  <c r="J180" i="19"/>
  <c r="J190" i="19" s="1"/>
  <c r="J183" i="19"/>
  <c r="J193" i="19" s="1"/>
  <c r="J184" i="19"/>
  <c r="J194" i="19" s="1"/>
  <c r="CC177" i="19"/>
  <c r="CC187" i="19" s="1"/>
  <c r="CC181" i="19"/>
  <c r="CC191" i="19" s="1"/>
  <c r="CC195" i="19" s="1"/>
  <c r="BO181" i="19"/>
  <c r="BO191" i="19" s="1"/>
  <c r="BO195" i="19" s="1"/>
  <c r="BO177" i="19"/>
  <c r="BO187" i="19" s="1"/>
  <c r="Q175" i="19"/>
  <c r="Q69" i="19"/>
  <c r="Q150" i="19" s="1"/>
  <c r="BN175" i="19"/>
  <c r="BN69" i="19"/>
  <c r="BN150" i="19" s="1"/>
  <c r="AF74" i="19"/>
  <c r="AF155" i="19" s="1"/>
  <c r="AF83" i="19"/>
  <c r="AF164" i="19" s="1"/>
  <c r="AF90" i="19"/>
  <c r="AF171" i="19" s="1"/>
  <c r="AU175" i="19"/>
  <c r="AU69" i="19"/>
  <c r="AU150" i="19" s="1"/>
  <c r="AZ182" i="19"/>
  <c r="AZ192" i="19" s="1"/>
  <c r="AZ179" i="19"/>
  <c r="AZ189" i="19" s="1"/>
  <c r="AZ180" i="19"/>
  <c r="AZ190" i="19" s="1"/>
  <c r="AZ178" i="19"/>
  <c r="AZ188" i="19" s="1"/>
  <c r="AZ183" i="19"/>
  <c r="AZ193" i="19" s="1"/>
  <c r="AZ184" i="19"/>
  <c r="AZ194" i="19" s="1"/>
  <c r="CO184" i="19"/>
  <c r="CO194" i="19" s="1"/>
  <c r="CO179" i="19"/>
  <c r="CO189" i="19" s="1"/>
  <c r="CO178" i="19"/>
  <c r="CO188" i="19" s="1"/>
  <c r="CO180" i="19"/>
  <c r="CO190" i="19" s="1"/>
  <c r="CO183" i="19"/>
  <c r="CO193" i="19" s="1"/>
  <c r="CO182" i="19"/>
  <c r="CO192" i="19" s="1"/>
  <c r="G207" i="19"/>
  <c r="K207" i="19"/>
  <c r="F207" i="19"/>
  <c r="CR177" i="19"/>
  <c r="CR187" i="19" s="1"/>
  <c r="CR181" i="19"/>
  <c r="CR191" i="19" s="1"/>
  <c r="CR195" i="19" s="1"/>
  <c r="AB181" i="19"/>
  <c r="AB191" i="19" s="1"/>
  <c r="AB195" i="19" s="1"/>
  <c r="AB177" i="19"/>
  <c r="AB187" i="19" s="1"/>
  <c r="AE82" i="20"/>
  <c r="AE163" i="20" s="1"/>
  <c r="AE92" i="20"/>
  <c r="AE173" i="20" s="1"/>
  <c r="CI175" i="19"/>
  <c r="CI69" i="19"/>
  <c r="CI150" i="19" s="1"/>
  <c r="O175" i="19"/>
  <c r="O69" i="19"/>
  <c r="O150" i="19" s="1"/>
  <c r="X186" i="19"/>
  <c r="X176" i="19" s="1"/>
  <c r="X149" i="19"/>
  <c r="X95" i="19"/>
  <c r="X122" i="19" s="1"/>
  <c r="BE181" i="19"/>
  <c r="BE191" i="19" s="1"/>
  <c r="BE195" i="19" s="1"/>
  <c r="BE177" i="19"/>
  <c r="BE187" i="19" s="1"/>
  <c r="BW184" i="19"/>
  <c r="BW194" i="19" s="1"/>
  <c r="BW182" i="19"/>
  <c r="BW192" i="19" s="1"/>
  <c r="BW179" i="19"/>
  <c r="BW189" i="19" s="1"/>
  <c r="BW178" i="19"/>
  <c r="BW188" i="19" s="1"/>
  <c r="BW180" i="19"/>
  <c r="BW190" i="19" s="1"/>
  <c r="BW183" i="19"/>
  <c r="BW193" i="19" s="1"/>
  <c r="AO181" i="19"/>
  <c r="AO191" i="19" s="1"/>
  <c r="AO195" i="19" s="1"/>
  <c r="AO177" i="19"/>
  <c r="AO187" i="19" s="1"/>
  <c r="BB175" i="19"/>
  <c r="BB69" i="19"/>
  <c r="BB150" i="19" s="1"/>
  <c r="BY181" i="19"/>
  <c r="BY191" i="19" s="1"/>
  <c r="BY195" i="19" s="1"/>
  <c r="BY177" i="19"/>
  <c r="BY187" i="19" s="1"/>
  <c r="AO182" i="19"/>
  <c r="AO192" i="19" s="1"/>
  <c r="AO180" i="19"/>
  <c r="AO190" i="19" s="1"/>
  <c r="AO178" i="19"/>
  <c r="AO188" i="19" s="1"/>
  <c r="AO179" i="19"/>
  <c r="AO189" i="19" s="1"/>
  <c r="AO183" i="19"/>
  <c r="AO193" i="19" s="1"/>
  <c r="AO184" i="19"/>
  <c r="AO194" i="19" s="1"/>
  <c r="CF175" i="19"/>
  <c r="CF69" i="19"/>
  <c r="CF150" i="19" s="1"/>
  <c r="BY178" i="19"/>
  <c r="BY188" i="19" s="1"/>
  <c r="BY180" i="19"/>
  <c r="BY190" i="19" s="1"/>
  <c r="BY183" i="19"/>
  <c r="BY193" i="19" s="1"/>
  <c r="BY182" i="19"/>
  <c r="BY192" i="19" s="1"/>
  <c r="BY184" i="19"/>
  <c r="BY194" i="19" s="1"/>
  <c r="BY179" i="19"/>
  <c r="BY189" i="19" s="1"/>
  <c r="AC181" i="19"/>
  <c r="AC191" i="19" s="1"/>
  <c r="AC195" i="19" s="1"/>
  <c r="AC177" i="19"/>
  <c r="AC187" i="19" s="1"/>
  <c r="Z13" i="19"/>
  <c r="Y68" i="19"/>
  <c r="Y12" i="19"/>
  <c r="CC183" i="19"/>
  <c r="CC193" i="19" s="1"/>
  <c r="CC184" i="19"/>
  <c r="CC194" i="19" s="1"/>
  <c r="CC182" i="19"/>
  <c r="CC192" i="19" s="1"/>
  <c r="CC180" i="19"/>
  <c r="CC190" i="19" s="1"/>
  <c r="CC178" i="19"/>
  <c r="CC188" i="19" s="1"/>
  <c r="CC179" i="19"/>
  <c r="CC189" i="19" s="1"/>
  <c r="BQ177" i="19"/>
  <c r="BQ187" i="19" s="1"/>
  <c r="BQ181" i="19"/>
  <c r="BQ191" i="19" s="1"/>
  <c r="BQ195" i="19" s="1"/>
  <c r="AR175" i="19"/>
  <c r="AR69" i="19"/>
  <c r="AR150" i="19" s="1"/>
  <c r="BJ175" i="19"/>
  <c r="BJ69" i="19"/>
  <c r="BJ150" i="19" s="1"/>
  <c r="AF76" i="19"/>
  <c r="AF157" i="19" s="1"/>
  <c r="AF82" i="19"/>
  <c r="AF163" i="19" s="1"/>
  <c r="AF91" i="19"/>
  <c r="AF172" i="19" s="1"/>
  <c r="AE175" i="19"/>
  <c r="AE69" i="19"/>
  <c r="AE150" i="19" s="1"/>
  <c r="CP177" i="19"/>
  <c r="CP187" i="19" s="1"/>
  <c r="CP181" i="19"/>
  <c r="CP191" i="19" s="1"/>
  <c r="CP195" i="19" s="1"/>
  <c r="V181" i="19"/>
  <c r="V191" i="19" s="1"/>
  <c r="V195" i="19" s="1"/>
  <c r="V177" i="19"/>
  <c r="V187" i="19" s="1"/>
  <c r="A210" i="2"/>
  <c r="A238" i="2"/>
  <c r="A73" i="2"/>
  <c r="BC175" i="19"/>
  <c r="BC69" i="19"/>
  <c r="BC150" i="19" s="1"/>
  <c r="F360" i="19"/>
  <c r="CR184" i="19"/>
  <c r="CR194" i="19" s="1"/>
  <c r="CR180" i="19"/>
  <c r="CR190" i="19" s="1"/>
  <c r="CR183" i="19"/>
  <c r="CR193" i="19" s="1"/>
  <c r="CR182" i="19"/>
  <c r="CR192" i="19" s="1"/>
  <c r="CR179" i="19"/>
  <c r="CR189" i="19" s="1"/>
  <c r="CR178" i="19"/>
  <c r="CR188" i="19" s="1"/>
  <c r="K181" i="19"/>
  <c r="K191" i="19" s="1"/>
  <c r="K195" i="19" s="1"/>
  <c r="K177" i="19"/>
  <c r="K187" i="19" s="1"/>
  <c r="AT177" i="19"/>
  <c r="AT187" i="19" s="1"/>
  <c r="AT181" i="19"/>
  <c r="AT191" i="19" s="1"/>
  <c r="AT195" i="19" s="1"/>
  <c r="AB183" i="19"/>
  <c r="AB193" i="19" s="1"/>
  <c r="AB184" i="19"/>
  <c r="AB194" i="19" s="1"/>
  <c r="AB182" i="19"/>
  <c r="AB192" i="19" s="1"/>
  <c r="AB178" i="19"/>
  <c r="AB188" i="19" s="1"/>
  <c r="AB179" i="19"/>
  <c r="AB189" i="19" s="1"/>
  <c r="AB180" i="19"/>
  <c r="AB190" i="19" s="1"/>
  <c r="AE72" i="20"/>
  <c r="AE153" i="20" s="1"/>
  <c r="AE81" i="20"/>
  <c r="AE162" i="20" s="1"/>
  <c r="AE91" i="20"/>
  <c r="AE172" i="20" s="1"/>
  <c r="AP175" i="19"/>
  <c r="AP69" i="19"/>
  <c r="AP150" i="19" s="1"/>
  <c r="BK175" i="19"/>
  <c r="BK69" i="19"/>
  <c r="BK150" i="19" s="1"/>
  <c r="CK181" i="19"/>
  <c r="CK191" i="19" s="1"/>
  <c r="CK195" i="19" s="1"/>
  <c r="CK177" i="19"/>
  <c r="CK187" i="19" s="1"/>
  <c r="BI181" i="19"/>
  <c r="BI191" i="19" s="1"/>
  <c r="BI195" i="19" s="1"/>
  <c r="BI177" i="19"/>
  <c r="BI187" i="19" s="1"/>
  <c r="BQ184" i="19"/>
  <c r="BQ194" i="19" s="1"/>
  <c r="BQ179" i="19"/>
  <c r="BQ189" i="19" s="1"/>
  <c r="BQ178" i="19"/>
  <c r="BQ188" i="19" s="1"/>
  <c r="BQ180" i="19"/>
  <c r="BQ190" i="19" s="1"/>
  <c r="BQ183" i="19"/>
  <c r="BQ193" i="19" s="1"/>
  <c r="BQ182" i="19"/>
  <c r="BQ192" i="19" s="1"/>
  <c r="X68" i="20"/>
  <c r="X12" i="20"/>
  <c r="Y13" i="20"/>
  <c r="CG175" i="19"/>
  <c r="CG69" i="19"/>
  <c r="CG150" i="19" s="1"/>
  <c r="AF75" i="19"/>
  <c r="AF156" i="19" s="1"/>
  <c r="AF85" i="19"/>
  <c r="AF166" i="19" s="1"/>
  <c r="AF92" i="19"/>
  <c r="AF173" i="19" s="1"/>
  <c r="AS175" i="19"/>
  <c r="AS69" i="19"/>
  <c r="AS150" i="19" s="1"/>
  <c r="AY177" i="19"/>
  <c r="AY187" i="19" s="1"/>
  <c r="AY181" i="19"/>
  <c r="AY191" i="19" s="1"/>
  <c r="AY195" i="19" s="1"/>
  <c r="AZ181" i="19"/>
  <c r="AZ191" i="19" s="1"/>
  <c r="AZ195" i="19" s="1"/>
  <c r="AZ177" i="19"/>
  <c r="AZ187" i="19" s="1"/>
  <c r="V180" i="19"/>
  <c r="V190" i="19" s="1"/>
  <c r="V183" i="19"/>
  <c r="V193" i="19" s="1"/>
  <c r="V182" i="19"/>
  <c r="V192" i="19" s="1"/>
  <c r="V184" i="19"/>
  <c r="V194" i="19" s="1"/>
  <c r="V178" i="19"/>
  <c r="V188" i="19" s="1"/>
  <c r="V179" i="19"/>
  <c r="V189" i="19" s="1"/>
  <c r="E184" i="19"/>
  <c r="E194" i="19" s="1"/>
  <c r="E179" i="19"/>
  <c r="E189" i="19" s="1"/>
  <c r="E178" i="19"/>
  <c r="E188" i="19" s="1"/>
  <c r="E180" i="19"/>
  <c r="E190" i="19" s="1"/>
  <c r="E183" i="19"/>
  <c r="E193" i="19" s="1"/>
  <c r="E182" i="19"/>
  <c r="E192" i="19" s="1"/>
  <c r="P175" i="19"/>
  <c r="P69" i="19"/>
  <c r="P150" i="19" s="1"/>
  <c r="BM181" i="19"/>
  <c r="BM191" i="19" s="1"/>
  <c r="BM195" i="19" s="1"/>
  <c r="BM177" i="19"/>
  <c r="BM187" i="19" s="1"/>
  <c r="K182" i="19"/>
  <c r="K192" i="19" s="1"/>
  <c r="K179" i="19"/>
  <c r="K189" i="19" s="1"/>
  <c r="K178" i="19"/>
  <c r="K188" i="19" s="1"/>
  <c r="K180" i="19"/>
  <c r="K190" i="19" s="1"/>
  <c r="K183" i="19"/>
  <c r="K193" i="19" s="1"/>
  <c r="K184" i="19"/>
  <c r="K194" i="19" s="1"/>
  <c r="CQ181" i="19"/>
  <c r="CQ191" i="19" s="1"/>
  <c r="CQ195" i="19" s="1"/>
  <c r="CQ177" i="19"/>
  <c r="CQ187" i="19" s="1"/>
  <c r="AE73" i="20"/>
  <c r="AE154" i="20" s="1"/>
  <c r="AE83" i="20"/>
  <c r="AE164" i="20" s="1"/>
  <c r="AG41" i="20"/>
  <c r="AF63" i="20"/>
  <c r="AG255" i="20" s="1"/>
  <c r="AF64" i="20"/>
  <c r="AG256" i="20" s="1"/>
  <c r="AF65" i="20"/>
  <c r="AG257" i="20" s="1"/>
  <c r="AF62" i="20"/>
  <c r="AG254" i="20" s="1"/>
  <c r="AF58" i="20"/>
  <c r="AG250" i="20" s="1"/>
  <c r="AF59" i="20"/>
  <c r="AG251" i="20" s="1"/>
  <c r="AF56" i="20"/>
  <c r="AG248" i="20" s="1"/>
  <c r="AF57" i="20"/>
  <c r="AG249" i="20" s="1"/>
  <c r="AF55" i="20"/>
  <c r="AG247" i="20" s="1"/>
  <c r="AF54" i="20"/>
  <c r="AG246" i="20" s="1"/>
  <c r="AF53" i="20"/>
  <c r="AG245" i="20" s="1"/>
  <c r="AF51" i="20"/>
  <c r="AG243" i="20" s="1"/>
  <c r="AF50" i="20"/>
  <c r="AG242" i="20" s="1"/>
  <c r="AF49" i="20"/>
  <c r="AG241" i="20" s="1"/>
  <c r="AF48" i="20"/>
  <c r="AG240" i="20" s="1"/>
  <c r="AF47" i="20"/>
  <c r="AG239" i="20" s="1"/>
  <c r="AF46" i="20"/>
  <c r="AG238" i="20" s="1"/>
  <c r="AF45" i="20"/>
  <c r="AG237" i="20" s="1"/>
  <c r="AF44" i="20"/>
  <c r="AG236" i="20" s="1"/>
  <c r="AF60" i="20"/>
  <c r="AG252" i="20" s="1"/>
  <c r="AF52" i="20"/>
  <c r="AG244" i="20" s="1"/>
  <c r="AF61" i="20"/>
  <c r="AG253" i="20" s="1"/>
  <c r="M175" i="19"/>
  <c r="M69" i="19"/>
  <c r="M150" i="19" s="1"/>
  <c r="BU175" i="19"/>
  <c r="BU69" i="19"/>
  <c r="BU150" i="19" s="1"/>
  <c r="BT181" i="19"/>
  <c r="BT191" i="19" s="1"/>
  <c r="BT195" i="19" s="1"/>
  <c r="BT177" i="19"/>
  <c r="BT187" i="19" s="1"/>
  <c r="CK178" i="19"/>
  <c r="CK188" i="19" s="1"/>
  <c r="CK179" i="19"/>
  <c r="CK189" i="19" s="1"/>
  <c r="CK183" i="19"/>
  <c r="CK193" i="19" s="1"/>
  <c r="CK184" i="19"/>
  <c r="CK194" i="19" s="1"/>
  <c r="CK182" i="19"/>
  <c r="CK192" i="19" s="1"/>
  <c r="CK180" i="19"/>
  <c r="CK190" i="19" s="1"/>
  <c r="BI184" i="19"/>
  <c r="BI194" i="19" s="1"/>
  <c r="BI179" i="19"/>
  <c r="BI189" i="19" s="1"/>
  <c r="BI178" i="19"/>
  <c r="BI188" i="19" s="1"/>
  <c r="BI180" i="19"/>
  <c r="BI190" i="19" s="1"/>
  <c r="BI183" i="19"/>
  <c r="BI193" i="19" s="1"/>
  <c r="BI182" i="19"/>
  <c r="BI192" i="19" s="1"/>
  <c r="BA181" i="19"/>
  <c r="BA191" i="19" s="1"/>
  <c r="BA195" i="19" s="1"/>
  <c r="BA177" i="19"/>
  <c r="BA187" i="19" s="1"/>
  <c r="W186" i="20"/>
  <c r="W176" i="20" s="1"/>
  <c r="W149" i="20"/>
  <c r="W95" i="20"/>
  <c r="W122" i="20" s="1"/>
  <c r="CD69" i="19"/>
  <c r="CD150" i="19" s="1"/>
  <c r="CD175" i="19"/>
  <c r="AF77" i="19"/>
  <c r="AF158" i="19" s="1"/>
  <c r="AF84" i="19"/>
  <c r="AF165" i="19" s="1"/>
  <c r="AH41" i="19"/>
  <c r="AG64" i="19"/>
  <c r="AH256" i="19" s="1"/>
  <c r="AG65" i="19"/>
  <c r="AH257" i="19" s="1"/>
  <c r="AG63" i="19"/>
  <c r="AH255" i="19" s="1"/>
  <c r="AG62" i="19"/>
  <c r="AH254" i="19" s="1"/>
  <c r="AG60" i="19"/>
  <c r="AH252" i="19" s="1"/>
  <c r="AG61" i="19"/>
  <c r="AH253" i="19" s="1"/>
  <c r="AG59" i="19"/>
  <c r="AH251" i="19" s="1"/>
  <c r="AG58" i="19"/>
  <c r="AH250" i="19" s="1"/>
  <c r="AG57" i="19"/>
  <c r="AH249" i="19" s="1"/>
  <c r="AG56" i="19"/>
  <c r="AH248" i="19" s="1"/>
  <c r="AG55" i="19"/>
  <c r="AH247" i="19" s="1"/>
  <c r="AG54" i="19"/>
  <c r="AH246" i="19" s="1"/>
  <c r="AG53" i="19"/>
  <c r="AH245" i="19" s="1"/>
  <c r="AG52" i="19"/>
  <c r="AH244" i="19" s="1"/>
  <c r="AG50" i="19"/>
  <c r="AH242" i="19" s="1"/>
  <c r="AG51" i="19"/>
  <c r="AH243" i="19" s="1"/>
  <c r="AG49" i="19"/>
  <c r="AH241" i="19" s="1"/>
  <c r="AG48" i="19"/>
  <c r="AH240" i="19" s="1"/>
  <c r="AG47" i="19"/>
  <c r="AH239" i="19" s="1"/>
  <c r="AG46" i="19"/>
  <c r="AH238" i="19" s="1"/>
  <c r="AG45" i="19"/>
  <c r="AH237" i="19" s="1"/>
  <c r="AG43" i="19"/>
  <c r="AH235" i="19" s="1"/>
  <c r="AG44" i="19"/>
  <c r="AH236" i="19" s="1"/>
  <c r="Z175" i="19"/>
  <c r="Z69" i="19"/>
  <c r="Z150" i="19" s="1"/>
  <c r="AY184" i="19"/>
  <c r="AY194" i="19" s="1"/>
  <c r="AY182" i="19"/>
  <c r="AY192" i="19" s="1"/>
  <c r="AY179" i="19"/>
  <c r="AY189" i="19" s="1"/>
  <c r="AY178" i="19"/>
  <c r="AY188" i="19" s="1"/>
  <c r="AY180" i="19"/>
  <c r="AY190" i="19" s="1"/>
  <c r="AY183" i="19"/>
  <c r="AY193" i="19" s="1"/>
  <c r="BZ179" i="19"/>
  <c r="BZ189" i="19" s="1"/>
  <c r="BZ180" i="19"/>
  <c r="BZ190" i="19" s="1"/>
  <c r="BZ183" i="19"/>
  <c r="BZ193" i="19" s="1"/>
  <c r="BZ182" i="19"/>
  <c r="BZ192" i="19" s="1"/>
  <c r="BZ184" i="19"/>
  <c r="BZ194" i="19" s="1"/>
  <c r="BZ178" i="19"/>
  <c r="BZ188" i="19" s="1"/>
  <c r="F369" i="20"/>
  <c r="CN175" i="19"/>
  <c r="CN69" i="19"/>
  <c r="CN150" i="19" s="1"/>
  <c r="BM183" i="19"/>
  <c r="BM193" i="19" s="1"/>
  <c r="BM184" i="19"/>
  <c r="BM194" i="19" s="1"/>
  <c r="BM182" i="19"/>
  <c r="BM192" i="19" s="1"/>
  <c r="BM180" i="19"/>
  <c r="BM190" i="19" s="1"/>
  <c r="BM179" i="19"/>
  <c r="BM189" i="19" s="1"/>
  <c r="BM178" i="19"/>
  <c r="BM188" i="19" s="1"/>
  <c r="H177" i="19"/>
  <c r="H187" i="19" s="1"/>
  <c r="H181" i="19"/>
  <c r="H191" i="19" s="1"/>
  <c r="H195" i="19" s="1"/>
  <c r="CQ184" i="19"/>
  <c r="CQ194" i="19" s="1"/>
  <c r="CQ178" i="19"/>
  <c r="CQ188" i="19" s="1"/>
  <c r="CQ179" i="19"/>
  <c r="CQ189" i="19" s="1"/>
  <c r="CQ183" i="19"/>
  <c r="CQ193" i="19" s="1"/>
  <c r="CQ180" i="19"/>
  <c r="CQ190" i="19" s="1"/>
  <c r="CQ182" i="19"/>
  <c r="CQ192" i="19" s="1"/>
  <c r="W181" i="19"/>
  <c r="W191" i="19" s="1"/>
  <c r="W195" i="19" s="1"/>
  <c r="W177" i="19"/>
  <c r="W187" i="19" s="1"/>
  <c r="AE87" i="20"/>
  <c r="AE168" i="20" s="1"/>
  <c r="AE75" i="20"/>
  <c r="AE156" i="20" s="1"/>
  <c r="AE84" i="20"/>
  <c r="AE165" i="20" s="1"/>
  <c r="AW69" i="19"/>
  <c r="AW150" i="19" s="1"/>
  <c r="AW175" i="19"/>
  <c r="B70" i="19"/>
  <c r="B14" i="19"/>
  <c r="B151" i="19"/>
  <c r="B124" i="19" s="1"/>
  <c r="A15" i="19"/>
  <c r="BT184" i="19"/>
  <c r="BT194" i="19" s="1"/>
  <c r="BT180" i="19"/>
  <c r="BT190" i="19" s="1"/>
  <c r="BT183" i="19"/>
  <c r="BT193" i="19" s="1"/>
  <c r="BT182" i="19"/>
  <c r="BT192" i="19" s="1"/>
  <c r="BT179" i="19"/>
  <c r="BT189" i="19" s="1"/>
  <c r="BT178" i="19"/>
  <c r="BT188" i="19" s="1"/>
  <c r="G181" i="19"/>
  <c r="G191" i="19" s="1"/>
  <c r="G195" i="19" s="1"/>
  <c r="G177" i="19"/>
  <c r="G187" i="19" s="1"/>
  <c r="AC179" i="19"/>
  <c r="AC189" i="19" s="1"/>
  <c r="AC178" i="19"/>
  <c r="AC188" i="19" s="1"/>
  <c r="AC180" i="19"/>
  <c r="AC190" i="19" s="1"/>
  <c r="AC183" i="19"/>
  <c r="AC193" i="19" s="1"/>
  <c r="AC182" i="19"/>
  <c r="AC192" i="19" s="1"/>
  <c r="AC184" i="19"/>
  <c r="AC194" i="19" s="1"/>
  <c r="G179" i="19"/>
  <c r="G189" i="19" s="1"/>
  <c r="G183" i="19"/>
  <c r="G193" i="19" s="1"/>
  <c r="G184" i="19"/>
  <c r="G194" i="19" s="1"/>
  <c r="G180" i="19"/>
  <c r="G190" i="19" s="1"/>
  <c r="G182" i="19"/>
  <c r="G192" i="19" s="1"/>
  <c r="G178" i="19"/>
  <c r="G188" i="19" s="1"/>
  <c r="BE183" i="19"/>
  <c r="BE193" i="19" s="1"/>
  <c r="BE184" i="19"/>
  <c r="BE194" i="19" s="1"/>
  <c r="BE182" i="19"/>
  <c r="BE192" i="19" s="1"/>
  <c r="BE180" i="19"/>
  <c r="BE190" i="19" s="1"/>
  <c r="BE178" i="19"/>
  <c r="BE188" i="19" s="1"/>
  <c r="BE179" i="19"/>
  <c r="BE189" i="19" s="1"/>
  <c r="BH181" i="19"/>
  <c r="BH191" i="19" s="1"/>
  <c r="BH195" i="19" s="1"/>
  <c r="BH177" i="19"/>
  <c r="BH187" i="19" s="1"/>
  <c r="CB181" i="19"/>
  <c r="CB191" i="19" s="1"/>
  <c r="CB195" i="19" s="1"/>
  <c r="CB177" i="19"/>
  <c r="CB187" i="19" s="1"/>
  <c r="BH184" i="19"/>
  <c r="BH194" i="19" s="1"/>
  <c r="BH182" i="19"/>
  <c r="BH192" i="19" s="1"/>
  <c r="BH179" i="19"/>
  <c r="BH189" i="19" s="1"/>
  <c r="BH178" i="19"/>
  <c r="BH188" i="19" s="1"/>
  <c r="BH183" i="19"/>
  <c r="BH193" i="19" s="1"/>
  <c r="BH180" i="19"/>
  <c r="BH190" i="19" s="1"/>
  <c r="T182" i="19"/>
  <c r="T192" i="19" s="1"/>
  <c r="T179" i="19"/>
  <c r="T189" i="19" s="1"/>
  <c r="T178" i="19"/>
  <c r="T188" i="19" s="1"/>
  <c r="T183" i="19"/>
  <c r="T193" i="19" s="1"/>
  <c r="T184" i="19"/>
  <c r="T194" i="19" s="1"/>
  <c r="T180" i="19"/>
  <c r="T190" i="19" s="1"/>
  <c r="BA178" i="19"/>
  <c r="BA188" i="19" s="1"/>
  <c r="BA180" i="19"/>
  <c r="BA190" i="19" s="1"/>
  <c r="BA183" i="19"/>
  <c r="BA193" i="19" s="1"/>
  <c r="BA182" i="19"/>
  <c r="BA192" i="19" s="1"/>
  <c r="BA184" i="19"/>
  <c r="BA194" i="19" s="1"/>
  <c r="BA179" i="19"/>
  <c r="BA189" i="19" s="1"/>
  <c r="CL175" i="19"/>
  <c r="CL69" i="19"/>
  <c r="CL150" i="19" s="1"/>
  <c r="B152" i="20"/>
  <c r="B125" i="20" s="1"/>
  <c r="B71" i="20"/>
  <c r="A16" i="20"/>
  <c r="B15" i="20"/>
  <c r="AF70" i="19"/>
  <c r="AF151" i="19" s="1"/>
  <c r="AF78" i="19"/>
  <c r="AF159" i="19" s="1"/>
  <c r="AF86" i="19"/>
  <c r="AF167" i="19" s="1"/>
  <c r="AQ175" i="19"/>
  <c r="AQ69" i="19"/>
  <c r="AQ150" i="19" s="1"/>
  <c r="BL175" i="19"/>
  <c r="BL69" i="19"/>
  <c r="BL150" i="19" s="1"/>
  <c r="CE184" i="19"/>
  <c r="CE194" i="19" s="1"/>
  <c r="CE179" i="19"/>
  <c r="CE189" i="19" s="1"/>
  <c r="CE180" i="19"/>
  <c r="CE190" i="19" s="1"/>
  <c r="CE182" i="19"/>
  <c r="CE192" i="19" s="1"/>
  <c r="CE178" i="19"/>
  <c r="CE188" i="19" s="1"/>
  <c r="CE183" i="19"/>
  <c r="CE193" i="19" s="1"/>
  <c r="E181" i="19"/>
  <c r="E191" i="19" s="1"/>
  <c r="E195" i="19" s="1"/>
  <c r="E177" i="19"/>
  <c r="E187" i="19" s="1"/>
  <c r="AV175" i="19"/>
  <c r="AV69" i="19"/>
  <c r="AV150" i="19" s="1"/>
  <c r="E206" i="19"/>
  <c r="I206" i="19" s="1"/>
  <c r="J206" i="19" s="1"/>
  <c r="D206" i="19"/>
  <c r="C234" i="19"/>
  <c r="H178" i="19"/>
  <c r="H188" i="19" s="1"/>
  <c r="H184" i="19"/>
  <c r="H194" i="19" s="1"/>
  <c r="H180" i="19"/>
  <c r="H190" i="19" s="1"/>
  <c r="H183" i="19"/>
  <c r="H193" i="19" s="1"/>
  <c r="H182" i="19"/>
  <c r="H192" i="19" s="1"/>
  <c r="H179" i="19"/>
  <c r="H189" i="19" s="1"/>
  <c r="BG177" i="19"/>
  <c r="BG187" i="19" s="1"/>
  <c r="BG181" i="19"/>
  <c r="BG191" i="19" s="1"/>
  <c r="BG195" i="19" s="1"/>
  <c r="W179" i="19"/>
  <c r="W189" i="19" s="1"/>
  <c r="W183" i="19"/>
  <c r="W193" i="19" s="1"/>
  <c r="W180" i="19"/>
  <c r="W190" i="19" s="1"/>
  <c r="W182" i="19"/>
  <c r="W192" i="19" s="1"/>
  <c r="W184" i="19"/>
  <c r="W194" i="19" s="1"/>
  <c r="W178" i="19"/>
  <c r="W188" i="19" s="1"/>
  <c r="AE88" i="20"/>
  <c r="AE169" i="20" s="1"/>
  <c r="AE76" i="20"/>
  <c r="AE157" i="20" s="1"/>
  <c r="AE85" i="20"/>
  <c r="AE166" i="20" s="1"/>
  <c r="BP69" i="19"/>
  <c r="BP150" i="19" s="1"/>
  <c r="BP175" i="19"/>
  <c r="S177" i="19"/>
  <c r="S187" i="19" s="1"/>
  <c r="S181" i="19"/>
  <c r="S191" i="19" s="1"/>
  <c r="S195" i="19" s="1"/>
  <c r="Y69" i="19"/>
  <c r="Y150" i="19" s="1"/>
  <c r="Y175" i="19"/>
  <c r="A237" i="20"/>
  <c r="A209" i="20"/>
  <c r="A72" i="20"/>
  <c r="AF71" i="19"/>
  <c r="AF152" i="19" s="1"/>
  <c r="AF79" i="19"/>
  <c r="AF160" i="19" s="1"/>
  <c r="AF89" i="19"/>
  <c r="AF170" i="19" s="1"/>
  <c r="BD175" i="19"/>
  <c r="BD69" i="19"/>
  <c r="BD150" i="19" s="1"/>
  <c r="F69" i="19"/>
  <c r="F150" i="19" s="1"/>
  <c r="F175" i="19"/>
  <c r="AA177" i="19"/>
  <c r="AA187" i="19" s="1"/>
  <c r="AA181" i="19"/>
  <c r="AA191" i="19" s="1"/>
  <c r="AA195" i="19" s="1"/>
  <c r="BZ181" i="19"/>
  <c r="BZ191" i="19" s="1"/>
  <c r="BZ195" i="19" s="1"/>
  <c r="BZ177" i="19"/>
  <c r="BZ187" i="19" s="1"/>
  <c r="BV183" i="19"/>
  <c r="BV193" i="19" s="1"/>
  <c r="BV179" i="19"/>
  <c r="BV189" i="19" s="1"/>
  <c r="BV180" i="19"/>
  <c r="BV190" i="19" s="1"/>
  <c r="BV182" i="19"/>
  <c r="BV192" i="19" s="1"/>
  <c r="BV178" i="19"/>
  <c r="BV188" i="19" s="1"/>
  <c r="BV184" i="19"/>
  <c r="BV194" i="19" s="1"/>
  <c r="CS175" i="19"/>
  <c r="CS69" i="19"/>
  <c r="CS150" i="19" s="1"/>
  <c r="D175" i="19"/>
  <c r="D69" i="19"/>
  <c r="D150" i="19" s="1"/>
  <c r="BX181" i="19"/>
  <c r="BX191" i="19" s="1"/>
  <c r="BX195" i="19" s="1"/>
  <c r="BX177" i="19"/>
  <c r="BX187" i="19" s="1"/>
  <c r="BG183" i="19"/>
  <c r="BG193" i="19" s="1"/>
  <c r="BG184" i="19"/>
  <c r="BG194" i="19" s="1"/>
  <c r="BG182" i="19"/>
  <c r="BG192" i="19" s="1"/>
  <c r="BG179" i="19"/>
  <c r="BG189" i="19" s="1"/>
  <c r="BG178" i="19"/>
  <c r="BG188" i="19" s="1"/>
  <c r="BG180" i="19"/>
  <c r="BG190" i="19" s="1"/>
  <c r="BF181" i="19"/>
  <c r="BF191" i="19" s="1"/>
  <c r="BF195" i="19" s="1"/>
  <c r="BF177" i="19"/>
  <c r="BF187" i="19" s="1"/>
  <c r="AE74" i="20"/>
  <c r="AE155" i="20" s="1"/>
  <c r="AE77" i="20"/>
  <c r="AE158" i="20" s="1"/>
  <c r="AE86" i="20"/>
  <c r="AE167" i="20" s="1"/>
  <c r="R69" i="19"/>
  <c r="R150" i="19" s="1"/>
  <c r="R175" i="19"/>
  <c r="BJ236" i="20" l="1"/>
  <c r="BI71" i="20"/>
  <c r="BI152" i="20" s="1"/>
  <c r="O210" i="20"/>
  <c r="M213" i="20"/>
  <c r="G213" i="20" s="1"/>
  <c r="Y44" i="20"/>
  <c r="Q44" i="20"/>
  <c r="BK44" i="20"/>
  <c r="CP44" i="20"/>
  <c r="AW44" i="20"/>
  <c r="BX44" i="20"/>
  <c r="BA44" i="20"/>
  <c r="AT44" i="20"/>
  <c r="BN44" i="20"/>
  <c r="CN44" i="20"/>
  <c r="AP235" i="2"/>
  <c r="AO70" i="2"/>
  <c r="AO151" i="2" s="1"/>
  <c r="BH42" i="2"/>
  <c r="CA42" i="2"/>
  <c r="BN42" i="2"/>
  <c r="AI42" i="2"/>
  <c r="CE42" i="2"/>
  <c r="BM42" i="2"/>
  <c r="BV42" i="2"/>
  <c r="P42" i="2"/>
  <c r="BS42" i="2"/>
  <c r="I42" i="2"/>
  <c r="D42" i="2"/>
  <c r="Y42" i="2"/>
  <c r="BO235" i="2"/>
  <c r="BN70" i="2"/>
  <c r="BN151" i="2" s="1"/>
  <c r="K210" i="20"/>
  <c r="F210" i="20"/>
  <c r="Y236" i="20"/>
  <c r="X71" i="20"/>
  <c r="X152" i="20" s="1"/>
  <c r="Q236" i="20"/>
  <c r="P71" i="20"/>
  <c r="P152" i="20" s="1"/>
  <c r="BD236" i="20"/>
  <c r="BC71" i="20"/>
  <c r="BC152" i="20" s="1"/>
  <c r="E236" i="20"/>
  <c r="D71" i="20"/>
  <c r="D152" i="20" s="1"/>
  <c r="BU236" i="20"/>
  <c r="BT71" i="20"/>
  <c r="BT152" i="20"/>
  <c r="BN236" i="20"/>
  <c r="BM71" i="20"/>
  <c r="BM152" i="20" s="1"/>
  <c r="CI236" i="20"/>
  <c r="CH71" i="20"/>
  <c r="CH152" i="20"/>
  <c r="AT43" i="20"/>
  <c r="CS43" i="20"/>
  <c r="CS70" i="20" s="1"/>
  <c r="CS151" i="20" s="1"/>
  <c r="CT43" i="20"/>
  <c r="BR43" i="20" s="1"/>
  <c r="BH43" i="20"/>
  <c r="CP43" i="20"/>
  <c r="CO43" i="20"/>
  <c r="BI43" i="20"/>
  <c r="B97" i="20"/>
  <c r="CK43" i="20"/>
  <c r="L43" i="20"/>
  <c r="AV43" i="20"/>
  <c r="BF43" i="20"/>
  <c r="BZ43" i="20"/>
  <c r="AP43" i="20"/>
  <c r="I43" i="20"/>
  <c r="B42" i="20"/>
  <c r="CG43" i="20"/>
  <c r="CA43" i="20"/>
  <c r="BW43" i="20"/>
  <c r="K43" i="20"/>
  <c r="BD43" i="20"/>
  <c r="BG43" i="20"/>
  <c r="E43" i="20"/>
  <c r="H43" i="20"/>
  <c r="CE43" i="20"/>
  <c r="M43" i="20"/>
  <c r="N43" i="20"/>
  <c r="O43" i="20"/>
  <c r="Q43" i="20"/>
  <c r="R43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D236" i="20"/>
  <c r="E208" i="20"/>
  <c r="I208" i="20" s="1"/>
  <c r="J208" i="20" s="1"/>
  <c r="D208" i="20"/>
  <c r="C236" i="20"/>
  <c r="BT236" i="20"/>
  <c r="BS71" i="20"/>
  <c r="BS152" i="20" s="1"/>
  <c r="CI44" i="20"/>
  <c r="AE44" i="20"/>
  <c r="B307" i="2"/>
  <c r="C234" i="2"/>
  <c r="AA235" i="2"/>
  <c r="Z70" i="2"/>
  <c r="Z151" i="2" s="1"/>
  <c r="V235" i="2"/>
  <c r="U70" i="2"/>
  <c r="U151" i="2" s="1"/>
  <c r="V234" i="2"/>
  <c r="U175" i="2"/>
  <c r="U69" i="2"/>
  <c r="U150" i="2" s="1"/>
  <c r="AT234" i="2"/>
  <c r="AS69" i="2"/>
  <c r="AS150" i="2" s="1"/>
  <c r="AS175" i="2"/>
  <c r="AW234" i="2"/>
  <c r="AV69" i="2"/>
  <c r="AV150" i="2" s="1"/>
  <c r="AV175" i="2"/>
  <c r="AE234" i="2"/>
  <c r="AD175" i="2"/>
  <c r="AD69" i="2"/>
  <c r="AD150" i="2" s="1"/>
  <c r="CI234" i="2"/>
  <c r="CH175" i="2"/>
  <c r="CH69" i="2"/>
  <c r="CH150" i="2" s="1"/>
  <c r="BV234" i="2"/>
  <c r="BU175" i="2"/>
  <c r="BU69" i="2"/>
  <c r="BU150" i="2" s="1"/>
  <c r="BK234" i="2"/>
  <c r="BJ175" i="2"/>
  <c r="BJ69" i="2"/>
  <c r="BJ150" i="2" s="1"/>
  <c r="AC234" i="2"/>
  <c r="AB69" i="2"/>
  <c r="AB150" i="2" s="1"/>
  <c r="AB175" i="2"/>
  <c r="S234" i="2"/>
  <c r="R175" i="2"/>
  <c r="R69" i="2"/>
  <c r="R150" i="2" s="1"/>
  <c r="AO234" i="2"/>
  <c r="AN69" i="2"/>
  <c r="AN150" i="2" s="1"/>
  <c r="AN175" i="2"/>
  <c r="CB42" i="2"/>
  <c r="BI237" i="20"/>
  <c r="BH72" i="20"/>
  <c r="BH153" i="20" s="1"/>
  <c r="AG149" i="2"/>
  <c r="AG95" i="2"/>
  <c r="AG122" i="2" s="1"/>
  <c r="AG186" i="2"/>
  <c r="AG176" i="2" s="1"/>
  <c r="CR235" i="2"/>
  <c r="CQ70" i="2"/>
  <c r="CQ151" i="2" s="1"/>
  <c r="K209" i="20"/>
  <c r="F209" i="20"/>
  <c r="W44" i="20"/>
  <c r="O44" i="20"/>
  <c r="CO44" i="20"/>
  <c r="BH44" i="20"/>
  <c r="CM44" i="20"/>
  <c r="H44" i="20"/>
  <c r="L44" i="20"/>
  <c r="CF44" i="20"/>
  <c r="AO44" i="20"/>
  <c r="CS44" i="20"/>
  <c r="CS71" i="20" s="1"/>
  <c r="CS152" i="20" s="1"/>
  <c r="C235" i="2"/>
  <c r="B308" i="2"/>
  <c r="BU235" i="2"/>
  <c r="BT70" i="2"/>
  <c r="BT151" i="2" s="1"/>
  <c r="CG42" i="2"/>
  <c r="BK42" i="2"/>
  <c r="BG42" i="2"/>
  <c r="CF42" i="2"/>
  <c r="AC42" i="2"/>
  <c r="K42" i="2"/>
  <c r="O42" i="2"/>
  <c r="BT42" i="2"/>
  <c r="BL42" i="2"/>
  <c r="AO42" i="2"/>
  <c r="CK42" i="2"/>
  <c r="X42" i="2"/>
  <c r="BT235" i="2"/>
  <c r="BS70" i="2"/>
  <c r="BS151" i="2" s="1"/>
  <c r="J237" i="20"/>
  <c r="I72" i="20"/>
  <c r="I153" i="20" s="1"/>
  <c r="BP235" i="2"/>
  <c r="BO70" i="2"/>
  <c r="BO151" i="2" s="1"/>
  <c r="AE237" i="20"/>
  <c r="AD72" i="20"/>
  <c r="AD153" i="20" s="1"/>
  <c r="BN235" i="2"/>
  <c r="BM70" i="2"/>
  <c r="BM151" i="2" s="1"/>
  <c r="O209" i="20"/>
  <c r="M212" i="20"/>
  <c r="G212" i="20" s="1"/>
  <c r="AD44" i="20"/>
  <c r="V44" i="20"/>
  <c r="N44" i="20"/>
  <c r="BB44" i="20"/>
  <c r="AV44" i="20"/>
  <c r="CA44" i="20"/>
  <c r="BL44" i="20"/>
  <c r="BF44" i="20"/>
  <c r="CC44" i="20"/>
  <c r="AY44" i="20"/>
  <c r="CJ44" i="20"/>
  <c r="CB235" i="2"/>
  <c r="CA70" i="2"/>
  <c r="CA151" i="2" s="1"/>
  <c r="CC42" i="2"/>
  <c r="CJ42" i="2"/>
  <c r="BF42" i="2"/>
  <c r="J42" i="2"/>
  <c r="CS42" i="2"/>
  <c r="CP42" i="2"/>
  <c r="BA42" i="2"/>
  <c r="F42" i="2"/>
  <c r="L42" i="2"/>
  <c r="M42" i="2"/>
  <c r="AP42" i="2"/>
  <c r="BC42" i="2"/>
  <c r="BL235" i="2"/>
  <c r="BK70" i="2"/>
  <c r="BK151" i="2" s="1"/>
  <c r="AH68" i="2"/>
  <c r="AI13" i="2"/>
  <c r="AH12" i="2"/>
  <c r="CL235" i="2"/>
  <c r="CK70" i="2"/>
  <c r="CK151" i="2" s="1"/>
  <c r="T235" i="2"/>
  <c r="S70" i="2"/>
  <c r="S151" i="2" s="1"/>
  <c r="BO237" i="20"/>
  <c r="BN72" i="20"/>
  <c r="BN153" i="20" s="1"/>
  <c r="AD235" i="2"/>
  <c r="AC70" i="2"/>
  <c r="AC151" i="2" s="1"/>
  <c r="AC44" i="20"/>
  <c r="U44" i="20"/>
  <c r="M44" i="20"/>
  <c r="BD44" i="20"/>
  <c r="CL44" i="20"/>
  <c r="BQ44" i="20"/>
  <c r="BV44" i="20"/>
  <c r="BU44" i="20"/>
  <c r="AQ44" i="20"/>
  <c r="CB44" i="20"/>
  <c r="AU44" i="20"/>
  <c r="AH235" i="2"/>
  <c r="AG70" i="2"/>
  <c r="AG151" i="2" s="1"/>
  <c r="CF235" i="2"/>
  <c r="CE70" i="2"/>
  <c r="CE151" i="2" s="1"/>
  <c r="CN42" i="2"/>
  <c r="AA42" i="2"/>
  <c r="BQ42" i="2"/>
  <c r="AX42" i="2"/>
  <c r="CI42" i="2"/>
  <c r="AZ42" i="2"/>
  <c r="AK42" i="2"/>
  <c r="AF42" i="2"/>
  <c r="AY42" i="2"/>
  <c r="BW42" i="2"/>
  <c r="G42" i="2"/>
  <c r="CM42" i="2"/>
  <c r="CM235" i="2"/>
  <c r="CL70" i="2"/>
  <c r="CL151" i="2" s="1"/>
  <c r="M235" i="2"/>
  <c r="L70" i="2"/>
  <c r="L151" i="2" s="1"/>
  <c r="S235" i="2"/>
  <c r="R70" i="2"/>
  <c r="R151" i="2" s="1"/>
  <c r="BZ235" i="2"/>
  <c r="BY70" i="2"/>
  <c r="BY151" i="2" s="1"/>
  <c r="AB44" i="20"/>
  <c r="T44" i="20"/>
  <c r="CG44" i="20"/>
  <c r="BE44" i="20"/>
  <c r="CE44" i="20"/>
  <c r="CD44" i="20"/>
  <c r="E44" i="20"/>
  <c r="CQ44" i="20"/>
  <c r="AP44" i="20"/>
  <c r="F44" i="20"/>
  <c r="BW44" i="20"/>
  <c r="AX235" i="2"/>
  <c r="AW70" i="2"/>
  <c r="AW151" i="2" s="1"/>
  <c r="CS235" i="2"/>
  <c r="CR70" i="2"/>
  <c r="CR151" i="2" s="1"/>
  <c r="AQ42" i="2"/>
  <c r="Z42" i="2"/>
  <c r="AE42" i="2"/>
  <c r="BR42" i="2"/>
  <c r="W42" i="2"/>
  <c r="BI42" i="2"/>
  <c r="AG42" i="2"/>
  <c r="N42" i="2"/>
  <c r="CR42" i="2"/>
  <c r="CD42" i="2"/>
  <c r="AH42" i="2"/>
  <c r="BY42" i="2"/>
  <c r="L235" i="2"/>
  <c r="K70" i="2"/>
  <c r="K151" i="2" s="1"/>
  <c r="H235" i="2"/>
  <c r="G70" i="2"/>
  <c r="G151" i="2" s="1"/>
  <c r="AW235" i="2"/>
  <c r="AV70" i="2"/>
  <c r="AV151" i="2" s="1"/>
  <c r="AG235" i="2"/>
  <c r="AF70" i="2"/>
  <c r="AF151" i="2" s="1"/>
  <c r="AB236" i="20"/>
  <c r="AA71" i="20"/>
  <c r="AA152" i="20" s="1"/>
  <c r="T236" i="20"/>
  <c r="S71" i="20"/>
  <c r="S152" i="20" s="1"/>
  <c r="L236" i="20"/>
  <c r="K71" i="20"/>
  <c r="K152" i="20" s="1"/>
  <c r="BH236" i="20"/>
  <c r="BG71" i="20"/>
  <c r="BG152" i="20" s="1"/>
  <c r="K236" i="20"/>
  <c r="J71" i="20"/>
  <c r="J152" i="20" s="1"/>
  <c r="BA236" i="20"/>
  <c r="AZ71" i="20"/>
  <c r="AZ152" i="20" s="1"/>
  <c r="CL236" i="20"/>
  <c r="CK71" i="20"/>
  <c r="CK152" i="20" s="1"/>
  <c r="J236" i="20"/>
  <c r="I71" i="20"/>
  <c r="I152" i="20" s="1"/>
  <c r="AY236" i="20"/>
  <c r="AX71" i="20"/>
  <c r="AX152" i="20" s="1"/>
  <c r="AS236" i="20"/>
  <c r="AR71" i="20"/>
  <c r="AR152" i="20"/>
  <c r="CS236" i="20"/>
  <c r="CR71" i="20"/>
  <c r="CR152" i="20" s="1"/>
  <c r="Z235" i="2"/>
  <c r="Y70" i="2"/>
  <c r="Y151" i="2" s="1"/>
  <c r="BE235" i="2"/>
  <c r="BD70" i="2"/>
  <c r="BD151" i="2" s="1"/>
  <c r="BE234" i="2"/>
  <c r="BD175" i="2"/>
  <c r="BD69" i="2"/>
  <c r="BD150" i="2" s="1"/>
  <c r="AN234" i="2"/>
  <c r="AM69" i="2"/>
  <c r="AM150" i="2" s="1"/>
  <c r="AM175" i="2"/>
  <c r="CM234" i="2"/>
  <c r="CL175" i="2"/>
  <c r="CL69" i="2"/>
  <c r="CL150" i="2" s="1"/>
  <c r="D234" i="2"/>
  <c r="E206" i="2"/>
  <c r="I206" i="2" s="1"/>
  <c r="J206" i="2" s="1"/>
  <c r="D206" i="2"/>
  <c r="W234" i="2"/>
  <c r="V175" i="2"/>
  <c r="V69" i="2"/>
  <c r="V150" i="2" s="1"/>
  <c r="AV234" i="2"/>
  <c r="AU175" i="2"/>
  <c r="AU69" i="2"/>
  <c r="AU150" i="2" s="1"/>
  <c r="BP234" i="2"/>
  <c r="BO69" i="2"/>
  <c r="BO150" i="2" s="1"/>
  <c r="BO175" i="2"/>
  <c r="AK234" i="2"/>
  <c r="AJ175" i="2"/>
  <c r="AJ69" i="2"/>
  <c r="AJ150" i="2" s="1"/>
  <c r="AS234" i="2"/>
  <c r="AR69" i="2"/>
  <c r="AR150" i="2" s="1"/>
  <c r="AR175" i="2"/>
  <c r="BC234" i="2"/>
  <c r="BB69" i="2"/>
  <c r="BB150" i="2" s="1"/>
  <c r="BB175" i="2"/>
  <c r="CR234" i="2"/>
  <c r="CQ69" i="2"/>
  <c r="CQ150" i="2" s="1"/>
  <c r="CQ175" i="2"/>
  <c r="CP234" i="2"/>
  <c r="CO175" i="2"/>
  <c r="CO69" i="2"/>
  <c r="CO150" i="2" s="1"/>
  <c r="D235" i="2"/>
  <c r="E207" i="2"/>
  <c r="I207" i="2" s="1"/>
  <c r="J207" i="2" s="1"/>
  <c r="D207" i="2"/>
  <c r="BV235" i="2"/>
  <c r="BU70" i="2"/>
  <c r="BU151" i="2" s="1"/>
  <c r="K235" i="2"/>
  <c r="J70" i="2"/>
  <c r="J151" i="2" s="1"/>
  <c r="AO235" i="2"/>
  <c r="AN70" i="2"/>
  <c r="AN151" i="2" s="1"/>
  <c r="Z44" i="20"/>
  <c r="R44" i="20"/>
  <c r="BP44" i="20"/>
  <c r="BZ44" i="20"/>
  <c r="AS44" i="20"/>
  <c r="BR44" i="20"/>
  <c r="BO44" i="20"/>
  <c r="BY44" i="20"/>
  <c r="BJ44" i="20"/>
  <c r="G44" i="20"/>
  <c r="AR235" i="2"/>
  <c r="AQ70" i="2"/>
  <c r="AQ151" i="2" s="1"/>
  <c r="CP235" i="2"/>
  <c r="CO70" i="2"/>
  <c r="CO151" i="2" s="1"/>
  <c r="BP42" i="2"/>
  <c r="AW42" i="2"/>
  <c r="AL42" i="2"/>
  <c r="BX42" i="2"/>
  <c r="H42" i="2"/>
  <c r="Q42" i="2"/>
  <c r="T42" i="2"/>
  <c r="AT42" i="2"/>
  <c r="BE42" i="2"/>
  <c r="BZ42" i="2"/>
  <c r="E42" i="2"/>
  <c r="S42" i="2"/>
  <c r="CC235" i="2"/>
  <c r="CB70" i="2"/>
  <c r="CB151" i="2" s="1"/>
  <c r="AG89" i="19"/>
  <c r="AG170" i="19" s="1"/>
  <c r="AF91" i="20"/>
  <c r="AF172" i="20" s="1"/>
  <c r="R177" i="19"/>
  <c r="R187" i="19" s="1"/>
  <c r="R181" i="19"/>
  <c r="R191" i="19" s="1"/>
  <c r="R195" i="19" s="1"/>
  <c r="D181" i="19"/>
  <c r="D191" i="19" s="1"/>
  <c r="D195" i="19" s="1"/>
  <c r="D177" i="19"/>
  <c r="D187" i="19" s="1"/>
  <c r="AV178" i="19"/>
  <c r="AV188" i="19" s="1"/>
  <c r="AV184" i="19"/>
  <c r="AV194" i="19" s="1"/>
  <c r="AV180" i="19"/>
  <c r="AV190" i="19" s="1"/>
  <c r="AV183" i="19"/>
  <c r="AV193" i="19" s="1"/>
  <c r="AV182" i="19"/>
  <c r="AV192" i="19" s="1"/>
  <c r="AV179" i="19"/>
  <c r="AV189" i="19" s="1"/>
  <c r="AW183" i="19"/>
  <c r="AW193" i="19" s="1"/>
  <c r="AW184" i="19"/>
  <c r="AW194" i="19" s="1"/>
  <c r="AW180" i="19"/>
  <c r="AW190" i="19" s="1"/>
  <c r="AW179" i="19"/>
  <c r="AW189" i="19" s="1"/>
  <c r="AW182" i="19"/>
  <c r="AW192" i="19" s="1"/>
  <c r="AW178" i="19"/>
  <c r="AW188" i="19" s="1"/>
  <c r="D183" i="19"/>
  <c r="D193" i="19" s="1"/>
  <c r="D184" i="19"/>
  <c r="D194" i="19" s="1"/>
  <c r="D182" i="19"/>
  <c r="D192" i="19" s="1"/>
  <c r="D179" i="19"/>
  <c r="D189" i="19" s="1"/>
  <c r="D178" i="19"/>
  <c r="D188" i="19" s="1"/>
  <c r="D180" i="19"/>
  <c r="D190" i="19" s="1"/>
  <c r="H198" i="19" a="1"/>
  <c r="H198" i="19" s="1"/>
  <c r="BD177" i="19"/>
  <c r="BD187" i="19" s="1"/>
  <c r="BD181" i="19"/>
  <c r="BD191" i="19" s="1"/>
  <c r="BD195" i="19" s="1"/>
  <c r="X149" i="20"/>
  <c r="X95" i="20"/>
  <c r="X122" i="20" s="1"/>
  <c r="X186" i="20"/>
  <c r="X176" i="20" s="1"/>
  <c r="AP183" i="19"/>
  <c r="AP193" i="19" s="1"/>
  <c r="AP184" i="19"/>
  <c r="AP194" i="19" s="1"/>
  <c r="AP182" i="19"/>
  <c r="AP192" i="19" s="1"/>
  <c r="AP179" i="19"/>
  <c r="AP189" i="19" s="1"/>
  <c r="AP180" i="19"/>
  <c r="AP190" i="19" s="1"/>
  <c r="AP178" i="19"/>
  <c r="AP188" i="19" s="1"/>
  <c r="CF182" i="19"/>
  <c r="CF192" i="19" s="1"/>
  <c r="CF179" i="19"/>
  <c r="CF189" i="19" s="1"/>
  <c r="CF178" i="19"/>
  <c r="CF188" i="19" s="1"/>
  <c r="CF180" i="19"/>
  <c r="CF190" i="19" s="1"/>
  <c r="CF183" i="19"/>
  <c r="CF193" i="19" s="1"/>
  <c r="CF184" i="19"/>
  <c r="CF194" i="19" s="1"/>
  <c r="AU181" i="19"/>
  <c r="AU191" i="19" s="1"/>
  <c r="AU195" i="19" s="1"/>
  <c r="AU177" i="19"/>
  <c r="AU187" i="19" s="1"/>
  <c r="B71" i="2"/>
  <c r="B152" i="2"/>
  <c r="B125" i="2" s="1"/>
  <c r="A16" i="2"/>
  <c r="B15" i="2"/>
  <c r="CP198" i="19" a="1"/>
  <c r="CP198" i="19" s="1"/>
  <c r="N184" i="19"/>
  <c r="N194" i="19" s="1"/>
  <c r="N178" i="19"/>
  <c r="N188" i="19" s="1"/>
  <c r="N179" i="19"/>
  <c r="N189" i="19" s="1"/>
  <c r="N183" i="19"/>
  <c r="N193" i="19" s="1"/>
  <c r="N180" i="19"/>
  <c r="N190" i="19" s="1"/>
  <c r="N182" i="19"/>
  <c r="N192" i="19" s="1"/>
  <c r="CA179" i="19"/>
  <c r="CA189" i="19" s="1"/>
  <c r="CA178" i="19"/>
  <c r="CA188" i="19" s="1"/>
  <c r="CA180" i="19"/>
  <c r="CA190" i="19" s="1"/>
  <c r="CA182" i="19"/>
  <c r="CA192" i="19" s="1"/>
  <c r="CA184" i="19"/>
  <c r="CA194" i="19" s="1"/>
  <c r="CA183" i="19"/>
  <c r="CA193" i="19" s="1"/>
  <c r="I177" i="19"/>
  <c r="I187" i="19" s="1"/>
  <c r="I181" i="19"/>
  <c r="I191" i="19" s="1"/>
  <c r="I195" i="19" s="1"/>
  <c r="U198" i="19" a="1"/>
  <c r="U198" i="19" s="1"/>
  <c r="Q218" i="19"/>
  <c r="Q214" i="19"/>
  <c r="Q210" i="19"/>
  <c r="Q209" i="19"/>
  <c r="O206" i="19"/>
  <c r="Q212" i="19"/>
  <c r="Q216" i="19"/>
  <c r="Q207" i="19"/>
  <c r="Q219" i="19"/>
  <c r="Q206" i="19"/>
  <c r="Q215" i="19"/>
  <c r="Q208" i="19"/>
  <c r="Q211" i="19"/>
  <c r="M209" i="19"/>
  <c r="G209" i="19" s="1"/>
  <c r="Q217" i="19"/>
  <c r="Q213" i="19"/>
  <c r="AC198" i="19" a="1"/>
  <c r="AC198" i="19" s="1"/>
  <c r="F183" i="19"/>
  <c r="F193" i="19" s="1"/>
  <c r="F182" i="19"/>
  <c r="F192" i="19" s="1"/>
  <c r="F184" i="19"/>
  <c r="F194" i="19" s="1"/>
  <c r="F178" i="19"/>
  <c r="F188" i="19" s="1"/>
  <c r="F179" i="19"/>
  <c r="F189" i="19" s="1"/>
  <c r="F180" i="19"/>
  <c r="F190" i="19" s="1"/>
  <c r="AV177" i="19"/>
  <c r="AV187" i="19" s="1"/>
  <c r="AV181" i="19"/>
  <c r="AV191" i="19" s="1"/>
  <c r="AV195" i="19" s="1"/>
  <c r="CL183" i="19"/>
  <c r="CL193" i="19" s="1"/>
  <c r="CL184" i="19"/>
  <c r="CL194" i="19" s="1"/>
  <c r="CL182" i="19"/>
  <c r="CL192" i="19" s="1"/>
  <c r="CL179" i="19"/>
  <c r="CL189" i="19" s="1"/>
  <c r="CL178" i="19"/>
  <c r="CL188" i="19" s="1"/>
  <c r="CL180" i="19"/>
  <c r="CL190" i="19" s="1"/>
  <c r="BM198" i="19" a="1"/>
  <c r="BM198" i="19" s="1"/>
  <c r="Y177" i="19"/>
  <c r="Y187" i="19" s="1"/>
  <c r="Y181" i="19"/>
  <c r="Y191" i="19" s="1"/>
  <c r="Y195" i="19" s="1"/>
  <c r="AQ182" i="19"/>
  <c r="AQ192" i="19" s="1"/>
  <c r="AQ179" i="19"/>
  <c r="AQ189" i="19" s="1"/>
  <c r="AQ180" i="19"/>
  <c r="AQ190" i="19" s="1"/>
  <c r="AQ178" i="19"/>
  <c r="AQ188" i="19" s="1"/>
  <c r="AQ183" i="19"/>
  <c r="AQ193" i="19" s="1"/>
  <c r="AQ184" i="19"/>
  <c r="AQ194" i="19" s="1"/>
  <c r="CE198" i="19" a="1"/>
  <c r="CE198" i="19" s="1"/>
  <c r="B70" i="20"/>
  <c r="A15" i="20"/>
  <c r="B14" i="20"/>
  <c r="B151" i="20"/>
  <c r="B124" i="20" s="1"/>
  <c r="T198" i="19" a="1"/>
  <c r="T198" i="19" s="1"/>
  <c r="AW177" i="19"/>
  <c r="AW187" i="19" s="1"/>
  <c r="AW181" i="19"/>
  <c r="AW191" i="19" s="1"/>
  <c r="AW195" i="19" s="1"/>
  <c r="AG77" i="19"/>
  <c r="AG158" i="19" s="1"/>
  <c r="BD182" i="19"/>
  <c r="BD192" i="19" s="1"/>
  <c r="BD179" i="19"/>
  <c r="BD189" i="19" s="1"/>
  <c r="BD178" i="19"/>
  <c r="BD188" i="19" s="1"/>
  <c r="BD184" i="19"/>
  <c r="BD194" i="19" s="1"/>
  <c r="BD183" i="19"/>
  <c r="BD193" i="19" s="1"/>
  <c r="BD180" i="19"/>
  <c r="BD190" i="19" s="1"/>
  <c r="A236" i="20"/>
  <c r="A208" i="20"/>
  <c r="A71" i="20"/>
  <c r="AG70" i="19"/>
  <c r="AG151" i="19" s="1"/>
  <c r="AG79" i="19"/>
  <c r="AG160" i="19" s="1"/>
  <c r="AG88" i="19"/>
  <c r="AG169" i="19" s="1"/>
  <c r="CK198" i="19" a="1"/>
  <c r="CK198" i="19" s="1"/>
  <c r="AF71" i="20"/>
  <c r="AF152" i="20" s="1"/>
  <c r="AF78" i="20"/>
  <c r="AF159" i="20" s="1"/>
  <c r="AF89" i="20"/>
  <c r="AF170" i="20" s="1"/>
  <c r="AR181" i="19"/>
  <c r="AR191" i="19" s="1"/>
  <c r="AR195" i="19" s="1"/>
  <c r="AR177" i="19"/>
  <c r="AR187" i="19" s="1"/>
  <c r="O181" i="19"/>
  <c r="O191" i="19" s="1"/>
  <c r="O195" i="19" s="1"/>
  <c r="O177" i="19"/>
  <c r="O187" i="19" s="1"/>
  <c r="CO198" i="19" a="1"/>
  <c r="CO198" i="19" s="1"/>
  <c r="AU182" i="19"/>
  <c r="AU192" i="19" s="1"/>
  <c r="AU184" i="19"/>
  <c r="AU194" i="19" s="1"/>
  <c r="AU183" i="19"/>
  <c r="AU193" i="19" s="1"/>
  <c r="AU179" i="19"/>
  <c r="AU189" i="19" s="1"/>
  <c r="AU178" i="19"/>
  <c r="AU188" i="19" s="1"/>
  <c r="AU180" i="19"/>
  <c r="AU190" i="19" s="1"/>
  <c r="AT198" i="19" a="1"/>
  <c r="AT198" i="19" s="1"/>
  <c r="A237" i="2"/>
  <c r="A209" i="2"/>
  <c r="A72" i="2"/>
  <c r="L198" i="19" a="1"/>
  <c r="L198" i="19" s="1"/>
  <c r="BR181" i="19"/>
  <c r="BR191" i="19" s="1"/>
  <c r="BR195" i="19" s="1"/>
  <c r="BR177" i="19"/>
  <c r="BR187" i="19" s="1"/>
  <c r="AA198" i="19" a="1"/>
  <c r="AA198" i="19" s="1"/>
  <c r="I183" i="19"/>
  <c r="I193" i="19" s="1"/>
  <c r="I184" i="19"/>
  <c r="I194" i="19" s="1"/>
  <c r="I182" i="19"/>
  <c r="I192" i="19" s="1"/>
  <c r="I180" i="19"/>
  <c r="I190" i="19" s="1"/>
  <c r="I178" i="19"/>
  <c r="I188" i="19" s="1"/>
  <c r="I179" i="19"/>
  <c r="I189" i="19" s="1"/>
  <c r="R183" i="19"/>
  <c r="R193" i="19" s="1"/>
  <c r="R184" i="19"/>
  <c r="R194" i="19" s="1"/>
  <c r="R182" i="19"/>
  <c r="R192" i="19" s="1"/>
  <c r="R179" i="19"/>
  <c r="R189" i="19" s="1"/>
  <c r="R178" i="19"/>
  <c r="R188" i="19" s="1"/>
  <c r="R180" i="19"/>
  <c r="R190" i="19" s="1"/>
  <c r="BE198" i="19" a="1"/>
  <c r="BE198" i="19" s="1"/>
  <c r="A14" i="19"/>
  <c r="B150" i="19"/>
  <c r="B123" i="19" s="1"/>
  <c r="B69" i="19"/>
  <c r="AG73" i="19"/>
  <c r="AG154" i="19" s="1"/>
  <c r="M184" i="19"/>
  <c r="M194" i="19" s="1"/>
  <c r="M179" i="19"/>
  <c r="M189" i="19" s="1"/>
  <c r="M178" i="19"/>
  <c r="M188" i="19" s="1"/>
  <c r="M180" i="19"/>
  <c r="M190" i="19" s="1"/>
  <c r="M183" i="19"/>
  <c r="M193" i="19" s="1"/>
  <c r="M182" i="19"/>
  <c r="M192" i="19" s="1"/>
  <c r="AQ177" i="19"/>
  <c r="AQ187" i="19" s="1"/>
  <c r="AQ181" i="19"/>
  <c r="AQ191" i="19" s="1"/>
  <c r="AQ195" i="19" s="1"/>
  <c r="CQ198" i="19" a="1"/>
  <c r="CQ198" i="19" s="1"/>
  <c r="F181" i="19"/>
  <c r="F191" i="19" s="1"/>
  <c r="F195" i="19" s="1"/>
  <c r="F177" i="19"/>
  <c r="F187" i="19" s="1"/>
  <c r="CN177" i="19"/>
  <c r="CN187" i="19" s="1"/>
  <c r="CN181" i="19"/>
  <c r="CN191" i="19" s="1"/>
  <c r="CN195" i="19" s="1"/>
  <c r="G198" i="19" a="1"/>
  <c r="G198" i="19" s="1"/>
  <c r="BT198" i="19" a="1"/>
  <c r="BT198" i="19" s="1"/>
  <c r="CN182" i="19"/>
  <c r="CN192" i="19" s="1"/>
  <c r="CN179" i="19"/>
  <c r="CN189" i="19" s="1"/>
  <c r="CN178" i="19"/>
  <c r="CN188" i="19" s="1"/>
  <c r="CN180" i="19"/>
  <c r="CN190" i="19" s="1"/>
  <c r="CN184" i="19"/>
  <c r="CN194" i="19" s="1"/>
  <c r="CN183" i="19"/>
  <c r="CN193" i="19" s="1"/>
  <c r="AG71" i="19"/>
  <c r="AG152" i="19" s="1"/>
  <c r="AG86" i="19"/>
  <c r="AG167" i="19" s="1"/>
  <c r="BU178" i="19"/>
  <c r="BU188" i="19" s="1"/>
  <c r="BU179" i="19"/>
  <c r="BU189" i="19" s="1"/>
  <c r="BU183" i="19"/>
  <c r="BU193" i="19" s="1"/>
  <c r="BU182" i="19"/>
  <c r="BU192" i="19" s="1"/>
  <c r="BU184" i="19"/>
  <c r="BU194" i="19" s="1"/>
  <c r="BU180" i="19"/>
  <c r="BU190" i="19" s="1"/>
  <c r="AF77" i="20"/>
  <c r="AF158" i="20" s="1"/>
  <c r="AF85" i="20"/>
  <c r="AF166" i="20" s="1"/>
  <c r="CS181" i="19"/>
  <c r="CS191" i="19" s="1"/>
  <c r="CS195" i="19" s="1"/>
  <c r="CS177" i="19"/>
  <c r="CS187" i="19" s="1"/>
  <c r="A235" i="19"/>
  <c r="A70" i="19"/>
  <c r="A207" i="19"/>
  <c r="BG198" i="19" a="1"/>
  <c r="BG198" i="19" s="1"/>
  <c r="CS183" i="19"/>
  <c r="CS193" i="19" s="1"/>
  <c r="CS184" i="19"/>
  <c r="CS194" i="19" s="1"/>
  <c r="CP201" i="19" s="1"/>
  <c r="CQ259" i="19" s="1"/>
  <c r="CS182" i="19"/>
  <c r="CS192" i="19" s="1"/>
  <c r="CS180" i="19"/>
  <c r="CS190" i="19" s="1"/>
  <c r="CS178" i="19"/>
  <c r="CS188" i="19" s="1"/>
  <c r="CS179" i="19"/>
  <c r="CS189" i="19" s="1"/>
  <c r="BP183" i="19"/>
  <c r="BP193" i="19" s="1"/>
  <c r="BP184" i="19"/>
  <c r="BP194" i="19" s="1"/>
  <c r="BP182" i="19"/>
  <c r="BP192" i="19" s="1"/>
  <c r="BP179" i="19"/>
  <c r="BP189" i="19" s="1"/>
  <c r="BP178" i="19"/>
  <c r="BP188" i="19" s="1"/>
  <c r="BP180" i="19"/>
  <c r="BP190" i="19" s="1"/>
  <c r="K206" i="19"/>
  <c r="F206" i="19"/>
  <c r="G206" i="19"/>
  <c r="BL181" i="19"/>
  <c r="BL191" i="19" s="1"/>
  <c r="BL195" i="19" s="1"/>
  <c r="BL177" i="19"/>
  <c r="BL187" i="19" s="1"/>
  <c r="BA198" i="19" a="1"/>
  <c r="BA198" i="19" s="1"/>
  <c r="BH198" i="19" a="1"/>
  <c r="BH198" i="19" s="1"/>
  <c r="F370" i="20"/>
  <c r="BZ198" i="19" a="1"/>
  <c r="BZ198" i="19" s="1"/>
  <c r="AG72" i="19"/>
  <c r="AG153" i="19" s="1"/>
  <c r="AG80" i="19"/>
  <c r="AG161" i="19" s="1"/>
  <c r="AG87" i="19"/>
  <c r="AG168" i="19" s="1"/>
  <c r="M181" i="19"/>
  <c r="M191" i="19" s="1"/>
  <c r="M195" i="19" s="1"/>
  <c r="M177" i="19"/>
  <c r="M187" i="19" s="1"/>
  <c r="AF72" i="20"/>
  <c r="AF153" i="20" s="1"/>
  <c r="AF80" i="20"/>
  <c r="AF161" i="20" s="1"/>
  <c r="AF92" i="20"/>
  <c r="AF173" i="20" s="1"/>
  <c r="V198" i="19" a="1"/>
  <c r="V198" i="19" s="1"/>
  <c r="AS181" i="19"/>
  <c r="AS191" i="19" s="1"/>
  <c r="AS195" i="19" s="1"/>
  <c r="AS177" i="19"/>
  <c r="AS187" i="19" s="1"/>
  <c r="AR184" i="19"/>
  <c r="AR194" i="19" s="1"/>
  <c r="AR179" i="19"/>
  <c r="AR189" i="19" s="1"/>
  <c r="AR180" i="19"/>
  <c r="AR190" i="19" s="1"/>
  <c r="AR182" i="19"/>
  <c r="AR192" i="19" s="1"/>
  <c r="AR178" i="19"/>
  <c r="AR188" i="19" s="1"/>
  <c r="AR183" i="19"/>
  <c r="AR193" i="19" s="1"/>
  <c r="CC198" i="19" a="1"/>
  <c r="CC198" i="19" s="1"/>
  <c r="BY198" i="19" a="1"/>
  <c r="BY198" i="19" s="1"/>
  <c r="AO198" i="19" a="1"/>
  <c r="AO198" i="19" s="1"/>
  <c r="BB181" i="19"/>
  <c r="BB191" i="19" s="1"/>
  <c r="BB195" i="19" s="1"/>
  <c r="BB177" i="19"/>
  <c r="BB187" i="19" s="1"/>
  <c r="O182" i="19"/>
  <c r="O192" i="19" s="1"/>
  <c r="O184" i="19"/>
  <c r="O194" i="19" s="1"/>
  <c r="O183" i="19"/>
  <c r="O193" i="19" s="1"/>
  <c r="O179" i="19"/>
  <c r="O189" i="19" s="1"/>
  <c r="O178" i="19"/>
  <c r="O188" i="19" s="1"/>
  <c r="O180" i="19"/>
  <c r="O190" i="19" s="1"/>
  <c r="AZ198" i="19" a="1"/>
  <c r="AZ198" i="19" s="1"/>
  <c r="AX182" i="19"/>
  <c r="AX192" i="19" s="1"/>
  <c r="AX179" i="19"/>
  <c r="AX189" i="19" s="1"/>
  <c r="AX178" i="19"/>
  <c r="AX188" i="19" s="1"/>
  <c r="AX180" i="19"/>
  <c r="AX190" i="19" s="1"/>
  <c r="AX183" i="19"/>
  <c r="AX193" i="19" s="1"/>
  <c r="AX184" i="19"/>
  <c r="AX194" i="19" s="1"/>
  <c r="BR180" i="19"/>
  <c r="BR190" i="19" s="1"/>
  <c r="BR183" i="19"/>
  <c r="BR193" i="19" s="1"/>
  <c r="BR182" i="19"/>
  <c r="BR192" i="19" s="1"/>
  <c r="BR184" i="19"/>
  <c r="BR194" i="19" s="1"/>
  <c r="BR178" i="19"/>
  <c r="BR188" i="19" s="1"/>
  <c r="BR179" i="19"/>
  <c r="BR189" i="19" s="1"/>
  <c r="N181" i="19"/>
  <c r="N191" i="19" s="1"/>
  <c r="N195" i="19" s="1"/>
  <c r="N177" i="19"/>
  <c r="N187" i="19" s="1"/>
  <c r="BS181" i="19"/>
  <c r="BS191" i="19" s="1"/>
  <c r="BS195" i="19" s="1"/>
  <c r="BS177" i="19"/>
  <c r="BS187" i="19" s="1"/>
  <c r="AF81" i="20"/>
  <c r="AF162" i="20" s="1"/>
  <c r="CG177" i="19"/>
  <c r="CG187" i="19" s="1"/>
  <c r="CG181" i="19"/>
  <c r="CG191" i="19" s="1"/>
  <c r="CG195" i="19" s="1"/>
  <c r="F361" i="19"/>
  <c r="BB179" i="19"/>
  <c r="BB189" i="19" s="1"/>
  <c r="BB180" i="19"/>
  <c r="BB190" i="19" s="1"/>
  <c r="BB183" i="19"/>
  <c r="BB193" i="19" s="1"/>
  <c r="BB182" i="19"/>
  <c r="BB192" i="19" s="1"/>
  <c r="BB184" i="19"/>
  <c r="BB194" i="19" s="1"/>
  <c r="BB178" i="19"/>
  <c r="BB188" i="19" s="1"/>
  <c r="BN177" i="19"/>
  <c r="BN187" i="19" s="1"/>
  <c r="BN181" i="19"/>
  <c r="BN191" i="19" s="1"/>
  <c r="BN195" i="19" s="1"/>
  <c r="BS180" i="19"/>
  <c r="BS190" i="19" s="1"/>
  <c r="BS182" i="19"/>
  <c r="BS192" i="19" s="1"/>
  <c r="BS184" i="19"/>
  <c r="BS194" i="19" s="1"/>
  <c r="BS178" i="19"/>
  <c r="BS188" i="19" s="1"/>
  <c r="BS179" i="19"/>
  <c r="BS189" i="19" s="1"/>
  <c r="BS183" i="19"/>
  <c r="BS193" i="19" s="1"/>
  <c r="CB198" i="19" a="1"/>
  <c r="CB198" i="19" s="1"/>
  <c r="AF181" i="19"/>
  <c r="AF191" i="19" s="1"/>
  <c r="AF195" i="19" s="1"/>
  <c r="AF177" i="19"/>
  <c r="AF187" i="19" s="1"/>
  <c r="BV198" i="19" a="1"/>
  <c r="BV198" i="19" s="1"/>
  <c r="BL184" i="19"/>
  <c r="BL194" i="19" s="1"/>
  <c r="BL180" i="19"/>
  <c r="BL190" i="19" s="1"/>
  <c r="BL183" i="19"/>
  <c r="BL193" i="19" s="1"/>
  <c r="BL182" i="19"/>
  <c r="BL192" i="19" s="1"/>
  <c r="BL179" i="19"/>
  <c r="BL189" i="19" s="1"/>
  <c r="BL178" i="19"/>
  <c r="BL188" i="19" s="1"/>
  <c r="AG81" i="19"/>
  <c r="AG162" i="19" s="1"/>
  <c r="AS183" i="19"/>
  <c r="AS193" i="19" s="1"/>
  <c r="AS182" i="19"/>
  <c r="AS192" i="19" s="1"/>
  <c r="AS184" i="19"/>
  <c r="AS194" i="19" s="1"/>
  <c r="AS179" i="19"/>
  <c r="AS189" i="19" s="1"/>
  <c r="AS178" i="19"/>
  <c r="AS188" i="19" s="1"/>
  <c r="AS180" i="19"/>
  <c r="AS190" i="19" s="1"/>
  <c r="Y178" i="19"/>
  <c r="Y188" i="19" s="1"/>
  <c r="Y179" i="19"/>
  <c r="Y189" i="19" s="1"/>
  <c r="Y183" i="19"/>
  <c r="Y193" i="19" s="1"/>
  <c r="Y184" i="19"/>
  <c r="Y194" i="19" s="1"/>
  <c r="Y182" i="19"/>
  <c r="Y192" i="19" s="1"/>
  <c r="Y180" i="19"/>
  <c r="Y190" i="19" s="1"/>
  <c r="BP177" i="19"/>
  <c r="BP187" i="19" s="1"/>
  <c r="BP181" i="19"/>
  <c r="BP191" i="19" s="1"/>
  <c r="BP195" i="19" s="1"/>
  <c r="W198" i="19" a="1"/>
  <c r="W198" i="19" s="1"/>
  <c r="CL181" i="19"/>
  <c r="CL191" i="19" s="1"/>
  <c r="CL195" i="19" s="1"/>
  <c r="CL177" i="19"/>
  <c r="CL187" i="19" s="1"/>
  <c r="AY198" i="19" a="1"/>
  <c r="AY198" i="19" s="1"/>
  <c r="AG74" i="19"/>
  <c r="AG155" i="19" s="1"/>
  <c r="AG82" i="19"/>
  <c r="AG163" i="19" s="1"/>
  <c r="AG90" i="19"/>
  <c r="AG171" i="19" s="1"/>
  <c r="CD182" i="19"/>
  <c r="CD192" i="19" s="1"/>
  <c r="CD179" i="19"/>
  <c r="CD189" i="19" s="1"/>
  <c r="CD178" i="19"/>
  <c r="CD188" i="19" s="1"/>
  <c r="CD180" i="19"/>
  <c r="CD190" i="19" s="1"/>
  <c r="CD183" i="19"/>
  <c r="CD193" i="19" s="1"/>
  <c r="CD184" i="19"/>
  <c r="CD194" i="19" s="1"/>
  <c r="AF73" i="20"/>
  <c r="AF154" i="20" s="1"/>
  <c r="AF82" i="20"/>
  <c r="AF163" i="20" s="1"/>
  <c r="AF90" i="20"/>
  <c r="AF171" i="20" s="1"/>
  <c r="CG178" i="19"/>
  <c r="CG188" i="19" s="1"/>
  <c r="CG180" i="19"/>
  <c r="CG190" i="19" s="1"/>
  <c r="CG183" i="19"/>
  <c r="CG193" i="19" s="1"/>
  <c r="CG182" i="19"/>
  <c r="CG192" i="19" s="1"/>
  <c r="CG184" i="19"/>
  <c r="CG194" i="19" s="1"/>
  <c r="CG179" i="19"/>
  <c r="CG189" i="19" s="1"/>
  <c r="BK181" i="19"/>
  <c r="BK191" i="19" s="1"/>
  <c r="BK195" i="19" s="1"/>
  <c r="BK177" i="19"/>
  <c r="BK187" i="19" s="1"/>
  <c r="AB198" i="19" a="1"/>
  <c r="AB198" i="19" s="1"/>
  <c r="BC177" i="19"/>
  <c r="BC187" i="19" s="1"/>
  <c r="BC181" i="19"/>
  <c r="BC191" i="19" s="1"/>
  <c r="BC195" i="19" s="1"/>
  <c r="CI181" i="19"/>
  <c r="CI191" i="19" s="1"/>
  <c r="CI195" i="19" s="1"/>
  <c r="CI177" i="19"/>
  <c r="CI187" i="19" s="1"/>
  <c r="BN178" i="19"/>
  <c r="BN188" i="19" s="1"/>
  <c r="BN180" i="19"/>
  <c r="BN190" i="19" s="1"/>
  <c r="BN183" i="19"/>
  <c r="BN193" i="19" s="1"/>
  <c r="BN184" i="19"/>
  <c r="BN194" i="19" s="1"/>
  <c r="BN182" i="19"/>
  <c r="BN192" i="19" s="1"/>
  <c r="BN179" i="19"/>
  <c r="BN189" i="19" s="1"/>
  <c r="AD181" i="19"/>
  <c r="AD191" i="19" s="1"/>
  <c r="AD195" i="19" s="1"/>
  <c r="AD177" i="19"/>
  <c r="AD187" i="19" s="1"/>
  <c r="CM198" i="19" a="1"/>
  <c r="CM198" i="19" s="1"/>
  <c r="AX177" i="19"/>
  <c r="AX187" i="19" s="1"/>
  <c r="AX181" i="19"/>
  <c r="AX191" i="19" s="1"/>
  <c r="AX195" i="19" s="1"/>
  <c r="AG175" i="19"/>
  <c r="BX198" i="19" a="1"/>
  <c r="BX198" i="19" s="1"/>
  <c r="AF180" i="19"/>
  <c r="AF190" i="19" s="1"/>
  <c r="AF183" i="19"/>
  <c r="AF193" i="19" s="1"/>
  <c r="AF182" i="19"/>
  <c r="AF192" i="19" s="1"/>
  <c r="AF179" i="19"/>
  <c r="AF189" i="19" s="1"/>
  <c r="AF178" i="19"/>
  <c r="AF188" i="19" s="1"/>
  <c r="AF184" i="19"/>
  <c r="AF194" i="19" s="1"/>
  <c r="Z181" i="19"/>
  <c r="Z191" i="19" s="1"/>
  <c r="Z195" i="19" s="1"/>
  <c r="Z177" i="19"/>
  <c r="Z187" i="19" s="1"/>
  <c r="AG75" i="19"/>
  <c r="AG156" i="19" s="1"/>
  <c r="AG83" i="19"/>
  <c r="AG164" i="19" s="1"/>
  <c r="AG92" i="19"/>
  <c r="AG173" i="19" s="1"/>
  <c r="AF88" i="20"/>
  <c r="AF169" i="20" s="1"/>
  <c r="AF74" i="20"/>
  <c r="AF155" i="20" s="1"/>
  <c r="AF84" i="20"/>
  <c r="AF165" i="20" s="1"/>
  <c r="AH41" i="20"/>
  <c r="AG64" i="20"/>
  <c r="AH256" i="20" s="1"/>
  <c r="AG65" i="20"/>
  <c r="AH257" i="20" s="1"/>
  <c r="AG63" i="20"/>
  <c r="AH255" i="20" s="1"/>
  <c r="AG62" i="20"/>
  <c r="AH254" i="20" s="1"/>
  <c r="AG58" i="20"/>
  <c r="AH250" i="20" s="1"/>
  <c r="AG59" i="20"/>
  <c r="AH251" i="20" s="1"/>
  <c r="AG57" i="20"/>
  <c r="AH249" i="20" s="1"/>
  <c r="AG56" i="20"/>
  <c r="AH248" i="20" s="1"/>
  <c r="AG54" i="20"/>
  <c r="AH246" i="20" s="1"/>
  <c r="AG51" i="20"/>
  <c r="AH243" i="20" s="1"/>
  <c r="AG50" i="20"/>
  <c r="AH242" i="20" s="1"/>
  <c r="AG48" i="20"/>
  <c r="AH240" i="20" s="1"/>
  <c r="AG46" i="20"/>
  <c r="AH238" i="20" s="1"/>
  <c r="AG43" i="20"/>
  <c r="AH235" i="20" s="1"/>
  <c r="AG44" i="20"/>
  <c r="AH236" i="20" s="1"/>
  <c r="AG45" i="20"/>
  <c r="AH237" i="20" s="1"/>
  <c r="AG47" i="20"/>
  <c r="AH239" i="20" s="1"/>
  <c r="AG55" i="20"/>
  <c r="AH247" i="20" s="1"/>
  <c r="AG61" i="20"/>
  <c r="AH253" i="20" s="1"/>
  <c r="AG49" i="20"/>
  <c r="AH241" i="20" s="1"/>
  <c r="AG52" i="20"/>
  <c r="AH244" i="20" s="1"/>
  <c r="AG53" i="20"/>
  <c r="AH245" i="20" s="1"/>
  <c r="AG60" i="20"/>
  <c r="AH252" i="20" s="1"/>
  <c r="P181" i="19"/>
  <c r="P191" i="19" s="1"/>
  <c r="P195" i="19" s="1"/>
  <c r="P177" i="19"/>
  <c r="P187" i="19" s="1"/>
  <c r="BK179" i="19"/>
  <c r="BK189" i="19" s="1"/>
  <c r="BK183" i="19"/>
  <c r="BK193" i="19" s="1"/>
  <c r="BK180" i="19"/>
  <c r="BK190" i="19" s="1"/>
  <c r="BK182" i="19"/>
  <c r="BK192" i="19" s="1"/>
  <c r="BK184" i="19"/>
  <c r="BK194" i="19" s="1"/>
  <c r="BK178" i="19"/>
  <c r="BK188" i="19" s="1"/>
  <c r="BC184" i="19"/>
  <c r="BC194" i="19" s="1"/>
  <c r="BC178" i="19"/>
  <c r="BC188" i="19" s="1"/>
  <c r="BC183" i="19"/>
  <c r="BC193" i="19" s="1"/>
  <c r="BC179" i="19"/>
  <c r="BC189" i="19" s="1"/>
  <c r="BC180" i="19"/>
  <c r="BC190" i="19" s="1"/>
  <c r="BC182" i="19"/>
  <c r="BC192" i="19" s="1"/>
  <c r="Y186" i="19"/>
  <c r="Y176" i="19" s="1"/>
  <c r="Y149" i="19"/>
  <c r="Y95" i="19"/>
  <c r="Y122" i="19" s="1"/>
  <c r="CI179" i="19"/>
  <c r="CI189" i="19" s="1"/>
  <c r="CI183" i="19"/>
  <c r="CI193" i="19" s="1"/>
  <c r="CI182" i="19"/>
  <c r="CI192" i="19" s="1"/>
  <c r="CI178" i="19"/>
  <c r="CI188" i="19" s="1"/>
  <c r="CI184" i="19"/>
  <c r="CI194" i="19" s="1"/>
  <c r="CI180" i="19"/>
  <c r="CI190" i="19" s="1"/>
  <c r="J198" i="19" a="1"/>
  <c r="J198" i="19" s="1"/>
  <c r="AD183" i="19"/>
  <c r="AD193" i="19" s="1"/>
  <c r="AD182" i="19"/>
  <c r="AD192" i="19" s="1"/>
  <c r="AD184" i="19"/>
  <c r="AD194" i="19" s="1"/>
  <c r="AD178" i="19"/>
  <c r="AD188" i="19" s="1"/>
  <c r="AD179" i="19"/>
  <c r="AD189" i="19" s="1"/>
  <c r="AD180" i="19"/>
  <c r="AD190" i="19" s="1"/>
  <c r="CH181" i="19"/>
  <c r="CH191" i="19" s="1"/>
  <c r="CH195" i="19" s="1"/>
  <c r="CH177" i="19"/>
  <c r="CH187" i="19" s="1"/>
  <c r="CJ177" i="19"/>
  <c r="CJ187" i="19" s="1"/>
  <c r="CJ181" i="19"/>
  <c r="CJ191" i="19" s="1"/>
  <c r="CJ195" i="19" s="1"/>
  <c r="S198" i="19" a="1"/>
  <c r="S198" i="19" s="1"/>
  <c r="Z184" i="19"/>
  <c r="Z194" i="19" s="1"/>
  <c r="Z182" i="19"/>
  <c r="Z192" i="19" s="1"/>
  <c r="Z179" i="19"/>
  <c r="Z189" i="19" s="1"/>
  <c r="Z178" i="19"/>
  <c r="Z188" i="19" s="1"/>
  <c r="Z180" i="19"/>
  <c r="Z190" i="19" s="1"/>
  <c r="Z183" i="19"/>
  <c r="Z193" i="19" s="1"/>
  <c r="AG76" i="19"/>
  <c r="AG157" i="19" s="1"/>
  <c r="AG84" i="19"/>
  <c r="AG165" i="19" s="1"/>
  <c r="AG91" i="19"/>
  <c r="AG172" i="19" s="1"/>
  <c r="CD181" i="19"/>
  <c r="CD191" i="19" s="1"/>
  <c r="CD195" i="19" s="1"/>
  <c r="CD177" i="19"/>
  <c r="CD187" i="19" s="1"/>
  <c r="BI198" i="19" a="1"/>
  <c r="BI198" i="19" s="1"/>
  <c r="AF79" i="20"/>
  <c r="AF160" i="20" s="1"/>
  <c r="AF75" i="20"/>
  <c r="AF156" i="20" s="1"/>
  <c r="AF83" i="20"/>
  <c r="AF164" i="20" s="1"/>
  <c r="P184" i="19"/>
  <c r="P194" i="19" s="1"/>
  <c r="P180" i="19"/>
  <c r="P190" i="19" s="1"/>
  <c r="P183" i="19"/>
  <c r="P193" i="19" s="1"/>
  <c r="P182" i="19"/>
  <c r="P192" i="19" s="1"/>
  <c r="P179" i="19"/>
  <c r="P189" i="19" s="1"/>
  <c r="P178" i="19"/>
  <c r="P188" i="19" s="1"/>
  <c r="Y68" i="20"/>
  <c r="Z13" i="20"/>
  <c r="Y12" i="20"/>
  <c r="BQ198" i="19" a="1"/>
  <c r="BQ198" i="19" s="1"/>
  <c r="AE181" i="19"/>
  <c r="AE191" i="19" s="1"/>
  <c r="AE195" i="19" s="1"/>
  <c r="AE177" i="19"/>
  <c r="AE187" i="19" s="1"/>
  <c r="BJ181" i="19"/>
  <c r="BJ191" i="19" s="1"/>
  <c r="BJ195" i="19" s="1"/>
  <c r="BJ177" i="19"/>
  <c r="BJ187" i="19" s="1"/>
  <c r="Z68" i="19"/>
  <c r="AA13" i="19"/>
  <c r="Z12" i="19"/>
  <c r="BW198" i="19" a="1"/>
  <c r="BW198" i="19" s="1"/>
  <c r="Q177" i="19"/>
  <c r="Q187" i="19" s="1"/>
  <c r="Q181" i="19"/>
  <c r="Q191" i="19" s="1"/>
  <c r="Q195" i="19" s="1"/>
  <c r="X181" i="19"/>
  <c r="X191" i="19" s="1"/>
  <c r="X195" i="19" s="1"/>
  <c r="X177" i="19"/>
  <c r="X187" i="19" s="1"/>
  <c r="CH179" i="19"/>
  <c r="CH189" i="19" s="1"/>
  <c r="CH180" i="19"/>
  <c r="CH190" i="19" s="1"/>
  <c r="CH183" i="19"/>
  <c r="CH193" i="19" s="1"/>
  <c r="CH182" i="19"/>
  <c r="CH192" i="19" s="1"/>
  <c r="CH184" i="19"/>
  <c r="CH194" i="19" s="1"/>
  <c r="CH178" i="19"/>
  <c r="CH188" i="19" s="1"/>
  <c r="CJ184" i="19"/>
  <c r="CJ194" i="19" s="1"/>
  <c r="CJ180" i="19"/>
  <c r="CJ190" i="19" s="1"/>
  <c r="CJ182" i="19"/>
  <c r="CJ192" i="19" s="1"/>
  <c r="CJ178" i="19"/>
  <c r="CJ188" i="19" s="1"/>
  <c r="CJ183" i="19"/>
  <c r="CJ193" i="19" s="1"/>
  <c r="CJ179" i="19"/>
  <c r="CJ189" i="19" s="1"/>
  <c r="AG78" i="19"/>
  <c r="AG159" i="19" s="1"/>
  <c r="AG85" i="19"/>
  <c r="AG166" i="19" s="1"/>
  <c r="AI41" i="19"/>
  <c r="AH64" i="19"/>
  <c r="AI256" i="19" s="1"/>
  <c r="AH65" i="19"/>
  <c r="AI257" i="19" s="1"/>
  <c r="AH61" i="19"/>
  <c r="AI253" i="19" s="1"/>
  <c r="AH60" i="19"/>
  <c r="AI252" i="19" s="1"/>
  <c r="AH62" i="19"/>
  <c r="AI254" i="19" s="1"/>
  <c r="AH63" i="19"/>
  <c r="AI255" i="19" s="1"/>
  <c r="AH59" i="19"/>
  <c r="AI251" i="19" s="1"/>
  <c r="AH58" i="19"/>
  <c r="AI250" i="19" s="1"/>
  <c r="AH57" i="19"/>
  <c r="AI249" i="19" s="1"/>
  <c r="AH56" i="19"/>
  <c r="AI248" i="19" s="1"/>
  <c r="AH55" i="19"/>
  <c r="AI247" i="19" s="1"/>
  <c r="AH53" i="19"/>
  <c r="AI245" i="19" s="1"/>
  <c r="AH54" i="19"/>
  <c r="AI246" i="19" s="1"/>
  <c r="AH52" i="19"/>
  <c r="AI244" i="19" s="1"/>
  <c r="AH51" i="19"/>
  <c r="AI243" i="19" s="1"/>
  <c r="AH50" i="19"/>
  <c r="AI242" i="19" s="1"/>
  <c r="AH49" i="19"/>
  <c r="AI241" i="19" s="1"/>
  <c r="AH48" i="19"/>
  <c r="AI240" i="19" s="1"/>
  <c r="AH47" i="19"/>
  <c r="AI239" i="19" s="1"/>
  <c r="AH46" i="19"/>
  <c r="AI238" i="19" s="1"/>
  <c r="AH45" i="19"/>
  <c r="AI237" i="19" s="1"/>
  <c r="AH43" i="19"/>
  <c r="AI235" i="19" s="1"/>
  <c r="AH44" i="19"/>
  <c r="AI236" i="19" s="1"/>
  <c r="AH42" i="19"/>
  <c r="AI234" i="19" s="1"/>
  <c r="BU177" i="19"/>
  <c r="BU187" i="19" s="1"/>
  <c r="BU181" i="19"/>
  <c r="BU191" i="19" s="1"/>
  <c r="BU195" i="19" s="1"/>
  <c r="AF87" i="20"/>
  <c r="AF168" i="20" s="1"/>
  <c r="AF76" i="20"/>
  <c r="AF157" i="20" s="1"/>
  <c r="AF86" i="20"/>
  <c r="AF167" i="20" s="1"/>
  <c r="K198" i="19" a="1"/>
  <c r="K198" i="19" s="1"/>
  <c r="E198" i="19" a="1"/>
  <c r="E198" i="19" s="1"/>
  <c r="AP181" i="19"/>
  <c r="AP191" i="19" s="1"/>
  <c r="AP195" i="19" s="1"/>
  <c r="AP177" i="19"/>
  <c r="AP187" i="19" s="1"/>
  <c r="CR198" i="19" a="1"/>
  <c r="CR198" i="19" s="1"/>
  <c r="AE179" i="19"/>
  <c r="AE189" i="19" s="1"/>
  <c r="AE183" i="19"/>
  <c r="AE193" i="19" s="1"/>
  <c r="AE178" i="19"/>
  <c r="AE188" i="19" s="1"/>
  <c r="AE184" i="19"/>
  <c r="AE194" i="19" s="1"/>
  <c r="AE180" i="19"/>
  <c r="AE190" i="19" s="1"/>
  <c r="AE182" i="19"/>
  <c r="AE192" i="19" s="1"/>
  <c r="BJ183" i="19"/>
  <c r="BJ193" i="19" s="1"/>
  <c r="BJ182" i="19"/>
  <c r="BJ192" i="19" s="1"/>
  <c r="BJ184" i="19"/>
  <c r="BJ194" i="19" s="1"/>
  <c r="BJ178" i="19"/>
  <c r="BJ188" i="19" s="1"/>
  <c r="BJ179" i="19"/>
  <c r="BJ189" i="19" s="1"/>
  <c r="BJ180" i="19"/>
  <c r="BJ190" i="19" s="1"/>
  <c r="CF181" i="19"/>
  <c r="CF191" i="19" s="1"/>
  <c r="CF195" i="19" s="1"/>
  <c r="CF177" i="19"/>
  <c r="CF187" i="19" s="1"/>
  <c r="Q178" i="19"/>
  <c r="Q188" i="19" s="1"/>
  <c r="Q179" i="19"/>
  <c r="Q189" i="19" s="1"/>
  <c r="Q183" i="19"/>
  <c r="Q193" i="19" s="1"/>
  <c r="Q184" i="19"/>
  <c r="Q194" i="19" s="1"/>
  <c r="Q182" i="19"/>
  <c r="Q192" i="19" s="1"/>
  <c r="Q180" i="19"/>
  <c r="Q190" i="19" s="1"/>
  <c r="X182" i="19"/>
  <c r="X192" i="19" s="1"/>
  <c r="X179" i="19"/>
  <c r="X189" i="19" s="1"/>
  <c r="X178" i="19"/>
  <c r="X188" i="19" s="1"/>
  <c r="X184" i="19"/>
  <c r="X194" i="19" s="1"/>
  <c r="X180" i="19"/>
  <c r="X190" i="19" s="1"/>
  <c r="X183" i="19"/>
  <c r="X193" i="19" s="1"/>
  <c r="BF198" i="19" a="1"/>
  <c r="BF198" i="19" s="1"/>
  <c r="CA181" i="19"/>
  <c r="CA191" i="19" s="1"/>
  <c r="CA195" i="19" s="1"/>
  <c r="CA177" i="19"/>
  <c r="CA187" i="19" s="1"/>
  <c r="BO198" i="19" a="1"/>
  <c r="BO198" i="19" s="1"/>
  <c r="CQ201" i="19" l="1"/>
  <c r="CR259" i="19" s="1"/>
  <c r="BN201" i="19"/>
  <c r="BO259" i="19" s="1"/>
  <c r="CJ201" i="19"/>
  <c r="CK259" i="19" s="1"/>
  <c r="BH201" i="19"/>
  <c r="BI259" i="19" s="1"/>
  <c r="BS235" i="20"/>
  <c r="BR70" i="20"/>
  <c r="BR151" i="20" s="1"/>
  <c r="R234" i="2"/>
  <c r="Q175" i="2"/>
  <c r="Q69" i="2"/>
  <c r="Q150" i="2" s="1"/>
  <c r="CA236" i="20"/>
  <c r="BZ71" i="20"/>
  <c r="BZ152" i="20" s="1"/>
  <c r="CQ182" i="2"/>
  <c r="CQ192" i="2" s="1"/>
  <c r="CQ179" i="2"/>
  <c r="CQ189" i="2" s="1"/>
  <c r="CQ180" i="2"/>
  <c r="CQ190" i="2" s="1"/>
  <c r="CQ178" i="2"/>
  <c r="CQ188" i="2" s="1"/>
  <c r="CQ184" i="2"/>
  <c r="CQ194" i="2" s="1"/>
  <c r="CQ183" i="2"/>
  <c r="CQ193" i="2" s="1"/>
  <c r="AU182" i="2"/>
  <c r="AU192" i="2" s="1"/>
  <c r="AU178" i="2"/>
  <c r="AU188" i="2" s="1"/>
  <c r="AU180" i="2"/>
  <c r="AU190" i="2" s="1"/>
  <c r="AU183" i="2"/>
  <c r="AU193" i="2" s="1"/>
  <c r="AU179" i="2"/>
  <c r="AU189" i="2" s="1"/>
  <c r="AU184" i="2"/>
  <c r="AU194" i="2" s="1"/>
  <c r="CL177" i="2"/>
  <c r="CL187" i="2" s="1"/>
  <c r="CL181" i="2"/>
  <c r="CL191" i="2" s="1"/>
  <c r="CL195" i="2" s="1"/>
  <c r="CE234" i="2"/>
  <c r="CD175" i="2"/>
  <c r="CD69" i="2"/>
  <c r="CD150" i="2" s="1"/>
  <c r="AA234" i="2"/>
  <c r="Z175" i="2"/>
  <c r="Z69" i="2"/>
  <c r="Z150" i="2" s="1"/>
  <c r="AQ236" i="20"/>
  <c r="AP71" i="20"/>
  <c r="AP152" i="20" s="1"/>
  <c r="AC236" i="20"/>
  <c r="AB71" i="20"/>
  <c r="AB152" i="20" s="1"/>
  <c r="CJ234" i="2"/>
  <c r="CI69" i="2"/>
  <c r="CI150" i="2" s="1"/>
  <c r="CI175" i="2"/>
  <c r="BE236" i="20"/>
  <c r="BD71" i="20"/>
  <c r="BD152" i="20" s="1"/>
  <c r="CS175" i="2"/>
  <c r="CS69" i="2"/>
  <c r="CS150" i="2" s="1"/>
  <c r="AZ236" i="20"/>
  <c r="AY71" i="20"/>
  <c r="AY152" i="20" s="1"/>
  <c r="W236" i="20"/>
  <c r="V71" i="20"/>
  <c r="V152" i="20" s="1"/>
  <c r="AP234" i="2"/>
  <c r="AO175" i="2"/>
  <c r="AO69" i="2"/>
  <c r="AO150" i="2" s="1"/>
  <c r="BL234" i="2"/>
  <c r="BK175" i="2"/>
  <c r="BK69" i="2"/>
  <c r="BK150" i="2" s="1"/>
  <c r="CG236" i="20"/>
  <c r="CF71" i="20"/>
  <c r="CF152" i="20" s="1"/>
  <c r="AB178" i="2"/>
  <c r="AB188" i="2" s="1"/>
  <c r="AB179" i="2"/>
  <c r="AB189" i="2" s="1"/>
  <c r="AB182" i="2"/>
  <c r="AB192" i="2" s="1"/>
  <c r="AB184" i="2"/>
  <c r="AB194" i="2" s="1"/>
  <c r="AB180" i="2"/>
  <c r="AB190" i="2" s="1"/>
  <c r="AB183" i="2"/>
  <c r="AB193" i="2" s="1"/>
  <c r="AV181" i="2"/>
  <c r="AV191" i="2" s="1"/>
  <c r="AV195" i="2" s="1"/>
  <c r="AV177" i="2"/>
  <c r="AV187" i="2" s="1"/>
  <c r="AD235" i="20"/>
  <c r="AC70" i="20"/>
  <c r="AC151" i="20" s="1"/>
  <c r="V235" i="20"/>
  <c r="U70" i="20"/>
  <c r="U151" i="20" s="1"/>
  <c r="N235" i="20"/>
  <c r="M70" i="20"/>
  <c r="M151" i="20" s="1"/>
  <c r="L235" i="20"/>
  <c r="K70" i="20"/>
  <c r="K151" i="20"/>
  <c r="CH235" i="20"/>
  <c r="CG70" i="20"/>
  <c r="CG151" i="20" s="1"/>
  <c r="CA235" i="20"/>
  <c r="BZ70" i="20"/>
  <c r="BZ151" i="20" s="1"/>
  <c r="M235" i="20"/>
  <c r="L70" i="20"/>
  <c r="L151" i="20" s="1"/>
  <c r="BJ235" i="20"/>
  <c r="BI70" i="20"/>
  <c r="BI151" i="20"/>
  <c r="CN43" i="20"/>
  <c r="BM43" i="20"/>
  <c r="CR43" i="20"/>
  <c r="Q234" i="2"/>
  <c r="P175" i="2"/>
  <c r="P69" i="2"/>
  <c r="P150" i="2" s="1"/>
  <c r="CQ236" i="20"/>
  <c r="CP71" i="20"/>
  <c r="CP152" i="20" s="1"/>
  <c r="I234" i="2"/>
  <c r="H175" i="2"/>
  <c r="H69" i="2"/>
  <c r="H150" i="2" s="1"/>
  <c r="BQ236" i="20"/>
  <c r="BP71" i="20"/>
  <c r="BP152" i="20"/>
  <c r="CQ181" i="2"/>
  <c r="CQ191" i="2" s="1"/>
  <c r="CQ195" i="2" s="1"/>
  <c r="CQ177" i="2"/>
  <c r="CQ187" i="2" s="1"/>
  <c r="AJ181" i="2"/>
  <c r="AJ191" i="2" s="1"/>
  <c r="AJ195" i="2" s="1"/>
  <c r="AJ177" i="2"/>
  <c r="AJ187" i="2" s="1"/>
  <c r="CL184" i="2"/>
  <c r="CL194" i="2" s="1"/>
  <c r="CL180" i="2"/>
  <c r="CL190" i="2" s="1"/>
  <c r="CL183" i="2"/>
  <c r="CL193" i="2" s="1"/>
  <c r="CL179" i="2"/>
  <c r="CL189" i="2" s="1"/>
  <c r="CL182" i="2"/>
  <c r="CL192" i="2" s="1"/>
  <c r="CL178" i="2"/>
  <c r="CL188" i="2" s="1"/>
  <c r="CS234" i="2"/>
  <c r="CR175" i="2"/>
  <c r="CR69" i="2"/>
  <c r="CR150" i="2" s="1"/>
  <c r="AR234" i="2"/>
  <c r="AQ69" i="2"/>
  <c r="AQ150" i="2" s="1"/>
  <c r="AQ175" i="2"/>
  <c r="CR236" i="20"/>
  <c r="CQ71" i="20"/>
  <c r="CQ152" i="20"/>
  <c r="CN234" i="2"/>
  <c r="CM175" i="2"/>
  <c r="CM69" i="2"/>
  <c r="CM150" i="2" s="1"/>
  <c r="AY234" i="2"/>
  <c r="AX69" i="2"/>
  <c r="AX150" i="2" s="1"/>
  <c r="AX175" i="2"/>
  <c r="AV236" i="20"/>
  <c r="AU152" i="20"/>
  <c r="AU71" i="20"/>
  <c r="N236" i="20"/>
  <c r="M71" i="20"/>
  <c r="M152" i="20" s="1"/>
  <c r="BD234" i="2"/>
  <c r="BC69" i="2"/>
  <c r="BC150" i="2" s="1"/>
  <c r="BC175" i="2"/>
  <c r="K234" i="2"/>
  <c r="J175" i="2"/>
  <c r="J69" i="2"/>
  <c r="J150" i="2" s="1"/>
  <c r="CD236" i="20"/>
  <c r="CC71" i="20"/>
  <c r="CC152" i="20" s="1"/>
  <c r="AE236" i="20"/>
  <c r="AD71" i="20"/>
  <c r="AD152" i="20" s="1"/>
  <c r="BM234" i="2"/>
  <c r="BL175" i="2"/>
  <c r="BL69" i="2"/>
  <c r="BL150" i="2" s="1"/>
  <c r="CH234" i="2"/>
  <c r="CG69" i="2"/>
  <c r="CG150" i="2" s="1"/>
  <c r="CG175" i="2"/>
  <c r="M236" i="20"/>
  <c r="L71" i="20"/>
  <c r="L152" i="20" s="1"/>
  <c r="CC234" i="2"/>
  <c r="CB175" i="2"/>
  <c r="CB69" i="2"/>
  <c r="CB150" i="2" s="1"/>
  <c r="AB177" i="2"/>
  <c r="AB187" i="2" s="1"/>
  <c r="AB181" i="2"/>
  <c r="AB191" i="2" s="1"/>
  <c r="AB195" i="2" s="1"/>
  <c r="CH181" i="2"/>
  <c r="CH191" i="2" s="1"/>
  <c r="CH195" i="2" s="1"/>
  <c r="CH177" i="2"/>
  <c r="CH187" i="2" s="1"/>
  <c r="AC235" i="20"/>
  <c r="AB70" i="20"/>
  <c r="AB151" i="20" s="1"/>
  <c r="U235" i="20"/>
  <c r="T70" i="20"/>
  <c r="T151" i="20" s="1"/>
  <c r="BY43" i="20"/>
  <c r="AX43" i="20"/>
  <c r="BS43" i="20"/>
  <c r="AQ43" i="20"/>
  <c r="BP43" i="20"/>
  <c r="BA43" i="20"/>
  <c r="CF43" i="20"/>
  <c r="BE43" i="20"/>
  <c r="BN43" i="20"/>
  <c r="BW234" i="2"/>
  <c r="BV175" i="2"/>
  <c r="BV69" i="2"/>
  <c r="BV150" i="2" s="1"/>
  <c r="BL236" i="20"/>
  <c r="BK71" i="20"/>
  <c r="BK152" i="20" s="1"/>
  <c r="T234" i="2"/>
  <c r="S175" i="2"/>
  <c r="S69" i="2"/>
  <c r="S150" i="2" s="1"/>
  <c r="BY234" i="2"/>
  <c r="BX69" i="2"/>
  <c r="BX150" i="2" s="1"/>
  <c r="BX175" i="2"/>
  <c r="H236" i="20"/>
  <c r="G71" i="20"/>
  <c r="G152" i="20" s="1"/>
  <c r="S236" i="20"/>
  <c r="R71" i="20"/>
  <c r="R152" i="20" s="1"/>
  <c r="K207" i="2"/>
  <c r="F207" i="2"/>
  <c r="G207" i="2"/>
  <c r="AJ178" i="2"/>
  <c r="AJ188" i="2" s="1"/>
  <c r="AJ179" i="2"/>
  <c r="AJ189" i="2" s="1"/>
  <c r="AJ180" i="2"/>
  <c r="AJ190" i="2" s="1"/>
  <c r="AJ184" i="2"/>
  <c r="AJ194" i="2" s="1"/>
  <c r="AJ182" i="2"/>
  <c r="AJ192" i="2" s="1"/>
  <c r="AJ183" i="2"/>
  <c r="AJ193" i="2" s="1"/>
  <c r="V181" i="2"/>
  <c r="V191" i="2" s="1"/>
  <c r="V195" i="2" s="1"/>
  <c r="V177" i="2"/>
  <c r="V187" i="2" s="1"/>
  <c r="O234" i="2"/>
  <c r="N69" i="2"/>
  <c r="N150" i="2" s="1"/>
  <c r="N175" i="2"/>
  <c r="F236" i="20"/>
  <c r="E71" i="20"/>
  <c r="E152" i="20" s="1"/>
  <c r="H234" i="2"/>
  <c r="G175" i="2"/>
  <c r="G69" i="2"/>
  <c r="G150" i="2" s="1"/>
  <c r="BR234" i="2"/>
  <c r="BQ175" i="2"/>
  <c r="BQ69" i="2"/>
  <c r="BQ150" i="2" s="1"/>
  <c r="CC236" i="20"/>
  <c r="CB71" i="20"/>
  <c r="CB152" i="20"/>
  <c r="V236" i="20"/>
  <c r="U71" i="20"/>
  <c r="U152" i="20" s="1"/>
  <c r="AQ234" i="2"/>
  <c r="AP69" i="2"/>
  <c r="AP150" i="2" s="1"/>
  <c r="AP175" i="2"/>
  <c r="BG234" i="2"/>
  <c r="BF175" i="2"/>
  <c r="BF69" i="2"/>
  <c r="BF150" i="2" s="1"/>
  <c r="BG236" i="20"/>
  <c r="BF71" i="20"/>
  <c r="BF152" i="20" s="1"/>
  <c r="BU234" i="2"/>
  <c r="BT69" i="2"/>
  <c r="BT150" i="2" s="1"/>
  <c r="BT175" i="2"/>
  <c r="I236" i="20"/>
  <c r="H71" i="20"/>
  <c r="H152" i="20" s="1"/>
  <c r="AN178" i="2"/>
  <c r="AN188" i="2" s="1"/>
  <c r="AN183" i="2"/>
  <c r="AN193" i="2" s="1"/>
  <c r="AN182" i="2"/>
  <c r="AN192" i="2" s="1"/>
  <c r="AN179" i="2"/>
  <c r="AN189" i="2" s="1"/>
  <c r="AN180" i="2"/>
  <c r="AN190" i="2" s="1"/>
  <c r="AN184" i="2"/>
  <c r="AN194" i="2" s="1"/>
  <c r="CH182" i="2"/>
  <c r="CH192" i="2" s="1"/>
  <c r="CH178" i="2"/>
  <c r="CH188" i="2" s="1"/>
  <c r="CH184" i="2"/>
  <c r="CH194" i="2" s="1"/>
  <c r="CH183" i="2"/>
  <c r="CH193" i="2" s="1"/>
  <c r="CH179" i="2"/>
  <c r="CH189" i="2" s="1"/>
  <c r="CH180" i="2"/>
  <c r="CH190" i="2" s="1"/>
  <c r="AS182" i="2"/>
  <c r="AS192" i="2" s="1"/>
  <c r="AS184" i="2"/>
  <c r="AS194" i="2" s="1"/>
  <c r="AS179" i="2"/>
  <c r="AS189" i="2" s="1"/>
  <c r="AS183" i="2"/>
  <c r="AS193" i="2" s="1"/>
  <c r="AS178" i="2"/>
  <c r="AS188" i="2" s="1"/>
  <c r="AS180" i="2"/>
  <c r="AS190" i="2" s="1"/>
  <c r="AB235" i="20"/>
  <c r="AA70" i="20"/>
  <c r="AA151" i="20" s="1"/>
  <c r="T235" i="20"/>
  <c r="S70" i="20"/>
  <c r="S151" i="20" s="1"/>
  <c r="CF235" i="20"/>
  <c r="CE70" i="20"/>
  <c r="CE151" i="20"/>
  <c r="BU43" i="20"/>
  <c r="BC43" i="20"/>
  <c r="BJ43" i="20"/>
  <c r="J43" i="20"/>
  <c r="AW43" i="20"/>
  <c r="CJ43" i="20"/>
  <c r="F43" i="20"/>
  <c r="CI43" i="20"/>
  <c r="BN234" i="2"/>
  <c r="BM175" i="2"/>
  <c r="BM69" i="2"/>
  <c r="BM150" i="2" s="1"/>
  <c r="CO236" i="20"/>
  <c r="CN71" i="20"/>
  <c r="CN152" i="20" s="1"/>
  <c r="R236" i="20"/>
  <c r="Q71" i="20"/>
  <c r="Q152" i="20" s="1"/>
  <c r="F234" i="2"/>
  <c r="E175" i="2"/>
  <c r="E69" i="2"/>
  <c r="E150" i="2" s="1"/>
  <c r="AM234" i="2"/>
  <c r="AL175" i="2"/>
  <c r="AL69" i="2"/>
  <c r="AL150" i="2" s="1"/>
  <c r="BK236" i="20"/>
  <c r="BJ71" i="20"/>
  <c r="BJ152" i="20" s="1"/>
  <c r="AA236" i="20"/>
  <c r="Z71" i="20"/>
  <c r="Z152" i="20" s="1"/>
  <c r="M210" i="2"/>
  <c r="G210" i="2" s="1"/>
  <c r="O207" i="2"/>
  <c r="BB183" i="2"/>
  <c r="BB193" i="2" s="1"/>
  <c r="BB180" i="2"/>
  <c r="BB190" i="2" s="1"/>
  <c r="BB182" i="2"/>
  <c r="BB192" i="2" s="1"/>
  <c r="BB178" i="2"/>
  <c r="BB188" i="2" s="1"/>
  <c r="BB184" i="2"/>
  <c r="BB194" i="2" s="1"/>
  <c r="BB179" i="2"/>
  <c r="BB189" i="2" s="1"/>
  <c r="V179" i="2"/>
  <c r="V189" i="2" s="1"/>
  <c r="V180" i="2"/>
  <c r="V190" i="2" s="1"/>
  <c r="V184" i="2"/>
  <c r="V194" i="2" s="1"/>
  <c r="V183" i="2"/>
  <c r="V193" i="2" s="1"/>
  <c r="V182" i="2"/>
  <c r="V192" i="2" s="1"/>
  <c r="V178" i="2"/>
  <c r="V188" i="2" s="1"/>
  <c r="AM182" i="2"/>
  <c r="AM192" i="2" s="1"/>
  <c r="AM184" i="2"/>
  <c r="AM194" i="2" s="1"/>
  <c r="AM179" i="2"/>
  <c r="AM189" i="2" s="1"/>
  <c r="AM180" i="2"/>
  <c r="AM190" i="2" s="1"/>
  <c r="AM178" i="2"/>
  <c r="AM188" i="2" s="1"/>
  <c r="AM183" i="2"/>
  <c r="AM193" i="2" s="1"/>
  <c r="AH234" i="2"/>
  <c r="AG175" i="2"/>
  <c r="AG69" i="2"/>
  <c r="AG150" i="2" s="1"/>
  <c r="CE236" i="20"/>
  <c r="CD71" i="20"/>
  <c r="CD152" i="20" s="1"/>
  <c r="BX234" i="2"/>
  <c r="BW69" i="2"/>
  <c r="BW150" i="2" s="1"/>
  <c r="BW175" i="2"/>
  <c r="AB234" i="2"/>
  <c r="AA69" i="2"/>
  <c r="AA150" i="2" s="1"/>
  <c r="AA175" i="2"/>
  <c r="AR236" i="20"/>
  <c r="AQ71" i="20"/>
  <c r="AQ152" i="20"/>
  <c r="AD236" i="20"/>
  <c r="AC71" i="20"/>
  <c r="AC152" i="20" s="1"/>
  <c r="N234" i="2"/>
  <c r="M175" i="2"/>
  <c r="M69" i="2"/>
  <c r="M150" i="2" s="1"/>
  <c r="CK234" i="2"/>
  <c r="CJ69" i="2"/>
  <c r="CJ150" i="2" s="1"/>
  <c r="CJ175" i="2"/>
  <c r="BM236" i="20"/>
  <c r="BL71" i="20"/>
  <c r="BL152" i="20"/>
  <c r="P234" i="2"/>
  <c r="O175" i="2"/>
  <c r="O69" i="2"/>
  <c r="O150" i="2" s="1"/>
  <c r="CN236" i="20"/>
  <c r="CM71" i="20"/>
  <c r="CM152" i="20" s="1"/>
  <c r="AN181" i="2"/>
  <c r="AN191" i="2" s="1"/>
  <c r="AN195" i="2" s="1"/>
  <c r="AN177" i="2"/>
  <c r="AN187" i="2" s="1"/>
  <c r="BJ177" i="2"/>
  <c r="BJ187" i="2" s="1"/>
  <c r="BJ181" i="2"/>
  <c r="BJ191" i="2" s="1"/>
  <c r="BJ195" i="2" s="1"/>
  <c r="AS181" i="2"/>
  <c r="AS191" i="2" s="1"/>
  <c r="AS195" i="2" s="1"/>
  <c r="AS177" i="2"/>
  <c r="AS187" i="2" s="1"/>
  <c r="G208" i="20"/>
  <c r="F208" i="20"/>
  <c r="K208" i="20"/>
  <c r="AA235" i="20"/>
  <c r="Z70" i="20"/>
  <c r="Z151" i="20" s="1"/>
  <c r="S235" i="20"/>
  <c r="R70" i="20"/>
  <c r="R151" i="20" s="1"/>
  <c r="I235" i="20"/>
  <c r="H70" i="20"/>
  <c r="H151" i="20"/>
  <c r="C43" i="20"/>
  <c r="CT42" i="20"/>
  <c r="AT42" i="20" s="1"/>
  <c r="CJ42" i="20"/>
  <c r="BI42" i="20"/>
  <c r="AW42" i="20"/>
  <c r="CP42" i="20"/>
  <c r="BG42" i="20"/>
  <c r="CN42" i="20"/>
  <c r="CE42" i="20"/>
  <c r="AY42" i="20"/>
  <c r="CF42" i="20"/>
  <c r="CQ42" i="20"/>
  <c r="CC42" i="20"/>
  <c r="AX42" i="20"/>
  <c r="B96" i="20"/>
  <c r="BY42" i="20"/>
  <c r="AQ42" i="20"/>
  <c r="H42" i="20"/>
  <c r="BD42" i="20"/>
  <c r="BA42" i="20"/>
  <c r="BH42" i="20"/>
  <c r="F42" i="20"/>
  <c r="BL42" i="20"/>
  <c r="BW42" i="20"/>
  <c r="L42" i="20"/>
  <c r="BB42" i="20"/>
  <c r="D42" i="20"/>
  <c r="CB42" i="20"/>
  <c r="BP42" i="20"/>
  <c r="K42" i="20"/>
  <c r="BC42" i="20"/>
  <c r="BU42" i="20"/>
  <c r="CM42" i="20"/>
  <c r="CO42" i="20"/>
  <c r="CS42" i="20"/>
  <c r="CG42" i="20"/>
  <c r="CL42" i="20"/>
  <c r="BM42" i="20"/>
  <c r="CR42" i="20"/>
  <c r="AZ42" i="20"/>
  <c r="BO42" i="20"/>
  <c r="E42" i="20"/>
  <c r="AP42" i="20"/>
  <c r="I42" i="20"/>
  <c r="AS42" i="20"/>
  <c r="AO42" i="20"/>
  <c r="BZ42" i="20"/>
  <c r="CH42" i="20"/>
  <c r="BF42" i="20"/>
  <c r="CD42" i="20"/>
  <c r="BQ42" i="20"/>
  <c r="BS42" i="20"/>
  <c r="M42" i="20"/>
  <c r="N42" i="20"/>
  <c r="O42" i="20"/>
  <c r="Q42" i="20"/>
  <c r="R42" i="20"/>
  <c r="S42" i="20"/>
  <c r="U42" i="20"/>
  <c r="V42" i="20"/>
  <c r="W42" i="20"/>
  <c r="Y42" i="20"/>
  <c r="Z42" i="20"/>
  <c r="AA42" i="20"/>
  <c r="AC42" i="20"/>
  <c r="AD42" i="20"/>
  <c r="AE42" i="20"/>
  <c r="AZ43" i="20"/>
  <c r="CM43" i="20"/>
  <c r="D43" i="20"/>
  <c r="AO43" i="20"/>
  <c r="CB43" i="20"/>
  <c r="BT43" i="20"/>
  <c r="CF234" i="2"/>
  <c r="CE175" i="2"/>
  <c r="CE69" i="2"/>
  <c r="CE150" i="2" s="1"/>
  <c r="BO236" i="20"/>
  <c r="BN71" i="20"/>
  <c r="BN152" i="20" s="1"/>
  <c r="Z236" i="20"/>
  <c r="Y71" i="20"/>
  <c r="Y152" i="20" s="1"/>
  <c r="CA234" i="2"/>
  <c r="BZ175" i="2"/>
  <c r="BZ69" i="2"/>
  <c r="BZ150" i="2" s="1"/>
  <c r="AX234" i="2"/>
  <c r="AW69" i="2"/>
  <c r="AW150" i="2" s="1"/>
  <c r="AW175" i="2"/>
  <c r="BZ236" i="20"/>
  <c r="BY71" i="20"/>
  <c r="BY152" i="20" s="1"/>
  <c r="BB177" i="2"/>
  <c r="BB187" i="2" s="1"/>
  <c r="BB181" i="2"/>
  <c r="BB191" i="2" s="1"/>
  <c r="BB195" i="2" s="1"/>
  <c r="BO183" i="2"/>
  <c r="BO193" i="2" s="1"/>
  <c r="BO179" i="2"/>
  <c r="BO189" i="2" s="1"/>
  <c r="BO180" i="2"/>
  <c r="BO190" i="2" s="1"/>
  <c r="BO178" i="2"/>
  <c r="BO188" i="2" s="1"/>
  <c r="BO184" i="2"/>
  <c r="BO194" i="2" s="1"/>
  <c r="BO182" i="2"/>
  <c r="BO192" i="2" s="1"/>
  <c r="AM181" i="2"/>
  <c r="AM191" i="2" s="1"/>
  <c r="AM195" i="2" s="1"/>
  <c r="AM177" i="2"/>
  <c r="AM187" i="2" s="1"/>
  <c r="BJ234" i="2"/>
  <c r="BI69" i="2"/>
  <c r="BI150" i="2" s="1"/>
  <c r="BI175" i="2"/>
  <c r="CF236" i="20"/>
  <c r="CE71" i="20"/>
  <c r="CE152" i="20" s="1"/>
  <c r="AZ234" i="2"/>
  <c r="AY175" i="2"/>
  <c r="AY69" i="2"/>
  <c r="AY150" i="2" s="1"/>
  <c r="CO234" i="2"/>
  <c r="CN175" i="2"/>
  <c r="CN69" i="2"/>
  <c r="CN150" i="2" s="1"/>
  <c r="BV236" i="20"/>
  <c r="BU71" i="20"/>
  <c r="BU152" i="20" s="1"/>
  <c r="M234" i="2"/>
  <c r="L69" i="2"/>
  <c r="L150" i="2" s="1"/>
  <c r="L175" i="2"/>
  <c r="CD234" i="2"/>
  <c r="CC175" i="2"/>
  <c r="CC69" i="2"/>
  <c r="CC150" i="2" s="1"/>
  <c r="CB236" i="20"/>
  <c r="CA71" i="20"/>
  <c r="CA152" i="20" s="1"/>
  <c r="L234" i="2"/>
  <c r="K175" i="2"/>
  <c r="K69" i="2"/>
  <c r="K150" i="2" s="1"/>
  <c r="BI236" i="20"/>
  <c r="BH71" i="20"/>
  <c r="BH152" i="20"/>
  <c r="BJ179" i="2"/>
  <c r="BJ189" i="2" s="1"/>
  <c r="BJ180" i="2"/>
  <c r="BJ190" i="2" s="1"/>
  <c r="BJ182" i="2"/>
  <c r="BJ192" i="2" s="1"/>
  <c r="BJ178" i="2"/>
  <c r="BJ188" i="2" s="1"/>
  <c r="BJ184" i="2"/>
  <c r="BJ194" i="2" s="1"/>
  <c r="BJ183" i="2"/>
  <c r="BJ193" i="2" s="1"/>
  <c r="AD181" i="2"/>
  <c r="AD191" i="2" s="1"/>
  <c r="AD195" i="2" s="1"/>
  <c r="AD177" i="2"/>
  <c r="AD187" i="2" s="1"/>
  <c r="M211" i="20"/>
  <c r="G211" i="20" s="1"/>
  <c r="O208" i="20"/>
  <c r="Z235" i="20"/>
  <c r="Y70" i="20"/>
  <c r="Y151" i="20" s="1"/>
  <c r="R235" i="20"/>
  <c r="Q70" i="20"/>
  <c r="Q151" i="20" s="1"/>
  <c r="F235" i="20"/>
  <c r="E70" i="20"/>
  <c r="E151" i="20" s="1"/>
  <c r="BX235" i="20"/>
  <c r="BW70" i="20"/>
  <c r="BW151" i="20"/>
  <c r="J235" i="20"/>
  <c r="I70" i="20"/>
  <c r="I151" i="20" s="1"/>
  <c r="BG235" i="20"/>
  <c r="BF70" i="20"/>
  <c r="BF151" i="20"/>
  <c r="CL235" i="20"/>
  <c r="CK70" i="20"/>
  <c r="CK151" i="20"/>
  <c r="CP235" i="20"/>
  <c r="CO70" i="20"/>
  <c r="CO151" i="20" s="1"/>
  <c r="BI235" i="20"/>
  <c r="BH70" i="20"/>
  <c r="BH151" i="20" s="1"/>
  <c r="AU235" i="20"/>
  <c r="AT70" i="20"/>
  <c r="AT151" i="20"/>
  <c r="Z234" i="2"/>
  <c r="Y69" i="2"/>
  <c r="Y150" i="2" s="1"/>
  <c r="Y175" i="2"/>
  <c r="AJ234" i="2"/>
  <c r="AI175" i="2"/>
  <c r="AI69" i="2"/>
  <c r="AI150" i="2" s="1"/>
  <c r="AU236" i="20"/>
  <c r="AT71" i="20"/>
  <c r="AT152" i="20"/>
  <c r="BF234" i="2"/>
  <c r="BE69" i="2"/>
  <c r="BE150" i="2" s="1"/>
  <c r="BE175" i="2"/>
  <c r="BQ234" i="2"/>
  <c r="BP175" i="2"/>
  <c r="BP69" i="2"/>
  <c r="BP150" i="2" s="1"/>
  <c r="BP236" i="20"/>
  <c r="BO71" i="20"/>
  <c r="BO152" i="20" s="1"/>
  <c r="CO181" i="2"/>
  <c r="CO191" i="2" s="1"/>
  <c r="CO195" i="2" s="1"/>
  <c r="CO177" i="2"/>
  <c r="CO187" i="2" s="1"/>
  <c r="BO177" i="2"/>
  <c r="BO187" i="2" s="1"/>
  <c r="BO181" i="2"/>
  <c r="BO191" i="2" s="1"/>
  <c r="BO195" i="2" s="1"/>
  <c r="G206" i="2"/>
  <c r="F206" i="2"/>
  <c r="K206" i="2"/>
  <c r="X234" i="2"/>
  <c r="W69" i="2"/>
  <c r="W150" i="2" s="1"/>
  <c r="W175" i="2"/>
  <c r="BF236" i="20"/>
  <c r="BE71" i="20"/>
  <c r="BE152" i="20" s="1"/>
  <c r="AG234" i="2"/>
  <c r="AF175" i="2"/>
  <c r="AF69" i="2"/>
  <c r="AF150" i="2" s="1"/>
  <c r="BW236" i="20"/>
  <c r="BV71" i="20"/>
  <c r="BV152" i="20" s="1"/>
  <c r="AI12" i="2"/>
  <c r="AI68" i="2"/>
  <c r="AJ13" i="2"/>
  <c r="G234" i="2"/>
  <c r="F69" i="2"/>
  <c r="F150" i="2" s="1"/>
  <c r="F175" i="2"/>
  <c r="AW236" i="20"/>
  <c r="AV71" i="20"/>
  <c r="AV152" i="20" s="1"/>
  <c r="AD234" i="2"/>
  <c r="AC69" i="2"/>
  <c r="AC150" i="2" s="1"/>
  <c r="AC175" i="2"/>
  <c r="CP236" i="20"/>
  <c r="CO71" i="20"/>
  <c r="CO152" i="20" s="1"/>
  <c r="R177" i="2"/>
  <c r="R187" i="2" s="1"/>
  <c r="R181" i="2"/>
  <c r="R191" i="2" s="1"/>
  <c r="R195" i="2" s="1"/>
  <c r="AD179" i="2"/>
  <c r="AD189" i="2" s="1"/>
  <c r="AD182" i="2"/>
  <c r="AD192" i="2" s="1"/>
  <c r="AD180" i="2"/>
  <c r="AD190" i="2" s="1"/>
  <c r="AD184" i="2"/>
  <c r="AD194" i="2" s="1"/>
  <c r="AD183" i="2"/>
  <c r="AD193" i="2" s="1"/>
  <c r="AD178" i="2"/>
  <c r="AD188" i="2" s="1"/>
  <c r="U181" i="2"/>
  <c r="U191" i="2" s="1"/>
  <c r="U195" i="2" s="1"/>
  <c r="U177" i="2"/>
  <c r="U187" i="2" s="1"/>
  <c r="Y235" i="20"/>
  <c r="X70" i="20"/>
  <c r="X151" i="20" s="1"/>
  <c r="P43" i="20"/>
  <c r="CH43" i="20"/>
  <c r="AS43" i="20"/>
  <c r="AU43" i="20"/>
  <c r="AR43" i="20"/>
  <c r="CQ43" i="20"/>
  <c r="BL43" i="20"/>
  <c r="CL43" i="20"/>
  <c r="AY43" i="20"/>
  <c r="E234" i="2"/>
  <c r="D69" i="2"/>
  <c r="D150" i="2" s="1"/>
  <c r="D175" i="2"/>
  <c r="BO234" i="2"/>
  <c r="BN175" i="2"/>
  <c r="BN69" i="2"/>
  <c r="BN150" i="2" s="1"/>
  <c r="BB236" i="20"/>
  <c r="BA71" i="20"/>
  <c r="BA152" i="20" s="1"/>
  <c r="AG181" i="19"/>
  <c r="AG191" i="19" s="1"/>
  <c r="AG195" i="19" s="1"/>
  <c r="AU234" i="2"/>
  <c r="AT69" i="2"/>
  <c r="AT150" i="2" s="1"/>
  <c r="AT175" i="2"/>
  <c r="BS236" i="20"/>
  <c r="BR71" i="20"/>
  <c r="BR152" i="20"/>
  <c r="CO182" i="2"/>
  <c r="CO192" i="2" s="1"/>
  <c r="CO183" i="2"/>
  <c r="CO193" i="2" s="1"/>
  <c r="CO179" i="2"/>
  <c r="CO189" i="2" s="1"/>
  <c r="CO184" i="2"/>
  <c r="CO194" i="2" s="1"/>
  <c r="CO178" i="2"/>
  <c r="CO188" i="2" s="1"/>
  <c r="CO180" i="2"/>
  <c r="CO190" i="2" s="1"/>
  <c r="AR178" i="2"/>
  <c r="AR188" i="2" s="1"/>
  <c r="AR182" i="2"/>
  <c r="AR192" i="2" s="1"/>
  <c r="AR179" i="2"/>
  <c r="AR189" i="2" s="1"/>
  <c r="AR184" i="2"/>
  <c r="AR194" i="2" s="1"/>
  <c r="AR183" i="2"/>
  <c r="AR193" i="2" s="1"/>
  <c r="AR180" i="2"/>
  <c r="AR190" i="2" s="1"/>
  <c r="Q206" i="2"/>
  <c r="Q218" i="2"/>
  <c r="Q208" i="2"/>
  <c r="M209" i="2"/>
  <c r="G209" i="2" s="1"/>
  <c r="Q211" i="2"/>
  <c r="Q209" i="2"/>
  <c r="Q213" i="2"/>
  <c r="Q214" i="2"/>
  <c r="Q210" i="2"/>
  <c r="Q217" i="2"/>
  <c r="Q215" i="2"/>
  <c r="Q216" i="2"/>
  <c r="Q219" i="2"/>
  <c r="Q212" i="2"/>
  <c r="Q207" i="2"/>
  <c r="O206" i="2"/>
  <c r="BD181" i="2"/>
  <c r="BD191" i="2" s="1"/>
  <c r="BD195" i="2" s="1"/>
  <c r="BD177" i="2"/>
  <c r="BD187" i="2" s="1"/>
  <c r="BZ234" i="2"/>
  <c r="BY69" i="2"/>
  <c r="BY150" i="2" s="1"/>
  <c r="BY175" i="2"/>
  <c r="BS234" i="2"/>
  <c r="BR175" i="2"/>
  <c r="BR69" i="2"/>
  <c r="BR150" i="2" s="1"/>
  <c r="BX236" i="20"/>
  <c r="BW71" i="20"/>
  <c r="BW152" i="20" s="1"/>
  <c r="CH236" i="20"/>
  <c r="CG71" i="20"/>
  <c r="CG152" i="20" s="1"/>
  <c r="AL234" i="2"/>
  <c r="AK69" i="2"/>
  <c r="AK150" i="2" s="1"/>
  <c r="AK175" i="2"/>
  <c r="BR236" i="20"/>
  <c r="BQ71" i="20"/>
  <c r="BQ152" i="20"/>
  <c r="AH95" i="2"/>
  <c r="AH122" i="2" s="1"/>
  <c r="AH186" i="2"/>
  <c r="AH176" i="2" s="1"/>
  <c r="AH149" i="2"/>
  <c r="BB234" i="2"/>
  <c r="BA175" i="2"/>
  <c r="BA69" i="2"/>
  <c r="BA150" i="2" s="1"/>
  <c r="BC236" i="20"/>
  <c r="BB71" i="20"/>
  <c r="BB152" i="20" s="1"/>
  <c r="Y234" i="2"/>
  <c r="X175" i="2"/>
  <c r="X69" i="2"/>
  <c r="X150" i="2" s="1"/>
  <c r="CG234" i="2"/>
  <c r="CF69" i="2"/>
  <c r="CF150" i="2" s="1"/>
  <c r="CF175" i="2"/>
  <c r="P236" i="20"/>
  <c r="O71" i="20"/>
  <c r="O152" i="20" s="1"/>
  <c r="R178" i="2"/>
  <c r="R188" i="2" s="1"/>
  <c r="R179" i="2"/>
  <c r="R189" i="2" s="1"/>
  <c r="R184" i="2"/>
  <c r="R194" i="2" s="1"/>
  <c r="R180" i="2"/>
  <c r="R190" i="2" s="1"/>
  <c r="R183" i="2"/>
  <c r="R193" i="2" s="1"/>
  <c r="R182" i="2"/>
  <c r="R192" i="2" s="1"/>
  <c r="BU181" i="2"/>
  <c r="BU191" i="2" s="1"/>
  <c r="BU195" i="2" s="1"/>
  <c r="BU177" i="2"/>
  <c r="BU187" i="2" s="1"/>
  <c r="U180" i="2"/>
  <c r="U190" i="2" s="1"/>
  <c r="U179" i="2"/>
  <c r="U189" i="2" s="1"/>
  <c r="U182" i="2"/>
  <c r="U192" i="2" s="1"/>
  <c r="U183" i="2"/>
  <c r="U193" i="2" s="1"/>
  <c r="U184" i="2"/>
  <c r="U194" i="2" s="1"/>
  <c r="U178" i="2"/>
  <c r="U188" i="2" s="1"/>
  <c r="AF236" i="20"/>
  <c r="AE71" i="20"/>
  <c r="AE152" i="20" s="1"/>
  <c r="AF235" i="20"/>
  <c r="AE70" i="20"/>
  <c r="AE151" i="20" s="1"/>
  <c r="X235" i="20"/>
  <c r="W70" i="20"/>
  <c r="W151" i="20" s="1"/>
  <c r="P235" i="20"/>
  <c r="O70" i="20"/>
  <c r="O151" i="20" s="1"/>
  <c r="BH235" i="20"/>
  <c r="BG70" i="20"/>
  <c r="BG151" i="20" s="1"/>
  <c r="CB235" i="20"/>
  <c r="CA70" i="20"/>
  <c r="CA151" i="20" s="1"/>
  <c r="AQ235" i="20"/>
  <c r="AP70" i="20"/>
  <c r="AP151" i="20" s="1"/>
  <c r="AW235" i="20"/>
  <c r="AV70" i="20"/>
  <c r="AV151" i="20"/>
  <c r="CQ235" i="20"/>
  <c r="CP70" i="20"/>
  <c r="CP151" i="20" s="1"/>
  <c r="CC43" i="20"/>
  <c r="AF43" i="20"/>
  <c r="CD43" i="20"/>
  <c r="J234" i="2"/>
  <c r="I69" i="2"/>
  <c r="I150" i="2" s="1"/>
  <c r="I175" i="2"/>
  <c r="CB234" i="2"/>
  <c r="CA69" i="2"/>
  <c r="CA150" i="2" s="1"/>
  <c r="CA175" i="2"/>
  <c r="BY236" i="20"/>
  <c r="BX71" i="20"/>
  <c r="BX152" i="20" s="1"/>
  <c r="U234" i="2"/>
  <c r="T175" i="2"/>
  <c r="T69" i="2"/>
  <c r="T150" i="2" s="1"/>
  <c r="AT236" i="20"/>
  <c r="AS71" i="20"/>
  <c r="AS152" i="20"/>
  <c r="AR181" i="2"/>
  <c r="AR191" i="2" s="1"/>
  <c r="AR195" i="2" s="1"/>
  <c r="AR177" i="2"/>
  <c r="AR187" i="2" s="1"/>
  <c r="AU181" i="2"/>
  <c r="AU191" i="2" s="1"/>
  <c r="AU195" i="2" s="1"/>
  <c r="AU177" i="2"/>
  <c r="AU187" i="2" s="1"/>
  <c r="BD184" i="2"/>
  <c r="BD194" i="2" s="1"/>
  <c r="BD178" i="2"/>
  <c r="BD188" i="2" s="1"/>
  <c r="BD179" i="2"/>
  <c r="BD189" i="2" s="1"/>
  <c r="BD180" i="2"/>
  <c r="BD190" i="2" s="1"/>
  <c r="BD183" i="2"/>
  <c r="BD193" i="2" s="1"/>
  <c r="BD182" i="2"/>
  <c r="BD192" i="2" s="1"/>
  <c r="AI234" i="2"/>
  <c r="AH175" i="2"/>
  <c r="AH69" i="2"/>
  <c r="AH150" i="2" s="1"/>
  <c r="AF234" i="2"/>
  <c r="AE69" i="2"/>
  <c r="AE150" i="2" s="1"/>
  <c r="AE175" i="2"/>
  <c r="G236" i="20"/>
  <c r="F71" i="20"/>
  <c r="F152" i="20" s="1"/>
  <c r="U236" i="20"/>
  <c r="T71" i="20"/>
  <c r="T152" i="20" s="1"/>
  <c r="BA234" i="2"/>
  <c r="AZ69" i="2"/>
  <c r="AZ150" i="2" s="1"/>
  <c r="AZ175" i="2"/>
  <c r="CM236" i="20"/>
  <c r="CL71" i="20"/>
  <c r="CL152" i="20" s="1"/>
  <c r="CQ234" i="2"/>
  <c r="CP175" i="2"/>
  <c r="CP69" i="2"/>
  <c r="CP150" i="2" s="1"/>
  <c r="CK236" i="20"/>
  <c r="CJ71" i="20"/>
  <c r="CJ152" i="20"/>
  <c r="O236" i="20"/>
  <c r="N71" i="20"/>
  <c r="N152" i="20" s="1"/>
  <c r="CL234" i="2"/>
  <c r="CK69" i="2"/>
  <c r="CK150" i="2" s="1"/>
  <c r="CK175" i="2"/>
  <c r="BH234" i="2"/>
  <c r="BG175" i="2"/>
  <c r="BG69" i="2"/>
  <c r="BG150" i="2" s="1"/>
  <c r="AP236" i="20"/>
  <c r="AO71" i="20"/>
  <c r="AO152" i="20" s="1"/>
  <c r="X236" i="20"/>
  <c r="W71" i="20"/>
  <c r="W152" i="20" s="1"/>
  <c r="BU184" i="2"/>
  <c r="BU194" i="2" s="1"/>
  <c r="BU178" i="2"/>
  <c r="BU188" i="2" s="1"/>
  <c r="BU180" i="2"/>
  <c r="BU190" i="2" s="1"/>
  <c r="BU182" i="2"/>
  <c r="BU192" i="2" s="1"/>
  <c r="BU183" i="2"/>
  <c r="BU193" i="2" s="1"/>
  <c r="BU179" i="2"/>
  <c r="BU189" i="2" s="1"/>
  <c r="AV183" i="2"/>
  <c r="AV193" i="2" s="1"/>
  <c r="AV178" i="2"/>
  <c r="AV188" i="2" s="1"/>
  <c r="AV179" i="2"/>
  <c r="AV189" i="2" s="1"/>
  <c r="AV180" i="2"/>
  <c r="AV190" i="2" s="1"/>
  <c r="AV182" i="2"/>
  <c r="AV192" i="2" s="1"/>
  <c r="AV184" i="2"/>
  <c r="AV194" i="2" s="1"/>
  <c r="CJ236" i="20"/>
  <c r="CI71" i="20"/>
  <c r="CI152" i="20" s="1"/>
  <c r="AE235" i="20"/>
  <c r="AD70" i="20"/>
  <c r="AD151" i="20" s="1"/>
  <c r="W235" i="20"/>
  <c r="V70" i="20"/>
  <c r="V151" i="20" s="1"/>
  <c r="O235" i="20"/>
  <c r="N70" i="20"/>
  <c r="N151" i="20" s="1"/>
  <c r="BE235" i="20"/>
  <c r="BD70" i="20"/>
  <c r="BD151" i="20" s="1"/>
  <c r="BO43" i="20"/>
  <c r="BX43" i="20"/>
  <c r="G43" i="20"/>
  <c r="BB43" i="20"/>
  <c r="BK43" i="20"/>
  <c r="BV43" i="20"/>
  <c r="BQ43" i="20"/>
  <c r="BT234" i="2"/>
  <c r="BS69" i="2"/>
  <c r="BS150" i="2" s="1"/>
  <c r="BS175" i="2"/>
  <c r="BI234" i="2"/>
  <c r="BH175" i="2"/>
  <c r="BH69" i="2"/>
  <c r="BH150" i="2" s="1"/>
  <c r="AX236" i="20"/>
  <c r="AW71" i="20"/>
  <c r="AW152" i="20" s="1"/>
  <c r="BV201" i="19"/>
  <c r="BW259" i="19" s="1"/>
  <c r="AN201" i="19"/>
  <c r="AO259" i="19" s="1"/>
  <c r="G345" i="19" s="1"/>
  <c r="H345" i="19" s="1"/>
  <c r="BS201" i="19"/>
  <c r="BT259" i="19" s="1"/>
  <c r="CA201" i="19"/>
  <c r="CB259" i="19" s="1"/>
  <c r="BP201" i="19"/>
  <c r="BQ259" i="19" s="1"/>
  <c r="AH88" i="19"/>
  <c r="AH169" i="19" s="1"/>
  <c r="R198" i="19" a="1"/>
  <c r="R198" i="19" s="1"/>
  <c r="I198" i="19" a="1"/>
  <c r="I198" i="19" s="1"/>
  <c r="B150" i="20"/>
  <c r="B123" i="20" s="1"/>
  <c r="B69" i="20"/>
  <c r="A14" i="20"/>
  <c r="CA198" i="19" a="1"/>
  <c r="CA198" i="19" s="1"/>
  <c r="BZ201" i="19"/>
  <c r="CA259" i="19" s="1"/>
  <c r="D198" i="19" a="1"/>
  <c r="D198" i="19" s="1"/>
  <c r="BI201" i="19"/>
  <c r="BJ259" i="19" s="1"/>
  <c r="BJ198" i="19" a="1"/>
  <c r="BJ198" i="19" s="1"/>
  <c r="AH75" i="19"/>
  <c r="AH156" i="19" s="1"/>
  <c r="AH83" i="19"/>
  <c r="AH164" i="19" s="1"/>
  <c r="AH92" i="19"/>
  <c r="AH173" i="19" s="1"/>
  <c r="AA68" i="19"/>
  <c r="AB13" i="19"/>
  <c r="AA12" i="19"/>
  <c r="BE201" i="19"/>
  <c r="BF259" i="19" s="1"/>
  <c r="BB198" i="19" a="1"/>
  <c r="BB198" i="19" s="1"/>
  <c r="BA201" i="19"/>
  <c r="BB259" i="19" s="1"/>
  <c r="G358" i="19" s="1"/>
  <c r="H358" i="19" s="1"/>
  <c r="F371" i="20"/>
  <c r="A234" i="19"/>
  <c r="A206" i="19"/>
  <c r="A69" i="19"/>
  <c r="A148" i="19"/>
  <c r="A235" i="20"/>
  <c r="A207" i="20"/>
  <c r="A70" i="20"/>
  <c r="CE201" i="19"/>
  <c r="CF259" i="19" s="1"/>
  <c r="CF198" i="19" a="1"/>
  <c r="CF198" i="19" s="1"/>
  <c r="AH76" i="19"/>
  <c r="AH157" i="19" s="1"/>
  <c r="AH84" i="19"/>
  <c r="AH165" i="19" s="1"/>
  <c r="AH91" i="19"/>
  <c r="AH172" i="19" s="1"/>
  <c r="Z186" i="19"/>
  <c r="Z176" i="19" s="1"/>
  <c r="Z149" i="19"/>
  <c r="Z95" i="19"/>
  <c r="Z122" i="19" s="1"/>
  <c r="Z68" i="20"/>
  <c r="AA13" i="20"/>
  <c r="Z12" i="20"/>
  <c r="AG76" i="20"/>
  <c r="AG157" i="20" s="1"/>
  <c r="AG73" i="20"/>
  <c r="AG154" i="20" s="1"/>
  <c r="AG85" i="20"/>
  <c r="AG166" i="20" s="1"/>
  <c r="AH175" i="19"/>
  <c r="AH69" i="19"/>
  <c r="AH150" i="19" s="1"/>
  <c r="AH77" i="19"/>
  <c r="AH158" i="19" s="1"/>
  <c r="AH85" i="19"/>
  <c r="AH166" i="19" s="1"/>
  <c r="AI65" i="19"/>
  <c r="AJ257" i="19" s="1"/>
  <c r="AI64" i="19"/>
  <c r="AJ256" i="19" s="1"/>
  <c r="AJ41" i="19"/>
  <c r="AI63" i="19"/>
  <c r="AJ255" i="19" s="1"/>
  <c r="AI62" i="19"/>
  <c r="AJ254" i="19" s="1"/>
  <c r="AI60" i="19"/>
  <c r="AJ252" i="19" s="1"/>
  <c r="AI61" i="19"/>
  <c r="AJ253" i="19" s="1"/>
  <c r="AI59" i="19"/>
  <c r="AJ251" i="19" s="1"/>
  <c r="AI58" i="19"/>
  <c r="AJ250" i="19" s="1"/>
  <c r="AI57" i="19"/>
  <c r="AJ249" i="19" s="1"/>
  <c r="AI56" i="19"/>
  <c r="AJ248" i="19" s="1"/>
  <c r="AI55" i="19"/>
  <c r="AJ247" i="19" s="1"/>
  <c r="AI54" i="19"/>
  <c r="AJ246" i="19" s="1"/>
  <c r="AI53" i="19"/>
  <c r="AJ245" i="19" s="1"/>
  <c r="AI52" i="19"/>
  <c r="AJ244" i="19" s="1"/>
  <c r="AI51" i="19"/>
  <c r="AJ243" i="19" s="1"/>
  <c r="AI50" i="19"/>
  <c r="AJ242" i="19" s="1"/>
  <c r="AI49" i="19"/>
  <c r="AJ241" i="19" s="1"/>
  <c r="AI48" i="19"/>
  <c r="AJ240" i="19" s="1"/>
  <c r="AI47" i="19"/>
  <c r="AJ239" i="19" s="1"/>
  <c r="AI45" i="19"/>
  <c r="AJ237" i="19" s="1"/>
  <c r="AI46" i="19"/>
  <c r="AJ238" i="19" s="1"/>
  <c r="AI44" i="19"/>
  <c r="AJ236" i="19" s="1"/>
  <c r="AI43" i="19"/>
  <c r="AJ235" i="19" s="1"/>
  <c r="AI42" i="19"/>
  <c r="AJ234" i="19" s="1"/>
  <c r="AG82" i="20"/>
  <c r="AG163" i="20" s="1"/>
  <c r="AG77" i="20"/>
  <c r="AG158" i="20" s="1"/>
  <c r="AG90" i="20"/>
  <c r="AG171" i="20" s="1"/>
  <c r="CL201" i="19"/>
  <c r="CM259" i="19" s="1"/>
  <c r="CG198" i="19" a="1"/>
  <c r="CG198" i="19" s="1"/>
  <c r="CF201" i="19"/>
  <c r="CG259" i="19" s="1"/>
  <c r="AX201" i="19"/>
  <c r="AY259" i="19" s="1"/>
  <c r="G355" i="19" s="1"/>
  <c r="H355" i="19" s="1"/>
  <c r="AR201" i="19"/>
  <c r="AS259" i="19" s="1"/>
  <c r="G349" i="19" s="1"/>
  <c r="H349" i="19" s="1"/>
  <c r="AS198" i="19" a="1"/>
  <c r="AS198" i="19" s="1"/>
  <c r="AY201" i="19"/>
  <c r="AZ259" i="19" s="1"/>
  <c r="G356" i="19" s="1"/>
  <c r="H356" i="19" s="1"/>
  <c r="BG201" i="19"/>
  <c r="BH259" i="19" s="1"/>
  <c r="BD201" i="19"/>
  <c r="BE259" i="19" s="1"/>
  <c r="G361" i="19" s="1"/>
  <c r="H361" i="19" s="1"/>
  <c r="BC201" i="19"/>
  <c r="BD259" i="19" s="1"/>
  <c r="G360" i="19" s="1"/>
  <c r="H360" i="19" s="1"/>
  <c r="BD198" i="19" a="1"/>
  <c r="BD198" i="19" s="1"/>
  <c r="N198" i="19" a="1"/>
  <c r="N198" i="19" s="1"/>
  <c r="CO201" i="19"/>
  <c r="CP259" i="19" s="1"/>
  <c r="Y186" i="20"/>
  <c r="Y176" i="20" s="1"/>
  <c r="Y149" i="20"/>
  <c r="Y95" i="20"/>
  <c r="Y122" i="20" s="1"/>
  <c r="AD198" i="19" a="1"/>
  <c r="AD198" i="19" s="1"/>
  <c r="AG88" i="20"/>
  <c r="AG169" i="20" s="1"/>
  <c r="AG75" i="20"/>
  <c r="AG156" i="20" s="1"/>
  <c r="AG89" i="20"/>
  <c r="AG170" i="20" s="1"/>
  <c r="Q198" i="19" a="1"/>
  <c r="Q198" i="19" s="1"/>
  <c r="AH71" i="19"/>
  <c r="AH152" i="19" s="1"/>
  <c r="AH78" i="19"/>
  <c r="AH159" i="19" s="1"/>
  <c r="AH86" i="19"/>
  <c r="AH167" i="19" s="1"/>
  <c r="AH70" i="19"/>
  <c r="AH151" i="19" s="1"/>
  <c r="AH79" i="19"/>
  <c r="AH160" i="19" s="1"/>
  <c r="AH90" i="19"/>
  <c r="AH171" i="19" s="1"/>
  <c r="CI201" i="19"/>
  <c r="CJ259" i="19" s="1"/>
  <c r="CJ198" i="19" a="1"/>
  <c r="CJ198" i="19" s="1"/>
  <c r="AG74" i="20"/>
  <c r="AG155" i="20" s="1"/>
  <c r="AG78" i="20"/>
  <c r="AG159" i="20" s="1"/>
  <c r="AG92" i="20"/>
  <c r="AG173" i="20" s="1"/>
  <c r="Y198" i="19" a="1"/>
  <c r="Y198" i="19" s="1"/>
  <c r="AX198" i="19" a="1"/>
  <c r="AX198" i="19" s="1"/>
  <c r="AW201" i="19"/>
  <c r="AX259" i="19" s="1"/>
  <c r="G354" i="19" s="1"/>
  <c r="H354" i="19" s="1"/>
  <c r="AU198" i="19" a="1"/>
  <c r="AU198" i="19" s="1"/>
  <c r="AT201" i="19"/>
  <c r="AU259" i="19" s="1"/>
  <c r="G351" i="19" s="1"/>
  <c r="H351" i="19" s="1"/>
  <c r="B151" i="2"/>
  <c r="B124" i="2" s="1"/>
  <c r="B70" i="2"/>
  <c r="B14" i="2"/>
  <c r="A15" i="2"/>
  <c r="AO201" i="19"/>
  <c r="AP259" i="19" s="1"/>
  <c r="G346" i="19" s="1"/>
  <c r="H346" i="19" s="1"/>
  <c r="AP198" i="19" a="1"/>
  <c r="AP198" i="19" s="1"/>
  <c r="AG70" i="20"/>
  <c r="AG151" i="20" s="1"/>
  <c r="AG182" i="19"/>
  <c r="AG192" i="19" s="1"/>
  <c r="AG180" i="19"/>
  <c r="AG190" i="19" s="1"/>
  <c r="AG178" i="19"/>
  <c r="AG188" i="19" s="1"/>
  <c r="AG179" i="19"/>
  <c r="AG189" i="19" s="1"/>
  <c r="AG183" i="19"/>
  <c r="AG193" i="19" s="1"/>
  <c r="AG184" i="19"/>
  <c r="AG194" i="19" s="1"/>
  <c r="X198" i="19" a="1"/>
  <c r="X198" i="19" s="1"/>
  <c r="AH89" i="19"/>
  <c r="AH170" i="19" s="1"/>
  <c r="AG177" i="19"/>
  <c r="AG187" i="19" s="1"/>
  <c r="BC198" i="19" a="1"/>
  <c r="BC198" i="19" s="1"/>
  <c r="BB201" i="19"/>
  <c r="BC259" i="19" s="1"/>
  <c r="G359" i="19" s="1"/>
  <c r="H359" i="19" s="1"/>
  <c r="AG72" i="20"/>
  <c r="AG153" i="20" s="1"/>
  <c r="AG81" i="20"/>
  <c r="AG162" i="20" s="1"/>
  <c r="AG91" i="20"/>
  <c r="AG172" i="20" s="1"/>
  <c r="AF198" i="19" a="1"/>
  <c r="AF198" i="19" s="1"/>
  <c r="BK201" i="19"/>
  <c r="BL259" i="19" s="1"/>
  <c r="BL198" i="19" a="1"/>
  <c r="BL198" i="19" s="1"/>
  <c r="AZ201" i="19"/>
  <c r="BA259" i="19" s="1"/>
  <c r="G357" i="19" s="1"/>
  <c r="H357" i="19" s="1"/>
  <c r="M198" i="19" a="1"/>
  <c r="M198" i="19" s="1"/>
  <c r="F198" i="19" a="1"/>
  <c r="F198" i="19" s="1"/>
  <c r="A71" i="2"/>
  <c r="A236" i="2"/>
  <c r="A208" i="2"/>
  <c r="AU201" i="19"/>
  <c r="AV259" i="19" s="1"/>
  <c r="G352" i="19" s="1"/>
  <c r="H352" i="19" s="1"/>
  <c r="AV198" i="19" a="1"/>
  <c r="AV198" i="19" s="1"/>
  <c r="AH74" i="19"/>
  <c r="AH155" i="19" s="1"/>
  <c r="AH82" i="19"/>
  <c r="AH163" i="19" s="1"/>
  <c r="BK198" i="19" a="1"/>
  <c r="BK198" i="19" s="1"/>
  <c r="BJ201" i="19"/>
  <c r="BK259" i="19" s="1"/>
  <c r="AG80" i="20"/>
  <c r="AG161" i="20" s="1"/>
  <c r="AG84" i="20"/>
  <c r="AG165" i="20" s="1"/>
  <c r="AE198" i="19" a="1"/>
  <c r="AE198" i="19" s="1"/>
  <c r="AH72" i="19"/>
  <c r="AH153" i="19" s="1"/>
  <c r="AH81" i="19"/>
  <c r="AH162" i="19" s="1"/>
  <c r="AH73" i="19"/>
  <c r="AH154" i="19" s="1"/>
  <c r="AH80" i="19"/>
  <c r="AH161" i="19" s="1"/>
  <c r="AH87" i="19"/>
  <c r="AH168" i="19" s="1"/>
  <c r="CG201" i="19"/>
  <c r="CH259" i="19" s="1"/>
  <c r="CH198" i="19" a="1"/>
  <c r="CH198" i="19" s="1"/>
  <c r="Z198" i="19" a="1"/>
  <c r="Z198" i="19" s="1"/>
  <c r="AG87" i="20"/>
  <c r="AG168" i="20" s="1"/>
  <c r="AG71" i="20"/>
  <c r="AG152" i="20" s="1"/>
  <c r="AG83" i="20"/>
  <c r="AG164" i="20" s="1"/>
  <c r="AI41" i="20"/>
  <c r="AH65" i="20"/>
  <c r="AI257" i="20" s="1"/>
  <c r="AH64" i="20"/>
  <c r="AI256" i="20" s="1"/>
  <c r="AH63" i="20"/>
  <c r="AI255" i="20" s="1"/>
  <c r="AH62" i="20"/>
  <c r="AI254" i="20" s="1"/>
  <c r="AH56" i="20"/>
  <c r="AI248" i="20" s="1"/>
  <c r="AH55" i="20"/>
  <c r="AI247" i="20" s="1"/>
  <c r="AH54" i="20"/>
  <c r="AI246" i="20" s="1"/>
  <c r="AH49" i="20"/>
  <c r="AI241" i="20" s="1"/>
  <c r="AH50" i="20"/>
  <c r="AI242" i="20" s="1"/>
  <c r="AH45" i="20"/>
  <c r="AI237" i="20" s="1"/>
  <c r="AH44" i="20"/>
  <c r="AI236" i="20" s="1"/>
  <c r="AH43" i="20"/>
  <c r="AI235" i="20" s="1"/>
  <c r="AH42" i="20"/>
  <c r="AI234" i="20" s="1"/>
  <c r="AH48" i="20"/>
  <c r="AI240" i="20" s="1"/>
  <c r="AH57" i="20"/>
  <c r="AI249" i="20" s="1"/>
  <c r="AH60" i="20"/>
  <c r="AI252" i="20" s="1"/>
  <c r="AH47" i="20"/>
  <c r="AI239" i="20" s="1"/>
  <c r="AH58" i="20"/>
  <c r="AI250" i="20" s="1"/>
  <c r="AH46" i="20"/>
  <c r="AI238" i="20" s="1"/>
  <c r="AH51" i="20"/>
  <c r="AI243" i="20" s="1"/>
  <c r="AH61" i="20"/>
  <c r="AI253" i="20" s="1"/>
  <c r="AH59" i="20"/>
  <c r="AI251" i="20" s="1"/>
  <c r="AH52" i="20"/>
  <c r="AI244" i="20" s="1"/>
  <c r="AH53" i="20"/>
  <c r="AI245" i="20" s="1"/>
  <c r="BW201" i="19"/>
  <c r="BX259" i="19" s="1"/>
  <c r="CD198" i="19" a="1"/>
  <c r="CD198" i="19" s="1"/>
  <c r="CC201" i="19"/>
  <c r="CD259" i="19" s="1"/>
  <c r="BX201" i="19"/>
  <c r="BY259" i="19" s="1"/>
  <c r="CS201" i="19"/>
  <c r="CR201" i="19"/>
  <c r="CS259" i="19" s="1"/>
  <c r="CS198" i="19" a="1"/>
  <c r="CS198" i="19" s="1"/>
  <c r="CS199" i="19" s="1"/>
  <c r="CR200" i="19" s="1"/>
  <c r="CS258" i="19" s="1"/>
  <c r="AS201" i="19"/>
  <c r="AT259" i="19" s="1"/>
  <c r="G350" i="19" s="1"/>
  <c r="H350" i="19" s="1"/>
  <c r="CN201" i="19"/>
  <c r="CO259" i="19" s="1"/>
  <c r="CK201" i="19"/>
  <c r="CL259" i="19" s="1"/>
  <c r="CL198" i="19" a="1"/>
  <c r="CL198" i="19" s="1"/>
  <c r="BU201" i="19"/>
  <c r="BV259" i="19" s="1"/>
  <c r="BS198" i="19" a="1"/>
  <c r="BS198" i="19" s="1"/>
  <c r="BR201" i="19"/>
  <c r="BS259" i="19" s="1"/>
  <c r="AQ201" i="19"/>
  <c r="AR259" i="19" s="1"/>
  <c r="G348" i="19" s="1"/>
  <c r="H348" i="19" s="1"/>
  <c r="AR198" i="19" a="1"/>
  <c r="AR198" i="19" s="1"/>
  <c r="BY201" i="19"/>
  <c r="BZ259" i="19" s="1"/>
  <c r="CM201" i="19"/>
  <c r="CN259" i="19" s="1"/>
  <c r="CN198" i="19" a="1"/>
  <c r="CN198" i="19" s="1"/>
  <c r="CD201" i="19"/>
  <c r="CE259" i="19" s="1"/>
  <c r="AW198" i="19" a="1"/>
  <c r="AW198" i="19" s="1"/>
  <c r="AV201" i="19"/>
  <c r="AW259" i="19" s="1"/>
  <c r="G353" i="19" s="1"/>
  <c r="H353" i="19" s="1"/>
  <c r="P198" i="19" a="1"/>
  <c r="P198" i="19" s="1"/>
  <c r="CI198" i="19" a="1"/>
  <c r="CI198" i="19" s="1"/>
  <c r="CH201" i="19"/>
  <c r="CI259" i="19" s="1"/>
  <c r="AG79" i="20"/>
  <c r="AG160" i="20" s="1"/>
  <c r="AG86" i="20"/>
  <c r="AG167" i="20" s="1"/>
  <c r="BN198" i="19" a="1"/>
  <c r="BN198" i="19" s="1"/>
  <c r="BM201" i="19"/>
  <c r="BN259" i="19" s="1"/>
  <c r="F362" i="19"/>
  <c r="BQ201" i="19"/>
  <c r="BR259" i="19" s="1"/>
  <c r="BR198" i="19" a="1"/>
  <c r="BR198" i="19" s="1"/>
  <c r="O198" i="19" a="1"/>
  <c r="O198" i="19" s="1"/>
  <c r="CB201" i="19"/>
  <c r="CC259" i="19" s="1"/>
  <c r="BO201" i="19"/>
  <c r="BP259" i="19" s="1"/>
  <c r="BP198" i="19" a="1"/>
  <c r="BP198" i="19" s="1"/>
  <c r="BF201" i="19"/>
  <c r="BG259" i="19" s="1"/>
  <c r="BU198" i="19" a="1"/>
  <c r="BU198" i="19" s="1"/>
  <c r="BT201" i="19"/>
  <c r="BU259" i="19" s="1"/>
  <c r="AP201" i="19"/>
  <c r="AQ259" i="19" s="1"/>
  <c r="G347" i="19" s="1"/>
  <c r="H347" i="19" s="1"/>
  <c r="AQ198" i="19" a="1"/>
  <c r="AQ198" i="19" s="1"/>
  <c r="BL201" i="19"/>
  <c r="BM259" i="19" s="1"/>
  <c r="AU234" i="20" l="1"/>
  <c r="AT69" i="20"/>
  <c r="AT150" i="20"/>
  <c r="AT175" i="20"/>
  <c r="BH179" i="2"/>
  <c r="BH189" i="2" s="1"/>
  <c r="BH180" i="2"/>
  <c r="BH190" i="2" s="1"/>
  <c r="BH184" i="2"/>
  <c r="BH194" i="2" s="1"/>
  <c r="BH182" i="2"/>
  <c r="BH192" i="2" s="1"/>
  <c r="BH178" i="2"/>
  <c r="BH188" i="2" s="1"/>
  <c r="BH183" i="2"/>
  <c r="BH193" i="2" s="1"/>
  <c r="AH181" i="2"/>
  <c r="AH191" i="2" s="1"/>
  <c r="AH195" i="2" s="1"/>
  <c r="AH177" i="2"/>
  <c r="AH187" i="2" s="1"/>
  <c r="CA234" i="20"/>
  <c r="BZ175" i="20"/>
  <c r="BZ69" i="20"/>
  <c r="BZ150" i="20" s="1"/>
  <c r="CS175" i="20"/>
  <c r="CS69" i="20"/>
  <c r="CS150" i="20" s="1"/>
  <c r="CG234" i="20"/>
  <c r="CF69" i="20"/>
  <c r="CF150" i="20" s="1"/>
  <c r="CF175" i="20"/>
  <c r="BM181" i="2"/>
  <c r="BM191" i="2" s="1"/>
  <c r="BM195" i="2" s="1"/>
  <c r="BM177" i="2"/>
  <c r="BM187" i="2" s="1"/>
  <c r="N179" i="2"/>
  <c r="N189" i="2" s="1"/>
  <c r="N184" i="2"/>
  <c r="N194" i="2" s="1"/>
  <c r="N183" i="2"/>
  <c r="N193" i="2" s="1"/>
  <c r="N180" i="2"/>
  <c r="N190" i="2" s="1"/>
  <c r="N182" i="2"/>
  <c r="N192" i="2" s="1"/>
  <c r="N178" i="2"/>
  <c r="N188" i="2" s="1"/>
  <c r="H235" i="20"/>
  <c r="G70" i="20"/>
  <c r="G151" i="20"/>
  <c r="BU198" i="2" a="1"/>
  <c r="BU198" i="2" s="1"/>
  <c r="CK180" i="2"/>
  <c r="CK190" i="2" s="1"/>
  <c r="CK179" i="2"/>
  <c r="CK189" i="2" s="1"/>
  <c r="CK184" i="2"/>
  <c r="CK194" i="2" s="1"/>
  <c r="CK182" i="2"/>
  <c r="CK192" i="2" s="1"/>
  <c r="CK183" i="2"/>
  <c r="CK193" i="2" s="1"/>
  <c r="CK178" i="2"/>
  <c r="CK188" i="2" s="1"/>
  <c r="CP181" i="2"/>
  <c r="CP191" i="2" s="1"/>
  <c r="CP195" i="2" s="1"/>
  <c r="CP177" i="2"/>
  <c r="CP187" i="2" s="1"/>
  <c r="AH182" i="2"/>
  <c r="AH192" i="2" s="1"/>
  <c r="AH178" i="2"/>
  <c r="AH188" i="2" s="1"/>
  <c r="AH183" i="2"/>
  <c r="AH193" i="2" s="1"/>
  <c r="AH180" i="2"/>
  <c r="AH190" i="2" s="1"/>
  <c r="AH184" i="2"/>
  <c r="AH194" i="2" s="1"/>
  <c r="AH179" i="2"/>
  <c r="AH189" i="2" s="1"/>
  <c r="T178" i="2"/>
  <c r="T188" i="2" s="1"/>
  <c r="T184" i="2"/>
  <c r="T194" i="2" s="1"/>
  <c r="T183" i="2"/>
  <c r="T193" i="2" s="1"/>
  <c r="T182" i="2"/>
  <c r="T192" i="2" s="1"/>
  <c r="T179" i="2"/>
  <c r="T189" i="2" s="1"/>
  <c r="T180" i="2"/>
  <c r="T190" i="2" s="1"/>
  <c r="I177" i="2"/>
  <c r="I187" i="2" s="1"/>
  <c r="I181" i="2"/>
  <c r="I191" i="2" s="1"/>
  <c r="I195" i="2" s="1"/>
  <c r="CF182" i="2"/>
  <c r="CF192" i="2" s="1"/>
  <c r="CF184" i="2"/>
  <c r="CF194" i="2" s="1"/>
  <c r="CF180" i="2"/>
  <c r="CF190" i="2" s="1"/>
  <c r="CF179" i="2"/>
  <c r="CF189" i="2" s="1"/>
  <c r="CF183" i="2"/>
  <c r="CF193" i="2" s="1"/>
  <c r="CF178" i="2"/>
  <c r="CF188" i="2" s="1"/>
  <c r="AT183" i="2"/>
  <c r="AT193" i="2" s="1"/>
  <c r="AT180" i="2"/>
  <c r="AT190" i="2" s="1"/>
  <c r="AT182" i="2"/>
  <c r="AT192" i="2" s="1"/>
  <c r="AT178" i="2"/>
  <c r="AT188" i="2" s="1"/>
  <c r="AT184" i="2"/>
  <c r="AT194" i="2" s="1"/>
  <c r="AT179" i="2"/>
  <c r="AT189" i="2" s="1"/>
  <c r="AS235" i="20"/>
  <c r="AR70" i="20"/>
  <c r="AR151" i="20"/>
  <c r="F178" i="2"/>
  <c r="F188" i="2" s="1"/>
  <c r="F184" i="2"/>
  <c r="F194" i="2" s="1"/>
  <c r="F179" i="2"/>
  <c r="F189" i="2" s="1"/>
  <c r="F180" i="2"/>
  <c r="F190" i="2" s="1"/>
  <c r="F182" i="2"/>
  <c r="F192" i="2" s="1"/>
  <c r="F183" i="2"/>
  <c r="F193" i="2" s="1"/>
  <c r="BJ198" i="2" a="1"/>
  <c r="BJ198" i="2" s="1"/>
  <c r="K181" i="2"/>
  <c r="K191" i="2" s="1"/>
  <c r="K195" i="2" s="1"/>
  <c r="K177" i="2"/>
  <c r="K187" i="2" s="1"/>
  <c r="L180" i="2"/>
  <c r="L190" i="2" s="1"/>
  <c r="L182" i="2"/>
  <c r="L192" i="2" s="1"/>
  <c r="L178" i="2"/>
  <c r="L188" i="2" s="1"/>
  <c r="L183" i="2"/>
  <c r="L193" i="2" s="1"/>
  <c r="L184" i="2"/>
  <c r="L194" i="2" s="1"/>
  <c r="L179" i="2"/>
  <c r="L189" i="2" s="1"/>
  <c r="BO198" i="2" a="1"/>
  <c r="BO198" i="2" s="1"/>
  <c r="AP235" i="20"/>
  <c r="AO70" i="20"/>
  <c r="AO151" i="20" s="1"/>
  <c r="AB42" i="20"/>
  <c r="T42" i="20"/>
  <c r="C42" i="20"/>
  <c r="BR42" i="20"/>
  <c r="BV42" i="20"/>
  <c r="CK42" i="20"/>
  <c r="BK42" i="20"/>
  <c r="J42" i="20"/>
  <c r="AR42" i="20"/>
  <c r="AV42" i="20"/>
  <c r="O178" i="2"/>
  <c r="O188" i="2" s="1"/>
  <c r="O182" i="2"/>
  <c r="O192" i="2" s="1"/>
  <c r="O184" i="2"/>
  <c r="O194" i="2" s="1"/>
  <c r="O179" i="2"/>
  <c r="O189" i="2" s="1"/>
  <c r="O183" i="2"/>
  <c r="O193" i="2" s="1"/>
  <c r="O180" i="2"/>
  <c r="O190" i="2" s="1"/>
  <c r="M181" i="2"/>
  <c r="M191" i="2" s="1"/>
  <c r="M195" i="2" s="1"/>
  <c r="M177" i="2"/>
  <c r="M187" i="2" s="1"/>
  <c r="AA183" i="2"/>
  <c r="AA193" i="2" s="1"/>
  <c r="AA179" i="2"/>
  <c r="AA189" i="2" s="1"/>
  <c r="AA184" i="2"/>
  <c r="AA194" i="2" s="1"/>
  <c r="AA180" i="2"/>
  <c r="AA190" i="2" s="1"/>
  <c r="AA182" i="2"/>
  <c r="AA192" i="2" s="1"/>
  <c r="AA178" i="2"/>
  <c r="AA188" i="2" s="1"/>
  <c r="AM198" i="2" a="1"/>
  <c r="AM198" i="2" s="1"/>
  <c r="E183" i="2"/>
  <c r="E193" i="2" s="1"/>
  <c r="E180" i="2"/>
  <c r="E190" i="2" s="1"/>
  <c r="E178" i="2"/>
  <c r="E188" i="2" s="1"/>
  <c r="E179" i="2"/>
  <c r="E189" i="2" s="1"/>
  <c r="E184" i="2"/>
  <c r="E194" i="2" s="1"/>
  <c r="E182" i="2"/>
  <c r="E192" i="2" s="1"/>
  <c r="BM180" i="2"/>
  <c r="BM190" i="2" s="1"/>
  <c r="BM184" i="2"/>
  <c r="BM194" i="2" s="1"/>
  <c r="BM178" i="2"/>
  <c r="BM188" i="2" s="1"/>
  <c r="BM182" i="2"/>
  <c r="BM192" i="2" s="1"/>
  <c r="BM183" i="2"/>
  <c r="BM193" i="2" s="1"/>
  <c r="BM179" i="2"/>
  <c r="BM189" i="2" s="1"/>
  <c r="BD235" i="20"/>
  <c r="BC70" i="20"/>
  <c r="BC151" i="20" s="1"/>
  <c r="N177" i="2"/>
  <c r="N187" i="2" s="1"/>
  <c r="N181" i="2"/>
  <c r="N191" i="2" s="1"/>
  <c r="N195" i="2" s="1"/>
  <c r="BQ235" i="20"/>
  <c r="BP70" i="20"/>
  <c r="BP151" i="20" s="1"/>
  <c r="CO235" i="20"/>
  <c r="CN70" i="20"/>
  <c r="CN151" i="20" s="1"/>
  <c r="AB198" i="2" a="1"/>
  <c r="AB198" i="2" s="1"/>
  <c r="CS181" i="2"/>
  <c r="CS191" i="2" s="1"/>
  <c r="CS195" i="2" s="1"/>
  <c r="CS177" i="2"/>
  <c r="CS187" i="2" s="1"/>
  <c r="CD184" i="2"/>
  <c r="CD194" i="2" s="1"/>
  <c r="CD179" i="2"/>
  <c r="CD189" i="2" s="1"/>
  <c r="CD183" i="2"/>
  <c r="CD193" i="2" s="1"/>
  <c r="CD180" i="2"/>
  <c r="CD190" i="2" s="1"/>
  <c r="CD182" i="2"/>
  <c r="CD192" i="2" s="1"/>
  <c r="CD178" i="2"/>
  <c r="CD188" i="2" s="1"/>
  <c r="CR235" i="20"/>
  <c r="CQ70" i="20"/>
  <c r="CQ151" i="20"/>
  <c r="Y177" i="2"/>
  <c r="Y187" i="2" s="1"/>
  <c r="Y181" i="2"/>
  <c r="Y191" i="2" s="1"/>
  <c r="Y195" i="2" s="1"/>
  <c r="N234" i="20"/>
  <c r="M175" i="20"/>
  <c r="M69" i="20"/>
  <c r="M150" i="20" s="1"/>
  <c r="BP234" i="20"/>
  <c r="BO69" i="20"/>
  <c r="BO150" i="20" s="1"/>
  <c r="BO175" i="20"/>
  <c r="AR234" i="20"/>
  <c r="AQ69" i="20"/>
  <c r="AQ150" i="20" s="1"/>
  <c r="AQ175" i="20"/>
  <c r="AX234" i="20"/>
  <c r="AW69" i="20"/>
  <c r="AW150" i="20" s="1"/>
  <c r="AW175" i="20"/>
  <c r="BS179" i="2"/>
  <c r="BS189" i="2" s="1"/>
  <c r="BS182" i="2"/>
  <c r="BS192" i="2" s="1"/>
  <c r="BS180" i="2"/>
  <c r="BS190" i="2" s="1"/>
  <c r="BS184" i="2"/>
  <c r="BS194" i="2" s="1"/>
  <c r="BS178" i="2"/>
  <c r="BS188" i="2" s="1"/>
  <c r="BS183" i="2"/>
  <c r="BS193" i="2" s="1"/>
  <c r="BY235" i="20"/>
  <c r="BX70" i="20"/>
  <c r="BX151" i="20"/>
  <c r="CK181" i="2"/>
  <c r="CK191" i="2" s="1"/>
  <c r="CK195" i="2" s="1"/>
  <c r="CK177" i="2"/>
  <c r="CK187" i="2" s="1"/>
  <c r="CP183" i="2"/>
  <c r="CP193" i="2" s="1"/>
  <c r="CP178" i="2"/>
  <c r="CP188" i="2" s="1"/>
  <c r="CP180" i="2"/>
  <c r="CP190" i="2" s="1"/>
  <c r="CP182" i="2"/>
  <c r="CP192" i="2" s="1"/>
  <c r="CP184" i="2"/>
  <c r="CP194" i="2" s="1"/>
  <c r="CP179" i="2"/>
  <c r="CP189" i="2" s="1"/>
  <c r="U198" i="2" a="1"/>
  <c r="U198" i="2" s="1"/>
  <c r="CF177" i="2"/>
  <c r="CF187" i="2" s="1"/>
  <c r="CF181" i="2"/>
  <c r="CF191" i="2" s="1"/>
  <c r="CF195" i="2" s="1"/>
  <c r="BA177" i="2"/>
  <c r="BA187" i="2" s="1"/>
  <c r="BA181" i="2"/>
  <c r="BA191" i="2" s="1"/>
  <c r="BA195" i="2" s="1"/>
  <c r="BR181" i="2"/>
  <c r="BR191" i="2" s="1"/>
  <c r="BR195" i="2" s="1"/>
  <c r="BR177" i="2"/>
  <c r="BR187" i="2" s="1"/>
  <c r="CO198" i="2" a="1"/>
  <c r="CO198" i="2" s="1"/>
  <c r="AT177" i="2"/>
  <c r="AT187" i="2" s="1"/>
  <c r="AT181" i="2"/>
  <c r="AT191" i="2" s="1"/>
  <c r="AT195" i="2" s="1"/>
  <c r="D182" i="2"/>
  <c r="D192" i="2" s="1"/>
  <c r="D183" i="2"/>
  <c r="D193" i="2" s="1"/>
  <c r="D180" i="2"/>
  <c r="D190" i="2" s="1"/>
  <c r="D184" i="2"/>
  <c r="D194" i="2" s="1"/>
  <c r="D178" i="2"/>
  <c r="D188" i="2" s="1"/>
  <c r="D179" i="2"/>
  <c r="D189" i="2" s="1"/>
  <c r="AV235" i="20"/>
  <c r="AU70" i="20"/>
  <c r="AU151" i="20" s="1"/>
  <c r="F181" i="2"/>
  <c r="F191" i="2" s="1"/>
  <c r="F195" i="2" s="1"/>
  <c r="F177" i="2"/>
  <c r="F187" i="2" s="1"/>
  <c r="AF181" i="2"/>
  <c r="AF191" i="2" s="1"/>
  <c r="AF195" i="2" s="1"/>
  <c r="AF177" i="2"/>
  <c r="AF187" i="2" s="1"/>
  <c r="K180" i="2"/>
  <c r="K190" i="2" s="1"/>
  <c r="K184" i="2"/>
  <c r="K194" i="2" s="1"/>
  <c r="K179" i="2"/>
  <c r="K189" i="2" s="1"/>
  <c r="K183" i="2"/>
  <c r="K193" i="2" s="1"/>
  <c r="K178" i="2"/>
  <c r="K188" i="2" s="1"/>
  <c r="K182" i="2"/>
  <c r="K192" i="2" s="1"/>
  <c r="L181" i="2"/>
  <c r="L191" i="2" s="1"/>
  <c r="L195" i="2" s="1"/>
  <c r="L177" i="2"/>
  <c r="L187" i="2" s="1"/>
  <c r="AY181" i="2"/>
  <c r="AY191" i="2" s="1"/>
  <c r="AY195" i="2" s="1"/>
  <c r="AY177" i="2"/>
  <c r="AY187" i="2" s="1"/>
  <c r="AW178" i="2"/>
  <c r="AW188" i="2" s="1"/>
  <c r="AW183" i="2"/>
  <c r="AW193" i="2" s="1"/>
  <c r="AW180" i="2"/>
  <c r="AW190" i="2" s="1"/>
  <c r="AW182" i="2"/>
  <c r="AW192" i="2" s="1"/>
  <c r="AW184" i="2"/>
  <c r="AW194" i="2" s="1"/>
  <c r="AW179" i="2"/>
  <c r="AW189" i="2" s="1"/>
  <c r="E235" i="20"/>
  <c r="D70" i="20"/>
  <c r="D151" i="20" s="1"/>
  <c r="AB234" i="20"/>
  <c r="AA175" i="20"/>
  <c r="AA69" i="20"/>
  <c r="AA150" i="20" s="1"/>
  <c r="T234" i="20"/>
  <c r="S175" i="20"/>
  <c r="S69" i="20"/>
  <c r="S150" i="20" s="1"/>
  <c r="BT234" i="20"/>
  <c r="BS175" i="20"/>
  <c r="BS69" i="20"/>
  <c r="BS150" i="20" s="1"/>
  <c r="AP234" i="20"/>
  <c r="AO69" i="20"/>
  <c r="AO150" i="20" s="1"/>
  <c r="AO175" i="20"/>
  <c r="BA234" i="20"/>
  <c r="AZ175" i="20"/>
  <c r="AZ69" i="20"/>
  <c r="AZ150" i="20" s="1"/>
  <c r="CP234" i="20"/>
  <c r="CO69" i="20"/>
  <c r="CO150" i="20" s="1"/>
  <c r="CO175" i="20"/>
  <c r="CC234" i="20"/>
  <c r="CB175" i="20"/>
  <c r="CB69" i="20"/>
  <c r="CB150" i="20" s="1"/>
  <c r="G234" i="20"/>
  <c r="F175" i="20"/>
  <c r="F69" i="20"/>
  <c r="F150" i="20" s="1"/>
  <c r="BZ234" i="20"/>
  <c r="BY69" i="20"/>
  <c r="BY150" i="20" s="1"/>
  <c r="BY175" i="20"/>
  <c r="AZ234" i="20"/>
  <c r="AY69" i="20"/>
  <c r="AY150" i="20"/>
  <c r="AY175" i="20"/>
  <c r="BJ234" i="20"/>
  <c r="BI69" i="20"/>
  <c r="BI150" i="20" s="1"/>
  <c r="BI175" i="20"/>
  <c r="M180" i="2"/>
  <c r="M190" i="2" s="1"/>
  <c r="M182" i="2"/>
  <c r="M192" i="2" s="1"/>
  <c r="M183" i="2"/>
  <c r="M193" i="2" s="1"/>
  <c r="M179" i="2"/>
  <c r="M189" i="2" s="1"/>
  <c r="M184" i="2"/>
  <c r="M194" i="2" s="1"/>
  <c r="M178" i="2"/>
  <c r="M188" i="2" s="1"/>
  <c r="AA181" i="2"/>
  <c r="AA191" i="2" s="1"/>
  <c r="AA195" i="2" s="1"/>
  <c r="AA177" i="2"/>
  <c r="AA187" i="2" s="1"/>
  <c r="AG181" i="2"/>
  <c r="AG191" i="2" s="1"/>
  <c r="AG195" i="2" s="1"/>
  <c r="AG177" i="2"/>
  <c r="AG187" i="2" s="1"/>
  <c r="BB198" i="2" a="1"/>
  <c r="BB198" i="2" s="1"/>
  <c r="BV235" i="20"/>
  <c r="BU70" i="20"/>
  <c r="BU151" i="20" s="1"/>
  <c r="G181" i="2"/>
  <c r="G191" i="2" s="1"/>
  <c r="G195" i="2" s="1"/>
  <c r="G177" i="2"/>
  <c r="G187" i="2" s="1"/>
  <c r="BX183" i="2"/>
  <c r="BX193" i="2" s="1"/>
  <c r="BX182" i="2"/>
  <c r="BX192" i="2" s="1"/>
  <c r="BX180" i="2"/>
  <c r="BX190" i="2" s="1"/>
  <c r="BX178" i="2"/>
  <c r="BX188" i="2" s="1"/>
  <c r="BX179" i="2"/>
  <c r="BX189" i="2" s="1"/>
  <c r="BX184" i="2"/>
  <c r="BX194" i="2" s="1"/>
  <c r="BV181" i="2"/>
  <c r="BV191" i="2" s="1"/>
  <c r="BV195" i="2" s="1"/>
  <c r="BV177" i="2"/>
  <c r="BV187" i="2" s="1"/>
  <c r="AR235" i="20"/>
  <c r="AQ70" i="20"/>
  <c r="AQ151" i="20" s="1"/>
  <c r="BC182" i="2"/>
  <c r="BC192" i="2" s="1"/>
  <c r="BC178" i="2"/>
  <c r="BC188" i="2" s="1"/>
  <c r="BC184" i="2"/>
  <c r="BC194" i="2" s="1"/>
  <c r="BC179" i="2"/>
  <c r="BC189" i="2" s="1"/>
  <c r="BC180" i="2"/>
  <c r="BC190" i="2" s="1"/>
  <c r="BC183" i="2"/>
  <c r="BC193" i="2" s="1"/>
  <c r="AX179" i="2"/>
  <c r="AX189" i="2" s="1"/>
  <c r="AX183" i="2"/>
  <c r="AX193" i="2" s="1"/>
  <c r="AX180" i="2"/>
  <c r="AX190" i="2" s="1"/>
  <c r="AX182" i="2"/>
  <c r="AX192" i="2" s="1"/>
  <c r="AX178" i="2"/>
  <c r="AX188" i="2" s="1"/>
  <c r="AX184" i="2"/>
  <c r="AX194" i="2" s="1"/>
  <c r="AO181" i="2"/>
  <c r="AO191" i="2" s="1"/>
  <c r="AO195" i="2" s="1"/>
  <c r="AO177" i="2"/>
  <c r="AO187" i="2" s="1"/>
  <c r="CS182" i="2"/>
  <c r="CS192" i="2" s="1"/>
  <c r="CS178" i="2"/>
  <c r="CS188" i="2" s="1"/>
  <c r="CS184" i="2"/>
  <c r="CS194" i="2" s="1"/>
  <c r="CS183" i="2"/>
  <c r="CS193" i="2" s="1"/>
  <c r="CS179" i="2"/>
  <c r="CS189" i="2" s="1"/>
  <c r="CS180" i="2"/>
  <c r="CS190" i="2" s="1"/>
  <c r="BD198" i="2" a="1"/>
  <c r="BD198" i="2" s="1"/>
  <c r="BI177" i="2"/>
  <c r="BI187" i="2" s="1"/>
  <c r="BI181" i="2"/>
  <c r="BI191" i="2" s="1"/>
  <c r="BI195" i="2" s="1"/>
  <c r="BN235" i="20"/>
  <c r="BM70" i="20"/>
  <c r="BM151" i="20"/>
  <c r="BS177" i="2"/>
  <c r="BS187" i="2" s="1"/>
  <c r="BS181" i="2"/>
  <c r="BS191" i="2" s="1"/>
  <c r="BS195" i="2" s="1"/>
  <c r="BP235" i="20"/>
  <c r="BO70" i="20"/>
  <c r="BO151" i="20"/>
  <c r="CE235" i="20"/>
  <c r="CD70" i="20"/>
  <c r="CD151" i="20" s="1"/>
  <c r="BA180" i="2"/>
  <c r="BA190" i="2" s="1"/>
  <c r="BA179" i="2"/>
  <c r="BA189" i="2" s="1"/>
  <c r="BA183" i="2"/>
  <c r="BA193" i="2" s="1"/>
  <c r="BA178" i="2"/>
  <c r="BA188" i="2" s="1"/>
  <c r="BA182" i="2"/>
  <c r="BA192" i="2" s="1"/>
  <c r="BA184" i="2"/>
  <c r="BA194" i="2" s="1"/>
  <c r="AK180" i="2"/>
  <c r="AK190" i="2" s="1"/>
  <c r="AK179" i="2"/>
  <c r="AK189" i="2" s="1"/>
  <c r="AK183" i="2"/>
  <c r="AK193" i="2" s="1"/>
  <c r="AK182" i="2"/>
  <c r="AK192" i="2" s="1"/>
  <c r="AK184" i="2"/>
  <c r="AK194" i="2" s="1"/>
  <c r="AK178" i="2"/>
  <c r="AK188" i="2" s="1"/>
  <c r="BR178" i="2"/>
  <c r="BR188" i="2" s="1"/>
  <c r="BR184" i="2"/>
  <c r="BR194" i="2" s="1"/>
  <c r="BR179" i="2"/>
  <c r="BR189" i="2" s="1"/>
  <c r="BR183" i="2"/>
  <c r="BR193" i="2" s="1"/>
  <c r="BR180" i="2"/>
  <c r="BR190" i="2" s="1"/>
  <c r="BR182" i="2"/>
  <c r="BR192" i="2" s="1"/>
  <c r="D177" i="2"/>
  <c r="D187" i="2" s="1"/>
  <c r="D181" i="2"/>
  <c r="D191" i="2" s="1"/>
  <c r="D195" i="2" s="1"/>
  <c r="AT235" i="20"/>
  <c r="AS70" i="20"/>
  <c r="AS151" i="20"/>
  <c r="AF183" i="2"/>
  <c r="AF193" i="2" s="1"/>
  <c r="AF184" i="2"/>
  <c r="AF194" i="2" s="1"/>
  <c r="AF179" i="2"/>
  <c r="AF189" i="2" s="1"/>
  <c r="AF178" i="2"/>
  <c r="AF188" i="2" s="1"/>
  <c r="AF182" i="2"/>
  <c r="AF192" i="2" s="1"/>
  <c r="AF180" i="2"/>
  <c r="AF190" i="2" s="1"/>
  <c r="BP177" i="2"/>
  <c r="BP187" i="2" s="1"/>
  <c r="BP181" i="2"/>
  <c r="BP191" i="2" s="1"/>
  <c r="BP195" i="2" s="1"/>
  <c r="AY179" i="2"/>
  <c r="AY189" i="2" s="1"/>
  <c r="AY178" i="2"/>
  <c r="AY188" i="2" s="1"/>
  <c r="AY184" i="2"/>
  <c r="AY194" i="2" s="1"/>
  <c r="AY180" i="2"/>
  <c r="AY190" i="2" s="1"/>
  <c r="AY183" i="2"/>
  <c r="AY193" i="2" s="1"/>
  <c r="AY182" i="2"/>
  <c r="AY192" i="2" s="1"/>
  <c r="AW181" i="2"/>
  <c r="AW191" i="2" s="1"/>
  <c r="AW195" i="2" s="1"/>
  <c r="AW177" i="2"/>
  <c r="AW187" i="2" s="1"/>
  <c r="CN235" i="20"/>
  <c r="CM70" i="20"/>
  <c r="CM151" i="20" s="1"/>
  <c r="AA234" i="20"/>
  <c r="Z69" i="20"/>
  <c r="Z150" i="20" s="1"/>
  <c r="Z175" i="20"/>
  <c r="S234" i="20"/>
  <c r="R175" i="20"/>
  <c r="R69" i="20"/>
  <c r="R150" i="20" s="1"/>
  <c r="BR234" i="20"/>
  <c r="BQ69" i="20"/>
  <c r="BQ150" i="20" s="1"/>
  <c r="BQ175" i="20"/>
  <c r="AT234" i="20"/>
  <c r="AS69" i="20"/>
  <c r="AS150" i="20" s="1"/>
  <c r="AS175" i="20"/>
  <c r="CS234" i="20"/>
  <c r="CR175" i="20"/>
  <c r="CR69" i="20"/>
  <c r="CR150" i="20" s="1"/>
  <c r="CN234" i="20"/>
  <c r="CM69" i="20"/>
  <c r="CM150" i="20" s="1"/>
  <c r="CM175" i="20"/>
  <c r="E234" i="20"/>
  <c r="D175" i="20"/>
  <c r="D69" i="20"/>
  <c r="D150" i="20" s="1"/>
  <c r="BI234" i="20"/>
  <c r="BH175" i="20"/>
  <c r="BH69" i="20"/>
  <c r="BH150" i="20" s="1"/>
  <c r="CF234" i="20"/>
  <c r="CE69" i="20"/>
  <c r="CE150" i="20"/>
  <c r="CE175" i="20"/>
  <c r="CK234" i="20"/>
  <c r="CJ69" i="20"/>
  <c r="CJ150" i="20" s="1"/>
  <c r="CJ175" i="20"/>
  <c r="AG182" i="2"/>
  <c r="AG192" i="2" s="1"/>
  <c r="AG183" i="2"/>
  <c r="AG193" i="2" s="1"/>
  <c r="AG184" i="2"/>
  <c r="AG194" i="2" s="1"/>
  <c r="AG179" i="2"/>
  <c r="AG189" i="2" s="1"/>
  <c r="AG178" i="2"/>
  <c r="AG188" i="2" s="1"/>
  <c r="AG180" i="2"/>
  <c r="AG190" i="2" s="1"/>
  <c r="CJ235" i="20"/>
  <c r="CI70" i="20"/>
  <c r="CI151" i="20" s="1"/>
  <c r="CH198" i="2" a="1"/>
  <c r="CH198" i="2" s="1"/>
  <c r="G184" i="2"/>
  <c r="G194" i="2" s="1"/>
  <c r="G178" i="2"/>
  <c r="G188" i="2" s="1"/>
  <c r="G180" i="2"/>
  <c r="G190" i="2" s="1"/>
  <c r="G183" i="2"/>
  <c r="G193" i="2" s="1"/>
  <c r="G182" i="2"/>
  <c r="G192" i="2" s="1"/>
  <c r="G179" i="2"/>
  <c r="G189" i="2" s="1"/>
  <c r="BX177" i="2"/>
  <c r="BX187" i="2" s="1"/>
  <c r="BX181" i="2"/>
  <c r="BX191" i="2" s="1"/>
  <c r="BX195" i="2" s="1"/>
  <c r="BV182" i="2"/>
  <c r="BV192" i="2" s="1"/>
  <c r="BV178" i="2"/>
  <c r="BV188" i="2" s="1"/>
  <c r="BV184" i="2"/>
  <c r="BV194" i="2" s="1"/>
  <c r="BV179" i="2"/>
  <c r="BV189" i="2" s="1"/>
  <c r="BV183" i="2"/>
  <c r="BV193" i="2" s="1"/>
  <c r="BV180" i="2"/>
  <c r="BV190" i="2" s="1"/>
  <c r="BT235" i="20"/>
  <c r="BS70" i="20"/>
  <c r="BS151" i="20"/>
  <c r="BC177" i="2"/>
  <c r="BC187" i="2" s="1"/>
  <c r="BC181" i="2"/>
  <c r="BC191" i="2" s="1"/>
  <c r="BC195" i="2" s="1"/>
  <c r="AX177" i="2"/>
  <c r="AX187" i="2" s="1"/>
  <c r="AX181" i="2"/>
  <c r="AX191" i="2" s="1"/>
  <c r="AX195" i="2" s="1"/>
  <c r="AQ184" i="2"/>
  <c r="AQ194" i="2" s="1"/>
  <c r="AQ182" i="2"/>
  <c r="AQ192" i="2" s="1"/>
  <c r="AQ183" i="2"/>
  <c r="AQ193" i="2" s="1"/>
  <c r="AQ180" i="2"/>
  <c r="AQ190" i="2" s="1"/>
  <c r="AQ179" i="2"/>
  <c r="AQ189" i="2" s="1"/>
  <c r="AQ178" i="2"/>
  <c r="AQ188" i="2" s="1"/>
  <c r="AO180" i="2"/>
  <c r="AO190" i="2" s="1"/>
  <c r="AO183" i="2"/>
  <c r="AO193" i="2" s="1"/>
  <c r="AO184" i="2"/>
  <c r="AO194" i="2" s="1"/>
  <c r="AO179" i="2"/>
  <c r="AO189" i="2" s="1"/>
  <c r="AO182" i="2"/>
  <c r="AO192" i="2" s="1"/>
  <c r="AO178" i="2"/>
  <c r="AO188" i="2" s="1"/>
  <c r="Q181" i="2"/>
  <c r="Q191" i="2" s="1"/>
  <c r="Q195" i="2" s="1"/>
  <c r="Q177" i="2"/>
  <c r="Q187" i="2" s="1"/>
  <c r="T181" i="2"/>
  <c r="T191" i="2" s="1"/>
  <c r="T195" i="2" s="1"/>
  <c r="T177" i="2"/>
  <c r="T187" i="2" s="1"/>
  <c r="BN178" i="2"/>
  <c r="BN188" i="2" s="1"/>
  <c r="BN184" i="2"/>
  <c r="BN194" i="2" s="1"/>
  <c r="BN179" i="2"/>
  <c r="BN189" i="2" s="1"/>
  <c r="BN183" i="2"/>
  <c r="BN193" i="2" s="1"/>
  <c r="BN180" i="2"/>
  <c r="BN190" i="2" s="1"/>
  <c r="BN182" i="2"/>
  <c r="BN192" i="2" s="1"/>
  <c r="W177" i="2"/>
  <c r="W187" i="2" s="1"/>
  <c r="W181" i="2"/>
  <c r="W191" i="2" s="1"/>
  <c r="W195" i="2" s="1"/>
  <c r="AD234" i="20"/>
  <c r="AC175" i="20"/>
  <c r="AC69" i="20"/>
  <c r="AC150" i="20" s="1"/>
  <c r="BQ234" i="20"/>
  <c r="BP175" i="20"/>
  <c r="BP69" i="20"/>
  <c r="BP150" i="20" s="1"/>
  <c r="O181" i="2"/>
  <c r="O191" i="2" s="1"/>
  <c r="O195" i="2" s="1"/>
  <c r="O177" i="2"/>
  <c r="O187" i="2" s="1"/>
  <c r="E177" i="2"/>
  <c r="E187" i="2" s="1"/>
  <c r="E181" i="2"/>
  <c r="E191" i="2" s="1"/>
  <c r="E195" i="2" s="1"/>
  <c r="BQ180" i="2"/>
  <c r="BQ190" i="2" s="1"/>
  <c r="BQ179" i="2"/>
  <c r="BQ189" i="2" s="1"/>
  <c r="BQ184" i="2"/>
  <c r="BQ194" i="2" s="1"/>
  <c r="BQ182" i="2"/>
  <c r="BQ192" i="2" s="1"/>
  <c r="BQ183" i="2"/>
  <c r="BQ193" i="2" s="1"/>
  <c r="BQ178" i="2"/>
  <c r="BQ188" i="2" s="1"/>
  <c r="J182" i="2"/>
  <c r="J192" i="2" s="1"/>
  <c r="J179" i="2"/>
  <c r="J189" i="2" s="1"/>
  <c r="J184" i="2"/>
  <c r="J194" i="2" s="1"/>
  <c r="J178" i="2"/>
  <c r="J188" i="2" s="1"/>
  <c r="J180" i="2"/>
  <c r="J190" i="2" s="1"/>
  <c r="J183" i="2"/>
  <c r="J193" i="2" s="1"/>
  <c r="CD181" i="2"/>
  <c r="CD191" i="2" s="1"/>
  <c r="CD195" i="2" s="1"/>
  <c r="CD177" i="2"/>
  <c r="CD187" i="2" s="1"/>
  <c r="AG235" i="20"/>
  <c r="AF70" i="20"/>
  <c r="AF151" i="20" s="1"/>
  <c r="R198" i="2" a="1"/>
  <c r="R198" i="2" s="1"/>
  <c r="X181" i="2"/>
  <c r="X191" i="2" s="1"/>
  <c r="X195" i="2" s="1"/>
  <c r="X177" i="2"/>
  <c r="X187" i="2" s="1"/>
  <c r="AK181" i="2"/>
  <c r="AK191" i="2" s="1"/>
  <c r="AK195" i="2" s="1"/>
  <c r="AK177" i="2"/>
  <c r="AK187" i="2" s="1"/>
  <c r="AR198" i="2" a="1"/>
  <c r="AR198" i="2" s="1"/>
  <c r="CI235" i="20"/>
  <c r="CH70" i="20"/>
  <c r="CH151" i="20" s="1"/>
  <c r="AD198" i="2" a="1"/>
  <c r="AD198" i="2" s="1"/>
  <c r="AC179" i="2"/>
  <c r="AC189" i="2" s="1"/>
  <c r="AC184" i="2"/>
  <c r="AC194" i="2" s="1"/>
  <c r="AC182" i="2"/>
  <c r="AC192" i="2" s="1"/>
  <c r="AC183" i="2"/>
  <c r="AC193" i="2" s="1"/>
  <c r="AC180" i="2"/>
  <c r="AC190" i="2" s="1"/>
  <c r="AC178" i="2"/>
  <c r="AC188" i="2" s="1"/>
  <c r="AK13" i="2"/>
  <c r="AJ12" i="2"/>
  <c r="AJ68" i="2"/>
  <c r="BP180" i="2"/>
  <c r="BP190" i="2" s="1"/>
  <c r="BP182" i="2"/>
  <c r="BP192" i="2" s="1"/>
  <c r="BP178" i="2"/>
  <c r="BP188" i="2" s="1"/>
  <c r="BP184" i="2"/>
  <c r="BP194" i="2" s="1"/>
  <c r="BP179" i="2"/>
  <c r="BP189" i="2" s="1"/>
  <c r="BP183" i="2"/>
  <c r="BP193" i="2" s="1"/>
  <c r="AI177" i="2"/>
  <c r="AI187" i="2" s="1"/>
  <c r="AI181" i="2"/>
  <c r="AI191" i="2" s="1"/>
  <c r="AI195" i="2" s="1"/>
  <c r="CE181" i="2"/>
  <c r="CE191" i="2" s="1"/>
  <c r="CE195" i="2" s="1"/>
  <c r="CE177" i="2"/>
  <c r="CE187" i="2" s="1"/>
  <c r="BA235" i="20"/>
  <c r="AZ70" i="20"/>
  <c r="AZ151" i="20" s="1"/>
  <c r="Z234" i="20"/>
  <c r="Y175" i="20"/>
  <c r="Y69" i="20"/>
  <c r="Y150" i="20" s="1"/>
  <c r="R234" i="20"/>
  <c r="Q175" i="20"/>
  <c r="Q69" i="20"/>
  <c r="Q150" i="20" s="1"/>
  <c r="CE234" i="20"/>
  <c r="CD175" i="20"/>
  <c r="CD69" i="20"/>
  <c r="CD150" i="20" s="1"/>
  <c r="J234" i="20"/>
  <c r="I69" i="20"/>
  <c r="I150" i="20" s="1"/>
  <c r="I175" i="20"/>
  <c r="BN234" i="20"/>
  <c r="BM175" i="20"/>
  <c r="BM69" i="20"/>
  <c r="BM150" i="20" s="1"/>
  <c r="BV234" i="20"/>
  <c r="BU175" i="20"/>
  <c r="BU69" i="20"/>
  <c r="BU150" i="20" s="1"/>
  <c r="BC234" i="20"/>
  <c r="BB69" i="20"/>
  <c r="BB150" i="20" s="1"/>
  <c r="BB175" i="20"/>
  <c r="BB234" i="20"/>
  <c r="BA175" i="20"/>
  <c r="BA69" i="20"/>
  <c r="BA150" i="20" s="1"/>
  <c r="AY234" i="20"/>
  <c r="AX69" i="20"/>
  <c r="AX150" i="20" s="1"/>
  <c r="AX175" i="20"/>
  <c r="CO234" i="20"/>
  <c r="CN69" i="20"/>
  <c r="CN150" i="20" s="1"/>
  <c r="CN175" i="20"/>
  <c r="BJ42" i="20"/>
  <c r="AG42" i="20"/>
  <c r="BW179" i="2"/>
  <c r="BW189" i="2" s="1"/>
  <c r="BW184" i="2"/>
  <c r="BW194" i="2" s="1"/>
  <c r="BW183" i="2"/>
  <c r="BW193" i="2" s="1"/>
  <c r="BW182" i="2"/>
  <c r="BW192" i="2" s="1"/>
  <c r="BW178" i="2"/>
  <c r="BW188" i="2" s="1"/>
  <c r="BW180" i="2"/>
  <c r="BW190" i="2" s="1"/>
  <c r="G235" i="20"/>
  <c r="F70" i="20"/>
  <c r="F151" i="20" s="1"/>
  <c r="BF177" i="2"/>
  <c r="BF187" i="2" s="1"/>
  <c r="BF181" i="2"/>
  <c r="BF191" i="2" s="1"/>
  <c r="BF195" i="2" s="1"/>
  <c r="AY235" i="20"/>
  <c r="AX70" i="20"/>
  <c r="AX151" i="20" s="1"/>
  <c r="CG179" i="2"/>
  <c r="CG189" i="2" s="1"/>
  <c r="CG184" i="2"/>
  <c r="CG194" i="2" s="1"/>
  <c r="CG178" i="2"/>
  <c r="CG188" i="2" s="1"/>
  <c r="CG183" i="2"/>
  <c r="CG193" i="2" s="1"/>
  <c r="CG182" i="2"/>
  <c r="CG192" i="2" s="1"/>
  <c r="CG180" i="2"/>
  <c r="CG190" i="2" s="1"/>
  <c r="AQ181" i="2"/>
  <c r="AQ191" i="2" s="1"/>
  <c r="AQ195" i="2" s="1"/>
  <c r="AQ177" i="2"/>
  <c r="AQ187" i="2" s="1"/>
  <c r="P177" i="2"/>
  <c r="P187" i="2" s="1"/>
  <c r="P181" i="2"/>
  <c r="P191" i="2" s="1"/>
  <c r="P195" i="2" s="1"/>
  <c r="CQ198" i="2" a="1"/>
  <c r="CQ198" i="2" s="1"/>
  <c r="Q180" i="2"/>
  <c r="Q190" i="2" s="1"/>
  <c r="Q182" i="2"/>
  <c r="Q192" i="2" s="1"/>
  <c r="Q179" i="2"/>
  <c r="Q189" i="2" s="1"/>
  <c r="Q184" i="2"/>
  <c r="Q194" i="2" s="1"/>
  <c r="Q183" i="2"/>
  <c r="Q193" i="2" s="1"/>
  <c r="Q178" i="2"/>
  <c r="Q188" i="2" s="1"/>
  <c r="BC235" i="20"/>
  <c r="BB70" i="20"/>
  <c r="BB151" i="20" s="1"/>
  <c r="I183" i="2"/>
  <c r="I193" i="2" s="1"/>
  <c r="I182" i="2"/>
  <c r="I192" i="2" s="1"/>
  <c r="I180" i="2"/>
  <c r="I190" i="2" s="1"/>
  <c r="I184" i="2"/>
  <c r="I194" i="2" s="1"/>
  <c r="I178" i="2"/>
  <c r="I188" i="2" s="1"/>
  <c r="I179" i="2"/>
  <c r="I189" i="2" s="1"/>
  <c r="BR235" i="20"/>
  <c r="BQ70" i="20"/>
  <c r="BQ151" i="20"/>
  <c r="AE182" i="2"/>
  <c r="AE192" i="2" s="1"/>
  <c r="AE183" i="2"/>
  <c r="AE193" i="2" s="1"/>
  <c r="AE180" i="2"/>
  <c r="AE190" i="2" s="1"/>
  <c r="AE179" i="2"/>
  <c r="AE189" i="2" s="1"/>
  <c r="AE184" i="2"/>
  <c r="AE194" i="2" s="1"/>
  <c r="AE178" i="2"/>
  <c r="AE188" i="2" s="1"/>
  <c r="CA184" i="2"/>
  <c r="CA194" i="2" s="1"/>
  <c r="CA178" i="2"/>
  <c r="CA188" i="2" s="1"/>
  <c r="CA183" i="2"/>
  <c r="CA193" i="2" s="1"/>
  <c r="CA179" i="2"/>
  <c r="CA189" i="2" s="1"/>
  <c r="CA182" i="2"/>
  <c r="CA192" i="2" s="1"/>
  <c r="CA180" i="2"/>
  <c r="CA190" i="2" s="1"/>
  <c r="CD235" i="20"/>
  <c r="CC70" i="20"/>
  <c r="CC151" i="20" s="1"/>
  <c r="X178" i="2"/>
  <c r="X188" i="2" s="1"/>
  <c r="X182" i="2"/>
  <c r="X192" i="2" s="1"/>
  <c r="X179" i="2"/>
  <c r="X189" i="2" s="1"/>
  <c r="X180" i="2"/>
  <c r="X190" i="2" s="1"/>
  <c r="X183" i="2"/>
  <c r="X193" i="2" s="1"/>
  <c r="X184" i="2"/>
  <c r="X194" i="2" s="1"/>
  <c r="BY178" i="2"/>
  <c r="BY188" i="2" s="1"/>
  <c r="BY182" i="2"/>
  <c r="BY192" i="2" s="1"/>
  <c r="BY180" i="2"/>
  <c r="BY190" i="2" s="1"/>
  <c r="BY179" i="2"/>
  <c r="BY189" i="2" s="1"/>
  <c r="BY183" i="2"/>
  <c r="BY193" i="2" s="1"/>
  <c r="BY184" i="2"/>
  <c r="BY194" i="2" s="1"/>
  <c r="AZ235" i="20"/>
  <c r="AY70" i="20"/>
  <c r="AY151" i="20"/>
  <c r="Q235" i="20"/>
  <c r="P70" i="20"/>
  <c r="P151" i="20" s="1"/>
  <c r="AC181" i="2"/>
  <c r="AC191" i="2" s="1"/>
  <c r="AC195" i="2" s="1"/>
  <c r="AC177" i="2"/>
  <c r="AC187" i="2" s="1"/>
  <c r="AI95" i="2"/>
  <c r="AI122" i="2" s="1"/>
  <c r="AI186" i="2"/>
  <c r="AI176" i="2" s="1"/>
  <c r="AI149" i="2"/>
  <c r="AI180" i="2"/>
  <c r="AI190" i="2" s="1"/>
  <c r="AI183" i="2"/>
  <c r="AI193" i="2" s="1"/>
  <c r="AI178" i="2"/>
  <c r="AI188" i="2" s="1"/>
  <c r="AI182" i="2"/>
  <c r="AI192" i="2" s="1"/>
  <c r="AI184" i="2"/>
  <c r="AI194" i="2" s="1"/>
  <c r="AI179" i="2"/>
  <c r="AI189" i="2" s="1"/>
  <c r="BZ181" i="2"/>
  <c r="BZ191" i="2" s="1"/>
  <c r="BZ195" i="2" s="1"/>
  <c r="BZ177" i="2"/>
  <c r="BZ187" i="2" s="1"/>
  <c r="CE184" i="2"/>
  <c r="CE194" i="2" s="1"/>
  <c r="CE178" i="2"/>
  <c r="CE188" i="2" s="1"/>
  <c r="CE182" i="2"/>
  <c r="CE192" i="2" s="1"/>
  <c r="CE183" i="2"/>
  <c r="CE193" i="2" s="1"/>
  <c r="CE179" i="2"/>
  <c r="CE189" i="2" s="1"/>
  <c r="CE180" i="2"/>
  <c r="CE190" i="2" s="1"/>
  <c r="AF42" i="20"/>
  <c r="X42" i="20"/>
  <c r="P42" i="20"/>
  <c r="BN42" i="20"/>
  <c r="CI42" i="20"/>
  <c r="BE42" i="20"/>
  <c r="AU42" i="20"/>
  <c r="CA42" i="20"/>
  <c r="BT42" i="20"/>
  <c r="BX42" i="20"/>
  <c r="G42" i="20"/>
  <c r="D235" i="20"/>
  <c r="E207" i="20"/>
  <c r="I207" i="20" s="1"/>
  <c r="J207" i="20" s="1"/>
  <c r="D207" i="20"/>
  <c r="C235" i="20"/>
  <c r="BW177" i="2"/>
  <c r="BW187" i="2" s="1"/>
  <c r="BW181" i="2"/>
  <c r="BW191" i="2" s="1"/>
  <c r="BW195" i="2" s="1"/>
  <c r="AL177" i="2"/>
  <c r="AL187" i="2" s="1"/>
  <c r="AL181" i="2"/>
  <c r="AL191" i="2" s="1"/>
  <c r="AL195" i="2" s="1"/>
  <c r="CK235" i="20"/>
  <c r="CJ70" i="20"/>
  <c r="CJ151" i="20" s="1"/>
  <c r="BF180" i="2"/>
  <c r="BF190" i="2" s="1"/>
  <c r="BF182" i="2"/>
  <c r="BF192" i="2" s="1"/>
  <c r="BF178" i="2"/>
  <c r="BF188" i="2" s="1"/>
  <c r="BF184" i="2"/>
  <c r="BF194" i="2" s="1"/>
  <c r="BF179" i="2"/>
  <c r="BF189" i="2" s="1"/>
  <c r="BF183" i="2"/>
  <c r="BF193" i="2" s="1"/>
  <c r="S177" i="2"/>
  <c r="S187" i="2" s="1"/>
  <c r="S181" i="2"/>
  <c r="S191" i="2" s="1"/>
  <c r="S195" i="2" s="1"/>
  <c r="BO235" i="20"/>
  <c r="BN70" i="20"/>
  <c r="BN151" i="20"/>
  <c r="BZ235" i="20"/>
  <c r="BY70" i="20"/>
  <c r="BY151" i="20" s="1"/>
  <c r="CG181" i="2"/>
  <c r="CG191" i="2" s="1"/>
  <c r="CG195" i="2" s="1"/>
  <c r="CG177" i="2"/>
  <c r="CG187" i="2" s="1"/>
  <c r="CM181" i="2"/>
  <c r="CM191" i="2" s="1"/>
  <c r="CM195" i="2" s="1"/>
  <c r="CM177" i="2"/>
  <c r="CM187" i="2" s="1"/>
  <c r="P178" i="2"/>
  <c r="P188" i="2" s="1"/>
  <c r="P182" i="2"/>
  <c r="P192" i="2" s="1"/>
  <c r="P184" i="2"/>
  <c r="P194" i="2" s="1"/>
  <c r="P179" i="2"/>
  <c r="P189" i="2" s="1"/>
  <c r="P183" i="2"/>
  <c r="P193" i="2" s="1"/>
  <c r="P180" i="2"/>
  <c r="P190" i="2" s="1"/>
  <c r="Z177" i="2"/>
  <c r="Z187" i="2" s="1"/>
  <c r="Z181" i="2"/>
  <c r="Z191" i="2" s="1"/>
  <c r="Z195" i="2" s="1"/>
  <c r="AU198" i="2" a="1"/>
  <c r="AU198" i="2" s="1"/>
  <c r="CN179" i="2"/>
  <c r="CN189" i="2" s="1"/>
  <c r="CN183" i="2"/>
  <c r="CN193" i="2" s="1"/>
  <c r="CN180" i="2"/>
  <c r="CN190" i="2" s="1"/>
  <c r="CN182" i="2"/>
  <c r="CN192" i="2" s="1"/>
  <c r="CN178" i="2"/>
  <c r="CN188" i="2" s="1"/>
  <c r="CN184" i="2"/>
  <c r="CN194" i="2" s="1"/>
  <c r="CC235" i="20"/>
  <c r="CB70" i="20"/>
  <c r="CB151" i="20" s="1"/>
  <c r="V234" i="20"/>
  <c r="U175" i="20"/>
  <c r="U69" i="20"/>
  <c r="U150" i="20" s="1"/>
  <c r="BM234" i="20"/>
  <c r="BL69" i="20"/>
  <c r="BL150" i="20" s="1"/>
  <c r="BL175" i="20"/>
  <c r="BB235" i="20"/>
  <c r="BA70" i="20"/>
  <c r="BA151" i="20"/>
  <c r="BW235" i="20"/>
  <c r="BV70" i="20"/>
  <c r="BV151" i="20" s="1"/>
  <c r="AV198" i="2" a="1"/>
  <c r="AV198" i="2" s="1"/>
  <c r="BG177" i="2"/>
  <c r="BG187" i="2" s="1"/>
  <c r="BG181" i="2"/>
  <c r="BG191" i="2" s="1"/>
  <c r="BG195" i="2" s="1"/>
  <c r="AZ180" i="2"/>
  <c r="AZ190" i="2" s="1"/>
  <c r="AZ182" i="2"/>
  <c r="AZ192" i="2" s="1"/>
  <c r="AZ184" i="2"/>
  <c r="AZ194" i="2" s="1"/>
  <c r="AZ178" i="2"/>
  <c r="AZ188" i="2" s="1"/>
  <c r="AZ179" i="2"/>
  <c r="AZ189" i="2" s="1"/>
  <c r="AZ183" i="2"/>
  <c r="AZ193" i="2" s="1"/>
  <c r="AE181" i="2"/>
  <c r="AE191" i="2" s="1"/>
  <c r="AE195" i="2" s="1"/>
  <c r="AE177" i="2"/>
  <c r="AE187" i="2" s="1"/>
  <c r="CA177" i="2"/>
  <c r="CA187" i="2" s="1"/>
  <c r="CA181" i="2"/>
  <c r="CA191" i="2" s="1"/>
  <c r="CA195" i="2" s="1"/>
  <c r="BY181" i="2"/>
  <c r="BY191" i="2" s="1"/>
  <c r="BY195" i="2" s="1"/>
  <c r="BY177" i="2"/>
  <c r="BY187" i="2" s="1"/>
  <c r="CM235" i="20"/>
  <c r="CL70" i="20"/>
  <c r="CL151" i="20" s="1"/>
  <c r="BE182" i="2"/>
  <c r="BE192" i="2" s="1"/>
  <c r="BE183" i="2"/>
  <c r="BE193" i="2" s="1"/>
  <c r="BE178" i="2"/>
  <c r="BE188" i="2" s="1"/>
  <c r="BE180" i="2"/>
  <c r="BE190" i="2" s="1"/>
  <c r="BE179" i="2"/>
  <c r="BE189" i="2" s="1"/>
  <c r="BE184" i="2"/>
  <c r="BE194" i="2" s="1"/>
  <c r="CC177" i="2"/>
  <c r="CC187" i="2" s="1"/>
  <c r="CC181" i="2"/>
  <c r="CC191" i="2" s="1"/>
  <c r="CC195" i="2" s="1"/>
  <c r="BZ182" i="2"/>
  <c r="BZ192" i="2" s="1"/>
  <c r="BZ178" i="2"/>
  <c r="BZ188" i="2" s="1"/>
  <c r="BZ184" i="2"/>
  <c r="BZ194" i="2" s="1"/>
  <c r="BZ179" i="2"/>
  <c r="BZ189" i="2" s="1"/>
  <c r="BZ183" i="2"/>
  <c r="BZ193" i="2" s="1"/>
  <c r="BZ180" i="2"/>
  <c r="BZ190" i="2" s="1"/>
  <c r="AF234" i="20"/>
  <c r="AE175" i="20"/>
  <c r="AE69" i="20"/>
  <c r="AE150" i="20" s="1"/>
  <c r="X234" i="20"/>
  <c r="W175" i="20"/>
  <c r="W69" i="20"/>
  <c r="W150" i="20" s="1"/>
  <c r="P234" i="20"/>
  <c r="O175" i="20"/>
  <c r="O69" i="20"/>
  <c r="O150" i="20" s="1"/>
  <c r="BG234" i="20"/>
  <c r="BF69" i="20"/>
  <c r="BF150" i="20" s="1"/>
  <c r="BF175" i="20"/>
  <c r="AQ234" i="20"/>
  <c r="AP175" i="20"/>
  <c r="AP69" i="20"/>
  <c r="AP150" i="20" s="1"/>
  <c r="CM234" i="20"/>
  <c r="CL175" i="20"/>
  <c r="CL69" i="20"/>
  <c r="CL150" i="20" s="1"/>
  <c r="BD234" i="20"/>
  <c r="BC69" i="20"/>
  <c r="BC150" i="20" s="1"/>
  <c r="BC175" i="20"/>
  <c r="M234" i="20"/>
  <c r="L175" i="20"/>
  <c r="L69" i="20"/>
  <c r="L150" i="20" s="1"/>
  <c r="BE234" i="20"/>
  <c r="BD69" i="20"/>
  <c r="BD150" i="20" s="1"/>
  <c r="BD175" i="20"/>
  <c r="CD234" i="20"/>
  <c r="CC69" i="20"/>
  <c r="CC150" i="20"/>
  <c r="CC175" i="20"/>
  <c r="BH234" i="20"/>
  <c r="BG69" i="20"/>
  <c r="BG150" i="20" s="1"/>
  <c r="BG175" i="20"/>
  <c r="CJ178" i="2"/>
  <c r="CJ188" i="2" s="1"/>
  <c r="CJ183" i="2"/>
  <c r="CJ193" i="2" s="1"/>
  <c r="CJ182" i="2"/>
  <c r="CJ192" i="2" s="1"/>
  <c r="CJ179" i="2"/>
  <c r="CJ189" i="2" s="1"/>
  <c r="CJ180" i="2"/>
  <c r="CJ190" i="2" s="1"/>
  <c r="CJ184" i="2"/>
  <c r="CJ194" i="2" s="1"/>
  <c r="V198" i="2" a="1"/>
  <c r="V198" i="2" s="1"/>
  <c r="AL178" i="2"/>
  <c r="AL188" i="2" s="1"/>
  <c r="AL182" i="2"/>
  <c r="AL192" i="2" s="1"/>
  <c r="AL183" i="2"/>
  <c r="AL193" i="2" s="1"/>
  <c r="AL179" i="2"/>
  <c r="AL189" i="2" s="1"/>
  <c r="AL180" i="2"/>
  <c r="AL190" i="2" s="1"/>
  <c r="AL184" i="2"/>
  <c r="AL194" i="2" s="1"/>
  <c r="AX235" i="20"/>
  <c r="AW70" i="20"/>
  <c r="AW151" i="20" s="1"/>
  <c r="AS198" i="2" a="1"/>
  <c r="AS198" i="2" s="1"/>
  <c r="AN198" i="2" a="1"/>
  <c r="AN198" i="2" s="1"/>
  <c r="BT179" i="2"/>
  <c r="BT189" i="2" s="1"/>
  <c r="BT182" i="2"/>
  <c r="BT192" i="2" s="1"/>
  <c r="BT178" i="2"/>
  <c r="BT188" i="2" s="1"/>
  <c r="BT184" i="2"/>
  <c r="BT194" i="2" s="1"/>
  <c r="BT183" i="2"/>
  <c r="BT193" i="2" s="1"/>
  <c r="BT180" i="2"/>
  <c r="BT190" i="2" s="1"/>
  <c r="S184" i="2"/>
  <c r="S194" i="2" s="1"/>
  <c r="S179" i="2"/>
  <c r="S189" i="2" s="1"/>
  <c r="S180" i="2"/>
  <c r="S190" i="2" s="1"/>
  <c r="S183" i="2"/>
  <c r="S193" i="2" s="1"/>
  <c r="S178" i="2"/>
  <c r="S188" i="2" s="1"/>
  <c r="S182" i="2"/>
  <c r="S192" i="2" s="1"/>
  <c r="BF235" i="20"/>
  <c r="BE70" i="20"/>
  <c r="BE151" i="20"/>
  <c r="CB177" i="2"/>
  <c r="CB187" i="2" s="1"/>
  <c r="CB181" i="2"/>
  <c r="CB191" i="2" s="1"/>
  <c r="CB195" i="2" s="1"/>
  <c r="CM183" i="2"/>
  <c r="CM193" i="2" s="1"/>
  <c r="CM182" i="2"/>
  <c r="CM192" i="2" s="1"/>
  <c r="CM184" i="2"/>
  <c r="CM194" i="2" s="1"/>
  <c r="CM178" i="2"/>
  <c r="CM188" i="2" s="1"/>
  <c r="CM179" i="2"/>
  <c r="CM189" i="2" s="1"/>
  <c r="CM180" i="2"/>
  <c r="CM190" i="2" s="1"/>
  <c r="CR177" i="2"/>
  <c r="CR187" i="2" s="1"/>
  <c r="CR181" i="2"/>
  <c r="CR191" i="2" s="1"/>
  <c r="CR195" i="2" s="1"/>
  <c r="CL198" i="2" a="1"/>
  <c r="CL198" i="2" s="1"/>
  <c r="H177" i="2"/>
  <c r="H187" i="2" s="1"/>
  <c r="H181" i="2"/>
  <c r="H191" i="2" s="1"/>
  <c r="H195" i="2" s="1"/>
  <c r="CI182" i="2"/>
  <c r="CI192" i="2" s="1"/>
  <c r="CI178" i="2"/>
  <c r="CI188" i="2" s="1"/>
  <c r="CI184" i="2"/>
  <c r="CI194" i="2" s="1"/>
  <c r="CI180" i="2"/>
  <c r="CI190" i="2" s="1"/>
  <c r="CI183" i="2"/>
  <c r="CI193" i="2" s="1"/>
  <c r="CI179" i="2"/>
  <c r="CI189" i="2" s="1"/>
  <c r="Z184" i="2"/>
  <c r="Z194" i="2" s="1"/>
  <c r="Z178" i="2"/>
  <c r="Z188" i="2" s="1"/>
  <c r="Z183" i="2"/>
  <c r="Z193" i="2" s="1"/>
  <c r="Z182" i="2"/>
  <c r="Z192" i="2" s="1"/>
  <c r="Z179" i="2"/>
  <c r="Z189" i="2" s="1"/>
  <c r="Z180" i="2"/>
  <c r="Z190" i="2" s="1"/>
  <c r="BK235" i="20"/>
  <c r="BJ70" i="20"/>
  <c r="BJ151" i="20" s="1"/>
  <c r="AP177" i="2"/>
  <c r="AP187" i="2" s="1"/>
  <c r="AP181" i="2"/>
  <c r="AP191" i="2" s="1"/>
  <c r="AP195" i="2" s="1"/>
  <c r="BL178" i="2"/>
  <c r="BL188" i="2" s="1"/>
  <c r="BL183" i="2"/>
  <c r="BL193" i="2" s="1"/>
  <c r="BL180" i="2"/>
  <c r="BL190" i="2" s="1"/>
  <c r="BL179" i="2"/>
  <c r="BL189" i="2" s="1"/>
  <c r="BL184" i="2"/>
  <c r="BL194" i="2" s="1"/>
  <c r="BL182" i="2"/>
  <c r="BL192" i="2" s="1"/>
  <c r="BK178" i="2"/>
  <c r="BK188" i="2" s="1"/>
  <c r="BK183" i="2"/>
  <c r="BK193" i="2" s="1"/>
  <c r="BK179" i="2"/>
  <c r="BK189" i="2" s="1"/>
  <c r="BK182" i="2"/>
  <c r="BK192" i="2" s="1"/>
  <c r="BK180" i="2"/>
  <c r="BK190" i="2" s="1"/>
  <c r="BK184" i="2"/>
  <c r="BK194" i="2" s="1"/>
  <c r="BH177" i="2"/>
  <c r="BH187" i="2" s="1"/>
  <c r="BH181" i="2"/>
  <c r="BH191" i="2" s="1"/>
  <c r="BH195" i="2" s="1"/>
  <c r="BL235" i="20"/>
  <c r="BK70" i="20"/>
  <c r="BK151" i="20" s="1"/>
  <c r="BG184" i="2"/>
  <c r="BG194" i="2" s="1"/>
  <c r="BG183" i="2"/>
  <c r="BG193" i="2" s="1"/>
  <c r="BG182" i="2"/>
  <c r="BG192" i="2" s="1"/>
  <c r="BG180" i="2"/>
  <c r="BG190" i="2" s="1"/>
  <c r="BG179" i="2"/>
  <c r="BG189" i="2" s="1"/>
  <c r="BG178" i="2"/>
  <c r="BG188" i="2" s="1"/>
  <c r="AZ181" i="2"/>
  <c r="AZ191" i="2" s="1"/>
  <c r="AZ195" i="2" s="1"/>
  <c r="AZ177" i="2"/>
  <c r="AZ187" i="2" s="1"/>
  <c r="BN177" i="2"/>
  <c r="BN187" i="2" s="1"/>
  <c r="BN181" i="2"/>
  <c r="BN191" i="2" s="1"/>
  <c r="BN195" i="2" s="1"/>
  <c r="BM235" i="20"/>
  <c r="BL70" i="20"/>
  <c r="BL151" i="20"/>
  <c r="W182" i="2"/>
  <c r="W192" i="2" s="1"/>
  <c r="W179" i="2"/>
  <c r="W189" i="2" s="1"/>
  <c r="W183" i="2"/>
  <c r="W193" i="2" s="1"/>
  <c r="W180" i="2"/>
  <c r="W190" i="2" s="1"/>
  <c r="W184" i="2"/>
  <c r="W194" i="2" s="1"/>
  <c r="W178" i="2"/>
  <c r="W188" i="2" s="1"/>
  <c r="BE181" i="2"/>
  <c r="BE191" i="2" s="1"/>
  <c r="BE195" i="2" s="1"/>
  <c r="BE177" i="2"/>
  <c r="BE187" i="2" s="1"/>
  <c r="Y183" i="2"/>
  <c r="Y193" i="2" s="1"/>
  <c r="Y182" i="2"/>
  <c r="Y192" i="2" s="1"/>
  <c r="Y179" i="2"/>
  <c r="Y189" i="2" s="1"/>
  <c r="Y178" i="2"/>
  <c r="Y188" i="2" s="1"/>
  <c r="Y184" i="2"/>
  <c r="Y194" i="2" s="1"/>
  <c r="Y180" i="2"/>
  <c r="Y190" i="2" s="1"/>
  <c r="CC183" i="2"/>
  <c r="CC193" i="2" s="1"/>
  <c r="CC180" i="2"/>
  <c r="CC190" i="2" s="1"/>
  <c r="CC179" i="2"/>
  <c r="CC189" i="2" s="1"/>
  <c r="CC178" i="2"/>
  <c r="CC188" i="2" s="1"/>
  <c r="CC184" i="2"/>
  <c r="CC194" i="2" s="1"/>
  <c r="CC182" i="2"/>
  <c r="CC192" i="2" s="1"/>
  <c r="CN181" i="2"/>
  <c r="CN191" i="2" s="1"/>
  <c r="CN195" i="2" s="1"/>
  <c r="CN177" i="2"/>
  <c r="CN187" i="2" s="1"/>
  <c r="BI180" i="2"/>
  <c r="BI190" i="2" s="1"/>
  <c r="BI179" i="2"/>
  <c r="BI189" i="2" s="1"/>
  <c r="BI184" i="2"/>
  <c r="BI194" i="2" s="1"/>
  <c r="BI182" i="2"/>
  <c r="BI192" i="2" s="1"/>
  <c r="BI183" i="2"/>
  <c r="BI193" i="2" s="1"/>
  <c r="BI178" i="2"/>
  <c r="BI188" i="2" s="1"/>
  <c r="BU235" i="20"/>
  <c r="BT70" i="20"/>
  <c r="BT151" i="20"/>
  <c r="AE234" i="20"/>
  <c r="AD175" i="20"/>
  <c r="AD69" i="20"/>
  <c r="AD150" i="20" s="1"/>
  <c r="W234" i="20"/>
  <c r="V175" i="20"/>
  <c r="V69" i="20"/>
  <c r="V150" i="20" s="1"/>
  <c r="O234" i="20"/>
  <c r="N175" i="20"/>
  <c r="N69" i="20"/>
  <c r="N150" i="20" s="1"/>
  <c r="CI234" i="20"/>
  <c r="CH175" i="20"/>
  <c r="CH69" i="20"/>
  <c r="CH150" i="20" s="1"/>
  <c r="F234" i="20"/>
  <c r="E175" i="20"/>
  <c r="E69" i="20"/>
  <c r="E150" i="20" s="1"/>
  <c r="CH234" i="20"/>
  <c r="CG175" i="20"/>
  <c r="CG69" i="20"/>
  <c r="CG150" i="20" s="1"/>
  <c r="L234" i="20"/>
  <c r="K175" i="20"/>
  <c r="K69" i="20"/>
  <c r="K150" i="20" s="1"/>
  <c r="BX234" i="20"/>
  <c r="BW175" i="20"/>
  <c r="BW69" i="20"/>
  <c r="BW150" i="20" s="1"/>
  <c r="I234" i="20"/>
  <c r="H69" i="20"/>
  <c r="H150" i="20" s="1"/>
  <c r="H175" i="20"/>
  <c r="CR234" i="20"/>
  <c r="CQ69" i="20"/>
  <c r="CQ150" i="20"/>
  <c r="CQ175" i="20"/>
  <c r="CQ234" i="20"/>
  <c r="CP69" i="20"/>
  <c r="CP150" i="20" s="1"/>
  <c r="CP175" i="20"/>
  <c r="CJ181" i="2"/>
  <c r="CJ191" i="2" s="1"/>
  <c r="CJ195" i="2" s="1"/>
  <c r="CJ177" i="2"/>
  <c r="CJ187" i="2" s="1"/>
  <c r="K235" i="20"/>
  <c r="J151" i="20"/>
  <c r="J70" i="20"/>
  <c r="BT181" i="2"/>
  <c r="BT191" i="2" s="1"/>
  <c r="BT195" i="2" s="1"/>
  <c r="BT177" i="2"/>
  <c r="BT187" i="2" s="1"/>
  <c r="AP179" i="2"/>
  <c r="AP189" i="2" s="1"/>
  <c r="AP183" i="2"/>
  <c r="AP193" i="2" s="1"/>
  <c r="AP180" i="2"/>
  <c r="AP190" i="2" s="1"/>
  <c r="AP182" i="2"/>
  <c r="AP192" i="2" s="1"/>
  <c r="AP178" i="2"/>
  <c r="AP188" i="2" s="1"/>
  <c r="AP184" i="2"/>
  <c r="AP194" i="2" s="1"/>
  <c r="BQ177" i="2"/>
  <c r="BQ187" i="2" s="1"/>
  <c r="BQ181" i="2"/>
  <c r="BQ191" i="2" s="1"/>
  <c r="BQ195" i="2" s="1"/>
  <c r="AJ198" i="2" a="1"/>
  <c r="AJ198" i="2" s="1"/>
  <c r="CG235" i="20"/>
  <c r="CF70" i="20"/>
  <c r="CF151" i="20"/>
  <c r="CB184" i="2"/>
  <c r="CB194" i="2" s="1"/>
  <c r="CB198" i="2" s="1" a="1"/>
  <c r="CB198" i="2" s="1"/>
  <c r="CB182" i="2"/>
  <c r="CB192" i="2" s="1"/>
  <c r="CB178" i="2"/>
  <c r="CB188" i="2" s="1"/>
  <c r="CB180" i="2"/>
  <c r="CB190" i="2" s="1"/>
  <c r="CB179" i="2"/>
  <c r="CB189" i="2" s="1"/>
  <c r="CB183" i="2"/>
  <c r="CB193" i="2" s="1"/>
  <c r="BL177" i="2"/>
  <c r="BL187" i="2" s="1"/>
  <c r="BL181" i="2"/>
  <c r="BL191" i="2" s="1"/>
  <c r="BL195" i="2" s="1"/>
  <c r="J181" i="2"/>
  <c r="J191" i="2" s="1"/>
  <c r="J195" i="2" s="1"/>
  <c r="J177" i="2"/>
  <c r="J187" i="2" s="1"/>
  <c r="CR183" i="2"/>
  <c r="CR193" i="2" s="1"/>
  <c r="CR180" i="2"/>
  <c r="CR190" i="2" s="1"/>
  <c r="CR182" i="2"/>
  <c r="CR192" i="2" s="1"/>
  <c r="CR184" i="2"/>
  <c r="CR194" i="2" s="1"/>
  <c r="CR178" i="2"/>
  <c r="CR188" i="2" s="1"/>
  <c r="CR179" i="2"/>
  <c r="CR189" i="2" s="1"/>
  <c r="H183" i="2"/>
  <c r="H193" i="2" s="1"/>
  <c r="H178" i="2"/>
  <c r="H188" i="2" s="1"/>
  <c r="H182" i="2"/>
  <c r="H192" i="2" s="1"/>
  <c r="H179" i="2"/>
  <c r="H189" i="2" s="1"/>
  <c r="H180" i="2"/>
  <c r="H190" i="2" s="1"/>
  <c r="H184" i="2"/>
  <c r="H194" i="2" s="1"/>
  <c r="CS235" i="20"/>
  <c r="CR70" i="20"/>
  <c r="CR151" i="20" s="1"/>
  <c r="BK177" i="2"/>
  <c r="BK187" i="2" s="1"/>
  <c r="BK181" i="2"/>
  <c r="BK191" i="2" s="1"/>
  <c r="BK195" i="2" s="1"/>
  <c r="CI177" i="2"/>
  <c r="CI187" i="2" s="1"/>
  <c r="CI181" i="2"/>
  <c r="CI191" i="2" s="1"/>
  <c r="CI195" i="2" s="1"/>
  <c r="F363" i="19"/>
  <c r="G362" i="19"/>
  <c r="H362" i="19" s="1"/>
  <c r="AH79" i="20"/>
  <c r="AH160" i="20" s="1"/>
  <c r="AH81" i="20"/>
  <c r="AH162" i="20" s="1"/>
  <c r="AI73" i="19"/>
  <c r="AI154" i="19" s="1"/>
  <c r="AI74" i="19"/>
  <c r="AI155" i="19" s="1"/>
  <c r="AI82" i="19"/>
  <c r="AI163" i="19" s="1"/>
  <c r="AI90" i="19"/>
  <c r="AI171" i="19" s="1"/>
  <c r="AH181" i="19"/>
  <c r="AH191" i="19" s="1"/>
  <c r="AH195" i="19" s="1"/>
  <c r="AH177" i="19"/>
  <c r="AH187" i="19" s="1"/>
  <c r="Z186" i="20"/>
  <c r="Z176" i="20" s="1"/>
  <c r="Z95" i="20"/>
  <c r="Z122" i="20" s="1"/>
  <c r="Z149" i="20"/>
  <c r="AH86" i="20"/>
  <c r="AH167" i="20" s="1"/>
  <c r="AH75" i="20"/>
  <c r="AH156" i="20" s="1"/>
  <c r="AH82" i="20"/>
  <c r="AH163" i="20" s="1"/>
  <c r="AH88" i="20"/>
  <c r="AH169" i="20" s="1"/>
  <c r="AH175" i="20"/>
  <c r="AH69" i="20"/>
  <c r="AH150" i="20" s="1"/>
  <c r="AH83" i="20"/>
  <c r="AH164" i="20" s="1"/>
  <c r="AI75" i="19"/>
  <c r="AI156" i="19" s="1"/>
  <c r="AI83" i="19"/>
  <c r="AI164" i="19" s="1"/>
  <c r="AK41" i="19"/>
  <c r="AJ65" i="19"/>
  <c r="AK257" i="19" s="1"/>
  <c r="AJ62" i="19"/>
  <c r="AK254" i="19" s="1"/>
  <c r="AJ61" i="19"/>
  <c r="AK253" i="19" s="1"/>
  <c r="AJ64" i="19"/>
  <c r="AK256" i="19" s="1"/>
  <c r="AJ63" i="19"/>
  <c r="AK255" i="19" s="1"/>
  <c r="AJ60" i="19"/>
  <c r="AK252" i="19" s="1"/>
  <c r="AJ59" i="19"/>
  <c r="AK251" i="19" s="1"/>
  <c r="AJ58" i="19"/>
  <c r="AK250" i="19" s="1"/>
  <c r="AJ57" i="19"/>
  <c r="AK249" i="19" s="1"/>
  <c r="AJ56" i="19"/>
  <c r="AK248" i="19" s="1"/>
  <c r="AJ55" i="19"/>
  <c r="AK247" i="19" s="1"/>
  <c r="AJ54" i="19"/>
  <c r="AK246" i="19" s="1"/>
  <c r="AJ53" i="19"/>
  <c r="AK245" i="19" s="1"/>
  <c r="AJ52" i="19"/>
  <c r="AK244" i="19" s="1"/>
  <c r="AJ51" i="19"/>
  <c r="AK243" i="19" s="1"/>
  <c r="AJ49" i="19"/>
  <c r="AK241" i="19" s="1"/>
  <c r="AJ50" i="19"/>
  <c r="AK242" i="19" s="1"/>
  <c r="AJ48" i="19"/>
  <c r="AK240" i="19" s="1"/>
  <c r="AJ47" i="19"/>
  <c r="AK239" i="19" s="1"/>
  <c r="AJ45" i="19"/>
  <c r="AK237" i="19" s="1"/>
  <c r="AJ46" i="19"/>
  <c r="AK238" i="19" s="1"/>
  <c r="AJ44" i="19"/>
  <c r="AK236" i="19" s="1"/>
  <c r="AJ42" i="19"/>
  <c r="AK234" i="19" s="1"/>
  <c r="AJ43" i="19"/>
  <c r="AK235" i="19" s="1"/>
  <c r="AH184" i="19"/>
  <c r="AH194" i="19" s="1"/>
  <c r="AH182" i="19"/>
  <c r="AH192" i="19" s="1"/>
  <c r="AH179" i="19"/>
  <c r="AH189" i="19" s="1"/>
  <c r="AH178" i="19"/>
  <c r="AH188" i="19" s="1"/>
  <c r="AH183" i="19"/>
  <c r="AH193" i="19" s="1"/>
  <c r="AH180" i="19"/>
  <c r="AH190" i="19" s="1"/>
  <c r="A206" i="20"/>
  <c r="A148" i="20"/>
  <c r="A69" i="20"/>
  <c r="A234" i="20"/>
  <c r="AI87" i="19"/>
  <c r="AI168" i="19" s="1"/>
  <c r="AH78" i="20"/>
  <c r="AH159" i="20" s="1"/>
  <c r="AH70" i="20"/>
  <c r="AH151" i="20" s="1"/>
  <c r="AH89" i="20"/>
  <c r="AH170" i="20" s="1"/>
  <c r="AG198" i="19" a="1"/>
  <c r="AG198" i="19" s="1"/>
  <c r="AH73" i="20"/>
  <c r="AH154" i="20" s="1"/>
  <c r="AH71" i="20"/>
  <c r="AH152" i="20" s="1"/>
  <c r="AH90" i="20"/>
  <c r="AH171" i="20" s="1"/>
  <c r="AI76" i="19"/>
  <c r="AI157" i="19" s="1"/>
  <c r="AI84" i="19"/>
  <c r="AI165" i="19" s="1"/>
  <c r="AI91" i="19"/>
  <c r="AI172" i="19" s="1"/>
  <c r="CR199" i="19"/>
  <c r="AH84" i="20"/>
  <c r="AH165" i="20" s="1"/>
  <c r="AH85" i="20"/>
  <c r="AH166" i="20" s="1"/>
  <c r="AH72" i="20"/>
  <c r="AH153" i="20" s="1"/>
  <c r="AH91" i="20"/>
  <c r="AH172" i="20" s="1"/>
  <c r="AI175" i="19"/>
  <c r="AI69" i="19"/>
  <c r="AI150" i="19" s="1"/>
  <c r="AI77" i="19"/>
  <c r="AI158" i="19" s="1"/>
  <c r="AI85" i="19"/>
  <c r="AI166" i="19" s="1"/>
  <c r="AI92" i="19"/>
  <c r="AI173" i="19" s="1"/>
  <c r="AH74" i="20"/>
  <c r="AH155" i="20" s="1"/>
  <c r="AH77" i="20"/>
  <c r="AH158" i="20" s="1"/>
  <c r="AH92" i="20"/>
  <c r="AH173" i="20" s="1"/>
  <c r="A207" i="2"/>
  <c r="A70" i="2"/>
  <c r="A235" i="2"/>
  <c r="AI70" i="19"/>
  <c r="AI151" i="19" s="1"/>
  <c r="AI78" i="19"/>
  <c r="AI159" i="19" s="1"/>
  <c r="AI86" i="19"/>
  <c r="AI167" i="19" s="1"/>
  <c r="AH80" i="20"/>
  <c r="AH161" i="20" s="1"/>
  <c r="AH87" i="20"/>
  <c r="AH168" i="20" s="1"/>
  <c r="AH76" i="20"/>
  <c r="AH157" i="20" s="1"/>
  <c r="AJ41" i="20"/>
  <c r="AI63" i="20"/>
  <c r="AJ255" i="20" s="1"/>
  <c r="AI62" i="20"/>
  <c r="AJ254" i="20" s="1"/>
  <c r="AI65" i="20"/>
  <c r="AJ257" i="20" s="1"/>
  <c r="AI57" i="20"/>
  <c r="AJ249" i="20" s="1"/>
  <c r="AI56" i="20"/>
  <c r="AJ248" i="20" s="1"/>
  <c r="AI54" i="20"/>
  <c r="AJ246" i="20" s="1"/>
  <c r="AI53" i="20"/>
  <c r="AJ245" i="20" s="1"/>
  <c r="AI49" i="20"/>
  <c r="AJ241" i="20" s="1"/>
  <c r="AI51" i="20"/>
  <c r="AJ243" i="20" s="1"/>
  <c r="AI50" i="20"/>
  <c r="AJ242" i="20" s="1"/>
  <c r="AI48" i="20"/>
  <c r="AJ240" i="20" s="1"/>
  <c r="AI47" i="20"/>
  <c r="AJ239" i="20" s="1"/>
  <c r="AI46" i="20"/>
  <c r="AJ238" i="20" s="1"/>
  <c r="AI44" i="20"/>
  <c r="AJ236" i="20" s="1"/>
  <c r="AI43" i="20"/>
  <c r="AJ235" i="20" s="1"/>
  <c r="AI45" i="20"/>
  <c r="AJ237" i="20" s="1"/>
  <c r="AI42" i="20"/>
  <c r="AJ234" i="20" s="1"/>
  <c r="AI58" i="20"/>
  <c r="AJ250" i="20" s="1"/>
  <c r="AI60" i="20"/>
  <c r="AJ252" i="20" s="1"/>
  <c r="AI55" i="20"/>
  <c r="AJ247" i="20" s="1"/>
  <c r="AI64" i="20"/>
  <c r="AJ256" i="20" s="1"/>
  <c r="AI61" i="20"/>
  <c r="AJ253" i="20" s="1"/>
  <c r="AI59" i="20"/>
  <c r="AJ251" i="20" s="1"/>
  <c r="AI52" i="20"/>
  <c r="AJ244" i="20" s="1"/>
  <c r="B150" i="2"/>
  <c r="B123" i="2" s="1"/>
  <c r="A14" i="2"/>
  <c r="B69" i="2"/>
  <c r="AI71" i="19"/>
  <c r="AI152" i="19" s="1"/>
  <c r="AI79" i="19"/>
  <c r="AI160" i="19" s="1"/>
  <c r="AI88" i="19"/>
  <c r="AI169" i="19" s="1"/>
  <c r="F372" i="20"/>
  <c r="AB68" i="19"/>
  <c r="AB12" i="19"/>
  <c r="AC13" i="19"/>
  <c r="AI80" i="19"/>
  <c r="AI161" i="19" s="1"/>
  <c r="AI72" i="19"/>
  <c r="AI153" i="19" s="1"/>
  <c r="AI81" i="19"/>
  <c r="AI162" i="19" s="1"/>
  <c r="AI89" i="19"/>
  <c r="AI170" i="19" s="1"/>
  <c r="AB13" i="20"/>
  <c r="AA12" i="20"/>
  <c r="AA68" i="20"/>
  <c r="AA186" i="19"/>
  <c r="AA176" i="19" s="1"/>
  <c r="AA149" i="19"/>
  <c r="AA95" i="19"/>
  <c r="AA122" i="19" s="1"/>
  <c r="BC201" i="2" l="1"/>
  <c r="BD259" i="2" s="1"/>
  <c r="G360" i="2" s="1"/>
  <c r="H360" i="2" s="1"/>
  <c r="AT201" i="2"/>
  <c r="AU259" i="2" s="1"/>
  <c r="G351" i="2" s="1"/>
  <c r="H351" i="2" s="1"/>
  <c r="CG201" i="2"/>
  <c r="CH259" i="2" s="1"/>
  <c r="BI201" i="2"/>
  <c r="BJ259" i="2" s="1"/>
  <c r="G366" i="2" s="1"/>
  <c r="H366" i="2" s="1"/>
  <c r="T201" i="2"/>
  <c r="U259" i="2" s="1"/>
  <c r="G325" i="2" s="1"/>
  <c r="H325" i="2" s="1"/>
  <c r="BI181" i="20"/>
  <c r="BI191" i="20" s="1"/>
  <c r="BI195" i="20" s="1"/>
  <c r="BI177" i="20"/>
  <c r="BI187" i="20" s="1"/>
  <c r="AW177" i="20"/>
  <c r="AW187" i="20" s="1"/>
  <c r="AW181" i="20"/>
  <c r="AW191" i="20" s="1"/>
  <c r="AW195" i="20" s="1"/>
  <c r="CJ181" i="20"/>
  <c r="CJ191" i="20" s="1"/>
  <c r="CJ195" i="20" s="1"/>
  <c r="CJ177" i="20"/>
  <c r="CJ187" i="20" s="1"/>
  <c r="BY177" i="20"/>
  <c r="BY187" i="20" s="1"/>
  <c r="BY181" i="20"/>
  <c r="BY191" i="20" s="1"/>
  <c r="BY195" i="20" s="1"/>
  <c r="V181" i="20"/>
  <c r="V191" i="20" s="1"/>
  <c r="V195" i="20" s="1"/>
  <c r="V177" i="20"/>
  <c r="V187" i="20" s="1"/>
  <c r="S198" i="2" a="1"/>
  <c r="S198" i="2" s="1"/>
  <c r="R201" i="2"/>
  <c r="S259" i="2" s="1"/>
  <c r="G323" i="2" s="1"/>
  <c r="H323" i="2" s="1"/>
  <c r="AP178" i="20"/>
  <c r="AP188" i="20" s="1"/>
  <c r="AP180" i="20"/>
  <c r="AP190" i="20" s="1"/>
  <c r="AP183" i="20"/>
  <c r="AP193" i="20" s="1"/>
  <c r="AP184" i="20"/>
  <c r="AP194" i="20" s="1"/>
  <c r="AP182" i="20"/>
  <c r="AP192" i="20" s="1"/>
  <c r="AP179" i="20"/>
  <c r="AP189" i="20" s="1"/>
  <c r="CE198" i="2" a="1"/>
  <c r="CE198" i="2" s="1"/>
  <c r="CD201" i="2"/>
  <c r="CE259" i="2" s="1"/>
  <c r="G387" i="2" s="1"/>
  <c r="H387" i="2" s="1"/>
  <c r="BM177" i="20"/>
  <c r="BM187" i="20" s="1"/>
  <c r="BM181" i="20"/>
  <c r="BM191" i="20" s="1"/>
  <c r="BM195" i="20" s="1"/>
  <c r="AQ201" i="2"/>
  <c r="AR259" i="2" s="1"/>
  <c r="G348" i="2" s="1"/>
  <c r="H348" i="2" s="1"/>
  <c r="AG198" i="2" a="1"/>
  <c r="AG198" i="2" s="1"/>
  <c r="AF201" i="2"/>
  <c r="AG259" i="2" s="1"/>
  <c r="G337" i="2" s="1"/>
  <c r="H337" i="2" s="1"/>
  <c r="Z180" i="20"/>
  <c r="Z190" i="20" s="1"/>
  <c r="Z178" i="20"/>
  <c r="Z188" i="20" s="1"/>
  <c r="Z179" i="20"/>
  <c r="Z189" i="20" s="1"/>
  <c r="Z182" i="20"/>
  <c r="Z192" i="20" s="1"/>
  <c r="Z184" i="20"/>
  <c r="Z194" i="20" s="1"/>
  <c r="Z198" i="20" s="1" a="1"/>
  <c r="Z198" i="20" s="1"/>
  <c r="Z183" i="20"/>
  <c r="Z193" i="20" s="1"/>
  <c r="AY184" i="20"/>
  <c r="AY194" i="20" s="1"/>
  <c r="AY183" i="20"/>
  <c r="AY193" i="20" s="1"/>
  <c r="AY182" i="20"/>
  <c r="AY192" i="20" s="1"/>
  <c r="AY178" i="20"/>
  <c r="AY188" i="20" s="1"/>
  <c r="AY180" i="20"/>
  <c r="AY190" i="20" s="1"/>
  <c r="AY179" i="20"/>
  <c r="AY189" i="20" s="1"/>
  <c r="F181" i="20"/>
  <c r="F191" i="20" s="1"/>
  <c r="F195" i="20" s="1"/>
  <c r="F177" i="20"/>
  <c r="F187" i="20" s="1"/>
  <c r="AQ177" i="20"/>
  <c r="AQ187" i="20" s="1"/>
  <c r="AQ181" i="20"/>
  <c r="AQ191" i="20" s="1"/>
  <c r="AQ195" i="20" s="1"/>
  <c r="N198" i="2" a="1"/>
  <c r="N198" i="2" s="1"/>
  <c r="M201" i="2"/>
  <c r="N259" i="2" s="1"/>
  <c r="G318" i="2" s="1"/>
  <c r="H318" i="2" s="1"/>
  <c r="K181" i="20"/>
  <c r="K191" i="20" s="1"/>
  <c r="K195" i="20" s="1"/>
  <c r="K198" i="20" s="1" a="1"/>
  <c r="K198" i="20" s="1"/>
  <c r="K177" i="20"/>
  <c r="K187" i="20" s="1"/>
  <c r="V182" i="20"/>
  <c r="V192" i="20" s="1"/>
  <c r="V180" i="20"/>
  <c r="V190" i="20" s="1"/>
  <c r="V184" i="20"/>
  <c r="V194" i="20" s="1"/>
  <c r="V198" i="20" s="1" a="1"/>
  <c r="V198" i="20" s="1"/>
  <c r="V178" i="20"/>
  <c r="V188" i="20" s="1"/>
  <c r="V179" i="20"/>
  <c r="V189" i="20" s="1"/>
  <c r="V183" i="20"/>
  <c r="V193" i="20" s="1"/>
  <c r="BF201" i="2"/>
  <c r="BG259" i="2" s="1"/>
  <c r="G363" i="2" s="1"/>
  <c r="H363" i="2" s="1"/>
  <c r="BG198" i="2" a="1"/>
  <c r="BG198" i="2" s="1"/>
  <c r="BC179" i="20"/>
  <c r="BC189" i="20" s="1"/>
  <c r="BC178" i="20"/>
  <c r="BC188" i="20" s="1"/>
  <c r="BC182" i="20"/>
  <c r="BC192" i="20" s="1"/>
  <c r="BC184" i="20"/>
  <c r="BC194" i="20" s="1"/>
  <c r="BC183" i="20"/>
  <c r="BC193" i="20" s="1"/>
  <c r="BC180" i="20"/>
  <c r="BC190" i="20" s="1"/>
  <c r="W178" i="20"/>
  <c r="W188" i="20" s="1"/>
  <c r="W183" i="20"/>
  <c r="W193" i="20" s="1"/>
  <c r="W180" i="20"/>
  <c r="W190" i="20" s="1"/>
  <c r="W184" i="20"/>
  <c r="W194" i="20" s="1"/>
  <c r="W198" i="20" s="1" a="1"/>
  <c r="W198" i="20" s="1"/>
  <c r="W182" i="20"/>
  <c r="W192" i="20" s="1"/>
  <c r="W179" i="20"/>
  <c r="W189" i="20" s="1"/>
  <c r="BZ198" i="2" a="1"/>
  <c r="BZ198" i="2" s="1"/>
  <c r="BY201" i="2"/>
  <c r="BZ259" i="2" s="1"/>
  <c r="G382" i="2" s="1"/>
  <c r="H382" i="2" s="1"/>
  <c r="O201" i="2"/>
  <c r="P259" i="2" s="1"/>
  <c r="G320" i="2" s="1"/>
  <c r="H320" i="2" s="1"/>
  <c r="P198" i="2" a="1"/>
  <c r="P198" i="2" s="1"/>
  <c r="BE201" i="2"/>
  <c r="BF259" i="2" s="1"/>
  <c r="G362" i="2" s="1"/>
  <c r="H362" i="2" s="1"/>
  <c r="BF198" i="2" a="1"/>
  <c r="BF198" i="2" s="1"/>
  <c r="BY234" i="20"/>
  <c r="BX69" i="20"/>
  <c r="BX150" i="20" s="1"/>
  <c r="BX175" i="20"/>
  <c r="Y234" i="20"/>
  <c r="X175" i="20"/>
  <c r="X69" i="20"/>
  <c r="X150" i="20" s="1"/>
  <c r="X198" i="2" a="1"/>
  <c r="X198" i="2" s="1"/>
  <c r="W201" i="2"/>
  <c r="X259" i="2" s="1"/>
  <c r="G328" i="2" s="1"/>
  <c r="H328" i="2" s="1"/>
  <c r="CN179" i="20"/>
  <c r="CN189" i="20" s="1"/>
  <c r="CN180" i="20"/>
  <c r="CN190" i="20" s="1"/>
  <c r="CN184" i="20"/>
  <c r="CN194" i="20" s="1"/>
  <c r="CN183" i="20"/>
  <c r="CN193" i="20" s="1"/>
  <c r="CN178" i="20"/>
  <c r="CN188" i="20" s="1"/>
  <c r="CN182" i="20"/>
  <c r="CN192" i="20" s="1"/>
  <c r="BM182" i="20"/>
  <c r="BM192" i="20" s="1"/>
  <c r="BM178" i="20"/>
  <c r="BM188" i="20" s="1"/>
  <c r="BM180" i="20"/>
  <c r="BM190" i="20" s="1"/>
  <c r="BM179" i="20"/>
  <c r="BM189" i="20" s="1"/>
  <c r="BM184" i="20"/>
  <c r="BM194" i="20" s="1"/>
  <c r="BM183" i="20"/>
  <c r="BM193" i="20" s="1"/>
  <c r="Q177" i="20"/>
  <c r="Q187" i="20" s="1"/>
  <c r="Q181" i="20"/>
  <c r="Q191" i="20" s="1"/>
  <c r="Q195" i="20" s="1"/>
  <c r="J198" i="2" a="1"/>
  <c r="J198" i="2" s="1"/>
  <c r="I201" i="2"/>
  <c r="J259" i="2" s="1"/>
  <c r="G314" i="2" s="1"/>
  <c r="H314" i="2" s="1"/>
  <c r="AC181" i="20"/>
  <c r="AC191" i="20" s="1"/>
  <c r="AC195" i="20" s="1"/>
  <c r="AC177" i="20"/>
  <c r="AC187" i="20" s="1"/>
  <c r="CM178" i="20"/>
  <c r="CM188" i="20" s="1"/>
  <c r="CM182" i="20"/>
  <c r="CM192" i="20" s="1"/>
  <c r="CM184" i="20"/>
  <c r="CM194" i="20" s="1"/>
  <c r="CM179" i="20"/>
  <c r="CM189" i="20" s="1"/>
  <c r="CM180" i="20"/>
  <c r="CM190" i="20" s="1"/>
  <c r="CM183" i="20"/>
  <c r="CM193" i="20" s="1"/>
  <c r="Z181" i="20"/>
  <c r="Z191" i="20" s="1"/>
  <c r="Z195" i="20" s="1"/>
  <c r="Z177" i="20"/>
  <c r="Z187" i="20" s="1"/>
  <c r="BR198" i="2" a="1"/>
  <c r="BR198" i="2" s="1"/>
  <c r="BQ201" i="2"/>
  <c r="BR259" i="2" s="1"/>
  <c r="G374" i="2" s="1"/>
  <c r="H374" i="2" s="1"/>
  <c r="BA198" i="2" a="1"/>
  <c r="BA198" i="2" s="1"/>
  <c r="AZ201" i="2"/>
  <c r="BA259" i="2" s="1"/>
  <c r="G357" i="2" s="1"/>
  <c r="H357" i="2" s="1"/>
  <c r="BA201" i="2"/>
  <c r="BB259" i="2" s="1"/>
  <c r="G358" i="2" s="1"/>
  <c r="H358" i="2" s="1"/>
  <c r="AY181" i="20"/>
  <c r="AY191" i="20" s="1"/>
  <c r="AY195" i="20" s="1"/>
  <c r="AY177" i="20"/>
  <c r="AY187" i="20" s="1"/>
  <c r="F179" i="20"/>
  <c r="F189" i="20" s="1"/>
  <c r="F183" i="20"/>
  <c r="F193" i="20" s="1"/>
  <c r="F180" i="20"/>
  <c r="F190" i="20" s="1"/>
  <c r="F178" i="20"/>
  <c r="F188" i="20" s="1"/>
  <c r="F184" i="20"/>
  <c r="F194" i="20" s="1"/>
  <c r="F198" i="20" s="1" a="1"/>
  <c r="F198" i="20" s="1"/>
  <c r="F182" i="20"/>
  <c r="F192" i="20" s="1"/>
  <c r="AZ177" i="20"/>
  <c r="AZ187" i="20" s="1"/>
  <c r="AZ181" i="20"/>
  <c r="AZ191" i="20" s="1"/>
  <c r="AZ195" i="20" s="1"/>
  <c r="AA198" i="2" a="1"/>
  <c r="AA198" i="2" s="1"/>
  <c r="Z201" i="2"/>
  <c r="AA259" i="2" s="1"/>
  <c r="G331" i="2" s="1"/>
  <c r="H331" i="2" s="1"/>
  <c r="O198" i="2" a="1"/>
  <c r="O198" i="2" s="1"/>
  <c r="N201" i="2"/>
  <c r="O259" i="2" s="1"/>
  <c r="G319" i="2" s="1"/>
  <c r="H319" i="2" s="1"/>
  <c r="BW234" i="20"/>
  <c r="BV69" i="20"/>
  <c r="BV150" i="20" s="1"/>
  <c r="BV175" i="20"/>
  <c r="BN201" i="2"/>
  <c r="BO259" i="2" s="1"/>
  <c r="G371" i="2" s="1"/>
  <c r="H371" i="2" s="1"/>
  <c r="BZ181" i="20"/>
  <c r="BZ191" i="20" s="1"/>
  <c r="BZ195" i="20" s="1"/>
  <c r="BZ177" i="20"/>
  <c r="BZ187" i="20" s="1"/>
  <c r="BH198" i="2" a="1"/>
  <c r="BH198" i="2" s="1"/>
  <c r="BG201" i="2"/>
  <c r="BH259" i="2" s="1"/>
  <c r="G364" i="2" s="1"/>
  <c r="H364" i="2" s="1"/>
  <c r="BA183" i="20"/>
  <c r="BA193" i="20" s="1"/>
  <c r="BA184" i="20"/>
  <c r="BA194" i="20" s="1"/>
  <c r="BA180" i="20"/>
  <c r="BA190" i="20" s="1"/>
  <c r="BA179" i="20"/>
  <c r="BA189" i="20" s="1"/>
  <c r="BA182" i="20"/>
  <c r="BA192" i="20" s="1"/>
  <c r="BA178" i="20"/>
  <c r="BA188" i="20" s="1"/>
  <c r="G198" i="2" a="1"/>
  <c r="G198" i="2" s="1"/>
  <c r="F201" i="2"/>
  <c r="G259" i="2" s="1"/>
  <c r="G311" i="2" s="1"/>
  <c r="H311" i="2" s="1"/>
  <c r="CE177" i="20"/>
  <c r="CE187" i="20" s="1"/>
  <c r="CE181" i="20"/>
  <c r="CE191" i="20" s="1"/>
  <c r="CE195" i="20" s="1"/>
  <c r="AS181" i="20"/>
  <c r="AS191" i="20" s="1"/>
  <c r="AS195" i="20" s="1"/>
  <c r="AS177" i="20"/>
  <c r="AS187" i="20" s="1"/>
  <c r="CR201" i="2"/>
  <c r="CS259" i="2" s="1"/>
  <c r="CS198" i="2" a="1"/>
  <c r="CS198" i="2" s="1"/>
  <c r="CS199" i="2" s="1"/>
  <c r="CR200" i="2" s="1"/>
  <c r="CS258" i="2" s="1"/>
  <c r="CS201" i="2"/>
  <c r="BS184" i="20"/>
  <c r="BS194" i="20" s="1"/>
  <c r="BS183" i="20"/>
  <c r="BS193" i="20" s="1"/>
  <c r="BS180" i="20"/>
  <c r="BS190" i="20" s="1"/>
  <c r="BS179" i="20"/>
  <c r="BS189" i="20" s="1"/>
  <c r="BS182" i="20"/>
  <c r="BS192" i="20" s="1"/>
  <c r="BS178" i="20"/>
  <c r="BS188" i="20" s="1"/>
  <c r="K198" i="2" a="1"/>
  <c r="K198" i="2" s="1"/>
  <c r="J201" i="2"/>
  <c r="K259" i="2" s="1"/>
  <c r="G315" i="2" s="1"/>
  <c r="H315" i="2" s="1"/>
  <c r="CN201" i="2"/>
  <c r="CO259" i="2" s="1"/>
  <c r="CL234" i="20"/>
  <c r="CK69" i="20"/>
  <c r="CK150" i="20" s="1"/>
  <c r="CK175" i="20"/>
  <c r="F198" i="2" a="1"/>
  <c r="F198" i="2" s="1"/>
  <c r="E201" i="2"/>
  <c r="F259" i="2" s="1"/>
  <c r="G310" i="2" s="1"/>
  <c r="H310" i="2" s="1"/>
  <c r="CS178" i="20"/>
  <c r="CS188" i="20" s="1"/>
  <c r="CS179" i="20"/>
  <c r="CS189" i="20" s="1"/>
  <c r="CS183" i="20"/>
  <c r="CS193" i="20" s="1"/>
  <c r="CS180" i="20"/>
  <c r="CS190" i="20" s="1"/>
  <c r="CS182" i="20"/>
  <c r="CS192" i="20" s="1"/>
  <c r="CS184" i="20"/>
  <c r="CS194" i="20" s="1"/>
  <c r="H198" i="2" a="1"/>
  <c r="H198" i="2" s="1"/>
  <c r="G201" i="2"/>
  <c r="H259" i="2" s="1"/>
  <c r="G312" i="2" s="1"/>
  <c r="H312" i="2" s="1"/>
  <c r="CQ201" i="2"/>
  <c r="CR259" i="2" s="1"/>
  <c r="CR198" i="2" a="1"/>
  <c r="CR198" i="2" s="1"/>
  <c r="K184" i="20"/>
  <c r="K194" i="20" s="1"/>
  <c r="K183" i="20"/>
  <c r="K193" i="20" s="1"/>
  <c r="K178" i="20"/>
  <c r="K188" i="20" s="1"/>
  <c r="K179" i="20"/>
  <c r="K189" i="20" s="1"/>
  <c r="K180" i="20"/>
  <c r="K190" i="20" s="1"/>
  <c r="K182" i="20"/>
  <c r="K192" i="20" s="1"/>
  <c r="CH181" i="20"/>
  <c r="CH191" i="20" s="1"/>
  <c r="CH195" i="20" s="1"/>
  <c r="CH177" i="20"/>
  <c r="CH187" i="20" s="1"/>
  <c r="CA201" i="2"/>
  <c r="CB259" i="2" s="1"/>
  <c r="G384" i="2" s="1"/>
  <c r="H384" i="2" s="1"/>
  <c r="CB201" i="2"/>
  <c r="CC259" i="2" s="1"/>
  <c r="G385" i="2" s="1"/>
  <c r="H385" i="2" s="1"/>
  <c r="CC198" i="2" a="1"/>
  <c r="CC198" i="2" s="1"/>
  <c r="AR201" i="2"/>
  <c r="AS259" i="2" s="1"/>
  <c r="G349" i="2" s="1"/>
  <c r="H349" i="2" s="1"/>
  <c r="BC177" i="20"/>
  <c r="BC187" i="20" s="1"/>
  <c r="BC181" i="20"/>
  <c r="BC191" i="20" s="1"/>
  <c r="BC195" i="20" s="1"/>
  <c r="BF182" i="20"/>
  <c r="BF192" i="20" s="1"/>
  <c r="BF183" i="20"/>
  <c r="BF193" i="20" s="1"/>
  <c r="BF178" i="20"/>
  <c r="BF188" i="20" s="1"/>
  <c r="BF180" i="20"/>
  <c r="BF190" i="20" s="1"/>
  <c r="BF184" i="20"/>
  <c r="BF194" i="20" s="1"/>
  <c r="BF179" i="20"/>
  <c r="BF189" i="20" s="1"/>
  <c r="BU234" i="20"/>
  <c r="BT69" i="20"/>
  <c r="BT150" i="20" s="1"/>
  <c r="BT175" i="20"/>
  <c r="AG234" i="20"/>
  <c r="AF175" i="20"/>
  <c r="AF69" i="20"/>
  <c r="AF150" i="20" s="1"/>
  <c r="I198" i="2" a="1"/>
  <c r="I198" i="2" s="1"/>
  <c r="H201" i="2"/>
  <c r="I259" i="2" s="1"/>
  <c r="G313" i="2" s="1"/>
  <c r="H313" i="2" s="1"/>
  <c r="P201" i="2"/>
  <c r="Q259" i="2" s="1"/>
  <c r="G321" i="2" s="1"/>
  <c r="H321" i="2" s="1"/>
  <c r="Q198" i="2" a="1"/>
  <c r="Q198" i="2" s="1"/>
  <c r="CN177" i="20"/>
  <c r="CN187" i="20" s="1"/>
  <c r="CN181" i="20"/>
  <c r="CN191" i="20" s="1"/>
  <c r="CN195" i="20" s="1"/>
  <c r="BB179" i="20"/>
  <c r="BB189" i="20" s="1"/>
  <c r="BB178" i="20"/>
  <c r="BB188" i="20" s="1"/>
  <c r="BB180" i="20"/>
  <c r="BB190" i="20" s="1"/>
  <c r="BB184" i="20"/>
  <c r="BB194" i="20" s="1"/>
  <c r="BB183" i="20"/>
  <c r="BB193" i="20" s="1"/>
  <c r="BB182" i="20"/>
  <c r="BB192" i="20" s="1"/>
  <c r="Q182" i="20"/>
  <c r="Q192" i="20" s="1"/>
  <c r="Q180" i="20"/>
  <c r="Q190" i="20" s="1"/>
  <c r="Q183" i="20"/>
  <c r="Q193" i="20" s="1"/>
  <c r="Q184" i="20"/>
  <c r="Q194" i="20" s="1"/>
  <c r="Q198" i="20" s="1" a="1"/>
  <c r="Q198" i="20" s="1"/>
  <c r="Q178" i="20"/>
  <c r="Q188" i="20" s="1"/>
  <c r="Q179" i="20"/>
  <c r="Q189" i="20" s="1"/>
  <c r="AB201" i="2"/>
  <c r="AC259" i="2" s="1"/>
  <c r="G333" i="2" s="1"/>
  <c r="H333" i="2" s="1"/>
  <c r="AC198" i="2" a="1"/>
  <c r="AC198" i="2" s="1"/>
  <c r="AC180" i="20"/>
  <c r="AC190" i="20" s="1"/>
  <c r="AC183" i="20"/>
  <c r="AC193" i="20" s="1"/>
  <c r="AC182" i="20"/>
  <c r="AC192" i="20" s="1"/>
  <c r="AC178" i="20"/>
  <c r="AC188" i="20" s="1"/>
  <c r="AC184" i="20"/>
  <c r="AC194" i="20" s="1"/>
  <c r="AC198" i="20" s="1" a="1"/>
  <c r="AC198" i="20" s="1"/>
  <c r="AC179" i="20"/>
  <c r="AC189" i="20" s="1"/>
  <c r="BM201" i="2"/>
  <c r="BN259" i="2" s="1"/>
  <c r="G370" i="2" s="1"/>
  <c r="H370" i="2" s="1"/>
  <c r="BN198" i="2" a="1"/>
  <c r="BN198" i="2" s="1"/>
  <c r="CM177" i="20"/>
  <c r="CM187" i="20" s="1"/>
  <c r="CM181" i="20"/>
  <c r="CM191" i="20" s="1"/>
  <c r="CM195" i="20" s="1"/>
  <c r="BQ179" i="20"/>
  <c r="BQ189" i="20" s="1"/>
  <c r="BQ182" i="20"/>
  <c r="BQ192" i="20" s="1"/>
  <c r="BQ183" i="20"/>
  <c r="BQ193" i="20" s="1"/>
  <c r="BQ184" i="20"/>
  <c r="BQ194" i="20" s="1"/>
  <c r="BQ180" i="20"/>
  <c r="BQ190" i="20" s="1"/>
  <c r="BQ178" i="20"/>
  <c r="BQ188" i="20" s="1"/>
  <c r="AZ183" i="20"/>
  <c r="AZ193" i="20" s="1"/>
  <c r="AZ184" i="20"/>
  <c r="AZ194" i="20" s="1"/>
  <c r="AZ180" i="20"/>
  <c r="AZ190" i="20" s="1"/>
  <c r="AZ182" i="20"/>
  <c r="AZ192" i="20" s="1"/>
  <c r="AZ179" i="20"/>
  <c r="AZ189" i="20" s="1"/>
  <c r="AZ178" i="20"/>
  <c r="AZ188" i="20" s="1"/>
  <c r="S177" i="20"/>
  <c r="S187" i="20" s="1"/>
  <c r="S181" i="20"/>
  <c r="S191" i="20" s="1"/>
  <c r="S195" i="20" s="1"/>
  <c r="D198" i="2" a="1"/>
  <c r="D198" i="2" s="1"/>
  <c r="C201" i="2"/>
  <c r="D259" i="2" s="1"/>
  <c r="G308" i="2" s="1"/>
  <c r="H308" i="2" s="1"/>
  <c r="BO179" i="20"/>
  <c r="BO189" i="20" s="1"/>
  <c r="BO178" i="20"/>
  <c r="BO188" i="20" s="1"/>
  <c r="BO183" i="20"/>
  <c r="BO193" i="20" s="1"/>
  <c r="BO180" i="20"/>
  <c r="BO190" i="20" s="1"/>
  <c r="BO182" i="20"/>
  <c r="BO192" i="20" s="1"/>
  <c r="BO184" i="20"/>
  <c r="BO194" i="20" s="1"/>
  <c r="CD198" i="2" a="1"/>
  <c r="CD198" i="2" s="1"/>
  <c r="CC201" i="2"/>
  <c r="CD259" i="2" s="1"/>
  <c r="G386" i="2" s="1"/>
  <c r="H386" i="2" s="1"/>
  <c r="BS234" i="20"/>
  <c r="BR175" i="20"/>
  <c r="BR69" i="20"/>
  <c r="BR150" i="20" s="1"/>
  <c r="AH198" i="2" a="1"/>
  <c r="AH198" i="2" s="1"/>
  <c r="AG201" i="2"/>
  <c r="AH259" i="2" s="1"/>
  <c r="G338" i="2" s="1"/>
  <c r="H338" i="2" s="1"/>
  <c r="BZ180" i="20"/>
  <c r="BZ190" i="20" s="1"/>
  <c r="BZ178" i="20"/>
  <c r="BZ188" i="20" s="1"/>
  <c r="BZ183" i="20"/>
  <c r="BZ193" i="20" s="1"/>
  <c r="BZ179" i="20"/>
  <c r="BZ189" i="20" s="1"/>
  <c r="BZ184" i="20"/>
  <c r="BZ194" i="20" s="1"/>
  <c r="BZ182" i="20"/>
  <c r="BZ192" i="20" s="1"/>
  <c r="CQ181" i="20"/>
  <c r="CQ191" i="20" s="1"/>
  <c r="CQ195" i="20" s="1"/>
  <c r="CQ177" i="20"/>
  <c r="CQ187" i="20" s="1"/>
  <c r="Y198" i="2" a="1"/>
  <c r="Y198" i="2" s="1"/>
  <c r="X201" i="2"/>
  <c r="Y259" i="2" s="1"/>
  <c r="G329" i="2" s="1"/>
  <c r="H329" i="2" s="1"/>
  <c r="AI201" i="2"/>
  <c r="AJ259" i="2" s="1"/>
  <c r="G340" i="2" s="1"/>
  <c r="H340" i="2" s="1"/>
  <c r="H183" i="20"/>
  <c r="H193" i="20" s="1"/>
  <c r="H182" i="20"/>
  <c r="H192" i="20" s="1"/>
  <c r="H179" i="20"/>
  <c r="H189" i="20" s="1"/>
  <c r="H180" i="20"/>
  <c r="H190" i="20" s="1"/>
  <c r="H178" i="20"/>
  <c r="H188" i="20" s="1"/>
  <c r="H184" i="20"/>
  <c r="H194" i="20" s="1"/>
  <c r="H198" i="20" s="1" a="1"/>
  <c r="H198" i="20" s="1"/>
  <c r="CH182" i="20"/>
  <c r="CH192" i="20" s="1"/>
  <c r="CH178" i="20"/>
  <c r="CH188" i="20" s="1"/>
  <c r="CH180" i="20"/>
  <c r="CH190" i="20" s="1"/>
  <c r="CH179" i="20"/>
  <c r="CH189" i="20" s="1"/>
  <c r="CH183" i="20"/>
  <c r="CH193" i="20" s="1"/>
  <c r="CH184" i="20"/>
  <c r="CH194" i="20" s="1"/>
  <c r="AD181" i="20"/>
  <c r="AD191" i="20" s="1"/>
  <c r="AD195" i="20" s="1"/>
  <c r="AD177" i="20"/>
  <c r="AD187" i="20" s="1"/>
  <c r="Y201" i="2"/>
  <c r="Z259" i="2" s="1"/>
  <c r="G330" i="2" s="1"/>
  <c r="H330" i="2" s="1"/>
  <c r="Z198" i="2" a="1"/>
  <c r="Z198" i="2" s="1"/>
  <c r="CM198" i="2" a="1"/>
  <c r="CM198" i="2" s="1"/>
  <c r="CL201" i="2"/>
  <c r="CM259" i="2" s="1"/>
  <c r="BT198" i="2" a="1"/>
  <c r="BT198" i="2" s="1"/>
  <c r="BS201" i="2"/>
  <c r="BT259" i="2" s="1"/>
  <c r="G376" i="2" s="1"/>
  <c r="H376" i="2" s="1"/>
  <c r="BD179" i="20"/>
  <c r="BD189" i="20" s="1"/>
  <c r="BD180" i="20"/>
  <c r="BD190" i="20" s="1"/>
  <c r="BD178" i="20"/>
  <c r="BD188" i="20" s="1"/>
  <c r="BD184" i="20"/>
  <c r="BD194" i="20" s="1"/>
  <c r="BD182" i="20"/>
  <c r="BD192" i="20" s="1"/>
  <c r="BD183" i="20"/>
  <c r="BD193" i="20" s="1"/>
  <c r="BF181" i="20"/>
  <c r="BF191" i="20" s="1"/>
  <c r="BF195" i="20" s="1"/>
  <c r="BF177" i="20"/>
  <c r="BF187" i="20" s="1"/>
  <c r="AE181" i="20"/>
  <c r="AE191" i="20" s="1"/>
  <c r="AE195" i="20" s="1"/>
  <c r="AE177" i="20"/>
  <c r="AE187" i="20" s="1"/>
  <c r="CB234" i="20"/>
  <c r="CA175" i="20"/>
  <c r="CA69" i="20"/>
  <c r="CA150" i="20" s="1"/>
  <c r="BY198" i="2" a="1"/>
  <c r="BY198" i="2" s="1"/>
  <c r="BX201" i="2"/>
  <c r="BY259" i="2" s="1"/>
  <c r="G381" i="2" s="1"/>
  <c r="H381" i="2" s="1"/>
  <c r="BB181" i="20"/>
  <c r="BB191" i="20" s="1"/>
  <c r="BB195" i="20" s="1"/>
  <c r="BB177" i="20"/>
  <c r="BB187" i="20" s="1"/>
  <c r="I178" i="20"/>
  <c r="I188" i="20" s="1"/>
  <c r="I183" i="20"/>
  <c r="I193" i="20" s="1"/>
  <c r="I180" i="20"/>
  <c r="I190" i="20" s="1"/>
  <c r="I184" i="20"/>
  <c r="I194" i="20" s="1"/>
  <c r="I198" i="20" s="1" a="1"/>
  <c r="I198" i="20" s="1"/>
  <c r="I179" i="20"/>
  <c r="I189" i="20" s="1"/>
  <c r="I182" i="20"/>
  <c r="I192" i="20" s="1"/>
  <c r="AJ95" i="2"/>
  <c r="AJ122" i="2" s="1"/>
  <c r="AJ186" i="2"/>
  <c r="AJ176" i="2" s="1"/>
  <c r="AJ149" i="2"/>
  <c r="AO198" i="2" a="1"/>
  <c r="AO198" i="2" s="1"/>
  <c r="AN201" i="2"/>
  <c r="AO259" i="2" s="1"/>
  <c r="G345" i="2" s="1"/>
  <c r="H345" i="2" s="1"/>
  <c r="AP201" i="2"/>
  <c r="AQ259" i="2" s="1"/>
  <c r="G347" i="2" s="1"/>
  <c r="H347" i="2" s="1"/>
  <c r="AQ198" i="2" a="1"/>
  <c r="AQ198" i="2" s="1"/>
  <c r="CJ184" i="20"/>
  <c r="CJ194" i="20" s="1"/>
  <c r="CJ179" i="20"/>
  <c r="CJ189" i="20" s="1"/>
  <c r="CJ180" i="20"/>
  <c r="CJ190" i="20" s="1"/>
  <c r="CJ183" i="20"/>
  <c r="CJ193" i="20" s="1"/>
  <c r="CJ178" i="20"/>
  <c r="CJ188" i="20" s="1"/>
  <c r="CJ182" i="20"/>
  <c r="CJ192" i="20" s="1"/>
  <c r="BH177" i="20"/>
  <c r="BH187" i="20" s="1"/>
  <c r="BH181" i="20"/>
  <c r="BH191" i="20" s="1"/>
  <c r="BH195" i="20" s="1"/>
  <c r="BQ181" i="20"/>
  <c r="BQ191" i="20" s="1"/>
  <c r="BQ195" i="20" s="1"/>
  <c r="BQ177" i="20"/>
  <c r="BQ187" i="20" s="1"/>
  <c r="CB181" i="20"/>
  <c r="CB191" i="20" s="1"/>
  <c r="CB195" i="20" s="1"/>
  <c r="CB177" i="20"/>
  <c r="CB187" i="20" s="1"/>
  <c r="S178" i="20"/>
  <c r="S188" i="20" s="1"/>
  <c r="S183" i="20"/>
  <c r="S193" i="20" s="1"/>
  <c r="S179" i="20"/>
  <c r="S189" i="20" s="1"/>
  <c r="S184" i="20"/>
  <c r="S194" i="20" s="1"/>
  <c r="S198" i="20" s="1" a="1"/>
  <c r="S198" i="20" s="1"/>
  <c r="S180" i="20"/>
  <c r="S190" i="20" s="1"/>
  <c r="S182" i="20"/>
  <c r="S192" i="20" s="1"/>
  <c r="AW198" i="2" a="1"/>
  <c r="AW198" i="2" s="1"/>
  <c r="AV201" i="2"/>
  <c r="AW259" i="2" s="1"/>
  <c r="G353" i="2" s="1"/>
  <c r="H353" i="2" s="1"/>
  <c r="CO201" i="2"/>
  <c r="CP259" i="2" s="1"/>
  <c r="CP198" i="2" a="1"/>
  <c r="CP198" i="2" s="1"/>
  <c r="AW183" i="20"/>
  <c r="AW193" i="20" s="1"/>
  <c r="AW179" i="20"/>
  <c r="AW189" i="20" s="1"/>
  <c r="AW180" i="20"/>
  <c r="AW190" i="20" s="1"/>
  <c r="AW178" i="20"/>
  <c r="AW188" i="20" s="1"/>
  <c r="AW182" i="20"/>
  <c r="AW192" i="20" s="1"/>
  <c r="AW184" i="20"/>
  <c r="AW194" i="20" s="1"/>
  <c r="BO181" i="20"/>
  <c r="BO191" i="20" s="1"/>
  <c r="BO195" i="20" s="1"/>
  <c r="BO177" i="20"/>
  <c r="BO187" i="20" s="1"/>
  <c r="D234" i="20"/>
  <c r="E206" i="20"/>
  <c r="I206" i="20" s="1"/>
  <c r="J206" i="20" s="1"/>
  <c r="D206" i="20"/>
  <c r="C234" i="20"/>
  <c r="K201" i="2"/>
  <c r="L259" i="2" s="1"/>
  <c r="G316" i="2" s="1"/>
  <c r="H316" i="2" s="1"/>
  <c r="L198" i="2" a="1"/>
  <c r="L198" i="2" s="1"/>
  <c r="E178" i="20"/>
  <c r="E188" i="20" s="1"/>
  <c r="E184" i="20"/>
  <c r="E194" i="20" s="1"/>
  <c r="E198" i="20" s="1" a="1"/>
  <c r="E198" i="20" s="1"/>
  <c r="E180" i="20"/>
  <c r="E190" i="20" s="1"/>
  <c r="E179" i="20"/>
  <c r="E189" i="20" s="1"/>
  <c r="E183" i="20"/>
  <c r="E193" i="20" s="1"/>
  <c r="E182" i="20"/>
  <c r="E192" i="20" s="1"/>
  <c r="V201" i="2"/>
  <c r="W259" i="2" s="1"/>
  <c r="G327" i="2" s="1"/>
  <c r="H327" i="2" s="1"/>
  <c r="W198" i="2" a="1"/>
  <c r="W198" i="2" s="1"/>
  <c r="W177" i="20"/>
  <c r="W187" i="20" s="1"/>
  <c r="W181" i="20"/>
  <c r="W191" i="20" s="1"/>
  <c r="W195" i="20" s="1"/>
  <c r="U180" i="20"/>
  <c r="U190" i="20" s="1"/>
  <c r="U179" i="20"/>
  <c r="U189" i="20" s="1"/>
  <c r="U182" i="20"/>
  <c r="U192" i="20" s="1"/>
  <c r="U178" i="20"/>
  <c r="U188" i="20" s="1"/>
  <c r="U184" i="20"/>
  <c r="U194" i="20" s="1"/>
  <c r="U198" i="20" s="1" a="1"/>
  <c r="U198" i="20" s="1"/>
  <c r="U183" i="20"/>
  <c r="U193" i="20" s="1"/>
  <c r="Q234" i="20"/>
  <c r="P175" i="20"/>
  <c r="P69" i="20"/>
  <c r="P150" i="20" s="1"/>
  <c r="CG198" i="2" a="1"/>
  <c r="CG198" i="2" s="1"/>
  <c r="CF201" i="2"/>
  <c r="CG259" i="2" s="1"/>
  <c r="BK234" i="20"/>
  <c r="BJ150" i="20"/>
  <c r="BJ69" i="20"/>
  <c r="BJ175" i="20"/>
  <c r="CP184" i="20"/>
  <c r="CP194" i="20" s="1"/>
  <c r="CP180" i="20"/>
  <c r="CP190" i="20" s="1"/>
  <c r="CP183" i="20"/>
  <c r="CP193" i="20" s="1"/>
  <c r="CP178" i="20"/>
  <c r="CP188" i="20" s="1"/>
  <c r="CP179" i="20"/>
  <c r="CP189" i="20" s="1"/>
  <c r="CP182" i="20"/>
  <c r="CP192" i="20" s="1"/>
  <c r="H177" i="20"/>
  <c r="H187" i="20" s="1"/>
  <c r="H181" i="20"/>
  <c r="H191" i="20" s="1"/>
  <c r="H195" i="20" s="1"/>
  <c r="CG181" i="20"/>
  <c r="CG191" i="20" s="1"/>
  <c r="CG195" i="20" s="1"/>
  <c r="CG177" i="20"/>
  <c r="CG187" i="20" s="1"/>
  <c r="AD182" i="20"/>
  <c r="AD192" i="20" s="1"/>
  <c r="AD183" i="20"/>
  <c r="AD193" i="20" s="1"/>
  <c r="AD180" i="20"/>
  <c r="AD190" i="20" s="1"/>
  <c r="AD184" i="20"/>
  <c r="AD194" i="20" s="1"/>
  <c r="AD198" i="20" s="1" a="1"/>
  <c r="AD198" i="20" s="1"/>
  <c r="AD178" i="20"/>
  <c r="AD188" i="20" s="1"/>
  <c r="AD179" i="20"/>
  <c r="AD189" i="20" s="1"/>
  <c r="BI198" i="2" a="1"/>
  <c r="BI198" i="2" s="1"/>
  <c r="BH201" i="2"/>
  <c r="BI259" i="2" s="1"/>
  <c r="G365" i="2" s="1"/>
  <c r="H365" i="2" s="1"/>
  <c r="CK201" i="2"/>
  <c r="CL259" i="2" s="1"/>
  <c r="U201" i="2"/>
  <c r="V259" i="2" s="1"/>
  <c r="G326" i="2" s="1"/>
  <c r="H326" i="2" s="1"/>
  <c r="BG183" i="20"/>
  <c r="BG193" i="20" s="1"/>
  <c r="BG178" i="20"/>
  <c r="BG188" i="20" s="1"/>
  <c r="BG182" i="20"/>
  <c r="BG192" i="20" s="1"/>
  <c r="BG180" i="20"/>
  <c r="BG190" i="20" s="1"/>
  <c r="BG179" i="20"/>
  <c r="BG189" i="20" s="1"/>
  <c r="BG184" i="20"/>
  <c r="BG194" i="20" s="1"/>
  <c r="BD181" i="20"/>
  <c r="BD191" i="20" s="1"/>
  <c r="BD195" i="20" s="1"/>
  <c r="BD177" i="20"/>
  <c r="BD187" i="20" s="1"/>
  <c r="CL181" i="20"/>
  <c r="CL191" i="20" s="1"/>
  <c r="CL195" i="20" s="1"/>
  <c r="CL177" i="20"/>
  <c r="CL187" i="20" s="1"/>
  <c r="AE179" i="20"/>
  <c r="AE189" i="20" s="1"/>
  <c r="AE180" i="20"/>
  <c r="AE190" i="20" s="1"/>
  <c r="AE184" i="20"/>
  <c r="AE194" i="20" s="1"/>
  <c r="AE198" i="20" s="1" a="1"/>
  <c r="AE198" i="20" s="1"/>
  <c r="AE183" i="20"/>
  <c r="AE193" i="20" s="1"/>
  <c r="AE182" i="20"/>
  <c r="AE192" i="20" s="1"/>
  <c r="AE178" i="20"/>
  <c r="AE188" i="20" s="1"/>
  <c r="AU201" i="2"/>
  <c r="AV259" i="2" s="1"/>
  <c r="G352" i="2" s="1"/>
  <c r="H352" i="2" s="1"/>
  <c r="BL180" i="20"/>
  <c r="BL190" i="20" s="1"/>
  <c r="BL184" i="20"/>
  <c r="BL194" i="20" s="1"/>
  <c r="BL182" i="20"/>
  <c r="BL192" i="20" s="1"/>
  <c r="BL179" i="20"/>
  <c r="BL189" i="20" s="1"/>
  <c r="BL178" i="20"/>
  <c r="BL188" i="20" s="1"/>
  <c r="BL183" i="20"/>
  <c r="BL193" i="20" s="1"/>
  <c r="CN198" i="2" a="1"/>
  <c r="CN198" i="2" s="1"/>
  <c r="CM201" i="2"/>
  <c r="CN259" i="2" s="1"/>
  <c r="AV234" i="20"/>
  <c r="AU69" i="20"/>
  <c r="AU150" i="20" s="1"/>
  <c r="AU175" i="20"/>
  <c r="AH201" i="2"/>
  <c r="AI259" i="2" s="1"/>
  <c r="G339" i="2" s="1"/>
  <c r="H339" i="2" s="1"/>
  <c r="AI198" i="2" a="1"/>
  <c r="AI198" i="2" s="1"/>
  <c r="AX182" i="20"/>
  <c r="AX192" i="20" s="1"/>
  <c r="AX183" i="20"/>
  <c r="AX193" i="20" s="1"/>
  <c r="AX178" i="20"/>
  <c r="AX188" i="20" s="1"/>
  <c r="AX179" i="20"/>
  <c r="AX189" i="20" s="1"/>
  <c r="AX184" i="20"/>
  <c r="AX194" i="20" s="1"/>
  <c r="AX180" i="20"/>
  <c r="AX190" i="20" s="1"/>
  <c r="I177" i="20"/>
  <c r="I187" i="20" s="1"/>
  <c r="I181" i="20"/>
  <c r="I191" i="20" s="1"/>
  <c r="I195" i="20" s="1"/>
  <c r="Y181" i="20"/>
  <c r="Y191" i="20" s="1"/>
  <c r="Y195" i="20" s="1"/>
  <c r="Y177" i="20"/>
  <c r="Y187" i="20" s="1"/>
  <c r="BH178" i="20"/>
  <c r="BH188" i="20" s="1"/>
  <c r="BH179" i="20"/>
  <c r="BH189" i="20" s="1"/>
  <c r="BH183" i="20"/>
  <c r="BH193" i="20" s="1"/>
  <c r="BH182" i="20"/>
  <c r="BH192" i="20" s="1"/>
  <c r="BH180" i="20"/>
  <c r="BH190" i="20" s="1"/>
  <c r="BH184" i="20"/>
  <c r="BH194" i="20" s="1"/>
  <c r="CR177" i="20"/>
  <c r="CR187" i="20" s="1"/>
  <c r="CR181" i="20"/>
  <c r="CR191" i="20" s="1"/>
  <c r="CR195" i="20" s="1"/>
  <c r="AK198" i="2" a="1"/>
  <c r="AK198" i="2" s="1"/>
  <c r="AJ201" i="2"/>
  <c r="AK259" i="2" s="1"/>
  <c r="G341" i="2" s="1"/>
  <c r="H341" i="2" s="1"/>
  <c r="BI182" i="20"/>
  <c r="BI192" i="20" s="1"/>
  <c r="BI180" i="20"/>
  <c r="BI190" i="20" s="1"/>
  <c r="BI178" i="20"/>
  <c r="BI188" i="20" s="1"/>
  <c r="BI184" i="20"/>
  <c r="BI194" i="20" s="1"/>
  <c r="BI183" i="20"/>
  <c r="BI193" i="20" s="1"/>
  <c r="BI179" i="20"/>
  <c r="BI189" i="20" s="1"/>
  <c r="BY178" i="20"/>
  <c r="BY188" i="20" s="1"/>
  <c r="BY184" i="20"/>
  <c r="BY194" i="20" s="1"/>
  <c r="BY179" i="20"/>
  <c r="BY189" i="20" s="1"/>
  <c r="BY182" i="20"/>
  <c r="BY192" i="20" s="1"/>
  <c r="BY180" i="20"/>
  <c r="BY190" i="20" s="1"/>
  <c r="BY183" i="20"/>
  <c r="BY193" i="20" s="1"/>
  <c r="CB184" i="20"/>
  <c r="CB194" i="20" s="1"/>
  <c r="CB182" i="20"/>
  <c r="CB192" i="20" s="1"/>
  <c r="CB183" i="20"/>
  <c r="CB193" i="20" s="1"/>
  <c r="CB178" i="20"/>
  <c r="CB188" i="20" s="1"/>
  <c r="CB180" i="20"/>
  <c r="CB190" i="20" s="1"/>
  <c r="CB179" i="20"/>
  <c r="CB189" i="20" s="1"/>
  <c r="AO182" i="20"/>
  <c r="AO192" i="20" s="1"/>
  <c r="AO179" i="20"/>
  <c r="AO189" i="20" s="1"/>
  <c r="AO178" i="20"/>
  <c r="AO188" i="20" s="1"/>
  <c r="AO180" i="20"/>
  <c r="AO190" i="20" s="1"/>
  <c r="AO183" i="20"/>
  <c r="AO193" i="20" s="1"/>
  <c r="AO184" i="20"/>
  <c r="AO194" i="20" s="1"/>
  <c r="BL201" i="2"/>
  <c r="BM259" i="2" s="1"/>
  <c r="G369" i="2" s="1"/>
  <c r="H369" i="2" s="1"/>
  <c r="BM198" i="2" a="1"/>
  <c r="BM198" i="2" s="1"/>
  <c r="AL201" i="2"/>
  <c r="AM259" i="2" s="1"/>
  <c r="G343" i="2" s="1"/>
  <c r="H343" i="2" s="1"/>
  <c r="AW234" i="20"/>
  <c r="AV69" i="20"/>
  <c r="AV150" i="20" s="1"/>
  <c r="AV175" i="20"/>
  <c r="U234" i="20"/>
  <c r="T69" i="20"/>
  <c r="T150" i="20" s="1"/>
  <c r="T175" i="20"/>
  <c r="CK198" i="2" a="1"/>
  <c r="CK198" i="2" s="1"/>
  <c r="CJ201" i="2"/>
  <c r="CK259" i="2" s="1"/>
  <c r="CF178" i="20"/>
  <c r="CF188" i="20" s="1"/>
  <c r="CF179" i="20"/>
  <c r="CF189" i="20" s="1"/>
  <c r="CF180" i="20"/>
  <c r="CF190" i="20" s="1"/>
  <c r="CF184" i="20"/>
  <c r="CF194" i="20" s="1"/>
  <c r="CF183" i="20"/>
  <c r="CF193" i="20" s="1"/>
  <c r="CF182" i="20"/>
  <c r="CF192" i="20" s="1"/>
  <c r="AT178" i="20"/>
  <c r="AT188" i="20" s="1"/>
  <c r="AT179" i="20"/>
  <c r="AT189" i="20" s="1"/>
  <c r="AT180" i="20"/>
  <c r="AT190" i="20" s="1"/>
  <c r="AT184" i="20"/>
  <c r="AT194" i="20" s="1"/>
  <c r="AT183" i="20"/>
  <c r="AT193" i="20" s="1"/>
  <c r="AT182" i="20"/>
  <c r="AT192" i="20" s="1"/>
  <c r="CC177" i="20"/>
  <c r="CC187" i="20" s="1"/>
  <c r="CC181" i="20"/>
  <c r="CC191" i="20" s="1"/>
  <c r="CC195" i="20" s="1"/>
  <c r="H234" i="20"/>
  <c r="G69" i="20"/>
  <c r="G150" i="20" s="1"/>
  <c r="G175" i="20"/>
  <c r="AD201" i="2"/>
  <c r="AE259" i="2" s="1"/>
  <c r="G335" i="2" s="1"/>
  <c r="H335" i="2" s="1"/>
  <c r="AE198" i="2" a="1"/>
  <c r="AE198" i="2" s="1"/>
  <c r="CP177" i="20"/>
  <c r="CP187" i="20" s="1"/>
  <c r="CP181" i="20"/>
  <c r="CP191" i="20" s="1"/>
  <c r="CP195" i="20" s="1"/>
  <c r="CG179" i="20"/>
  <c r="CG189" i="20" s="1"/>
  <c r="CG182" i="20"/>
  <c r="CG192" i="20" s="1"/>
  <c r="CG178" i="20"/>
  <c r="CG188" i="20" s="1"/>
  <c r="CG184" i="20"/>
  <c r="CG194" i="20" s="1"/>
  <c r="CG183" i="20"/>
  <c r="CG193" i="20" s="1"/>
  <c r="CG180" i="20"/>
  <c r="CG190" i="20" s="1"/>
  <c r="N177" i="20"/>
  <c r="N187" i="20" s="1"/>
  <c r="N181" i="20"/>
  <c r="N191" i="20" s="1"/>
  <c r="N195" i="20" s="1"/>
  <c r="BK201" i="2"/>
  <c r="BL259" i="2" s="1"/>
  <c r="G368" i="2" s="1"/>
  <c r="H368" i="2" s="1"/>
  <c r="BL198" i="2" a="1"/>
  <c r="BL198" i="2" s="1"/>
  <c r="BG177" i="20"/>
  <c r="BG187" i="20" s="1"/>
  <c r="BG181" i="20"/>
  <c r="BG191" i="20" s="1"/>
  <c r="BG195" i="20" s="1"/>
  <c r="CL182" i="20"/>
  <c r="CL192" i="20" s="1"/>
  <c r="CL179" i="20"/>
  <c r="CL189" i="20" s="1"/>
  <c r="CL178" i="20"/>
  <c r="CL188" i="20" s="1"/>
  <c r="CL184" i="20"/>
  <c r="CL194" i="20" s="1"/>
  <c r="CL183" i="20"/>
  <c r="CL193" i="20" s="1"/>
  <c r="CL180" i="20"/>
  <c r="CL190" i="20" s="1"/>
  <c r="O177" i="20"/>
  <c r="O187" i="20" s="1"/>
  <c r="O181" i="20"/>
  <c r="O191" i="20" s="1"/>
  <c r="O195" i="20" s="1"/>
  <c r="BL181" i="20"/>
  <c r="BL191" i="20" s="1"/>
  <c r="BL195" i="20" s="1"/>
  <c r="BL177" i="20"/>
  <c r="BL187" i="20" s="1"/>
  <c r="F207" i="20"/>
  <c r="K207" i="20"/>
  <c r="G207" i="20"/>
  <c r="BF234" i="20"/>
  <c r="BE175" i="20"/>
  <c r="BE69" i="20"/>
  <c r="BE150" i="20" s="1"/>
  <c r="BW198" i="2" a="1"/>
  <c r="BW198" i="2" s="1"/>
  <c r="BV201" i="2"/>
  <c r="BW259" i="2" s="1"/>
  <c r="G379" i="2" s="1"/>
  <c r="H379" i="2" s="1"/>
  <c r="AX181" i="20"/>
  <c r="AX191" i="20" s="1"/>
  <c r="AX195" i="20" s="1"/>
  <c r="AX177" i="20"/>
  <c r="AX187" i="20" s="1"/>
  <c r="BU181" i="20"/>
  <c r="BU191" i="20" s="1"/>
  <c r="BU195" i="20" s="1"/>
  <c r="BU177" i="20"/>
  <c r="BU187" i="20" s="1"/>
  <c r="Y182" i="20"/>
  <c r="Y192" i="20" s="1"/>
  <c r="Y179" i="20"/>
  <c r="Y189" i="20" s="1"/>
  <c r="Y184" i="20"/>
  <c r="Y194" i="20" s="1"/>
  <c r="Y198" i="20" s="1" a="1"/>
  <c r="Y198" i="20" s="1"/>
  <c r="Y178" i="20"/>
  <c r="Y188" i="20" s="1"/>
  <c r="Y183" i="20"/>
  <c r="Y193" i="20" s="1"/>
  <c r="Y180" i="20"/>
  <c r="Y190" i="20" s="1"/>
  <c r="AK12" i="2"/>
  <c r="AK68" i="2"/>
  <c r="AL13" i="2"/>
  <c r="AC201" i="2"/>
  <c r="AD259" i="2" s="1"/>
  <c r="G334" i="2" s="1"/>
  <c r="H334" i="2" s="1"/>
  <c r="CR183" i="20"/>
  <c r="CR193" i="20" s="1"/>
  <c r="CR180" i="20"/>
  <c r="CR190" i="20" s="1"/>
  <c r="CR179" i="20"/>
  <c r="CR189" i="20" s="1"/>
  <c r="CR178" i="20"/>
  <c r="CR188" i="20" s="1"/>
  <c r="CR184" i="20"/>
  <c r="CR194" i="20" s="1"/>
  <c r="CR182" i="20"/>
  <c r="CR192" i="20" s="1"/>
  <c r="R177" i="20"/>
  <c r="R187" i="20" s="1"/>
  <c r="R181" i="20"/>
  <c r="R191" i="20" s="1"/>
  <c r="R195" i="20" s="1"/>
  <c r="AY198" i="2" a="1"/>
  <c r="AY198" i="2" s="1"/>
  <c r="AX201" i="2"/>
  <c r="AY259" i="2" s="1"/>
  <c r="G355" i="2" s="1"/>
  <c r="H355" i="2" s="1"/>
  <c r="AX198" i="2" a="1"/>
  <c r="AX198" i="2" s="1"/>
  <c r="AW201" i="2"/>
  <c r="AX259" i="2" s="1"/>
  <c r="G354" i="2" s="1"/>
  <c r="H354" i="2" s="1"/>
  <c r="AO177" i="20"/>
  <c r="AO187" i="20" s="1"/>
  <c r="AO181" i="20"/>
  <c r="AO191" i="20" s="1"/>
  <c r="AO195" i="20" s="1"/>
  <c r="AA177" i="20"/>
  <c r="AA187" i="20" s="1"/>
  <c r="AA181" i="20"/>
  <c r="AA191" i="20" s="1"/>
  <c r="AA195" i="20" s="1"/>
  <c r="M177" i="20"/>
  <c r="M187" i="20" s="1"/>
  <c r="M181" i="20"/>
  <c r="M191" i="20" s="1"/>
  <c r="M195" i="20" s="1"/>
  <c r="AA201" i="2"/>
  <c r="AB259" i="2" s="1"/>
  <c r="G332" i="2" s="1"/>
  <c r="H332" i="2" s="1"/>
  <c r="AS234" i="20"/>
  <c r="AR69" i="20"/>
  <c r="AR150" i="20" s="1"/>
  <c r="AR175" i="20"/>
  <c r="AC234" i="20"/>
  <c r="AB175" i="20"/>
  <c r="AB69" i="20"/>
  <c r="AB150" i="20" s="1"/>
  <c r="CF181" i="20"/>
  <c r="CF191" i="20" s="1"/>
  <c r="CF195" i="20" s="1"/>
  <c r="CF177" i="20"/>
  <c r="CF187" i="20" s="1"/>
  <c r="AT181" i="20"/>
  <c r="AT191" i="20" s="1"/>
  <c r="AT195" i="20" s="1"/>
  <c r="AT177" i="20"/>
  <c r="AT187" i="20" s="1"/>
  <c r="BW181" i="20"/>
  <c r="BW191" i="20" s="1"/>
  <c r="BW195" i="20" s="1"/>
  <c r="BW177" i="20"/>
  <c r="BW187" i="20" s="1"/>
  <c r="N180" i="20"/>
  <c r="N190" i="20" s="1"/>
  <c r="N182" i="20"/>
  <c r="N192" i="20" s="1"/>
  <c r="N183" i="20"/>
  <c r="N193" i="20" s="1"/>
  <c r="N184" i="20"/>
  <c r="N194" i="20" s="1"/>
  <c r="N198" i="20" s="1" a="1"/>
  <c r="N198" i="20" s="1"/>
  <c r="N179" i="20"/>
  <c r="N189" i="20" s="1"/>
  <c r="N178" i="20"/>
  <c r="N188" i="20" s="1"/>
  <c r="BJ201" i="2"/>
  <c r="BK259" i="2" s="1"/>
  <c r="G367" i="2" s="1"/>
  <c r="H367" i="2" s="1"/>
  <c r="BK198" i="2" a="1"/>
  <c r="BK198" i="2" s="1"/>
  <c r="AL198" i="2" a="1"/>
  <c r="AL198" i="2" s="1"/>
  <c r="AK201" i="2"/>
  <c r="AL259" i="2" s="1"/>
  <c r="G342" i="2" s="1"/>
  <c r="H342" i="2" s="1"/>
  <c r="CI201" i="2"/>
  <c r="CJ259" i="2" s="1"/>
  <c r="CJ198" i="2" a="1"/>
  <c r="CJ198" i="2" s="1"/>
  <c r="L177" i="20"/>
  <c r="L187" i="20" s="1"/>
  <c r="L181" i="20"/>
  <c r="L191" i="20" s="1"/>
  <c r="L195" i="20" s="1"/>
  <c r="O184" i="20"/>
  <c r="O194" i="20" s="1"/>
  <c r="O198" i="20" s="1" a="1"/>
  <c r="O198" i="20" s="1"/>
  <c r="O182" i="20"/>
  <c r="O192" i="20" s="1"/>
  <c r="O180" i="20"/>
  <c r="O190" i="20" s="1"/>
  <c r="O179" i="20"/>
  <c r="O189" i="20" s="1"/>
  <c r="O178" i="20"/>
  <c r="O188" i="20" s="1"/>
  <c r="O183" i="20"/>
  <c r="O193" i="20" s="1"/>
  <c r="BE198" i="2" a="1"/>
  <c r="BE198" i="2" s="1"/>
  <c r="BD201" i="2"/>
  <c r="BE259" i="2" s="1"/>
  <c r="G361" i="2" s="1"/>
  <c r="H361" i="2" s="1"/>
  <c r="M210" i="20"/>
  <c r="G210" i="20" s="1"/>
  <c r="O207" i="20"/>
  <c r="CJ234" i="20"/>
  <c r="CI175" i="20"/>
  <c r="CI69" i="20"/>
  <c r="CI150" i="20" s="1"/>
  <c r="CA198" i="2" a="1"/>
  <c r="CA198" i="2" s="1"/>
  <c r="BZ201" i="2"/>
  <c r="CA259" i="2" s="1"/>
  <c r="G383" i="2" s="1"/>
  <c r="H383" i="2" s="1"/>
  <c r="CP201" i="2"/>
  <c r="CQ259" i="2" s="1"/>
  <c r="BU178" i="20"/>
  <c r="BU188" i="20" s="1"/>
  <c r="BU183" i="20"/>
  <c r="BU193" i="20" s="1"/>
  <c r="BU184" i="20"/>
  <c r="BU194" i="20" s="1"/>
  <c r="BU179" i="20"/>
  <c r="BU189" i="20" s="1"/>
  <c r="BU182" i="20"/>
  <c r="BU192" i="20" s="1"/>
  <c r="BU180" i="20"/>
  <c r="BU190" i="20" s="1"/>
  <c r="CD181" i="20"/>
  <c r="CD191" i="20" s="1"/>
  <c r="CD195" i="20" s="1"/>
  <c r="CD177" i="20"/>
  <c r="CD187" i="20" s="1"/>
  <c r="Q201" i="2"/>
  <c r="R259" i="2" s="1"/>
  <c r="G322" i="2" s="1"/>
  <c r="H322" i="2" s="1"/>
  <c r="BP177" i="20"/>
  <c r="BP187" i="20" s="1"/>
  <c r="BP181" i="20"/>
  <c r="BP191" i="20" s="1"/>
  <c r="BP195" i="20" s="1"/>
  <c r="BV198" i="2" a="1"/>
  <c r="BV198" i="2" s="1"/>
  <c r="BU201" i="2"/>
  <c r="BV259" i="2" s="1"/>
  <c r="G378" i="2" s="1"/>
  <c r="H378" i="2" s="1"/>
  <c r="D177" i="20"/>
  <c r="D187" i="20" s="1"/>
  <c r="D181" i="20"/>
  <c r="D191" i="20" s="1"/>
  <c r="D195" i="20" s="1"/>
  <c r="R183" i="20"/>
  <c r="R193" i="20" s="1"/>
  <c r="R184" i="20"/>
  <c r="R194" i="20" s="1"/>
  <c r="R198" i="20" s="1" a="1"/>
  <c r="R198" i="20" s="1"/>
  <c r="R179" i="20"/>
  <c r="R189" i="20" s="1"/>
  <c r="R182" i="20"/>
  <c r="R192" i="20" s="1"/>
  <c r="R178" i="20"/>
  <c r="R188" i="20" s="1"/>
  <c r="R180" i="20"/>
  <c r="R190" i="20" s="1"/>
  <c r="AF198" i="2" a="1"/>
  <c r="AF198" i="2" s="1"/>
  <c r="AE201" i="2"/>
  <c r="AF259" i="2" s="1"/>
  <c r="G336" i="2" s="1"/>
  <c r="H336" i="2" s="1"/>
  <c r="BC198" i="2" a="1"/>
  <c r="BC198" i="2" s="1"/>
  <c r="BB201" i="2"/>
  <c r="BC259" i="2" s="1"/>
  <c r="G359" i="2" s="1"/>
  <c r="H359" i="2" s="1"/>
  <c r="BW201" i="2"/>
  <c r="BX259" i="2" s="1"/>
  <c r="G380" i="2" s="1"/>
  <c r="H380" i="2" s="1"/>
  <c r="BX198" i="2" a="1"/>
  <c r="BX198" i="2" s="1"/>
  <c r="CO182" i="20"/>
  <c r="CO192" i="20" s="1"/>
  <c r="CO180" i="20"/>
  <c r="CO190" i="20" s="1"/>
  <c r="CO178" i="20"/>
  <c r="CO188" i="20" s="1"/>
  <c r="CO184" i="20"/>
  <c r="CO194" i="20" s="1"/>
  <c r="CO179" i="20"/>
  <c r="CO189" i="20" s="1"/>
  <c r="CO183" i="20"/>
  <c r="CO193" i="20" s="1"/>
  <c r="AA184" i="20"/>
  <c r="AA194" i="20" s="1"/>
  <c r="AA198" i="20" s="1" a="1"/>
  <c r="AA198" i="20" s="1"/>
  <c r="AA179" i="20"/>
  <c r="AA189" i="20" s="1"/>
  <c r="AA183" i="20"/>
  <c r="AA193" i="20" s="1"/>
  <c r="AA178" i="20"/>
  <c r="AA188" i="20" s="1"/>
  <c r="AA182" i="20"/>
  <c r="AA192" i="20" s="1"/>
  <c r="AA180" i="20"/>
  <c r="AA190" i="20" s="1"/>
  <c r="M184" i="20"/>
  <c r="M194" i="20" s="1"/>
  <c r="M198" i="20" s="1" a="1"/>
  <c r="M198" i="20" s="1"/>
  <c r="M179" i="20"/>
  <c r="M189" i="20" s="1"/>
  <c r="M180" i="20"/>
  <c r="M190" i="20" s="1"/>
  <c r="M182" i="20"/>
  <c r="M192" i="20" s="1"/>
  <c r="M183" i="20"/>
  <c r="M193" i="20" s="1"/>
  <c r="M178" i="20"/>
  <c r="M188" i="20" s="1"/>
  <c r="K234" i="20"/>
  <c r="J175" i="20"/>
  <c r="J69" i="20"/>
  <c r="J150" i="20" s="1"/>
  <c r="AS201" i="2"/>
  <c r="AT259" i="2" s="1"/>
  <c r="G350" i="2" s="1"/>
  <c r="H350" i="2" s="1"/>
  <c r="AT198" i="2" a="1"/>
  <c r="AT198" i="2" s="1"/>
  <c r="AP198" i="2" a="1"/>
  <c r="AP198" i="2" s="1"/>
  <c r="AO201" i="2"/>
  <c r="AP259" i="2" s="1"/>
  <c r="G346" i="2" s="1"/>
  <c r="H346" i="2" s="1"/>
  <c r="CQ178" i="20"/>
  <c r="CQ188" i="20" s="1"/>
  <c r="CQ182" i="20"/>
  <c r="CQ192" i="20" s="1"/>
  <c r="CQ184" i="20"/>
  <c r="CQ194" i="20" s="1"/>
  <c r="CQ179" i="20"/>
  <c r="CQ189" i="20" s="1"/>
  <c r="CQ180" i="20"/>
  <c r="CQ190" i="20" s="1"/>
  <c r="CQ183" i="20"/>
  <c r="CQ193" i="20" s="1"/>
  <c r="BW178" i="20"/>
  <c r="BW188" i="20" s="1"/>
  <c r="BW183" i="20"/>
  <c r="BW193" i="20" s="1"/>
  <c r="BW184" i="20"/>
  <c r="BW194" i="20" s="1"/>
  <c r="BW179" i="20"/>
  <c r="BW189" i="20" s="1"/>
  <c r="BW182" i="20"/>
  <c r="BW192" i="20" s="1"/>
  <c r="BW180" i="20"/>
  <c r="BW190" i="20" s="1"/>
  <c r="E181" i="20"/>
  <c r="E191" i="20" s="1"/>
  <c r="E195" i="20" s="1"/>
  <c r="E177" i="20"/>
  <c r="E187" i="20" s="1"/>
  <c r="CH201" i="2"/>
  <c r="CI259" i="2" s="1"/>
  <c r="CI198" i="2" a="1"/>
  <c r="CI198" i="2" s="1"/>
  <c r="AM201" i="2"/>
  <c r="AN259" i="2" s="1"/>
  <c r="G344" i="2" s="1"/>
  <c r="H344" i="2" s="1"/>
  <c r="CC182" i="20"/>
  <c r="CC192" i="20" s="1"/>
  <c r="CC180" i="20"/>
  <c r="CC190" i="20" s="1"/>
  <c r="CC184" i="20"/>
  <c r="CC194" i="20" s="1"/>
  <c r="CC179" i="20"/>
  <c r="CC189" i="20" s="1"/>
  <c r="CC183" i="20"/>
  <c r="CC193" i="20" s="1"/>
  <c r="CC178" i="20"/>
  <c r="CC188" i="20" s="1"/>
  <c r="L179" i="20"/>
  <c r="L189" i="20" s="1"/>
  <c r="L180" i="20"/>
  <c r="L190" i="20" s="1"/>
  <c r="L183" i="20"/>
  <c r="L193" i="20" s="1"/>
  <c r="L182" i="20"/>
  <c r="L192" i="20" s="1"/>
  <c r="L184" i="20"/>
  <c r="L194" i="20" s="1"/>
  <c r="L198" i="20" s="1" a="1"/>
  <c r="L198" i="20" s="1"/>
  <c r="L178" i="20"/>
  <c r="L188" i="20" s="1"/>
  <c r="AP177" i="20"/>
  <c r="AP187" i="20" s="1"/>
  <c r="AP181" i="20"/>
  <c r="AP191" i="20" s="1"/>
  <c r="AP195" i="20" s="1"/>
  <c r="AY201" i="2"/>
  <c r="AZ259" i="2" s="1"/>
  <c r="G356" i="2" s="1"/>
  <c r="H356" i="2" s="1"/>
  <c r="AZ198" i="2" a="1"/>
  <c r="AZ198" i="2" s="1"/>
  <c r="U177" i="20"/>
  <c r="U187" i="20" s="1"/>
  <c r="U181" i="20"/>
  <c r="U191" i="20" s="1"/>
  <c r="U195" i="20" s="1"/>
  <c r="BO234" i="20"/>
  <c r="BN69" i="20"/>
  <c r="BN150" i="20" s="1"/>
  <c r="BN175" i="20"/>
  <c r="AH234" i="20"/>
  <c r="AG175" i="20"/>
  <c r="AG69" i="20"/>
  <c r="AG150" i="20" s="1"/>
  <c r="BA181" i="20"/>
  <c r="BA191" i="20" s="1"/>
  <c r="BA195" i="20" s="1"/>
  <c r="BA177" i="20"/>
  <c r="BA187" i="20" s="1"/>
  <c r="CD183" i="20"/>
  <c r="CD193" i="20" s="1"/>
  <c r="CD182" i="20"/>
  <c r="CD192" i="20" s="1"/>
  <c r="CD180" i="20"/>
  <c r="CD190" i="20" s="1"/>
  <c r="CD178" i="20"/>
  <c r="CD188" i="20" s="1"/>
  <c r="CD179" i="20"/>
  <c r="CD189" i="20" s="1"/>
  <c r="CD184" i="20"/>
  <c r="CD194" i="20" s="1"/>
  <c r="BP198" i="2" a="1"/>
  <c r="BP198" i="2" s="1"/>
  <c r="BO201" i="2"/>
  <c r="BP259" i="2" s="1"/>
  <c r="G372" i="2" s="1"/>
  <c r="H372" i="2" s="1"/>
  <c r="BP201" i="2"/>
  <c r="BQ259" i="2" s="1"/>
  <c r="G373" i="2" s="1"/>
  <c r="H373" i="2" s="1"/>
  <c r="BQ198" i="2" a="1"/>
  <c r="BQ198" i="2" s="1"/>
  <c r="BP183" i="20"/>
  <c r="BP193" i="20" s="1"/>
  <c r="BP180" i="20"/>
  <c r="BP190" i="20" s="1"/>
  <c r="BP184" i="20"/>
  <c r="BP194" i="20" s="1"/>
  <c r="BP178" i="20"/>
  <c r="BP188" i="20" s="1"/>
  <c r="BP179" i="20"/>
  <c r="BP189" i="20" s="1"/>
  <c r="BP182" i="20"/>
  <c r="BP192" i="20" s="1"/>
  <c r="CE180" i="20"/>
  <c r="CE190" i="20" s="1"/>
  <c r="CE179" i="20"/>
  <c r="CE189" i="20" s="1"/>
  <c r="CE184" i="20"/>
  <c r="CE194" i="20" s="1"/>
  <c r="CE182" i="20"/>
  <c r="CE192" i="20" s="1"/>
  <c r="CE178" i="20"/>
  <c r="CE188" i="20" s="1"/>
  <c r="CE183" i="20"/>
  <c r="CE193" i="20" s="1"/>
  <c r="D178" i="20"/>
  <c r="D188" i="20" s="1"/>
  <c r="D182" i="20"/>
  <c r="D192" i="20" s="1"/>
  <c r="D183" i="20"/>
  <c r="D193" i="20" s="1"/>
  <c r="D184" i="20"/>
  <c r="D194" i="20" s="1"/>
  <c r="D198" i="20" s="1" a="1"/>
  <c r="D198" i="20" s="1"/>
  <c r="D179" i="20"/>
  <c r="D189" i="20" s="1"/>
  <c r="D180" i="20"/>
  <c r="D190" i="20" s="1"/>
  <c r="AS183" i="20"/>
  <c r="AS193" i="20" s="1"/>
  <c r="AS178" i="20"/>
  <c r="AS188" i="20" s="1"/>
  <c r="AS184" i="20"/>
  <c r="AS194" i="20" s="1"/>
  <c r="AS179" i="20"/>
  <c r="AS189" i="20" s="1"/>
  <c r="AS180" i="20"/>
  <c r="AS190" i="20" s="1"/>
  <c r="AS182" i="20"/>
  <c r="AS192" i="20" s="1"/>
  <c r="M198" i="2" a="1"/>
  <c r="M198" i="2" s="1"/>
  <c r="L201" i="2"/>
  <c r="M259" i="2" s="1"/>
  <c r="G317" i="2" s="1"/>
  <c r="H317" i="2" s="1"/>
  <c r="CO177" i="20"/>
  <c r="CO187" i="20" s="1"/>
  <c r="CO181" i="20"/>
  <c r="CO191" i="20" s="1"/>
  <c r="CO195" i="20" s="1"/>
  <c r="BS181" i="20"/>
  <c r="BS191" i="20" s="1"/>
  <c r="BS195" i="20" s="1"/>
  <c r="BS177" i="20"/>
  <c r="BS187" i="20" s="1"/>
  <c r="BR201" i="2"/>
  <c r="BS259" i="2" s="1"/>
  <c r="G375" i="2" s="1"/>
  <c r="H375" i="2" s="1"/>
  <c r="BS198" i="2" a="1"/>
  <c r="BS198" i="2" s="1"/>
  <c r="AQ182" i="20"/>
  <c r="AQ192" i="20" s="1"/>
  <c r="AQ178" i="20"/>
  <c r="AQ188" i="20" s="1"/>
  <c r="AQ183" i="20"/>
  <c r="AQ193" i="20" s="1"/>
  <c r="AQ180" i="20"/>
  <c r="AQ190" i="20" s="1"/>
  <c r="AQ179" i="20"/>
  <c r="AQ189" i="20" s="1"/>
  <c r="AQ184" i="20"/>
  <c r="AQ194" i="20" s="1"/>
  <c r="E198" i="2" a="1"/>
  <c r="E198" i="2" s="1"/>
  <c r="D201" i="2"/>
  <c r="E259" i="2" s="1"/>
  <c r="G309" i="2" s="1"/>
  <c r="H309" i="2" s="1"/>
  <c r="BL234" i="20"/>
  <c r="BK175" i="20"/>
  <c r="BK69" i="20"/>
  <c r="BK150" i="20" s="1"/>
  <c r="CE201" i="2"/>
  <c r="CF259" i="2" s="1"/>
  <c r="CF198" i="2" a="1"/>
  <c r="CF198" i="2" s="1"/>
  <c r="S201" i="2"/>
  <c r="T259" i="2" s="1"/>
  <c r="G324" i="2" s="1"/>
  <c r="H324" i="2" s="1"/>
  <c r="T198" i="2" a="1"/>
  <c r="T198" i="2" s="1"/>
  <c r="BT201" i="2"/>
  <c r="BU259" i="2" s="1"/>
  <c r="G377" i="2" s="1"/>
  <c r="H377" i="2" s="1"/>
  <c r="CS177" i="20"/>
  <c r="CS187" i="20" s="1"/>
  <c r="CS181" i="20"/>
  <c r="CS191" i="20" s="1"/>
  <c r="CS195" i="20" s="1"/>
  <c r="AI91" i="20"/>
  <c r="AI172" i="20" s="1"/>
  <c r="AI83" i="20"/>
  <c r="AI164" i="20" s="1"/>
  <c r="AI184" i="19"/>
  <c r="AI194" i="19" s="1"/>
  <c r="AI182" i="19"/>
  <c r="AI192" i="19" s="1"/>
  <c r="AI179" i="19"/>
  <c r="AI189" i="19" s="1"/>
  <c r="AI178" i="19"/>
  <c r="AI188" i="19" s="1"/>
  <c r="AI180" i="19"/>
  <c r="AI190" i="19" s="1"/>
  <c r="AI183" i="19"/>
  <c r="AI193" i="19" s="1"/>
  <c r="AJ175" i="19"/>
  <c r="AJ69" i="19"/>
  <c r="AJ150" i="19" s="1"/>
  <c r="AJ78" i="19"/>
  <c r="AJ159" i="19" s="1"/>
  <c r="AJ86" i="19"/>
  <c r="AJ167" i="19" s="1"/>
  <c r="A148" i="2"/>
  <c r="A234" i="2"/>
  <c r="A69" i="2"/>
  <c r="A206" i="2"/>
  <c r="AI82" i="20"/>
  <c r="AI163" i="20" s="1"/>
  <c r="AI74" i="20"/>
  <c r="AI155" i="20" s="1"/>
  <c r="AI84" i="20"/>
  <c r="AI165" i="20" s="1"/>
  <c r="AJ71" i="19"/>
  <c r="AJ152" i="19" s="1"/>
  <c r="AJ79" i="19"/>
  <c r="AJ160" i="19" s="1"/>
  <c r="AJ87" i="19"/>
  <c r="AJ168" i="19" s="1"/>
  <c r="AI70" i="20"/>
  <c r="AI151" i="20" s="1"/>
  <c r="AA186" i="20"/>
  <c r="AA176" i="20" s="1"/>
  <c r="AA95" i="20"/>
  <c r="AA122" i="20" s="1"/>
  <c r="AA149" i="20"/>
  <c r="AI88" i="20"/>
  <c r="AI169" i="20" s="1"/>
  <c r="AI71" i="20"/>
  <c r="AI152" i="20" s="1"/>
  <c r="AI81" i="20"/>
  <c r="AI162" i="20" s="1"/>
  <c r="AI73" i="20"/>
  <c r="AI154" i="20" s="1"/>
  <c r="AB68" i="20"/>
  <c r="AC13" i="20"/>
  <c r="AB12" i="20"/>
  <c r="AI87" i="20"/>
  <c r="AI168" i="20" s="1"/>
  <c r="AI75" i="20"/>
  <c r="AI156" i="20" s="1"/>
  <c r="AI92" i="20"/>
  <c r="AI173" i="20" s="1"/>
  <c r="AJ73" i="19"/>
  <c r="AJ154" i="19" s="1"/>
  <c r="AJ80" i="19"/>
  <c r="AJ161" i="19" s="1"/>
  <c r="AJ90" i="19"/>
  <c r="AJ171" i="19" s="1"/>
  <c r="AC68" i="19"/>
  <c r="AC12" i="19"/>
  <c r="AD13" i="19"/>
  <c r="AB186" i="19"/>
  <c r="AB176" i="19" s="1"/>
  <c r="AB95" i="19"/>
  <c r="AB122" i="19" s="1"/>
  <c r="AB149" i="19"/>
  <c r="AJ72" i="19"/>
  <c r="AJ153" i="19" s="1"/>
  <c r="AJ81" i="19"/>
  <c r="AJ162" i="19" s="1"/>
  <c r="AJ91" i="19"/>
  <c r="AJ172" i="19" s="1"/>
  <c r="AI85" i="20"/>
  <c r="AI166" i="20" s="1"/>
  <c r="AI77" i="20"/>
  <c r="AI158" i="20" s="1"/>
  <c r="AI89" i="20"/>
  <c r="AI170" i="20" s="1"/>
  <c r="F373" i="20"/>
  <c r="AI69" i="20"/>
  <c r="AI150" i="20" s="1"/>
  <c r="AI175" i="20"/>
  <c r="AI78" i="20"/>
  <c r="AI159" i="20" s="1"/>
  <c r="AI90" i="20"/>
  <c r="AI171" i="20" s="1"/>
  <c r="AJ74" i="19"/>
  <c r="AJ155" i="19" s="1"/>
  <c r="AJ82" i="19"/>
  <c r="AJ163" i="19" s="1"/>
  <c r="AJ88" i="19"/>
  <c r="AJ169" i="19" s="1"/>
  <c r="AI79" i="20"/>
  <c r="AI160" i="20" s="1"/>
  <c r="AI72" i="20"/>
  <c r="AI153" i="20" s="1"/>
  <c r="AI76" i="20"/>
  <c r="AI157" i="20" s="1"/>
  <c r="AK41" i="20"/>
  <c r="AJ65" i="20"/>
  <c r="AK257" i="20" s="1"/>
  <c r="AJ64" i="20"/>
  <c r="AK256" i="20" s="1"/>
  <c r="AJ63" i="20"/>
  <c r="AK255" i="20" s="1"/>
  <c r="AJ62" i="20"/>
  <c r="AK254" i="20" s="1"/>
  <c r="AJ59" i="20"/>
  <c r="AK251" i="20" s="1"/>
  <c r="AJ58" i="20"/>
  <c r="AK250" i="20" s="1"/>
  <c r="AJ57" i="20"/>
  <c r="AK249" i="20" s="1"/>
  <c r="AJ56" i="20"/>
  <c r="AK248" i="20" s="1"/>
  <c r="AJ55" i="20"/>
  <c r="AK247" i="20" s="1"/>
  <c r="AJ54" i="20"/>
  <c r="AK246" i="20" s="1"/>
  <c r="AJ53" i="20"/>
  <c r="AK245" i="20" s="1"/>
  <c r="AJ50" i="20"/>
  <c r="AK242" i="20" s="1"/>
  <c r="AJ51" i="20"/>
  <c r="AK243" i="20" s="1"/>
  <c r="AJ49" i="20"/>
  <c r="AK241" i="20" s="1"/>
  <c r="AJ46" i="20"/>
  <c r="AK238" i="20" s="1"/>
  <c r="AJ43" i="20"/>
  <c r="AK235" i="20" s="1"/>
  <c r="AJ44" i="20"/>
  <c r="AK236" i="20" s="1"/>
  <c r="AJ45" i="20"/>
  <c r="AK237" i="20" s="1"/>
  <c r="AJ60" i="20"/>
  <c r="AK252" i="20" s="1"/>
  <c r="AJ47" i="20"/>
  <c r="AK239" i="20" s="1"/>
  <c r="AJ48" i="20"/>
  <c r="AK240" i="20" s="1"/>
  <c r="AJ52" i="20"/>
  <c r="AK244" i="20" s="1"/>
  <c r="AJ42" i="20"/>
  <c r="AK234" i="20" s="1"/>
  <c r="AJ61" i="20"/>
  <c r="AK253" i="20" s="1"/>
  <c r="CQ200" i="19"/>
  <c r="CR258" i="19" s="1"/>
  <c r="CQ199" i="19"/>
  <c r="AJ75" i="19"/>
  <c r="AJ156" i="19" s="1"/>
  <c r="AJ83" i="19"/>
  <c r="AJ164" i="19" s="1"/>
  <c r="AJ89" i="19"/>
  <c r="AJ170" i="19" s="1"/>
  <c r="AH177" i="20"/>
  <c r="AH187" i="20" s="1"/>
  <c r="AH181" i="20"/>
  <c r="AH191" i="20" s="1"/>
  <c r="AH195" i="20" s="1"/>
  <c r="AI86" i="20"/>
  <c r="AI167" i="20" s="1"/>
  <c r="AI80" i="20"/>
  <c r="AI161" i="20" s="1"/>
  <c r="AH198" i="19" a="1"/>
  <c r="AH198" i="19" s="1"/>
  <c r="AJ77" i="19"/>
  <c r="AJ158" i="19" s="1"/>
  <c r="AJ84" i="19"/>
  <c r="AJ165" i="19" s="1"/>
  <c r="AJ92" i="19"/>
  <c r="AJ173" i="19" s="1"/>
  <c r="AH182" i="20"/>
  <c r="AH192" i="20" s="1"/>
  <c r="AH180" i="20"/>
  <c r="AH190" i="20" s="1"/>
  <c r="AH184" i="20"/>
  <c r="AH194" i="20" s="1"/>
  <c r="AH179" i="20"/>
  <c r="AH189" i="20" s="1"/>
  <c r="AH178" i="20"/>
  <c r="AH188" i="20" s="1"/>
  <c r="AH183" i="20"/>
  <c r="AH193" i="20" s="1"/>
  <c r="AI177" i="19"/>
  <c r="AI187" i="19" s="1"/>
  <c r="AI181" i="19"/>
  <c r="AI191" i="19" s="1"/>
  <c r="AI195" i="19" s="1"/>
  <c r="AJ70" i="19"/>
  <c r="AJ151" i="19" s="1"/>
  <c r="AJ76" i="19"/>
  <c r="AJ157" i="19" s="1"/>
  <c r="AJ85" i="19"/>
  <c r="AJ166" i="19" s="1"/>
  <c r="AL41" i="19"/>
  <c r="AK64" i="19"/>
  <c r="AL256" i="19" s="1"/>
  <c r="AK65" i="19"/>
  <c r="AL257" i="19" s="1"/>
  <c r="AK63" i="19"/>
  <c r="AL255" i="19" s="1"/>
  <c r="AK62" i="19"/>
  <c r="AL254" i="19" s="1"/>
  <c r="AK61" i="19"/>
  <c r="AL253" i="19" s="1"/>
  <c r="AK60" i="19"/>
  <c r="AL252" i="19" s="1"/>
  <c r="AK59" i="19"/>
  <c r="AL251" i="19" s="1"/>
  <c r="AK58" i="19"/>
  <c r="AL250" i="19" s="1"/>
  <c r="AK57" i="19"/>
  <c r="AL249" i="19" s="1"/>
  <c r="AK55" i="19"/>
  <c r="AL247" i="19" s="1"/>
  <c r="AK56" i="19"/>
  <c r="AL248" i="19" s="1"/>
  <c r="AK54" i="19"/>
  <c r="AL246" i="19" s="1"/>
  <c r="AK53" i="19"/>
  <c r="AL245" i="19" s="1"/>
  <c r="AK52" i="19"/>
  <c r="AL244" i="19" s="1"/>
  <c r="AK51" i="19"/>
  <c r="AL243" i="19" s="1"/>
  <c r="AK50" i="19"/>
  <c r="AL242" i="19" s="1"/>
  <c r="AK49" i="19"/>
  <c r="AL241" i="19" s="1"/>
  <c r="AK48" i="19"/>
  <c r="AL240" i="19" s="1"/>
  <c r="AK47" i="19"/>
  <c r="AL239" i="19" s="1"/>
  <c r="AK45" i="19"/>
  <c r="AL237" i="19" s="1"/>
  <c r="AK46" i="19"/>
  <c r="AL238" i="19" s="1"/>
  <c r="AK43" i="19"/>
  <c r="AL235" i="19" s="1"/>
  <c r="AK44" i="19"/>
  <c r="AL236" i="19" s="1"/>
  <c r="AK42" i="19"/>
  <c r="AL234" i="19" s="1"/>
  <c r="G363" i="19"/>
  <c r="H363" i="19" s="1"/>
  <c r="F364" i="19"/>
  <c r="G181" i="20" l="1"/>
  <c r="G191" i="20" s="1"/>
  <c r="G195" i="20" s="1"/>
  <c r="G177" i="20"/>
  <c r="G187" i="20" s="1"/>
  <c r="CE198" i="20" a="1"/>
  <c r="CE198" i="20" s="1"/>
  <c r="BU198" i="20" a="1"/>
  <c r="BU198" i="20" s="1"/>
  <c r="AB184" i="20"/>
  <c r="AB194" i="20" s="1"/>
  <c r="AB198" i="20" s="1" a="1"/>
  <c r="AB198" i="20" s="1"/>
  <c r="AB178" i="20"/>
  <c r="AB188" i="20" s="1"/>
  <c r="AB179" i="20"/>
  <c r="AB189" i="20" s="1"/>
  <c r="AB180" i="20"/>
  <c r="AB190" i="20" s="1"/>
  <c r="AB183" i="20"/>
  <c r="AB193" i="20" s="1"/>
  <c r="AB182" i="20"/>
  <c r="AB192" i="20" s="1"/>
  <c r="T181" i="20"/>
  <c r="T191" i="20" s="1"/>
  <c r="T195" i="20" s="1"/>
  <c r="T177" i="20"/>
  <c r="T187" i="20" s="1"/>
  <c r="AO198" i="20" a="1"/>
  <c r="AO198" i="20" s="1"/>
  <c r="BY198" i="20" a="1"/>
  <c r="BY198" i="20" s="1"/>
  <c r="BJ177" i="20"/>
  <c r="BJ187" i="20" s="1"/>
  <c r="BJ181" i="20"/>
  <c r="BJ191" i="20" s="1"/>
  <c r="BJ195" i="20" s="1"/>
  <c r="BR181" i="20"/>
  <c r="BR191" i="20" s="1"/>
  <c r="BR195" i="20" s="1"/>
  <c r="BR177" i="20"/>
  <c r="BR187" i="20" s="1"/>
  <c r="BB198" i="20" a="1"/>
  <c r="BB198" i="20" s="1"/>
  <c r="CR201" i="20"/>
  <c r="CS259" i="20" s="1"/>
  <c r="CS201" i="20"/>
  <c r="CS198" i="20" a="1"/>
  <c r="CS198" i="20" s="1"/>
  <c r="CS199" i="20" s="1"/>
  <c r="CR200" i="20" s="1"/>
  <c r="CS258" i="20" s="1"/>
  <c r="CK179" i="20"/>
  <c r="CK189" i="20" s="1"/>
  <c r="CK182" i="20"/>
  <c r="CK192" i="20" s="1"/>
  <c r="CK184" i="20"/>
  <c r="CK194" i="20" s="1"/>
  <c r="CI201" i="20" s="1"/>
  <c r="CJ259" i="20" s="1"/>
  <c r="CK178" i="20"/>
  <c r="CK188" i="20" s="1"/>
  <c r="CK183" i="20"/>
  <c r="CK193" i="20" s="1"/>
  <c r="CK180" i="20"/>
  <c r="CK190" i="20" s="1"/>
  <c r="BV182" i="20"/>
  <c r="BV192" i="20" s="1"/>
  <c r="BV180" i="20"/>
  <c r="BV190" i="20" s="1"/>
  <c r="BV178" i="20"/>
  <c r="BV188" i="20" s="1"/>
  <c r="BV179" i="20"/>
  <c r="BV189" i="20" s="1"/>
  <c r="BV184" i="20"/>
  <c r="BV194" i="20" s="1"/>
  <c r="BV183" i="20"/>
  <c r="BV193" i="20" s="1"/>
  <c r="AY198" i="20" a="1"/>
  <c r="AY198" i="20" s="1"/>
  <c r="AP198" i="20" a="1"/>
  <c r="AP198" i="20" s="1"/>
  <c r="BN178" i="20"/>
  <c r="BN188" i="20" s="1"/>
  <c r="BN179" i="20"/>
  <c r="BN189" i="20" s="1"/>
  <c r="BN184" i="20"/>
  <c r="BN194" i="20" s="1"/>
  <c r="BN183" i="20"/>
  <c r="BN193" i="20" s="1"/>
  <c r="BN180" i="20"/>
  <c r="BN190" i="20" s="1"/>
  <c r="BN182" i="20"/>
  <c r="BN192" i="20" s="1"/>
  <c r="CF198" i="20" a="1"/>
  <c r="CF198" i="20" s="1"/>
  <c r="BZ198" i="20" a="1"/>
  <c r="BZ198" i="20" s="1"/>
  <c r="BR182" i="20"/>
  <c r="BR192" i="20" s="1"/>
  <c r="BR179" i="20"/>
  <c r="BR189" i="20" s="1"/>
  <c r="BR183" i="20"/>
  <c r="BR193" i="20" s="1"/>
  <c r="BR184" i="20"/>
  <c r="BR194" i="20" s="1"/>
  <c r="BR180" i="20"/>
  <c r="BR190" i="20" s="1"/>
  <c r="BR178" i="20"/>
  <c r="BR188" i="20" s="1"/>
  <c r="BF198" i="20" a="1"/>
  <c r="BF198" i="20" s="1"/>
  <c r="CK177" i="20"/>
  <c r="CK187" i="20" s="1"/>
  <c r="CK181" i="20"/>
  <c r="CK191" i="20" s="1"/>
  <c r="CK195" i="20" s="1"/>
  <c r="BA198" i="20" a="1"/>
  <c r="BA198" i="20" s="1"/>
  <c r="BV177" i="20"/>
  <c r="BV187" i="20" s="1"/>
  <c r="BV181" i="20"/>
  <c r="BV191" i="20" s="1"/>
  <c r="BV195" i="20" s="1"/>
  <c r="BN177" i="20"/>
  <c r="BN187" i="20" s="1"/>
  <c r="BN181" i="20"/>
  <c r="BN191" i="20" s="1"/>
  <c r="BN195" i="20" s="1"/>
  <c r="AR184" i="20"/>
  <c r="AR194" i="20" s="1"/>
  <c r="AR178" i="20"/>
  <c r="AR188" i="20" s="1"/>
  <c r="AR179" i="20"/>
  <c r="AR189" i="20" s="1"/>
  <c r="AR180" i="20"/>
  <c r="AR190" i="20" s="1"/>
  <c r="AR183" i="20"/>
  <c r="AR193" i="20" s="1"/>
  <c r="AR182" i="20"/>
  <c r="AR192" i="20" s="1"/>
  <c r="BE177" i="20"/>
  <c r="BE187" i="20" s="1"/>
  <c r="BE181" i="20"/>
  <c r="BE191" i="20" s="1"/>
  <c r="BE195" i="20" s="1"/>
  <c r="AV180" i="20"/>
  <c r="AV190" i="20" s="1"/>
  <c r="AV184" i="20"/>
  <c r="AV194" i="20" s="1"/>
  <c r="AV182" i="20"/>
  <c r="AV192" i="20" s="1"/>
  <c r="AV183" i="20"/>
  <c r="AV193" i="20" s="1"/>
  <c r="AV178" i="20"/>
  <c r="AV188" i="20" s="1"/>
  <c r="AV179" i="20"/>
  <c r="AV189" i="20" s="1"/>
  <c r="G206" i="20"/>
  <c r="F206" i="20"/>
  <c r="K206" i="20"/>
  <c r="CJ198" i="20" a="1"/>
  <c r="CJ198" i="20" s="1"/>
  <c r="AF177" i="20"/>
  <c r="AF187" i="20" s="1"/>
  <c r="AF181" i="20"/>
  <c r="AF191" i="20" s="1"/>
  <c r="AF195" i="20" s="1"/>
  <c r="AQ198" i="20" a="1"/>
  <c r="AQ198" i="20" s="1"/>
  <c r="CC198" i="20" a="1"/>
  <c r="CC198" i="20" s="1"/>
  <c r="J181" i="20"/>
  <c r="J191" i="20" s="1"/>
  <c r="J195" i="20" s="1"/>
  <c r="J177" i="20"/>
  <c r="J187" i="20" s="1"/>
  <c r="AR181" i="20"/>
  <c r="AR191" i="20" s="1"/>
  <c r="AR195" i="20" s="1"/>
  <c r="AR177" i="20"/>
  <c r="AR187" i="20" s="1"/>
  <c r="AL68" i="2"/>
  <c r="AL12" i="2"/>
  <c r="AM13" i="2"/>
  <c r="BE179" i="20"/>
  <c r="BE189" i="20" s="1"/>
  <c r="BE178" i="20"/>
  <c r="BE188" i="20" s="1"/>
  <c r="BE183" i="20"/>
  <c r="BE193" i="20" s="1"/>
  <c r="BE180" i="20"/>
  <c r="BE190" i="20" s="1"/>
  <c r="BE182" i="20"/>
  <c r="BE192" i="20" s="1"/>
  <c r="BE184" i="20"/>
  <c r="BE194" i="20" s="1"/>
  <c r="CG198" i="20" a="1"/>
  <c r="CG198" i="20" s="1"/>
  <c r="G179" i="20"/>
  <c r="G189" i="20" s="1"/>
  <c r="G178" i="20"/>
  <c r="G188" i="20" s="1"/>
  <c r="G183" i="20"/>
  <c r="G193" i="20" s="1"/>
  <c r="G184" i="20"/>
  <c r="G194" i="20" s="1"/>
  <c r="G198" i="20" s="1" a="1"/>
  <c r="G198" i="20" s="1"/>
  <c r="G180" i="20"/>
  <c r="G190" i="20" s="1"/>
  <c r="G182" i="20"/>
  <c r="G192" i="20" s="1"/>
  <c r="AT198" i="20" a="1"/>
  <c r="AT198" i="20" s="1"/>
  <c r="AV177" i="20"/>
  <c r="AV187" i="20" s="1"/>
  <c r="AV181" i="20"/>
  <c r="AV191" i="20" s="1"/>
  <c r="AV195" i="20" s="1"/>
  <c r="CB198" i="20" a="1"/>
  <c r="CB198" i="20" s="1"/>
  <c r="Q218" i="20"/>
  <c r="Q213" i="20"/>
  <c r="Q217" i="20"/>
  <c r="Q206" i="20"/>
  <c r="Q211" i="20"/>
  <c r="Q210" i="20"/>
  <c r="O206" i="20"/>
  <c r="M209" i="20"/>
  <c r="G209" i="20" s="1"/>
  <c r="Q209" i="20"/>
  <c r="Q212" i="20"/>
  <c r="Q208" i="20"/>
  <c r="Q216" i="20"/>
  <c r="Q207" i="20"/>
  <c r="Q214" i="20"/>
  <c r="Q219" i="20"/>
  <c r="Q215" i="20"/>
  <c r="CH198" i="20" a="1"/>
  <c r="CH198" i="20" s="1"/>
  <c r="AZ198" i="20" a="1"/>
  <c r="AZ198" i="20" s="1"/>
  <c r="AF180" i="20"/>
  <c r="AF190" i="20" s="1"/>
  <c r="AF184" i="20"/>
  <c r="AF194" i="20" s="1"/>
  <c r="AF198" i="20" s="1" a="1"/>
  <c r="AF198" i="20" s="1"/>
  <c r="AF182" i="20"/>
  <c r="AF192" i="20" s="1"/>
  <c r="AF179" i="20"/>
  <c r="AF189" i="20" s="1"/>
  <c r="AF178" i="20"/>
  <c r="AF188" i="20" s="1"/>
  <c r="AF183" i="20"/>
  <c r="AF193" i="20" s="1"/>
  <c r="BS198" i="20" a="1"/>
  <c r="BS198" i="20" s="1"/>
  <c r="X177" i="20"/>
  <c r="X187" i="20" s="1"/>
  <c r="X181" i="20"/>
  <c r="X191" i="20" s="1"/>
  <c r="X195" i="20" s="1"/>
  <c r="AS198" i="20" a="1"/>
  <c r="AS198" i="20" s="1"/>
  <c r="CP201" i="20"/>
  <c r="CQ259" i="20" s="1"/>
  <c r="CQ198" i="20" a="1"/>
  <c r="CQ198" i="20" s="1"/>
  <c r="J179" i="20"/>
  <c r="J189" i="20" s="1"/>
  <c r="J178" i="20"/>
  <c r="J188" i="20" s="1"/>
  <c r="J184" i="20"/>
  <c r="J194" i="20" s="1"/>
  <c r="J198" i="20" s="1" a="1"/>
  <c r="J198" i="20" s="1"/>
  <c r="J182" i="20"/>
  <c r="J192" i="20" s="1"/>
  <c r="J180" i="20"/>
  <c r="J190" i="20" s="1"/>
  <c r="J183" i="20"/>
  <c r="J193" i="20" s="1"/>
  <c r="CN201" i="20"/>
  <c r="CO259" i="20" s="1"/>
  <c r="CO198" i="20" a="1"/>
  <c r="CO198" i="20" s="1"/>
  <c r="AK95" i="2"/>
  <c r="AK122" i="2" s="1"/>
  <c r="AK186" i="2"/>
  <c r="AK176" i="2" s="1"/>
  <c r="AK149" i="2"/>
  <c r="BI198" i="20" a="1"/>
  <c r="BI198" i="20" s="1"/>
  <c r="BH198" i="20" a="1"/>
  <c r="BH198" i="20" s="1"/>
  <c r="BG198" i="20" a="1"/>
  <c r="BG198" i="20" s="1"/>
  <c r="P177" i="20"/>
  <c r="P187" i="20" s="1"/>
  <c r="P181" i="20"/>
  <c r="P191" i="20" s="1"/>
  <c r="P195" i="20" s="1"/>
  <c r="CR199" i="2"/>
  <c r="CM198" i="20" a="1"/>
  <c r="CM198" i="20" s="1"/>
  <c r="CL201" i="20"/>
  <c r="CM259" i="20" s="1"/>
  <c r="X183" i="20"/>
  <c r="X193" i="20" s="1"/>
  <c r="X178" i="20"/>
  <c r="X188" i="20" s="1"/>
  <c r="X184" i="20"/>
  <c r="X194" i="20" s="1"/>
  <c r="X198" i="20" s="1" a="1"/>
  <c r="X198" i="20" s="1"/>
  <c r="X182" i="20"/>
  <c r="X192" i="20" s="1"/>
  <c r="X179" i="20"/>
  <c r="X189" i="20" s="1"/>
  <c r="X180" i="20"/>
  <c r="X190" i="20" s="1"/>
  <c r="CD198" i="20" a="1"/>
  <c r="CD198" i="20" s="1"/>
  <c r="AG177" i="20"/>
  <c r="AG187" i="20" s="1"/>
  <c r="AG181" i="20"/>
  <c r="AG191" i="20" s="1"/>
  <c r="AG195" i="20" s="1"/>
  <c r="CR198" i="20" a="1"/>
  <c r="CR198" i="20" s="1"/>
  <c r="CQ201" i="20"/>
  <c r="CR259" i="20" s="1"/>
  <c r="CP198" i="20" a="1"/>
  <c r="CP198" i="20" s="1"/>
  <c r="CO201" i="20"/>
  <c r="CP259" i="20" s="1"/>
  <c r="P178" i="20"/>
  <c r="P188" i="20" s="1"/>
  <c r="P180" i="20"/>
  <c r="P190" i="20" s="1"/>
  <c r="P179" i="20"/>
  <c r="P189" i="20" s="1"/>
  <c r="P184" i="20"/>
  <c r="P194" i="20" s="1"/>
  <c r="P198" i="20" s="1" a="1"/>
  <c r="P198" i="20" s="1"/>
  <c r="P183" i="20"/>
  <c r="P193" i="20" s="1"/>
  <c r="P182" i="20"/>
  <c r="P192" i="20" s="1"/>
  <c r="BO198" i="20" a="1"/>
  <c r="BO198" i="20" s="1"/>
  <c r="BT178" i="20"/>
  <c r="BT188" i="20" s="1"/>
  <c r="BT184" i="20"/>
  <c r="BT194" i="20" s="1"/>
  <c r="BT179" i="20"/>
  <c r="BT189" i="20" s="1"/>
  <c r="BT183" i="20"/>
  <c r="BT193" i="20" s="1"/>
  <c r="BT182" i="20"/>
  <c r="BT192" i="20" s="1"/>
  <c r="BT180" i="20"/>
  <c r="BT190" i="20" s="1"/>
  <c r="BK181" i="20"/>
  <c r="BK191" i="20" s="1"/>
  <c r="BK195" i="20" s="1"/>
  <c r="BK177" i="20"/>
  <c r="BK187" i="20" s="1"/>
  <c r="BP198" i="20" a="1"/>
  <c r="BP198" i="20" s="1"/>
  <c r="AG182" i="20"/>
  <c r="AG192" i="20" s="1"/>
  <c r="AG179" i="20"/>
  <c r="AG189" i="20" s="1"/>
  <c r="AG178" i="20"/>
  <c r="AG188" i="20" s="1"/>
  <c r="AG184" i="20"/>
  <c r="AG194" i="20" s="1"/>
  <c r="AG198" i="20" s="1" a="1"/>
  <c r="AG198" i="20" s="1"/>
  <c r="AG183" i="20"/>
  <c r="AG193" i="20" s="1"/>
  <c r="AG180" i="20"/>
  <c r="AG190" i="20" s="1"/>
  <c r="BW198" i="20" a="1"/>
  <c r="BW198" i="20" s="1"/>
  <c r="CI177" i="20"/>
  <c r="CI187" i="20" s="1"/>
  <c r="CI181" i="20"/>
  <c r="CI191" i="20" s="1"/>
  <c r="CI195" i="20" s="1"/>
  <c r="CK201" i="20"/>
  <c r="CL259" i="20" s="1"/>
  <c r="CL198" i="20" a="1"/>
  <c r="CL198" i="20" s="1"/>
  <c r="AU178" i="20"/>
  <c r="AU188" i="20" s="1"/>
  <c r="AU184" i="20"/>
  <c r="AU194" i="20" s="1"/>
  <c r="AU183" i="20"/>
  <c r="AU193" i="20" s="1"/>
  <c r="AU179" i="20"/>
  <c r="AU189" i="20" s="1"/>
  <c r="AU182" i="20"/>
  <c r="AU192" i="20" s="1"/>
  <c r="AU180" i="20"/>
  <c r="AU190" i="20" s="1"/>
  <c r="BJ182" i="20"/>
  <c r="BJ192" i="20" s="1"/>
  <c r="BJ183" i="20"/>
  <c r="BJ193" i="20" s="1"/>
  <c r="BJ184" i="20"/>
  <c r="BJ194" i="20" s="1"/>
  <c r="BJ180" i="20"/>
  <c r="BJ190" i="20" s="1"/>
  <c r="BJ178" i="20"/>
  <c r="BJ188" i="20" s="1"/>
  <c r="BJ179" i="20"/>
  <c r="BJ189" i="20" s="1"/>
  <c r="CA177" i="20"/>
  <c r="CA187" i="20" s="1"/>
  <c r="CA181" i="20"/>
  <c r="CA191" i="20" s="1"/>
  <c r="CA195" i="20" s="1"/>
  <c r="BT181" i="20"/>
  <c r="BT191" i="20" s="1"/>
  <c r="BT195" i="20" s="1"/>
  <c r="BT177" i="20"/>
  <c r="BT187" i="20" s="1"/>
  <c r="BM198" i="20" a="1"/>
  <c r="BM198" i="20" s="1"/>
  <c r="CN198" i="20" a="1"/>
  <c r="CN198" i="20" s="1"/>
  <c r="CM201" i="20"/>
  <c r="CN259" i="20" s="1"/>
  <c r="BX184" i="20"/>
  <c r="BX194" i="20" s="1"/>
  <c r="BX178" i="20"/>
  <c r="BX188" i="20" s="1"/>
  <c r="BX179" i="20"/>
  <c r="BX189" i="20" s="1"/>
  <c r="BX180" i="20"/>
  <c r="BX190" i="20" s="1"/>
  <c r="BX183" i="20"/>
  <c r="BX193" i="20" s="1"/>
  <c r="BX182" i="20"/>
  <c r="BX192" i="20" s="1"/>
  <c r="BK179" i="20"/>
  <c r="BK189" i="20" s="1"/>
  <c r="BK180" i="20"/>
  <c r="BK190" i="20" s="1"/>
  <c r="BK184" i="20"/>
  <c r="BK194" i="20" s="1"/>
  <c r="BK178" i="20"/>
  <c r="BK188" i="20" s="1"/>
  <c r="BK182" i="20"/>
  <c r="BK192" i="20" s="1"/>
  <c r="BK183" i="20"/>
  <c r="BK193" i="20" s="1"/>
  <c r="CI179" i="20"/>
  <c r="CI189" i="20" s="1"/>
  <c r="CI178" i="20"/>
  <c r="CI188" i="20" s="1"/>
  <c r="CI184" i="20"/>
  <c r="CI194" i="20" s="1"/>
  <c r="CI180" i="20"/>
  <c r="CI190" i="20" s="1"/>
  <c r="CI182" i="20"/>
  <c r="CI192" i="20" s="1"/>
  <c r="CI183" i="20"/>
  <c r="CI193" i="20" s="1"/>
  <c r="AB177" i="20"/>
  <c r="AB187" i="20" s="1"/>
  <c r="AB181" i="20"/>
  <c r="AB191" i="20" s="1"/>
  <c r="AB195" i="20" s="1"/>
  <c r="T180" i="20"/>
  <c r="T190" i="20" s="1"/>
  <c r="T183" i="20"/>
  <c r="T193" i="20" s="1"/>
  <c r="T182" i="20"/>
  <c r="T192" i="20" s="1"/>
  <c r="T178" i="20"/>
  <c r="T188" i="20" s="1"/>
  <c r="T184" i="20"/>
  <c r="T194" i="20" s="1"/>
  <c r="T198" i="20" s="1" a="1"/>
  <c r="T198" i="20" s="1"/>
  <c r="T179" i="20"/>
  <c r="T189" i="20" s="1"/>
  <c r="AX198" i="20" a="1"/>
  <c r="AX198" i="20" s="1"/>
  <c r="AU177" i="20"/>
  <c r="AU187" i="20" s="1"/>
  <c r="AU181" i="20"/>
  <c r="AU191" i="20" s="1"/>
  <c r="AU195" i="20" s="1"/>
  <c r="BL198" i="20" a="1"/>
  <c r="BL198" i="20" s="1"/>
  <c r="AW198" i="20" a="1"/>
  <c r="AW198" i="20" s="1"/>
  <c r="CA179" i="20"/>
  <c r="CA189" i="20" s="1"/>
  <c r="CA182" i="20"/>
  <c r="CA192" i="20" s="1"/>
  <c r="CA180" i="20"/>
  <c r="CA190" i="20" s="1"/>
  <c r="CA184" i="20"/>
  <c r="CA194" i="20" s="1"/>
  <c r="CA178" i="20"/>
  <c r="CA188" i="20" s="1"/>
  <c r="CA183" i="20"/>
  <c r="CA193" i="20" s="1"/>
  <c r="BD198" i="20" a="1"/>
  <c r="BD198" i="20" s="1"/>
  <c r="BQ198" i="20" a="1"/>
  <c r="BQ198" i="20" s="1"/>
  <c r="BX181" i="20"/>
  <c r="BX191" i="20" s="1"/>
  <c r="BX195" i="20" s="1"/>
  <c r="BX177" i="20"/>
  <c r="BX187" i="20" s="1"/>
  <c r="BC198" i="20" a="1"/>
  <c r="BC198" i="20" s="1"/>
  <c r="AK76" i="19"/>
  <c r="AK157" i="19" s="1"/>
  <c r="AK84" i="19"/>
  <c r="AK165" i="19" s="1"/>
  <c r="AK91" i="19"/>
  <c r="AK172" i="19" s="1"/>
  <c r="AH198" i="20" a="1"/>
  <c r="AH198" i="20" s="1"/>
  <c r="AJ79" i="20"/>
  <c r="AJ160" i="20" s="1"/>
  <c r="AJ76" i="20"/>
  <c r="AJ157" i="20" s="1"/>
  <c r="AJ85" i="20"/>
  <c r="AJ166" i="20" s="1"/>
  <c r="AC68" i="20"/>
  <c r="AD13" i="20"/>
  <c r="AC12" i="20"/>
  <c r="AK175" i="19"/>
  <c r="AK69" i="19"/>
  <c r="AK150" i="19" s="1"/>
  <c r="AK77" i="19"/>
  <c r="AK158" i="19" s="1"/>
  <c r="AK85" i="19"/>
  <c r="AK166" i="19" s="1"/>
  <c r="AM41" i="19"/>
  <c r="AL65" i="19"/>
  <c r="AM257" i="19" s="1"/>
  <c r="AL64" i="19"/>
  <c r="AM256" i="19" s="1"/>
  <c r="AL63" i="19"/>
  <c r="AM255" i="19" s="1"/>
  <c r="AL61" i="19"/>
  <c r="AM253" i="19" s="1"/>
  <c r="AL60" i="19"/>
  <c r="AM252" i="19" s="1"/>
  <c r="AL62" i="19"/>
  <c r="AM254" i="19" s="1"/>
  <c r="AL59" i="19"/>
  <c r="AM251" i="19" s="1"/>
  <c r="AL58" i="19"/>
  <c r="AM250" i="19" s="1"/>
  <c r="AL57" i="19"/>
  <c r="AM249" i="19" s="1"/>
  <c r="AL56" i="19"/>
  <c r="AM248" i="19" s="1"/>
  <c r="AL55" i="19"/>
  <c r="AM247" i="19" s="1"/>
  <c r="AL54" i="19"/>
  <c r="AM246" i="19" s="1"/>
  <c r="AL53" i="19"/>
  <c r="AM245" i="19" s="1"/>
  <c r="AL52" i="19"/>
  <c r="AM244" i="19" s="1"/>
  <c r="AL51" i="19"/>
  <c r="AM243" i="19" s="1"/>
  <c r="AL50" i="19"/>
  <c r="AM242" i="19" s="1"/>
  <c r="AL49" i="19"/>
  <c r="AM241" i="19" s="1"/>
  <c r="AL48" i="19"/>
  <c r="AM240" i="19" s="1"/>
  <c r="AL47" i="19"/>
  <c r="AM239" i="19" s="1"/>
  <c r="AL46" i="19"/>
  <c r="AM238" i="19" s="1"/>
  <c r="AL45" i="19"/>
  <c r="AM237" i="19" s="1"/>
  <c r="AL44" i="19"/>
  <c r="AM236" i="19" s="1"/>
  <c r="AL43" i="19"/>
  <c r="AM235" i="19" s="1"/>
  <c r="AL42" i="19"/>
  <c r="AM234" i="19" s="1"/>
  <c r="AJ75" i="20"/>
  <c r="AJ156" i="20" s="1"/>
  <c r="AJ78" i="20"/>
  <c r="AJ159" i="20" s="1"/>
  <c r="AJ86" i="20"/>
  <c r="AJ167" i="20" s="1"/>
  <c r="AI177" i="20"/>
  <c r="AI187" i="20" s="1"/>
  <c r="AI181" i="20"/>
  <c r="AI191" i="20" s="1"/>
  <c r="AI195" i="20" s="1"/>
  <c r="AD68" i="19"/>
  <c r="AD12" i="19"/>
  <c r="AE13" i="19"/>
  <c r="AB95" i="20"/>
  <c r="AB122" i="20" s="1"/>
  <c r="AB186" i="20"/>
  <c r="AB176" i="20" s="1"/>
  <c r="AB149" i="20"/>
  <c r="AK79" i="19"/>
  <c r="AK160" i="19" s="1"/>
  <c r="AJ87" i="20"/>
  <c r="AJ168" i="20" s="1"/>
  <c r="AJ80" i="20"/>
  <c r="AJ161" i="20" s="1"/>
  <c r="AJ90" i="20"/>
  <c r="AJ171" i="20" s="1"/>
  <c r="AC186" i="19"/>
  <c r="AC176" i="19" s="1"/>
  <c r="AC149" i="19"/>
  <c r="AC95" i="19"/>
  <c r="AC122" i="19" s="1"/>
  <c r="AK80" i="19"/>
  <c r="AK161" i="19" s="1"/>
  <c r="AK74" i="19"/>
  <c r="AK155" i="19" s="1"/>
  <c r="AK90" i="19"/>
  <c r="AK171" i="19" s="1"/>
  <c r="AJ88" i="20"/>
  <c r="AJ169" i="20" s="1"/>
  <c r="AJ83" i="20"/>
  <c r="AJ164" i="20" s="1"/>
  <c r="AL41" i="20"/>
  <c r="AK65" i="20"/>
  <c r="AL257" i="20" s="1"/>
  <c r="AK63" i="20"/>
  <c r="AL255" i="20" s="1"/>
  <c r="AK64" i="20"/>
  <c r="AL256" i="20" s="1"/>
  <c r="AK62" i="20"/>
  <c r="AL254" i="20" s="1"/>
  <c r="AK57" i="20"/>
  <c r="AL249" i="20" s="1"/>
  <c r="AK58" i="20"/>
  <c r="AL250" i="20" s="1"/>
  <c r="AK55" i="20"/>
  <c r="AL247" i="20" s="1"/>
  <c r="AK56" i="20"/>
  <c r="AL248" i="20" s="1"/>
  <c r="AK54" i="20"/>
  <c r="AL246" i="20" s="1"/>
  <c r="AK53" i="20"/>
  <c r="AL245" i="20" s="1"/>
  <c r="AK50" i="20"/>
  <c r="AL242" i="20" s="1"/>
  <c r="AK48" i="20"/>
  <c r="AL240" i="20" s="1"/>
  <c r="AK47" i="20"/>
  <c r="AL239" i="20" s="1"/>
  <c r="AK44" i="20"/>
  <c r="AL236" i="20" s="1"/>
  <c r="AK46" i="20"/>
  <c r="AL238" i="20" s="1"/>
  <c r="AK43" i="20"/>
  <c r="AL235" i="20" s="1"/>
  <c r="AK45" i="20"/>
  <c r="AL237" i="20" s="1"/>
  <c r="AK42" i="20"/>
  <c r="AL234" i="20" s="1"/>
  <c r="AK51" i="20"/>
  <c r="AL243" i="20" s="1"/>
  <c r="AK52" i="20"/>
  <c r="AL244" i="20" s="1"/>
  <c r="AK60" i="20"/>
  <c r="AL252" i="20" s="1"/>
  <c r="AK61" i="20"/>
  <c r="AL253" i="20" s="1"/>
  <c r="AK59" i="20"/>
  <c r="AL251" i="20" s="1"/>
  <c r="AK49" i="20"/>
  <c r="AL241" i="20" s="1"/>
  <c r="AK82" i="19"/>
  <c r="AK163" i="19" s="1"/>
  <c r="AK92" i="19"/>
  <c r="AK173" i="19" s="1"/>
  <c r="AJ175" i="20"/>
  <c r="AJ69" i="20"/>
  <c r="AJ150" i="20" s="1"/>
  <c r="AJ84" i="20"/>
  <c r="AJ165" i="20" s="1"/>
  <c r="AK71" i="19"/>
  <c r="AK152" i="19" s="1"/>
  <c r="AK78" i="19"/>
  <c r="AK159" i="19" s="1"/>
  <c r="AK86" i="19"/>
  <c r="AK167" i="19" s="1"/>
  <c r="AJ74" i="20"/>
  <c r="AJ155" i="20" s="1"/>
  <c r="AJ77" i="20"/>
  <c r="AJ158" i="20" s="1"/>
  <c r="AJ89" i="20"/>
  <c r="AJ170" i="20" s="1"/>
  <c r="AJ181" i="19"/>
  <c r="AJ191" i="19" s="1"/>
  <c r="AJ195" i="19" s="1"/>
  <c r="AJ177" i="19"/>
  <c r="AJ187" i="19" s="1"/>
  <c r="AJ72" i="20"/>
  <c r="AJ153" i="20" s="1"/>
  <c r="AJ81" i="20"/>
  <c r="AJ162" i="20" s="1"/>
  <c r="AJ91" i="20"/>
  <c r="AJ172" i="20" s="1"/>
  <c r="AK72" i="19"/>
  <c r="AK153" i="19" s="1"/>
  <c r="AK81" i="19"/>
  <c r="AK162" i="19" s="1"/>
  <c r="AK89" i="19"/>
  <c r="AK170" i="19" s="1"/>
  <c r="AJ71" i="20"/>
  <c r="AJ152" i="20" s="1"/>
  <c r="AJ82" i="20"/>
  <c r="AJ163" i="20" s="1"/>
  <c r="AJ92" i="20"/>
  <c r="AJ173" i="20" s="1"/>
  <c r="AJ179" i="19"/>
  <c r="AJ189" i="19" s="1"/>
  <c r="AJ182" i="19"/>
  <c r="AJ192" i="19" s="1"/>
  <c r="AJ180" i="19"/>
  <c r="AJ190" i="19" s="1"/>
  <c r="AJ178" i="19"/>
  <c r="AJ188" i="19" s="1"/>
  <c r="AJ183" i="19"/>
  <c r="AJ193" i="19" s="1"/>
  <c r="AJ184" i="19"/>
  <c r="AJ194" i="19" s="1"/>
  <c r="AI198" i="19" a="1"/>
  <c r="AI198" i="19" s="1"/>
  <c r="AK70" i="19"/>
  <c r="AK151" i="19" s="1"/>
  <c r="AK87" i="19"/>
  <c r="AK168" i="19" s="1"/>
  <c r="F374" i="20"/>
  <c r="AK73" i="19"/>
  <c r="AK154" i="19" s="1"/>
  <c r="AK88" i="19"/>
  <c r="AK169" i="19" s="1"/>
  <c r="G364" i="19"/>
  <c r="H364" i="19" s="1"/>
  <c r="F365" i="19"/>
  <c r="AK83" i="19"/>
  <c r="AK164" i="19" s="1"/>
  <c r="CP200" i="19"/>
  <c r="CQ258" i="19" s="1"/>
  <c r="CP199" i="19"/>
  <c r="AJ70" i="20"/>
  <c r="AJ151" i="20" s="1"/>
  <c r="AK75" i="19"/>
  <c r="AK156" i="19" s="1"/>
  <c r="AJ73" i="20"/>
  <c r="AJ154" i="20" s="1"/>
  <c r="AI183" i="20"/>
  <c r="AI193" i="20" s="1"/>
  <c r="AI182" i="20"/>
  <c r="AI192" i="20" s="1"/>
  <c r="AI179" i="20"/>
  <c r="AI189" i="20" s="1"/>
  <c r="AI180" i="20"/>
  <c r="AI190" i="20" s="1"/>
  <c r="AI184" i="20"/>
  <c r="AI194" i="20" s="1"/>
  <c r="AI178" i="20"/>
  <c r="AI188" i="20" s="1"/>
  <c r="BP201" i="20" l="1"/>
  <c r="BQ259" i="20" s="1"/>
  <c r="G373" i="20" s="1"/>
  <c r="H373" i="20" s="1"/>
  <c r="CC201" i="20"/>
  <c r="CD259" i="20" s="1"/>
  <c r="BX201" i="20"/>
  <c r="BY259" i="20" s="1"/>
  <c r="AZ201" i="20"/>
  <c r="BA259" i="20" s="1"/>
  <c r="G357" i="20" s="1"/>
  <c r="H357" i="20" s="1"/>
  <c r="CG201" i="20"/>
  <c r="CH259" i="20" s="1"/>
  <c r="CR199" i="20"/>
  <c r="CQ200" i="20" s="1"/>
  <c r="CR258" i="20" s="1"/>
  <c r="CB201" i="20"/>
  <c r="CC259" i="20" s="1"/>
  <c r="AP201" i="20"/>
  <c r="AQ259" i="20" s="1"/>
  <c r="G347" i="20" s="1"/>
  <c r="H347" i="20" s="1"/>
  <c r="CF201" i="20"/>
  <c r="CG259" i="20" s="1"/>
  <c r="AV198" i="20" a="1"/>
  <c r="AV198" i="20" s="1"/>
  <c r="AU201" i="20"/>
  <c r="AV259" i="20" s="1"/>
  <c r="G352" i="20" s="1"/>
  <c r="H352" i="20" s="1"/>
  <c r="BX198" i="20" a="1"/>
  <c r="BX198" i="20" s="1"/>
  <c r="BW201" i="20"/>
  <c r="BX259" i="20" s="1"/>
  <c r="AS201" i="20"/>
  <c r="AT259" i="20" s="1"/>
  <c r="G350" i="20" s="1"/>
  <c r="H350" i="20" s="1"/>
  <c r="AW201" i="20"/>
  <c r="AX259" i="20" s="1"/>
  <c r="G354" i="20" s="1"/>
  <c r="H354" i="20" s="1"/>
  <c r="BD201" i="20"/>
  <c r="BE259" i="20" s="1"/>
  <c r="G361" i="20" s="1"/>
  <c r="H361" i="20" s="1"/>
  <c r="BE198" i="20" a="1"/>
  <c r="BE198" i="20" s="1"/>
  <c r="AL186" i="2"/>
  <c r="AL176" i="2" s="1"/>
  <c r="AL149" i="2"/>
  <c r="AL95" i="2"/>
  <c r="AL122" i="2" s="1"/>
  <c r="AQ201" i="20"/>
  <c r="AR259" i="20" s="1"/>
  <c r="G348" i="20" s="1"/>
  <c r="H348" i="20" s="1"/>
  <c r="AR198" i="20" a="1"/>
  <c r="AR198" i="20" s="1"/>
  <c r="BQ201" i="20"/>
  <c r="BR259" i="20" s="1"/>
  <c r="G374" i="20" s="1"/>
  <c r="H374" i="20" s="1"/>
  <c r="BR198" i="20" a="1"/>
  <c r="BR198" i="20" s="1"/>
  <c r="BT201" i="20"/>
  <c r="BU259" i="20" s="1"/>
  <c r="BO201" i="20"/>
  <c r="BP259" i="20" s="1"/>
  <c r="G372" i="20" s="1"/>
  <c r="H372" i="20" s="1"/>
  <c r="CE201" i="20"/>
  <c r="CF259" i="20" s="1"/>
  <c r="AO201" i="20"/>
  <c r="AP259" i="20" s="1"/>
  <c r="G346" i="20" s="1"/>
  <c r="H346" i="20" s="1"/>
  <c r="CD201" i="20"/>
  <c r="CE259" i="20" s="1"/>
  <c r="BB201" i="20"/>
  <c r="BC259" i="20" s="1"/>
  <c r="G359" i="20" s="1"/>
  <c r="H359" i="20" s="1"/>
  <c r="BC201" i="20"/>
  <c r="BD259" i="20" s="1"/>
  <c r="G360" i="20" s="1"/>
  <c r="H360" i="20" s="1"/>
  <c r="AV201" i="20"/>
  <c r="AW259" i="20" s="1"/>
  <c r="G353" i="20" s="1"/>
  <c r="H353" i="20" s="1"/>
  <c r="BL201" i="20"/>
  <c r="BM259" i="20" s="1"/>
  <c r="G369" i="20" s="1"/>
  <c r="H369" i="20" s="1"/>
  <c r="AT201" i="20"/>
  <c r="AU259" i="20" s="1"/>
  <c r="G351" i="20" s="1"/>
  <c r="H351" i="20" s="1"/>
  <c r="AU198" i="20" a="1"/>
  <c r="AU198" i="20" s="1"/>
  <c r="BV201" i="20"/>
  <c r="BW259" i="20" s="1"/>
  <c r="BS201" i="20"/>
  <c r="BT259" i="20" s="1"/>
  <c r="BT198" i="20" a="1"/>
  <c r="BT198" i="20" s="1"/>
  <c r="AX201" i="20"/>
  <c r="AY259" i="20" s="1"/>
  <c r="G355" i="20" s="1"/>
  <c r="H355" i="20" s="1"/>
  <c r="CA198" i="20" a="1"/>
  <c r="CA198" i="20" s="1"/>
  <c r="BZ201" i="20"/>
  <c r="CA259" i="20" s="1"/>
  <c r="CQ200" i="2"/>
  <c r="CR258" i="2" s="1"/>
  <c r="CQ199" i="2"/>
  <c r="BH201" i="20"/>
  <c r="BI259" i="20" s="1"/>
  <c r="G365" i="20" s="1"/>
  <c r="H365" i="20" s="1"/>
  <c r="AR201" i="20"/>
  <c r="AS259" i="20" s="1"/>
  <c r="G349" i="20" s="1"/>
  <c r="H349" i="20" s="1"/>
  <c r="BJ198" i="20" a="1"/>
  <c r="BJ198" i="20" s="1"/>
  <c r="BI201" i="20"/>
  <c r="BJ259" i="20" s="1"/>
  <c r="G366" i="20" s="1"/>
  <c r="H366" i="20" s="1"/>
  <c r="BF201" i="20"/>
  <c r="BG259" i="20" s="1"/>
  <c r="G363" i="20" s="1"/>
  <c r="H363" i="20" s="1"/>
  <c r="CA201" i="20"/>
  <c r="CB259" i="20" s="1"/>
  <c r="BK201" i="20"/>
  <c r="BL259" i="20" s="1"/>
  <c r="G368" i="20" s="1"/>
  <c r="H368" i="20" s="1"/>
  <c r="BK198" i="20" a="1"/>
  <c r="BK198" i="20" s="1"/>
  <c r="BJ201" i="20"/>
  <c r="BK259" i="20" s="1"/>
  <c r="G367" i="20" s="1"/>
  <c r="H367" i="20" s="1"/>
  <c r="BG201" i="20"/>
  <c r="BH259" i="20" s="1"/>
  <c r="G364" i="20" s="1"/>
  <c r="H364" i="20" s="1"/>
  <c r="BA201" i="20"/>
  <c r="BB259" i="20" s="1"/>
  <c r="G358" i="20" s="1"/>
  <c r="H358" i="20" s="1"/>
  <c r="AN201" i="20"/>
  <c r="AO259" i="20" s="1"/>
  <c r="G345" i="20" s="1"/>
  <c r="H345" i="20" s="1"/>
  <c r="AM68" i="2"/>
  <c r="AM12" i="2"/>
  <c r="AN13" i="2"/>
  <c r="CH201" i="20"/>
  <c r="CI259" i="20" s="1"/>
  <c r="CI198" i="20" a="1"/>
  <c r="CI198" i="20" s="1"/>
  <c r="BN201" i="20"/>
  <c r="BO259" i="20" s="1"/>
  <c r="G371" i="20" s="1"/>
  <c r="H371" i="20" s="1"/>
  <c r="BR201" i="20"/>
  <c r="BS259" i="20" s="1"/>
  <c r="AY201" i="20"/>
  <c r="AZ259" i="20" s="1"/>
  <c r="G356" i="20" s="1"/>
  <c r="H356" i="20" s="1"/>
  <c r="BE201" i="20"/>
  <c r="BF259" i="20" s="1"/>
  <c r="G362" i="20" s="1"/>
  <c r="H362" i="20" s="1"/>
  <c r="BY201" i="20"/>
  <c r="BZ259" i="20" s="1"/>
  <c r="BM201" i="20"/>
  <c r="BN259" i="20" s="1"/>
  <c r="G370" i="20" s="1"/>
  <c r="H370" i="20" s="1"/>
  <c r="BN198" i="20" a="1"/>
  <c r="BN198" i="20" s="1"/>
  <c r="BU201" i="20"/>
  <c r="BV259" i="20" s="1"/>
  <c r="BV198" i="20" a="1"/>
  <c r="BV198" i="20" s="1"/>
  <c r="CJ201" i="20"/>
  <c r="CK259" i="20" s="1"/>
  <c r="CK198" i="20" a="1"/>
  <c r="CK198" i="20" s="1"/>
  <c r="AK76" i="20"/>
  <c r="AK157" i="20" s="1"/>
  <c r="AK70" i="20"/>
  <c r="AK151" i="20" s="1"/>
  <c r="AK83" i="20"/>
  <c r="AK164" i="20" s="1"/>
  <c r="AM41" i="20"/>
  <c r="AL64" i="20"/>
  <c r="AM256" i="20" s="1"/>
  <c r="AL63" i="20"/>
  <c r="AM255" i="20" s="1"/>
  <c r="AL65" i="20"/>
  <c r="AM257" i="20" s="1"/>
  <c r="AL62" i="20"/>
  <c r="AM254" i="20" s="1"/>
  <c r="AL59" i="20"/>
  <c r="AM251" i="20" s="1"/>
  <c r="AL58" i="20"/>
  <c r="AM250" i="20" s="1"/>
  <c r="AL57" i="20"/>
  <c r="AM249" i="20" s="1"/>
  <c r="AL56" i="20"/>
  <c r="AM248" i="20" s="1"/>
  <c r="AL54" i="20"/>
  <c r="AM246" i="20" s="1"/>
  <c r="AL53" i="20"/>
  <c r="AM245" i="20" s="1"/>
  <c r="AL51" i="20"/>
  <c r="AM243" i="20" s="1"/>
  <c r="AL49" i="20"/>
  <c r="AM241" i="20" s="1"/>
  <c r="AL50" i="20"/>
  <c r="AM242" i="20" s="1"/>
  <c r="AL46" i="20"/>
  <c r="AM238" i="20" s="1"/>
  <c r="AL44" i="20"/>
  <c r="AM236" i="20" s="1"/>
  <c r="AL43" i="20"/>
  <c r="AM235" i="20" s="1"/>
  <c r="AL45" i="20"/>
  <c r="AM237" i="20" s="1"/>
  <c r="AL47" i="20"/>
  <c r="AM239" i="20" s="1"/>
  <c r="AL60" i="20"/>
  <c r="AM252" i="20" s="1"/>
  <c r="AL48" i="20"/>
  <c r="AM240" i="20" s="1"/>
  <c r="AL42" i="20"/>
  <c r="AM234" i="20" s="1"/>
  <c r="AL52" i="20"/>
  <c r="AM244" i="20" s="1"/>
  <c r="AL55" i="20"/>
  <c r="AM247" i="20" s="1"/>
  <c r="AL61" i="20"/>
  <c r="AM253" i="20" s="1"/>
  <c r="AL71" i="19"/>
  <c r="AL152" i="19" s="1"/>
  <c r="AL79" i="19"/>
  <c r="AL160" i="19" s="1"/>
  <c r="AL89" i="19"/>
  <c r="AL170" i="19" s="1"/>
  <c r="AJ198" i="19" a="1"/>
  <c r="AJ198" i="19" s="1"/>
  <c r="AL72" i="19"/>
  <c r="AL153" i="19" s="1"/>
  <c r="AL80" i="19"/>
  <c r="AL161" i="19" s="1"/>
  <c r="AL87" i="19"/>
  <c r="AL168" i="19" s="1"/>
  <c r="AD68" i="20"/>
  <c r="AD12" i="20"/>
  <c r="AE13" i="20"/>
  <c r="AL73" i="19"/>
  <c r="AL154" i="19" s="1"/>
  <c r="AL81" i="19"/>
  <c r="AL162" i="19" s="1"/>
  <c r="AL88" i="19"/>
  <c r="AL169" i="19" s="1"/>
  <c r="AC186" i="20"/>
  <c r="AC176" i="20" s="1"/>
  <c r="AC149" i="20"/>
  <c r="AC95" i="20"/>
  <c r="AC122" i="20" s="1"/>
  <c r="AJ184" i="20"/>
  <c r="AJ194" i="20" s="1"/>
  <c r="AJ178" i="20"/>
  <c r="AJ188" i="20" s="1"/>
  <c r="AJ179" i="20"/>
  <c r="AJ189" i="20" s="1"/>
  <c r="AJ182" i="20"/>
  <c r="AJ192" i="20" s="1"/>
  <c r="AJ183" i="20"/>
  <c r="AJ193" i="20" s="1"/>
  <c r="AJ180" i="20"/>
  <c r="AJ190" i="20" s="1"/>
  <c r="AK88" i="20"/>
  <c r="AK169" i="20" s="1"/>
  <c r="AK71" i="20"/>
  <c r="AK152" i="20" s="1"/>
  <c r="AK85" i="20"/>
  <c r="AK166" i="20" s="1"/>
  <c r="AJ177" i="20"/>
  <c r="AJ187" i="20" s="1"/>
  <c r="AJ181" i="20"/>
  <c r="AJ191" i="20" s="1"/>
  <c r="AJ195" i="20" s="1"/>
  <c r="AK86" i="20"/>
  <c r="AK167" i="20" s="1"/>
  <c r="AK73" i="20"/>
  <c r="AK154" i="20" s="1"/>
  <c r="AK82" i="20"/>
  <c r="AK163" i="20" s="1"/>
  <c r="AK87" i="20"/>
  <c r="AK168" i="20" s="1"/>
  <c r="AK74" i="20"/>
  <c r="AK155" i="20" s="1"/>
  <c r="AK84" i="20"/>
  <c r="AK165" i="20" s="1"/>
  <c r="AL75" i="19"/>
  <c r="AL156" i="19" s="1"/>
  <c r="AL83" i="19"/>
  <c r="AL164" i="19" s="1"/>
  <c r="AL91" i="19"/>
  <c r="AL172" i="19" s="1"/>
  <c r="AK183" i="19"/>
  <c r="AK193" i="19" s="1"/>
  <c r="AK182" i="19"/>
  <c r="AK192" i="19" s="1"/>
  <c r="AK184" i="19"/>
  <c r="AK194" i="19" s="1"/>
  <c r="AK179" i="19"/>
  <c r="AK189" i="19" s="1"/>
  <c r="AK178" i="19"/>
  <c r="AK188" i="19" s="1"/>
  <c r="AK180" i="19"/>
  <c r="AK190" i="19" s="1"/>
  <c r="CO200" i="19"/>
  <c r="CP258" i="19" s="1"/>
  <c r="CO199" i="19"/>
  <c r="AF13" i="19"/>
  <c r="AE68" i="19"/>
  <c r="AE12" i="19"/>
  <c r="AL74" i="19"/>
  <c r="AL155" i="19" s="1"/>
  <c r="AL82" i="19"/>
  <c r="AL163" i="19" s="1"/>
  <c r="AL90" i="19"/>
  <c r="AL171" i="19" s="1"/>
  <c r="AK177" i="19"/>
  <c r="AK187" i="19" s="1"/>
  <c r="AK181" i="19"/>
  <c r="AK191" i="19" s="1"/>
  <c r="AK195" i="19" s="1"/>
  <c r="AK79" i="20"/>
  <c r="AK160" i="20" s="1"/>
  <c r="AK75" i="20"/>
  <c r="AK156" i="20" s="1"/>
  <c r="AK89" i="20"/>
  <c r="AK170" i="20" s="1"/>
  <c r="F366" i="19"/>
  <c r="G365" i="19"/>
  <c r="H365" i="19" s="1"/>
  <c r="AK78" i="20"/>
  <c r="AK159" i="20" s="1"/>
  <c r="AK77" i="20"/>
  <c r="AK158" i="20" s="1"/>
  <c r="AK91" i="20"/>
  <c r="AK172" i="20" s="1"/>
  <c r="AD186" i="19"/>
  <c r="AD176" i="19" s="1"/>
  <c r="AD149" i="19"/>
  <c r="AD95" i="19"/>
  <c r="AD122" i="19" s="1"/>
  <c r="AL76" i="19"/>
  <c r="AL157" i="19" s="1"/>
  <c r="AL84" i="19"/>
  <c r="AL165" i="19" s="1"/>
  <c r="AL92" i="19"/>
  <c r="AL173" i="19" s="1"/>
  <c r="AI198" i="20" a="1"/>
  <c r="AI198" i="20" s="1"/>
  <c r="F375" i="20"/>
  <c r="AK69" i="20"/>
  <c r="AK150" i="20" s="1"/>
  <c r="AK175" i="20"/>
  <c r="AK80" i="20"/>
  <c r="AK161" i="20" s="1"/>
  <c r="AK90" i="20"/>
  <c r="AK171" i="20" s="1"/>
  <c r="AL175" i="19"/>
  <c r="AL69" i="19"/>
  <c r="AL150" i="19" s="1"/>
  <c r="AL77" i="19"/>
  <c r="AL158" i="19" s="1"/>
  <c r="AL85" i="19"/>
  <c r="AL166" i="19" s="1"/>
  <c r="AN41" i="19"/>
  <c r="AM65" i="19"/>
  <c r="AN257" i="19" s="1"/>
  <c r="AM64" i="19"/>
  <c r="AN256" i="19" s="1"/>
  <c r="AM63" i="19"/>
  <c r="AN255" i="19" s="1"/>
  <c r="AM62" i="19"/>
  <c r="AN254" i="19" s="1"/>
  <c r="AM61" i="19"/>
  <c r="AN253" i="19" s="1"/>
  <c r="AM60" i="19"/>
  <c r="AN252" i="19" s="1"/>
  <c r="AM59" i="19"/>
  <c r="AN251" i="19" s="1"/>
  <c r="AM58" i="19"/>
  <c r="AN250" i="19" s="1"/>
  <c r="AM57" i="19"/>
  <c r="AN249" i="19" s="1"/>
  <c r="AM56" i="19"/>
  <c r="AN248" i="19" s="1"/>
  <c r="AM55" i="19"/>
  <c r="AN247" i="19" s="1"/>
  <c r="AM53" i="19"/>
  <c r="AN245" i="19" s="1"/>
  <c r="AM54" i="19"/>
  <c r="AN246" i="19" s="1"/>
  <c r="AM52" i="19"/>
  <c r="AN244" i="19" s="1"/>
  <c r="AM51" i="19"/>
  <c r="AN243" i="19" s="1"/>
  <c r="AM50" i="19"/>
  <c r="AN242" i="19" s="1"/>
  <c r="AM49" i="19"/>
  <c r="AN241" i="19" s="1"/>
  <c r="AM48" i="19"/>
  <c r="AN240" i="19" s="1"/>
  <c r="AM46" i="19"/>
  <c r="AN238" i="19" s="1"/>
  <c r="AM47" i="19"/>
  <c r="AN239" i="19" s="1"/>
  <c r="AM45" i="19"/>
  <c r="AN237" i="19" s="1"/>
  <c r="AM43" i="19"/>
  <c r="AN235" i="19" s="1"/>
  <c r="AM44" i="19"/>
  <c r="AN236" i="19" s="1"/>
  <c r="AM42" i="19"/>
  <c r="AN234" i="19" s="1"/>
  <c r="AK72" i="20"/>
  <c r="AK153" i="20" s="1"/>
  <c r="AK81" i="20"/>
  <c r="AK162" i="20" s="1"/>
  <c r="AK92" i="20"/>
  <c r="AK173" i="20" s="1"/>
  <c r="AL70" i="19"/>
  <c r="AL151" i="19" s="1"/>
  <c r="AL78" i="19"/>
  <c r="AL159" i="19" s="1"/>
  <c r="AL86" i="19"/>
  <c r="AL167" i="19" s="1"/>
  <c r="CQ199" i="20" l="1"/>
  <c r="CP200" i="20" s="1"/>
  <c r="CQ258" i="20" s="1"/>
  <c r="AO68" i="2"/>
  <c r="AN68" i="2"/>
  <c r="AN12" i="2"/>
  <c r="CP200" i="2"/>
  <c r="CQ258" i="2" s="1"/>
  <c r="CP199" i="2"/>
  <c r="AM95" i="2"/>
  <c r="AM122" i="2" s="1"/>
  <c r="AM186" i="2"/>
  <c r="AM176" i="2" s="1"/>
  <c r="AM149" i="2"/>
  <c r="AM75" i="19"/>
  <c r="AM156" i="19" s="1"/>
  <c r="AL179" i="19"/>
  <c r="AL189" i="19" s="1"/>
  <c r="AL180" i="19"/>
  <c r="AL190" i="19" s="1"/>
  <c r="AL183" i="19"/>
  <c r="AL193" i="19" s="1"/>
  <c r="AL182" i="19"/>
  <c r="AL192" i="19" s="1"/>
  <c r="AL184" i="19"/>
  <c r="AL194" i="19" s="1"/>
  <c r="AL178" i="19"/>
  <c r="AL188" i="19" s="1"/>
  <c r="AE149" i="19"/>
  <c r="AE95" i="19"/>
  <c r="AE122" i="19" s="1"/>
  <c r="AE186" i="19"/>
  <c r="AE176" i="19" s="1"/>
  <c r="AM74" i="19"/>
  <c r="AM155" i="19" s="1"/>
  <c r="AM80" i="19"/>
  <c r="AM161" i="19" s="1"/>
  <c r="AM89" i="19"/>
  <c r="AM170" i="19" s="1"/>
  <c r="AF68" i="19"/>
  <c r="AF12" i="19"/>
  <c r="AG13" i="19"/>
  <c r="CN200" i="19"/>
  <c r="CO258" i="19" s="1"/>
  <c r="CN199" i="19"/>
  <c r="AL79" i="20"/>
  <c r="AL160" i="20" s="1"/>
  <c r="AL73" i="20"/>
  <c r="AL154" i="20" s="1"/>
  <c r="AL85" i="20"/>
  <c r="AL166" i="20" s="1"/>
  <c r="G366" i="19"/>
  <c r="H366" i="19" s="1"/>
  <c r="F367" i="19"/>
  <c r="AM70" i="19"/>
  <c r="AM151" i="19" s="1"/>
  <c r="AM79" i="19"/>
  <c r="AM160" i="19" s="1"/>
  <c r="AM87" i="19"/>
  <c r="AM168" i="19" s="1"/>
  <c r="F376" i="20"/>
  <c r="G375" i="20"/>
  <c r="H375" i="20" s="1"/>
  <c r="AM73" i="19"/>
  <c r="AM154" i="19" s="1"/>
  <c r="AM82" i="19"/>
  <c r="AM163" i="19" s="1"/>
  <c r="AM90" i="19"/>
  <c r="AM171" i="19" s="1"/>
  <c r="AL181" i="19"/>
  <c r="AL191" i="19" s="1"/>
  <c r="AL195" i="19" s="1"/>
  <c r="AL177" i="19"/>
  <c r="AL187" i="19" s="1"/>
  <c r="AL175" i="20"/>
  <c r="AL69" i="20"/>
  <c r="AL150" i="20" s="1"/>
  <c r="AL77" i="20"/>
  <c r="AL158" i="20" s="1"/>
  <c r="AL86" i="20"/>
  <c r="AL167" i="20" s="1"/>
  <c r="AL75" i="20"/>
  <c r="AL156" i="20" s="1"/>
  <c r="AL76" i="20"/>
  <c r="AL157" i="20" s="1"/>
  <c r="AL89" i="20"/>
  <c r="AL170" i="20" s="1"/>
  <c r="AM83" i="19"/>
  <c r="AM164" i="19" s="1"/>
  <c r="AM91" i="19"/>
  <c r="AM172" i="19" s="1"/>
  <c r="AK182" i="20"/>
  <c r="AK192" i="20" s="1"/>
  <c r="AK179" i="20"/>
  <c r="AK189" i="20" s="1"/>
  <c r="AK180" i="20"/>
  <c r="AK190" i="20" s="1"/>
  <c r="AK178" i="20"/>
  <c r="AK188" i="20" s="1"/>
  <c r="AK184" i="20"/>
  <c r="AK194" i="20" s="1"/>
  <c r="AK183" i="20"/>
  <c r="AK193" i="20" s="1"/>
  <c r="AM92" i="19"/>
  <c r="AM173" i="19" s="1"/>
  <c r="AJ198" i="20" a="1"/>
  <c r="AJ198" i="20" s="1"/>
  <c r="AL87" i="20"/>
  <c r="AL168" i="20" s="1"/>
  <c r="AL78" i="20"/>
  <c r="AL159" i="20" s="1"/>
  <c r="AL92" i="20"/>
  <c r="AL173" i="20" s="1"/>
  <c r="AM175" i="19"/>
  <c r="AM69" i="19"/>
  <c r="AM150" i="19" s="1"/>
  <c r="AM77" i="19"/>
  <c r="AM158" i="19" s="1"/>
  <c r="AM85" i="19"/>
  <c r="AM166" i="19" s="1"/>
  <c r="AN65" i="19"/>
  <c r="AO257" i="19" s="1"/>
  <c r="AN63" i="19"/>
  <c r="AO255" i="19" s="1"/>
  <c r="AN62" i="19"/>
  <c r="AO254" i="19" s="1"/>
  <c r="AN61" i="19"/>
  <c r="AO253" i="19" s="1"/>
  <c r="AN60" i="19"/>
  <c r="AO252" i="19" s="1"/>
  <c r="AN64" i="19"/>
  <c r="AO256" i="19" s="1"/>
  <c r="AN59" i="19"/>
  <c r="AO251" i="19" s="1"/>
  <c r="AN58" i="19"/>
  <c r="AO250" i="19" s="1"/>
  <c r="AN57" i="19"/>
  <c r="AO249" i="19" s="1"/>
  <c r="AN56" i="19"/>
  <c r="AO248" i="19" s="1"/>
  <c r="AN55" i="19"/>
  <c r="AO247" i="19" s="1"/>
  <c r="AN54" i="19"/>
  <c r="AO246" i="19" s="1"/>
  <c r="AN53" i="19"/>
  <c r="AO245" i="19" s="1"/>
  <c r="AN52" i="19"/>
  <c r="AO244" i="19" s="1"/>
  <c r="AN51" i="19"/>
  <c r="AO243" i="19" s="1"/>
  <c r="AN50" i="19"/>
  <c r="AO242" i="19" s="1"/>
  <c r="AN49" i="19"/>
  <c r="AO241" i="19" s="1"/>
  <c r="AN48" i="19"/>
  <c r="AO240" i="19" s="1"/>
  <c r="AN46" i="19"/>
  <c r="AO238" i="19" s="1"/>
  <c r="AN47" i="19"/>
  <c r="AO239" i="19" s="1"/>
  <c r="AN45" i="19"/>
  <c r="AO237" i="19" s="1"/>
  <c r="AN44" i="19"/>
  <c r="AO236" i="19" s="1"/>
  <c r="AN43" i="19"/>
  <c r="AO235" i="19" s="1"/>
  <c r="AN42" i="19"/>
  <c r="AO234" i="19" s="1"/>
  <c r="AK177" i="20"/>
  <c r="AK187" i="20" s="1"/>
  <c r="AK181" i="20"/>
  <c r="AK191" i="20" s="1"/>
  <c r="AK195" i="20" s="1"/>
  <c r="AK198" i="19" a="1"/>
  <c r="AK198" i="19" s="1"/>
  <c r="AE12" i="20"/>
  <c r="AE68" i="20"/>
  <c r="AF13" i="20"/>
  <c r="AL74" i="20"/>
  <c r="AL155" i="20" s="1"/>
  <c r="AL80" i="20"/>
  <c r="AL161" i="20" s="1"/>
  <c r="AL90" i="20"/>
  <c r="AL171" i="20" s="1"/>
  <c r="AM71" i="19"/>
  <c r="AM152" i="19" s="1"/>
  <c r="AM78" i="19"/>
  <c r="AM159" i="19" s="1"/>
  <c r="AM86" i="19"/>
  <c r="AM167" i="19" s="1"/>
  <c r="AL72" i="20"/>
  <c r="AL153" i="20" s="1"/>
  <c r="AL81" i="20"/>
  <c r="AL162" i="20" s="1"/>
  <c r="AL91" i="20"/>
  <c r="AL172" i="20" s="1"/>
  <c r="AD149" i="20"/>
  <c r="AD95" i="20"/>
  <c r="AD122" i="20" s="1"/>
  <c r="AD186" i="20"/>
  <c r="AD176" i="20" s="1"/>
  <c r="AL88" i="20"/>
  <c r="AL169" i="20" s="1"/>
  <c r="AL70" i="20"/>
  <c r="AL151" i="20" s="1"/>
  <c r="AL83" i="20"/>
  <c r="AL164" i="20" s="1"/>
  <c r="AN41" i="20"/>
  <c r="AM64" i="20"/>
  <c r="AN256" i="20" s="1"/>
  <c r="AM65" i="20"/>
  <c r="AN257" i="20" s="1"/>
  <c r="AM62" i="20"/>
  <c r="AN254" i="20" s="1"/>
  <c r="AM63" i="20"/>
  <c r="AN255" i="20" s="1"/>
  <c r="AM61" i="20"/>
  <c r="AN253" i="20" s="1"/>
  <c r="AM60" i="20"/>
  <c r="AN252" i="20" s="1"/>
  <c r="AM57" i="20"/>
  <c r="AN249" i="20" s="1"/>
  <c r="AM59" i="20"/>
  <c r="AN251" i="20" s="1"/>
  <c r="AM56" i="20"/>
  <c r="AN248" i="20" s="1"/>
  <c r="AM55" i="20"/>
  <c r="AN247" i="20" s="1"/>
  <c r="AM54" i="20"/>
  <c r="AN246" i="20" s="1"/>
  <c r="AM53" i="20"/>
  <c r="AN245" i="20" s="1"/>
  <c r="AM49" i="20"/>
  <c r="AN241" i="20" s="1"/>
  <c r="AM51" i="20"/>
  <c r="AN243" i="20" s="1"/>
  <c r="AM50" i="20"/>
  <c r="AN242" i="20" s="1"/>
  <c r="AM47" i="20"/>
  <c r="AN239" i="20" s="1"/>
  <c r="AM48" i="20"/>
  <c r="AN240" i="20" s="1"/>
  <c r="AM46" i="20"/>
  <c r="AN238" i="20" s="1"/>
  <c r="AM45" i="20"/>
  <c r="AN237" i="20" s="1"/>
  <c r="AM44" i="20"/>
  <c r="AN236" i="20" s="1"/>
  <c r="AM43" i="20"/>
  <c r="AN235" i="20" s="1"/>
  <c r="AM42" i="20"/>
  <c r="AN234" i="20" s="1"/>
  <c r="AM52" i="20"/>
  <c r="AN244" i="20" s="1"/>
  <c r="AM58" i="20"/>
  <c r="AN250" i="20" s="1"/>
  <c r="AM76" i="19"/>
  <c r="AM157" i="19" s="1"/>
  <c r="AM84" i="19"/>
  <c r="AM165" i="19" s="1"/>
  <c r="AM72" i="19"/>
  <c r="AM153" i="19" s="1"/>
  <c r="AM81" i="19"/>
  <c r="AM162" i="19" s="1"/>
  <c r="AM88" i="19"/>
  <c r="AM169" i="19" s="1"/>
  <c r="AL82" i="20"/>
  <c r="AL163" i="20" s="1"/>
  <c r="AL71" i="20"/>
  <c r="AL152" i="20" s="1"/>
  <c r="AL84" i="20"/>
  <c r="AL165" i="20" s="1"/>
  <c r="CP199" i="20" l="1"/>
  <c r="CO200" i="20" s="1"/>
  <c r="CP258" i="20" s="1"/>
  <c r="AO149" i="2"/>
  <c r="AO95" i="2"/>
  <c r="AO122" i="2" s="1"/>
  <c r="AO186" i="2"/>
  <c r="AO176" i="2" s="1"/>
  <c r="CO200" i="2"/>
  <c r="CP258" i="2" s="1"/>
  <c r="CO199" i="2"/>
  <c r="AN95" i="2"/>
  <c r="AN122" i="2" s="1"/>
  <c r="AN186" i="2"/>
  <c r="AN176" i="2" s="1"/>
  <c r="AN149" i="2"/>
  <c r="AM73" i="20"/>
  <c r="AM154" i="20" s="1"/>
  <c r="AM82" i="20"/>
  <c r="AM163" i="20" s="1"/>
  <c r="AM92" i="20"/>
  <c r="AM173" i="20" s="1"/>
  <c r="AN70" i="19"/>
  <c r="AN151" i="19" s="1"/>
  <c r="AN78" i="19"/>
  <c r="AN159" i="19" s="1"/>
  <c r="AN86" i="19"/>
  <c r="AN167" i="19" s="1"/>
  <c r="AL181" i="20"/>
  <c r="AL191" i="20" s="1"/>
  <c r="AL195" i="20" s="1"/>
  <c r="AL177" i="20"/>
  <c r="AL187" i="20" s="1"/>
  <c r="AF186" i="19"/>
  <c r="AF176" i="19" s="1"/>
  <c r="AF149" i="19"/>
  <c r="AF95" i="19"/>
  <c r="AF122" i="19" s="1"/>
  <c r="AM72" i="20"/>
  <c r="AM153" i="20" s="1"/>
  <c r="AM81" i="20"/>
  <c r="AM162" i="20" s="1"/>
  <c r="AM89" i="20"/>
  <c r="AM170" i="20" s="1"/>
  <c r="AN72" i="19"/>
  <c r="AN153" i="19" s="1"/>
  <c r="AN80" i="19"/>
  <c r="AN161" i="19" s="1"/>
  <c r="AN87" i="19"/>
  <c r="AN168" i="19" s="1"/>
  <c r="AM75" i="20"/>
  <c r="AM156" i="20" s="1"/>
  <c r="AM83" i="20"/>
  <c r="AM164" i="20" s="1"/>
  <c r="AM91" i="20"/>
  <c r="AM172" i="20" s="1"/>
  <c r="AN74" i="19"/>
  <c r="AN155" i="19" s="1"/>
  <c r="AN81" i="19"/>
  <c r="AN162" i="19" s="1"/>
  <c r="AN88" i="19"/>
  <c r="AN169" i="19" s="1"/>
  <c r="AM181" i="19"/>
  <c r="AM191" i="19" s="1"/>
  <c r="AM195" i="19" s="1"/>
  <c r="AM177" i="19"/>
  <c r="AM187" i="19" s="1"/>
  <c r="AM77" i="20"/>
  <c r="AM158" i="20" s="1"/>
  <c r="AM84" i="20"/>
  <c r="AM165" i="20" s="1"/>
  <c r="AM69" i="20"/>
  <c r="AM150" i="20" s="1"/>
  <c r="AM175" i="20"/>
  <c r="AM70" i="20"/>
  <c r="AM151" i="20" s="1"/>
  <c r="AM88" i="20"/>
  <c r="AM169" i="20" s="1"/>
  <c r="AM85" i="20"/>
  <c r="AM166" i="20" s="1"/>
  <c r="AM74" i="20"/>
  <c r="AM155" i="20" s="1"/>
  <c r="AM86" i="20"/>
  <c r="AM167" i="20" s="1"/>
  <c r="AN65" i="20"/>
  <c r="AO257" i="20" s="1"/>
  <c r="AN63" i="20"/>
  <c r="AO255" i="20" s="1"/>
  <c r="AN62" i="20"/>
  <c r="AO254" i="20" s="1"/>
  <c r="AN58" i="20"/>
  <c r="AO250" i="20" s="1"/>
  <c r="AN59" i="20"/>
  <c r="AO251" i="20" s="1"/>
  <c r="AN55" i="20"/>
  <c r="AO247" i="20" s="1"/>
  <c r="AN57" i="20"/>
  <c r="AO249" i="20" s="1"/>
  <c r="AN56" i="20"/>
  <c r="AO248" i="20" s="1"/>
  <c r="AN54" i="20"/>
  <c r="AO246" i="20" s="1"/>
  <c r="AN53" i="20"/>
  <c r="AO245" i="20" s="1"/>
  <c r="AN51" i="20"/>
  <c r="AO243" i="20" s="1"/>
  <c r="AN49" i="20"/>
  <c r="AO241" i="20" s="1"/>
  <c r="AN50" i="20"/>
  <c r="AO242" i="20" s="1"/>
  <c r="AN47" i="20"/>
  <c r="AO239" i="20" s="1"/>
  <c r="AN46" i="20"/>
  <c r="AO238" i="20" s="1"/>
  <c r="AN44" i="20"/>
  <c r="AO236" i="20" s="1"/>
  <c r="AN45" i="20"/>
  <c r="AO237" i="20" s="1"/>
  <c r="AN43" i="20"/>
  <c r="AO235" i="20" s="1"/>
  <c r="AN42" i="20"/>
  <c r="AO234" i="20" s="1"/>
  <c r="AN61" i="20"/>
  <c r="AO253" i="20" s="1"/>
  <c r="AN64" i="20"/>
  <c r="AO256" i="20" s="1"/>
  <c r="AN52" i="20"/>
  <c r="AO244" i="20" s="1"/>
  <c r="AN48" i="20"/>
  <c r="AO240" i="20" s="1"/>
  <c r="AN60" i="20"/>
  <c r="AO252" i="20" s="1"/>
  <c r="AN73" i="19"/>
  <c r="AN154" i="19" s="1"/>
  <c r="AN82" i="19"/>
  <c r="AN163" i="19" s="1"/>
  <c r="AN89" i="19"/>
  <c r="AN170" i="19" s="1"/>
  <c r="AM184" i="19"/>
  <c r="AM194" i="19" s="1"/>
  <c r="AM178" i="19"/>
  <c r="AM188" i="19" s="1"/>
  <c r="AM179" i="19"/>
  <c r="AM189" i="19" s="1"/>
  <c r="AM183" i="19"/>
  <c r="AM193" i="19" s="1"/>
  <c r="AM180" i="19"/>
  <c r="AM190" i="19" s="1"/>
  <c r="AM182" i="19"/>
  <c r="AM192" i="19" s="1"/>
  <c r="CM200" i="19"/>
  <c r="CN258" i="19" s="1"/>
  <c r="CM199" i="19"/>
  <c r="AN75" i="19"/>
  <c r="AN156" i="19" s="1"/>
  <c r="AN83" i="19"/>
  <c r="AN164" i="19" s="1"/>
  <c r="AN90" i="19"/>
  <c r="AN171" i="19" s="1"/>
  <c r="AK198" i="20" a="1"/>
  <c r="AK198" i="20" s="1"/>
  <c r="F368" i="19"/>
  <c r="G367" i="19"/>
  <c r="H367" i="19" s="1"/>
  <c r="AF68" i="20"/>
  <c r="AG13" i="20"/>
  <c r="AF12" i="20"/>
  <c r="AN76" i="19"/>
  <c r="AN157" i="19" s="1"/>
  <c r="AN84" i="19"/>
  <c r="AN165" i="19" s="1"/>
  <c r="AN92" i="19"/>
  <c r="AN173" i="19" s="1"/>
  <c r="G376" i="20"/>
  <c r="H376" i="20" s="1"/>
  <c r="F377" i="20"/>
  <c r="AH13" i="19"/>
  <c r="AG12" i="19"/>
  <c r="AG68" i="19"/>
  <c r="AN175" i="19"/>
  <c r="AN69" i="19"/>
  <c r="AN150" i="19" s="1"/>
  <c r="AN77" i="19"/>
  <c r="AN158" i="19" s="1"/>
  <c r="AN85" i="19"/>
  <c r="AN166" i="19" s="1"/>
  <c r="AM79" i="20"/>
  <c r="AM160" i="20" s="1"/>
  <c r="AM78" i="20"/>
  <c r="AM159" i="20" s="1"/>
  <c r="AM87" i="20"/>
  <c r="AM168" i="20" s="1"/>
  <c r="AM76" i="20"/>
  <c r="AM157" i="20" s="1"/>
  <c r="AE186" i="20"/>
  <c r="AE176" i="20" s="1"/>
  <c r="AE149" i="20"/>
  <c r="AE95" i="20"/>
  <c r="AE122" i="20" s="1"/>
  <c r="AM71" i="20"/>
  <c r="AM152" i="20" s="1"/>
  <c r="AM80" i="20"/>
  <c r="AM161" i="20" s="1"/>
  <c r="AM90" i="20"/>
  <c r="AM171" i="20" s="1"/>
  <c r="AL198" i="19" a="1"/>
  <c r="AL198" i="19" s="1"/>
  <c r="AN71" i="19"/>
  <c r="AN152" i="19" s="1"/>
  <c r="AN79" i="19"/>
  <c r="AN160" i="19" s="1"/>
  <c r="AN91" i="19"/>
  <c r="AN172" i="19" s="1"/>
  <c r="AL184" i="20"/>
  <c r="AL194" i="20" s="1"/>
  <c r="AL183" i="20"/>
  <c r="AL193" i="20" s="1"/>
  <c r="AL182" i="20"/>
  <c r="AL192" i="20" s="1"/>
  <c r="AL178" i="20"/>
  <c r="AL188" i="20" s="1"/>
  <c r="AL180" i="20"/>
  <c r="AL190" i="20" s="1"/>
  <c r="AL179" i="20"/>
  <c r="AL189" i="20" s="1"/>
  <c r="CO199" i="20" l="1"/>
  <c r="CN199" i="20" s="1"/>
  <c r="CN200" i="2"/>
  <c r="CO258" i="2" s="1"/>
  <c r="CN199" i="2"/>
  <c r="F378" i="20"/>
  <c r="G377" i="20"/>
  <c r="H377" i="20" s="1"/>
  <c r="AN175" i="20"/>
  <c r="AN69" i="20"/>
  <c r="AN150" i="20" s="1"/>
  <c r="AN78" i="20"/>
  <c r="AN159" i="20" s="1"/>
  <c r="AN89" i="20"/>
  <c r="AN170" i="20" s="1"/>
  <c r="AN181" i="19"/>
  <c r="AN191" i="19" s="1"/>
  <c r="AN195" i="19" s="1"/>
  <c r="AN177" i="19"/>
  <c r="AN187" i="19" s="1"/>
  <c r="AG68" i="20"/>
  <c r="AG12" i="20"/>
  <c r="AH13" i="20"/>
  <c r="AN72" i="20"/>
  <c r="AN153" i="20" s="1"/>
  <c r="AN81" i="20"/>
  <c r="AN162" i="20" s="1"/>
  <c r="AN92" i="20"/>
  <c r="AN173" i="20" s="1"/>
  <c r="AN184" i="19"/>
  <c r="AN194" i="19" s="1"/>
  <c r="AL201" i="19" s="1"/>
  <c r="AM259" i="19" s="1"/>
  <c r="G343" i="19" s="1"/>
  <c r="H343" i="19" s="1"/>
  <c r="AN182" i="19"/>
  <c r="AN192" i="19" s="1"/>
  <c r="AN179" i="19"/>
  <c r="AN189" i="19" s="1"/>
  <c r="AN178" i="19"/>
  <c r="AN188" i="19" s="1"/>
  <c r="AN183" i="19"/>
  <c r="AN193" i="19" s="1"/>
  <c r="AN180" i="19"/>
  <c r="AN190" i="19" s="1"/>
  <c r="AF186" i="20"/>
  <c r="AF176" i="20" s="1"/>
  <c r="AF149" i="20"/>
  <c r="AF95" i="20"/>
  <c r="AF122" i="20" s="1"/>
  <c r="CL200" i="19"/>
  <c r="CM258" i="19" s="1"/>
  <c r="CL199" i="19"/>
  <c r="AN87" i="20"/>
  <c r="AN168" i="20" s="1"/>
  <c r="AN71" i="20"/>
  <c r="AN152" i="20" s="1"/>
  <c r="AN83" i="20"/>
  <c r="AN164" i="20" s="1"/>
  <c r="AM198" i="19" a="1"/>
  <c r="AM198" i="19" s="1"/>
  <c r="AN75" i="20"/>
  <c r="AN156" i="20" s="1"/>
  <c r="AN73" i="20"/>
  <c r="AN154" i="20" s="1"/>
  <c r="AN84" i="20"/>
  <c r="AN165" i="20" s="1"/>
  <c r="AG186" i="19"/>
  <c r="AG176" i="19" s="1"/>
  <c r="AG149" i="19"/>
  <c r="AG95" i="19"/>
  <c r="AG122" i="19" s="1"/>
  <c r="F369" i="19"/>
  <c r="G368" i="19"/>
  <c r="H368" i="19" s="1"/>
  <c r="AN79" i="20"/>
  <c r="AN160" i="20" s="1"/>
  <c r="AN74" i="20"/>
  <c r="AN155" i="20" s="1"/>
  <c r="AN82" i="20"/>
  <c r="AN163" i="20" s="1"/>
  <c r="AM182" i="20"/>
  <c r="AM192" i="20" s="1"/>
  <c r="AM183" i="20"/>
  <c r="AM193" i="20" s="1"/>
  <c r="AM180" i="20"/>
  <c r="AM190" i="20" s="1"/>
  <c r="AM179" i="20"/>
  <c r="AM189" i="20" s="1"/>
  <c r="AM184" i="20"/>
  <c r="AM194" i="20" s="1"/>
  <c r="AM178" i="20"/>
  <c r="AM188" i="20" s="1"/>
  <c r="AN91" i="20"/>
  <c r="AN172" i="20" s="1"/>
  <c r="AN77" i="20"/>
  <c r="AN158" i="20" s="1"/>
  <c r="AN86" i="20"/>
  <c r="AN167" i="20" s="1"/>
  <c r="AH68" i="19"/>
  <c r="AI13" i="19"/>
  <c r="AH12" i="19"/>
  <c r="AN88" i="20"/>
  <c r="AN169" i="20" s="1"/>
  <c r="AN76" i="20"/>
  <c r="AN157" i="20" s="1"/>
  <c r="AN85" i="20"/>
  <c r="AN166" i="20" s="1"/>
  <c r="AM177" i="20"/>
  <c r="AM187" i="20" s="1"/>
  <c r="AM181" i="20"/>
  <c r="AM191" i="20" s="1"/>
  <c r="AM195" i="20" s="1"/>
  <c r="AL198" i="20" a="1"/>
  <c r="AL198" i="20" s="1"/>
  <c r="AN70" i="20"/>
  <c r="AN151" i="20" s="1"/>
  <c r="AN80" i="20"/>
  <c r="AN161" i="20" s="1"/>
  <c r="AN90" i="20"/>
  <c r="AN171" i="20" s="1"/>
  <c r="CN200" i="20" l="1"/>
  <c r="CO258" i="20" s="1"/>
  <c r="AH201" i="19"/>
  <c r="AI259" i="19" s="1"/>
  <c r="G339" i="19" s="1"/>
  <c r="H339" i="19" s="1"/>
  <c r="L201" i="19"/>
  <c r="M259" i="19" s="1"/>
  <c r="G317" i="19" s="1"/>
  <c r="H317" i="19" s="1"/>
  <c r="AG201" i="19"/>
  <c r="AH259" i="19" s="1"/>
  <c r="G338" i="19" s="1"/>
  <c r="H338" i="19" s="1"/>
  <c r="CM200" i="2"/>
  <c r="CN258" i="2" s="1"/>
  <c r="CM199" i="2"/>
  <c r="CM200" i="20"/>
  <c r="CN258" i="20" s="1"/>
  <c r="CM199" i="20"/>
  <c r="AN198" i="19" a="1"/>
  <c r="AN198" i="19" s="1"/>
  <c r="AM201" i="19"/>
  <c r="AN259" i="19" s="1"/>
  <c r="G344" i="19" s="1"/>
  <c r="H344" i="19" s="1"/>
  <c r="F201" i="19"/>
  <c r="G259" i="19" s="1"/>
  <c r="G311" i="19" s="1"/>
  <c r="H311" i="19" s="1"/>
  <c r="U201" i="19"/>
  <c r="V259" i="19" s="1"/>
  <c r="G326" i="19" s="1"/>
  <c r="H326" i="19" s="1"/>
  <c r="K201" i="19"/>
  <c r="L259" i="19" s="1"/>
  <c r="G316" i="19" s="1"/>
  <c r="H316" i="19" s="1"/>
  <c r="C201" i="19"/>
  <c r="D259" i="19" s="1"/>
  <c r="G308" i="19" s="1"/>
  <c r="H308" i="19" s="1"/>
  <c r="Q201" i="19"/>
  <c r="R259" i="19" s="1"/>
  <c r="G322" i="19" s="1"/>
  <c r="H322" i="19" s="1"/>
  <c r="Z201" i="19"/>
  <c r="AA259" i="19" s="1"/>
  <c r="G331" i="19" s="1"/>
  <c r="H331" i="19" s="1"/>
  <c r="I201" i="19"/>
  <c r="J259" i="19" s="1"/>
  <c r="G314" i="19" s="1"/>
  <c r="H314" i="19" s="1"/>
  <c r="D201" i="19"/>
  <c r="E259" i="19" s="1"/>
  <c r="G309" i="19" s="1"/>
  <c r="H309" i="19" s="1"/>
  <c r="G201" i="19"/>
  <c r="H259" i="19" s="1"/>
  <c r="G312" i="19" s="1"/>
  <c r="H312" i="19" s="1"/>
  <c r="R201" i="19"/>
  <c r="S259" i="19" s="1"/>
  <c r="G323" i="19" s="1"/>
  <c r="H323" i="19" s="1"/>
  <c r="AE201" i="19"/>
  <c r="AF259" i="19" s="1"/>
  <c r="G336" i="19" s="1"/>
  <c r="H336" i="19" s="1"/>
  <c r="H201" i="19"/>
  <c r="I259" i="19" s="1"/>
  <c r="G313" i="19" s="1"/>
  <c r="H313" i="19" s="1"/>
  <c r="AF201" i="19"/>
  <c r="AG259" i="19" s="1"/>
  <c r="G337" i="19" s="1"/>
  <c r="H337" i="19" s="1"/>
  <c r="N201" i="19"/>
  <c r="O259" i="19" s="1"/>
  <c r="G319" i="19" s="1"/>
  <c r="H319" i="19" s="1"/>
  <c r="AI201" i="19"/>
  <c r="AJ259" i="19" s="1"/>
  <c r="G340" i="19" s="1"/>
  <c r="H340" i="19" s="1"/>
  <c r="AA201" i="19"/>
  <c r="AB259" i="19" s="1"/>
  <c r="G332" i="19" s="1"/>
  <c r="H332" i="19" s="1"/>
  <c r="M201" i="19"/>
  <c r="N259" i="19" s="1"/>
  <c r="G318" i="19" s="1"/>
  <c r="H318" i="19" s="1"/>
  <c r="T201" i="19"/>
  <c r="U259" i="19" s="1"/>
  <c r="G325" i="19" s="1"/>
  <c r="H325" i="19" s="1"/>
  <c r="AK201" i="19"/>
  <c r="AL259" i="19" s="1"/>
  <c r="G342" i="19" s="1"/>
  <c r="H342" i="19" s="1"/>
  <c r="W201" i="19"/>
  <c r="X259" i="19" s="1"/>
  <c r="G328" i="19" s="1"/>
  <c r="H328" i="19" s="1"/>
  <c r="O201" i="19"/>
  <c r="P259" i="19" s="1"/>
  <c r="G320" i="19" s="1"/>
  <c r="H320" i="19" s="1"/>
  <c r="V201" i="19"/>
  <c r="W259" i="19" s="1"/>
  <c r="G327" i="19" s="1"/>
  <c r="H327" i="19" s="1"/>
  <c r="AC201" i="19"/>
  <c r="AD259" i="19" s="1"/>
  <c r="G334" i="19" s="1"/>
  <c r="H334" i="19" s="1"/>
  <c r="AB201" i="19"/>
  <c r="AC259" i="19" s="1"/>
  <c r="G333" i="19" s="1"/>
  <c r="H333" i="19" s="1"/>
  <c r="Y201" i="19"/>
  <c r="Z259" i="19" s="1"/>
  <c r="G330" i="19" s="1"/>
  <c r="H330" i="19" s="1"/>
  <c r="AD201" i="19"/>
  <c r="AE259" i="19" s="1"/>
  <c r="G335" i="19" s="1"/>
  <c r="H335" i="19" s="1"/>
  <c r="E201" i="19"/>
  <c r="F259" i="19" s="1"/>
  <c r="G310" i="19" s="1"/>
  <c r="H310" i="19" s="1"/>
  <c r="X201" i="19"/>
  <c r="Y259" i="19" s="1"/>
  <c r="G329" i="19" s="1"/>
  <c r="H329" i="19" s="1"/>
  <c r="J201" i="19"/>
  <c r="K259" i="19" s="1"/>
  <c r="G315" i="19" s="1"/>
  <c r="H315" i="19" s="1"/>
  <c r="S201" i="19"/>
  <c r="T259" i="19" s="1"/>
  <c r="G324" i="19" s="1"/>
  <c r="H324" i="19" s="1"/>
  <c r="AM198" i="20" a="1"/>
  <c r="AM198" i="20" s="1"/>
  <c r="AJ201" i="19"/>
  <c r="AK259" i="19" s="1"/>
  <c r="G341" i="19" s="1"/>
  <c r="H341" i="19" s="1"/>
  <c r="AH68" i="20"/>
  <c r="AI13" i="20"/>
  <c r="AH12" i="20"/>
  <c r="F379" i="20"/>
  <c r="G378" i="20"/>
  <c r="H378" i="20" s="1"/>
  <c r="AI68" i="19"/>
  <c r="AJ13" i="19"/>
  <c r="AI12" i="19"/>
  <c r="P201" i="19"/>
  <c r="Q259" i="19" s="1"/>
  <c r="G321" i="19" s="1"/>
  <c r="H321" i="19" s="1"/>
  <c r="AG186" i="20"/>
  <c r="AG176" i="20" s="1"/>
  <c r="AG149" i="20"/>
  <c r="AG95" i="20"/>
  <c r="AG122" i="20" s="1"/>
  <c r="AN181" i="20"/>
  <c r="AN191" i="20" s="1"/>
  <c r="AN195" i="20" s="1"/>
  <c r="AN177" i="20"/>
  <c r="AN187" i="20" s="1"/>
  <c r="AH186" i="19"/>
  <c r="AH176" i="19" s="1"/>
  <c r="AH149" i="19"/>
  <c r="AH95" i="19"/>
  <c r="AH122" i="19" s="1"/>
  <c r="F370" i="19"/>
  <c r="G369" i="19"/>
  <c r="H369" i="19" s="1"/>
  <c r="CK200" i="19"/>
  <c r="CL258" i="19" s="1"/>
  <c r="CK199" i="19"/>
  <c r="AN184" i="20"/>
  <c r="AN194" i="20" s="1"/>
  <c r="AJ201" i="20" s="1"/>
  <c r="AK259" i="20" s="1"/>
  <c r="G341" i="20" s="1"/>
  <c r="H341" i="20" s="1"/>
  <c r="AN183" i="20"/>
  <c r="AN193" i="20" s="1"/>
  <c r="AN179" i="20"/>
  <c r="AN189" i="20" s="1"/>
  <c r="AN178" i="20"/>
  <c r="AN188" i="20" s="1"/>
  <c r="AN182" i="20"/>
  <c r="AN192" i="20" s="1"/>
  <c r="AN180" i="20"/>
  <c r="AN190" i="20" s="1"/>
  <c r="CL200" i="20" l="1"/>
  <c r="CM258" i="20" s="1"/>
  <c r="CL199" i="20"/>
  <c r="CL200" i="2"/>
  <c r="CM258" i="2" s="1"/>
  <c r="CL199" i="2"/>
  <c r="AI186" i="19"/>
  <c r="AI176" i="19" s="1"/>
  <c r="AI149" i="19"/>
  <c r="AI95" i="19"/>
  <c r="AI122" i="19" s="1"/>
  <c r="AN198" i="20" a="1"/>
  <c r="AN198" i="20" s="1"/>
  <c r="AM201" i="20"/>
  <c r="AN259" i="20" s="1"/>
  <c r="G344" i="20" s="1"/>
  <c r="H344" i="20" s="1"/>
  <c r="F201" i="20"/>
  <c r="G259" i="20" s="1"/>
  <c r="G311" i="20" s="1"/>
  <c r="H311" i="20" s="1"/>
  <c r="J201" i="20"/>
  <c r="K259" i="20" s="1"/>
  <c r="G315" i="20" s="1"/>
  <c r="H315" i="20" s="1"/>
  <c r="H201" i="20"/>
  <c r="I259" i="20" s="1"/>
  <c r="G313" i="20" s="1"/>
  <c r="H313" i="20" s="1"/>
  <c r="G201" i="20"/>
  <c r="H259" i="20" s="1"/>
  <c r="G312" i="20" s="1"/>
  <c r="H312" i="20" s="1"/>
  <c r="K201" i="20"/>
  <c r="L259" i="20" s="1"/>
  <c r="G316" i="20" s="1"/>
  <c r="H316" i="20" s="1"/>
  <c r="C201" i="20"/>
  <c r="D259" i="20" s="1"/>
  <c r="G308" i="20" s="1"/>
  <c r="H308" i="20" s="1"/>
  <c r="E201" i="20"/>
  <c r="F259" i="20" s="1"/>
  <c r="G310" i="20" s="1"/>
  <c r="H310" i="20" s="1"/>
  <c r="D201" i="20"/>
  <c r="E259" i="20" s="1"/>
  <c r="G309" i="20" s="1"/>
  <c r="H309" i="20" s="1"/>
  <c r="L201" i="20"/>
  <c r="M259" i="20" s="1"/>
  <c r="G317" i="20" s="1"/>
  <c r="H317" i="20" s="1"/>
  <c r="I201" i="20"/>
  <c r="J259" i="20" s="1"/>
  <c r="G314" i="20" s="1"/>
  <c r="H314" i="20" s="1"/>
  <c r="N201" i="20"/>
  <c r="O259" i="20" s="1"/>
  <c r="G319" i="20" s="1"/>
  <c r="H319" i="20" s="1"/>
  <c r="M201" i="20"/>
  <c r="N259" i="20" s="1"/>
  <c r="G318" i="20" s="1"/>
  <c r="H318" i="20" s="1"/>
  <c r="P201" i="20"/>
  <c r="Q259" i="20" s="1"/>
  <c r="G321" i="20" s="1"/>
  <c r="H321" i="20" s="1"/>
  <c r="R201" i="20"/>
  <c r="S259" i="20" s="1"/>
  <c r="G323" i="20" s="1"/>
  <c r="H323" i="20" s="1"/>
  <c r="O201" i="20"/>
  <c r="P259" i="20" s="1"/>
  <c r="G320" i="20" s="1"/>
  <c r="H320" i="20" s="1"/>
  <c r="Q201" i="20"/>
  <c r="R259" i="20" s="1"/>
  <c r="G322" i="20" s="1"/>
  <c r="H322" i="20" s="1"/>
  <c r="T201" i="20"/>
  <c r="U259" i="20" s="1"/>
  <c r="G325" i="20" s="1"/>
  <c r="H325" i="20" s="1"/>
  <c r="S201" i="20"/>
  <c r="T259" i="20" s="1"/>
  <c r="G324" i="20" s="1"/>
  <c r="H324" i="20" s="1"/>
  <c r="W201" i="20"/>
  <c r="X259" i="20" s="1"/>
  <c r="G328" i="20" s="1"/>
  <c r="H328" i="20" s="1"/>
  <c r="V201" i="20"/>
  <c r="W259" i="20" s="1"/>
  <c r="G327" i="20" s="1"/>
  <c r="H327" i="20" s="1"/>
  <c r="U201" i="20"/>
  <c r="V259" i="20" s="1"/>
  <c r="G326" i="20" s="1"/>
  <c r="H326" i="20" s="1"/>
  <c r="Y201" i="20"/>
  <c r="Z259" i="20" s="1"/>
  <c r="G330" i="20" s="1"/>
  <c r="H330" i="20" s="1"/>
  <c r="X201" i="20"/>
  <c r="Y259" i="20" s="1"/>
  <c r="G329" i="20" s="1"/>
  <c r="H329" i="20" s="1"/>
  <c r="Z201" i="20"/>
  <c r="AA259" i="20" s="1"/>
  <c r="G331" i="20" s="1"/>
  <c r="H331" i="20" s="1"/>
  <c r="AA201" i="20"/>
  <c r="AB259" i="20" s="1"/>
  <c r="G332" i="20" s="1"/>
  <c r="H332" i="20" s="1"/>
  <c r="AC201" i="20"/>
  <c r="AD259" i="20" s="1"/>
  <c r="G334" i="20" s="1"/>
  <c r="H334" i="20" s="1"/>
  <c r="AB201" i="20"/>
  <c r="AC259" i="20" s="1"/>
  <c r="G333" i="20" s="1"/>
  <c r="H333" i="20" s="1"/>
  <c r="AG201" i="20"/>
  <c r="AH259" i="20" s="1"/>
  <c r="G338" i="20" s="1"/>
  <c r="H338" i="20" s="1"/>
  <c r="AD201" i="20"/>
  <c r="AE259" i="20" s="1"/>
  <c r="G335" i="20" s="1"/>
  <c r="H335" i="20" s="1"/>
  <c r="AI201" i="20"/>
  <c r="AJ259" i="20" s="1"/>
  <c r="G340" i="20" s="1"/>
  <c r="H340" i="20" s="1"/>
  <c r="AH201" i="20"/>
  <c r="AI259" i="20" s="1"/>
  <c r="G339" i="20" s="1"/>
  <c r="H339" i="20" s="1"/>
  <c r="AE201" i="20"/>
  <c r="AF259" i="20" s="1"/>
  <c r="G336" i="20" s="1"/>
  <c r="H336" i="20" s="1"/>
  <c r="AF201" i="20"/>
  <c r="AG259" i="20" s="1"/>
  <c r="G337" i="20" s="1"/>
  <c r="H337" i="20" s="1"/>
  <c r="AK201" i="20"/>
  <c r="AL259" i="20" s="1"/>
  <c r="G342" i="20" s="1"/>
  <c r="H342" i="20" s="1"/>
  <c r="CJ200" i="19"/>
  <c r="CK258" i="19" s="1"/>
  <c r="CJ199" i="19"/>
  <c r="G379" i="20"/>
  <c r="H379" i="20" s="1"/>
  <c r="F380" i="20"/>
  <c r="AL201" i="20"/>
  <c r="AM259" i="20" s="1"/>
  <c r="G343" i="20" s="1"/>
  <c r="H343" i="20" s="1"/>
  <c r="G370" i="19"/>
  <c r="H370" i="19" s="1"/>
  <c r="F371" i="19"/>
  <c r="AJ13" i="20"/>
  <c r="AI68" i="20"/>
  <c r="AI12" i="20"/>
  <c r="AH186" i="20"/>
  <c r="AH176" i="20" s="1"/>
  <c r="AH95" i="20"/>
  <c r="AH122" i="20" s="1"/>
  <c r="AH149" i="20"/>
  <c r="AJ12" i="19"/>
  <c r="AJ68" i="19"/>
  <c r="AK13" i="19"/>
  <c r="CK200" i="2" l="1"/>
  <c r="CL258" i="2" s="1"/>
  <c r="CK199" i="2"/>
  <c r="CK200" i="20"/>
  <c r="CL258" i="20" s="1"/>
  <c r="CK199" i="20"/>
  <c r="AJ68" i="20"/>
  <c r="AK13" i="20"/>
  <c r="AJ12" i="20"/>
  <c r="G380" i="20"/>
  <c r="H380" i="20" s="1"/>
  <c r="F381" i="20"/>
  <c r="CI200" i="19"/>
  <c r="CJ258" i="19" s="1"/>
  <c r="CI199" i="19"/>
  <c r="AK68" i="19"/>
  <c r="AK12" i="19"/>
  <c r="AL13" i="19"/>
  <c r="AJ186" i="19"/>
  <c r="AJ176" i="19" s="1"/>
  <c r="AJ149" i="19"/>
  <c r="AJ95" i="19"/>
  <c r="AJ122" i="19" s="1"/>
  <c r="AI186" i="20"/>
  <c r="AI176" i="20" s="1"/>
  <c r="AI95" i="20"/>
  <c r="AI122" i="20" s="1"/>
  <c r="AI149" i="20"/>
  <c r="G371" i="19"/>
  <c r="H371" i="19" s="1"/>
  <c r="F372" i="19"/>
  <c r="CJ200" i="20" l="1"/>
  <c r="CK258" i="20" s="1"/>
  <c r="CJ199" i="20"/>
  <c r="CJ200" i="2"/>
  <c r="CK258" i="2" s="1"/>
  <c r="CJ199" i="2"/>
  <c r="AK186" i="19"/>
  <c r="AK176" i="19" s="1"/>
  <c r="AK95" i="19"/>
  <c r="AK122" i="19" s="1"/>
  <c r="AK149" i="19"/>
  <c r="CH200" i="19"/>
  <c r="CI258" i="19" s="1"/>
  <c r="CH199" i="19"/>
  <c r="G372" i="19"/>
  <c r="H372" i="19" s="1"/>
  <c r="F373" i="19"/>
  <c r="AK68" i="20"/>
  <c r="AL13" i="20"/>
  <c r="AK12" i="20"/>
  <c r="AM13" i="19"/>
  <c r="AL68" i="19"/>
  <c r="AL12" i="19"/>
  <c r="G381" i="20"/>
  <c r="H381" i="20" s="1"/>
  <c r="F382" i="20"/>
  <c r="AJ186" i="20"/>
  <c r="AJ176" i="20" s="1"/>
  <c r="AJ149" i="20"/>
  <c r="AJ95" i="20"/>
  <c r="AJ122" i="20" s="1"/>
  <c r="CI200" i="2" l="1"/>
  <c r="CJ258" i="2" s="1"/>
  <c r="CI199" i="2"/>
  <c r="CI200" i="20"/>
  <c r="CJ258" i="20" s="1"/>
  <c r="CI199" i="20"/>
  <c r="F383" i="20"/>
  <c r="G382" i="20"/>
  <c r="H382" i="20" s="1"/>
  <c r="F374" i="19"/>
  <c r="G373" i="19"/>
  <c r="H373" i="19" s="1"/>
  <c r="AL186" i="19"/>
  <c r="AL176" i="19" s="1"/>
  <c r="AL149" i="19"/>
  <c r="AL95" i="19"/>
  <c r="AL122" i="19" s="1"/>
  <c r="CG200" i="19"/>
  <c r="CH258" i="19" s="1"/>
  <c r="CG199" i="19"/>
  <c r="AL68" i="20"/>
  <c r="AM13" i="20"/>
  <c r="AL12" i="20"/>
  <c r="AN13" i="19"/>
  <c r="AM12" i="19"/>
  <c r="AM68" i="19"/>
  <c r="AK186" i="20"/>
  <c r="AK176" i="20" s="1"/>
  <c r="AK149" i="20"/>
  <c r="AK95" i="20"/>
  <c r="AK122" i="20" s="1"/>
  <c r="CH200" i="20" l="1"/>
  <c r="CI258" i="20" s="1"/>
  <c r="CH199" i="20"/>
  <c r="CH200" i="2"/>
  <c r="CI258" i="2" s="1"/>
  <c r="CH199" i="2"/>
  <c r="AL186" i="20"/>
  <c r="AL176" i="20" s="1"/>
  <c r="AL149" i="20"/>
  <c r="AL95" i="20"/>
  <c r="AL122" i="20" s="1"/>
  <c r="AM186" i="19"/>
  <c r="AM176" i="19" s="1"/>
  <c r="AM95" i="19"/>
  <c r="AM122" i="19" s="1"/>
  <c r="AM149" i="19"/>
  <c r="G374" i="19"/>
  <c r="H374" i="19" s="1"/>
  <c r="F375" i="19"/>
  <c r="CF200" i="19"/>
  <c r="CG258" i="19" s="1"/>
  <c r="CF199" i="19"/>
  <c r="AN68" i="19"/>
  <c r="AO68" i="19"/>
  <c r="AN12" i="19"/>
  <c r="F384" i="20"/>
  <c r="G383" i="20"/>
  <c r="H383" i="20" s="1"/>
  <c r="AM68" i="20"/>
  <c r="AN13" i="20"/>
  <c r="AM12" i="20"/>
  <c r="CG200" i="2" l="1"/>
  <c r="CH258" i="2" s="1"/>
  <c r="CG199" i="2"/>
  <c r="CG200" i="20"/>
  <c r="CH258" i="20" s="1"/>
  <c r="CG199" i="20"/>
  <c r="AM186" i="20"/>
  <c r="AM176" i="20" s="1"/>
  <c r="AM149" i="20"/>
  <c r="AM95" i="20"/>
  <c r="AM122" i="20" s="1"/>
  <c r="G384" i="20"/>
  <c r="H384" i="20" s="1"/>
  <c r="F385" i="20"/>
  <c r="AO95" i="19"/>
  <c r="AO122" i="19" s="1"/>
  <c r="AO149" i="19"/>
  <c r="AO186" i="19"/>
  <c r="AO176" i="19" s="1"/>
  <c r="AN186" i="19"/>
  <c r="AN176" i="19" s="1"/>
  <c r="AN149" i="19"/>
  <c r="AN95" i="19"/>
  <c r="AN122" i="19" s="1"/>
  <c r="AO68" i="20"/>
  <c r="AN68" i="20"/>
  <c r="AN12" i="20"/>
  <c r="CE200" i="19"/>
  <c r="CF258" i="19" s="1"/>
  <c r="CE199" i="19"/>
  <c r="F376" i="19"/>
  <c r="G375" i="19"/>
  <c r="H375" i="19" s="1"/>
  <c r="CF200" i="20" l="1"/>
  <c r="CG258" i="20" s="1"/>
  <c r="CF199" i="20"/>
  <c r="CF200" i="2"/>
  <c r="CG258" i="2" s="1"/>
  <c r="CF199" i="2"/>
  <c r="F377" i="19"/>
  <c r="G376" i="19"/>
  <c r="H376" i="19" s="1"/>
  <c r="AO149" i="20"/>
  <c r="AO95" i="20"/>
  <c r="AO122" i="20" s="1"/>
  <c r="AO186" i="20"/>
  <c r="AO176" i="20" s="1"/>
  <c r="F386" i="20"/>
  <c r="G385" i="20"/>
  <c r="H385" i="20" s="1"/>
  <c r="CD200" i="19"/>
  <c r="CE258" i="19" s="1"/>
  <c r="CD199" i="19"/>
  <c r="AN186" i="20"/>
  <c r="AN176" i="20" s="1"/>
  <c r="AN149" i="20"/>
  <c r="AN95" i="20"/>
  <c r="AN122" i="20" s="1"/>
  <c r="CE200" i="2" l="1"/>
  <c r="CF258" i="2" s="1"/>
  <c r="CE199" i="2"/>
  <c r="CE200" i="20"/>
  <c r="CF258" i="20" s="1"/>
  <c r="CE199" i="20"/>
  <c r="CC200" i="19"/>
  <c r="CD258" i="19" s="1"/>
  <c r="CC199" i="19"/>
  <c r="F378" i="19"/>
  <c r="G377" i="19"/>
  <c r="H377" i="19" s="1"/>
  <c r="G386" i="20"/>
  <c r="H386" i="20" s="1"/>
  <c r="F387" i="20"/>
  <c r="G387" i="20" s="1"/>
  <c r="H387" i="20" s="1"/>
  <c r="CD200" i="20" l="1"/>
  <c r="CE258" i="20" s="1"/>
  <c r="CD199" i="20"/>
  <c r="CD200" i="2"/>
  <c r="CE258" i="2" s="1"/>
  <c r="CD199" i="2"/>
  <c r="CB200" i="19"/>
  <c r="CC258" i="19" s="1"/>
  <c r="CB199" i="19"/>
  <c r="G378" i="19"/>
  <c r="H378" i="19" s="1"/>
  <c r="F379" i="19"/>
  <c r="CC200" i="2" l="1"/>
  <c r="CD258" i="2" s="1"/>
  <c r="CC199" i="2"/>
  <c r="CC200" i="20"/>
  <c r="CD258" i="20" s="1"/>
  <c r="CC199" i="20"/>
  <c r="G379" i="19"/>
  <c r="H379" i="19" s="1"/>
  <c r="F380" i="19"/>
  <c r="CA200" i="19"/>
  <c r="CB258" i="19" s="1"/>
  <c r="CA199" i="19"/>
  <c r="CB200" i="20" l="1"/>
  <c r="CC258" i="20" s="1"/>
  <c r="CB199" i="20"/>
  <c r="CB200" i="2"/>
  <c r="CC258" i="2" s="1"/>
  <c r="CB199" i="2"/>
  <c r="G380" i="19"/>
  <c r="H380" i="19" s="1"/>
  <c r="F381" i="19"/>
  <c r="BZ200" i="19"/>
  <c r="CA258" i="19" s="1"/>
  <c r="BZ199" i="19"/>
  <c r="CA200" i="2" l="1"/>
  <c r="CB258" i="2" s="1"/>
  <c r="CA199" i="2"/>
  <c r="CA200" i="20"/>
  <c r="CB258" i="20" s="1"/>
  <c r="CA199" i="20"/>
  <c r="BY200" i="19"/>
  <c r="BZ258" i="19" s="1"/>
  <c r="BY199" i="19"/>
  <c r="F382" i="19"/>
  <c r="G381" i="19"/>
  <c r="H381" i="19" s="1"/>
  <c r="BZ200" i="20" l="1"/>
  <c r="CA258" i="20" s="1"/>
  <c r="BZ199" i="20"/>
  <c r="BZ200" i="2"/>
  <c r="CA258" i="2" s="1"/>
  <c r="BZ199" i="2"/>
  <c r="G382" i="19"/>
  <c r="H382" i="19" s="1"/>
  <c r="F383" i="19"/>
  <c r="BX200" i="19"/>
  <c r="BY258" i="19" s="1"/>
  <c r="BX199" i="19"/>
  <c r="BY200" i="2" l="1"/>
  <c r="BZ258" i="2" s="1"/>
  <c r="BY199" i="2"/>
  <c r="BY200" i="20"/>
  <c r="BZ258" i="20" s="1"/>
  <c r="BY199" i="20"/>
  <c r="F384" i="19"/>
  <c r="G383" i="19"/>
  <c r="H383" i="19" s="1"/>
  <c r="BW200" i="19"/>
  <c r="BX258" i="19" s="1"/>
  <c r="BW199" i="19"/>
  <c r="BX200" i="20" l="1"/>
  <c r="BY258" i="20" s="1"/>
  <c r="BX199" i="20"/>
  <c r="BX200" i="2"/>
  <c r="BY258" i="2" s="1"/>
  <c r="BX199" i="2"/>
  <c r="BV200" i="19"/>
  <c r="BW258" i="19" s="1"/>
  <c r="BV199" i="19"/>
  <c r="F385" i="19"/>
  <c r="G384" i="19"/>
  <c r="H384" i="19" s="1"/>
  <c r="BW200" i="2" l="1"/>
  <c r="BX258" i="2" s="1"/>
  <c r="BW199" i="2"/>
  <c r="BW199" i="20"/>
  <c r="BW200" i="20"/>
  <c r="BX258" i="20" s="1"/>
  <c r="F386" i="19"/>
  <c r="G385" i="19"/>
  <c r="H385" i="19" s="1"/>
  <c r="BU200" i="19"/>
  <c r="BV258" i="19" s="1"/>
  <c r="BU199" i="19"/>
  <c r="BV200" i="20" l="1"/>
  <c r="BW258" i="20" s="1"/>
  <c r="BV199" i="20"/>
  <c r="BV199" i="2"/>
  <c r="BV200" i="2"/>
  <c r="BW258" i="2" s="1"/>
  <c r="BT200" i="19"/>
  <c r="BU258" i="19" s="1"/>
  <c r="BT199" i="19"/>
  <c r="F387" i="19"/>
  <c r="G387" i="19" s="1"/>
  <c r="H387" i="19" s="1"/>
  <c r="G386" i="19"/>
  <c r="H386" i="19" s="1"/>
  <c r="BU199" i="2" l="1"/>
  <c r="BU200" i="2"/>
  <c r="BV258" i="2" s="1"/>
  <c r="BU200" i="20"/>
  <c r="BV258" i="20" s="1"/>
  <c r="BU199" i="20"/>
  <c r="BS200" i="19"/>
  <c r="BT258" i="19" s="1"/>
  <c r="BS199" i="19"/>
  <c r="BT199" i="20" l="1"/>
  <c r="BT200" i="20"/>
  <c r="BU258" i="20" s="1"/>
  <c r="BT199" i="2"/>
  <c r="BT200" i="2"/>
  <c r="BU258" i="2" s="1"/>
  <c r="BR200" i="19"/>
  <c r="BS258" i="19" s="1"/>
  <c r="BR199" i="19"/>
  <c r="BS200" i="2" l="1"/>
  <c r="BT258" i="2" s="1"/>
  <c r="BS199" i="2"/>
  <c r="BS199" i="20"/>
  <c r="BS200" i="20"/>
  <c r="BT258" i="20" s="1"/>
  <c r="BQ200" i="19"/>
  <c r="BR258" i="19" s="1"/>
  <c r="BQ199" i="19"/>
  <c r="BR200" i="20" l="1"/>
  <c r="BS258" i="20" s="1"/>
  <c r="BR199" i="20"/>
  <c r="BR199" i="2"/>
  <c r="BR200" i="2"/>
  <c r="BS258" i="2" s="1"/>
  <c r="BP200" i="19"/>
  <c r="BQ258" i="19" s="1"/>
  <c r="BP199" i="19"/>
  <c r="BQ199" i="2" l="1"/>
  <c r="BQ200" i="2"/>
  <c r="BR258" i="2" s="1"/>
  <c r="BQ199" i="20"/>
  <c r="BQ200" i="20"/>
  <c r="BR258" i="20" s="1"/>
  <c r="BO200" i="19"/>
  <c r="BP258" i="19" s="1"/>
  <c r="BO199" i="19"/>
  <c r="BP200" i="20" l="1"/>
  <c r="BQ258" i="20" s="1"/>
  <c r="BP199" i="20"/>
  <c r="BP200" i="2"/>
  <c r="BQ258" i="2" s="1"/>
  <c r="BP199" i="2"/>
  <c r="BN200" i="19"/>
  <c r="BO258" i="19" s="1"/>
  <c r="BN199" i="19"/>
  <c r="BO199" i="2" l="1"/>
  <c r="BO200" i="2"/>
  <c r="BP258" i="2" s="1"/>
  <c r="BO199" i="20"/>
  <c r="BO200" i="20"/>
  <c r="BP258" i="20" s="1"/>
  <c r="BM200" i="19"/>
  <c r="BN258" i="19" s="1"/>
  <c r="BM199" i="19"/>
  <c r="BN200" i="20" l="1"/>
  <c r="BO258" i="20" s="1"/>
  <c r="BN199" i="20"/>
  <c r="BN200" i="2"/>
  <c r="BO258" i="2" s="1"/>
  <c r="BN199" i="2"/>
  <c r="BL200" i="19"/>
  <c r="BM258" i="19" s="1"/>
  <c r="BL199" i="19"/>
  <c r="BM199" i="2" l="1"/>
  <c r="BM200" i="2"/>
  <c r="BN258" i="2" s="1"/>
  <c r="BM199" i="20"/>
  <c r="BM200" i="20"/>
  <c r="BN258" i="20" s="1"/>
  <c r="BK200" i="19"/>
  <c r="BL258" i="19" s="1"/>
  <c r="BK199" i="19"/>
  <c r="BL199" i="20" l="1"/>
  <c r="BL200" i="20"/>
  <c r="BM258" i="20" s="1"/>
  <c r="BL200" i="2"/>
  <c r="BM258" i="2" s="1"/>
  <c r="BL199" i="2"/>
  <c r="BJ200" i="19"/>
  <c r="BK258" i="19" s="1"/>
  <c r="BJ199" i="19"/>
  <c r="BK199" i="2" l="1"/>
  <c r="BK200" i="2"/>
  <c r="BL258" i="2" s="1"/>
  <c r="BK200" i="20"/>
  <c r="BL258" i="20" s="1"/>
  <c r="BK199" i="20"/>
  <c r="BI200" i="19"/>
  <c r="BJ258" i="19" s="1"/>
  <c r="BI199" i="19"/>
  <c r="BJ200" i="20" l="1"/>
  <c r="BK258" i="20" s="1"/>
  <c r="BJ199" i="20"/>
  <c r="BJ200" i="2"/>
  <c r="BK258" i="2" s="1"/>
  <c r="BJ199" i="2"/>
  <c r="BH200" i="19"/>
  <c r="BI258" i="19" s="1"/>
  <c r="BH199" i="19"/>
  <c r="BI199" i="2" l="1"/>
  <c r="BI200" i="2"/>
  <c r="BJ258" i="2" s="1"/>
  <c r="BI200" i="20"/>
  <c r="BJ258" i="20" s="1"/>
  <c r="BI199" i="20"/>
  <c r="BG200" i="19"/>
  <c r="BH258" i="19" s="1"/>
  <c r="BG199" i="19"/>
  <c r="BH199" i="20" l="1"/>
  <c r="BH200" i="20"/>
  <c r="BI258" i="20" s="1"/>
  <c r="BH200" i="2"/>
  <c r="BI258" i="2" s="1"/>
  <c r="BH199" i="2"/>
  <c r="BF200" i="19"/>
  <c r="BG258" i="19" s="1"/>
  <c r="BF199" i="19"/>
  <c r="BG200" i="2" l="1"/>
  <c r="BH258" i="2" s="1"/>
  <c r="BG199" i="2"/>
  <c r="BG199" i="20"/>
  <c r="BG200" i="20"/>
  <c r="BH258" i="20" s="1"/>
  <c r="BE200" i="19"/>
  <c r="BF258" i="19" s="1"/>
  <c r="BE199" i="19"/>
  <c r="BF199" i="20" l="1"/>
  <c r="BF200" i="20"/>
  <c r="BG258" i="20" s="1"/>
  <c r="BF200" i="2"/>
  <c r="BG258" i="2" s="1"/>
  <c r="BF199" i="2"/>
  <c r="BD200" i="19"/>
  <c r="BE258" i="19" s="1"/>
  <c r="BD199" i="19"/>
  <c r="BE200" i="2" l="1"/>
  <c r="BF258" i="2" s="1"/>
  <c r="BE199" i="2"/>
  <c r="BE200" i="20"/>
  <c r="BF258" i="20" s="1"/>
  <c r="BE199" i="20"/>
  <c r="BC200" i="19"/>
  <c r="BD258" i="19" s="1"/>
  <c r="BC199" i="19"/>
  <c r="BD200" i="20" l="1"/>
  <c r="BE258" i="20" s="1"/>
  <c r="BD199" i="20"/>
  <c r="BD199" i="2"/>
  <c r="BD200" i="2"/>
  <c r="BE258" i="2" s="1"/>
  <c r="BB200" i="19"/>
  <c r="BC258" i="19" s="1"/>
  <c r="BB199" i="19"/>
  <c r="BC199" i="2" l="1"/>
  <c r="BC200" i="2"/>
  <c r="BD258" i="2" s="1"/>
  <c r="BC200" i="20"/>
  <c r="BD258" i="20" s="1"/>
  <c r="BC199" i="20"/>
  <c r="BA200" i="19"/>
  <c r="BB258" i="19" s="1"/>
  <c r="BA199" i="19"/>
  <c r="BB199" i="20" l="1"/>
  <c r="BB200" i="20"/>
  <c r="BC258" i="20" s="1"/>
  <c r="BB200" i="2"/>
  <c r="BC258" i="2" s="1"/>
  <c r="BB199" i="2"/>
  <c r="AZ200" i="19"/>
  <c r="BA258" i="19" s="1"/>
  <c r="AZ199" i="19"/>
  <c r="BA200" i="2" l="1"/>
  <c r="BB258" i="2" s="1"/>
  <c r="BA199" i="2"/>
  <c r="BA200" i="20"/>
  <c r="BB258" i="20" s="1"/>
  <c r="BA199" i="20"/>
  <c r="AY200" i="19"/>
  <c r="AZ258" i="19" s="1"/>
  <c r="AY199" i="19"/>
  <c r="AZ199" i="20" l="1"/>
  <c r="AZ200" i="20"/>
  <c r="BA258" i="20" s="1"/>
  <c r="AZ200" i="2"/>
  <c r="BA258" i="2" s="1"/>
  <c r="AZ199" i="2"/>
  <c r="AX200" i="19"/>
  <c r="AY258" i="19" s="1"/>
  <c r="AX199" i="19"/>
  <c r="AY200" i="2" l="1"/>
  <c r="AZ258" i="2" s="1"/>
  <c r="AY199" i="2"/>
  <c r="AY200" i="20"/>
  <c r="AZ258" i="20" s="1"/>
  <c r="AY199" i="20"/>
  <c r="AW200" i="19"/>
  <c r="AX258" i="19" s="1"/>
  <c r="AW199" i="19"/>
  <c r="AX199" i="20" l="1"/>
  <c r="AX200" i="20"/>
  <c r="AY258" i="20" s="1"/>
  <c r="AX200" i="2"/>
  <c r="AY258" i="2" s="1"/>
  <c r="AX199" i="2"/>
  <c r="AV200" i="19"/>
  <c r="AW258" i="19" s="1"/>
  <c r="AV199" i="19"/>
  <c r="AW200" i="2" l="1"/>
  <c r="AX258" i="2" s="1"/>
  <c r="AW199" i="2"/>
  <c r="AW200" i="20"/>
  <c r="AX258" i="20" s="1"/>
  <c r="AW199" i="20"/>
  <c r="AU200" i="19"/>
  <c r="AV258" i="19" s="1"/>
  <c r="AU199" i="19"/>
  <c r="AV200" i="20" l="1"/>
  <c r="AW258" i="20" s="1"/>
  <c r="AV199" i="20"/>
  <c r="AV199" i="2"/>
  <c r="AV200" i="2"/>
  <c r="AW258" i="2" s="1"/>
  <c r="AT200" i="19"/>
  <c r="AU258" i="19" s="1"/>
  <c r="AT199" i="19"/>
  <c r="AU200" i="2" l="1"/>
  <c r="AV258" i="2" s="1"/>
  <c r="AU199" i="2"/>
  <c r="AU200" i="20"/>
  <c r="AV258" i="20" s="1"/>
  <c r="AU199" i="20"/>
  <c r="AS200" i="19"/>
  <c r="AT258" i="19" s="1"/>
  <c r="AS199" i="19"/>
  <c r="AT200" i="20" l="1"/>
  <c r="AU258" i="20" s="1"/>
  <c r="AT199" i="20"/>
  <c r="AT200" i="2"/>
  <c r="AU258" i="2" s="1"/>
  <c r="AT199" i="2"/>
  <c r="AR200" i="19"/>
  <c r="AS258" i="19" s="1"/>
  <c r="AR199" i="19"/>
  <c r="AS200" i="2" l="1"/>
  <c r="AT258" i="2" s="1"/>
  <c r="AS199" i="2"/>
  <c r="AS199" i="20"/>
  <c r="AS200" i="20"/>
  <c r="AT258" i="20" s="1"/>
  <c r="AQ200" i="19"/>
  <c r="AR258" i="19" s="1"/>
  <c r="AQ199" i="19"/>
  <c r="AR199" i="20" l="1"/>
  <c r="AR200" i="20"/>
  <c r="AS258" i="20" s="1"/>
  <c r="AR200" i="2"/>
  <c r="AS258" i="2" s="1"/>
  <c r="AR199" i="2"/>
  <c r="AP200" i="19"/>
  <c r="AQ258" i="19" s="1"/>
  <c r="AP199" i="19"/>
  <c r="AQ200" i="2" l="1"/>
  <c r="AR258" i="2" s="1"/>
  <c r="AQ199" i="2"/>
  <c r="AQ200" i="20"/>
  <c r="AR258" i="20" s="1"/>
  <c r="AQ199" i="20"/>
  <c r="AO200" i="19"/>
  <c r="AP258" i="19" s="1"/>
  <c r="AO199" i="19"/>
  <c r="AP200" i="20" l="1"/>
  <c r="AQ258" i="20" s="1"/>
  <c r="AP199" i="20"/>
  <c r="AP200" i="2"/>
  <c r="AQ258" i="2" s="1"/>
  <c r="AP199" i="2"/>
  <c r="AN200" i="19"/>
  <c r="AO258" i="19" s="1"/>
  <c r="AN199" i="19"/>
  <c r="AO199" i="2" l="1"/>
  <c r="AO200" i="2"/>
  <c r="AP258" i="2" s="1"/>
  <c r="AO200" i="20"/>
  <c r="AP258" i="20" s="1"/>
  <c r="AO199" i="20"/>
  <c r="AM200" i="19"/>
  <c r="AN258" i="19" s="1"/>
  <c r="AM199" i="19"/>
  <c r="AN200" i="20" l="1"/>
  <c r="AO258" i="20" s="1"/>
  <c r="AN199" i="20"/>
  <c r="AN200" i="2"/>
  <c r="AO258" i="2" s="1"/>
  <c r="AN199" i="2"/>
  <c r="AL200" i="19"/>
  <c r="AM258" i="19" s="1"/>
  <c r="AL199" i="19"/>
  <c r="AM199" i="2" l="1"/>
  <c r="AM200" i="2"/>
  <c r="AN258" i="2" s="1"/>
  <c r="AM199" i="20"/>
  <c r="AM200" i="20"/>
  <c r="AN258" i="20" s="1"/>
  <c r="AK200" i="19"/>
  <c r="AL258" i="19" s="1"/>
  <c r="AK199" i="19"/>
  <c r="AL200" i="20" l="1"/>
  <c r="AM258" i="20" s="1"/>
  <c r="AL199" i="20"/>
  <c r="AL200" i="2"/>
  <c r="AM258" i="2" s="1"/>
  <c r="AL199" i="2"/>
  <c r="AJ200" i="19"/>
  <c r="AK258" i="19" s="1"/>
  <c r="AJ199" i="19"/>
  <c r="AK200" i="2" l="1"/>
  <c r="AL258" i="2" s="1"/>
  <c r="AK199" i="2"/>
  <c r="AK199" i="20"/>
  <c r="AK200" i="20"/>
  <c r="AL258" i="20" s="1"/>
  <c r="AI200" i="19"/>
  <c r="AJ258" i="19" s="1"/>
  <c r="AI199" i="19"/>
  <c r="AJ200" i="20" l="1"/>
  <c r="AK258" i="20" s="1"/>
  <c r="AJ199" i="20"/>
  <c r="AJ199" i="2"/>
  <c r="AJ200" i="2"/>
  <c r="AK258" i="2" s="1"/>
  <c r="AH200" i="19"/>
  <c r="AI258" i="19" s="1"/>
  <c r="AH199" i="19"/>
  <c r="AI200" i="2" l="1"/>
  <c r="AJ258" i="2" s="1"/>
  <c r="AI199" i="2"/>
  <c r="AI200" i="20"/>
  <c r="AJ258" i="20" s="1"/>
  <c r="AI199" i="20"/>
  <c r="AG200" i="19"/>
  <c r="AH258" i="19" s="1"/>
  <c r="AG199" i="19"/>
  <c r="AH200" i="20" l="1"/>
  <c r="AI258" i="20" s="1"/>
  <c r="AH199" i="20"/>
  <c r="AH200" i="2"/>
  <c r="AI258" i="2" s="1"/>
  <c r="AH199" i="2"/>
  <c r="AF200" i="19"/>
  <c r="AG258" i="19" s="1"/>
  <c r="AF199" i="19"/>
  <c r="AG200" i="2" l="1"/>
  <c r="AH258" i="2" s="1"/>
  <c r="AG199" i="2"/>
  <c r="AG199" i="20"/>
  <c r="AG200" i="20"/>
  <c r="AH258" i="20" s="1"/>
  <c r="AE200" i="19"/>
  <c r="AF258" i="19" s="1"/>
  <c r="AE199" i="19"/>
  <c r="AF199" i="20" l="1"/>
  <c r="AF200" i="20"/>
  <c r="AG258" i="20" s="1"/>
  <c r="AF200" i="2"/>
  <c r="AG258" i="2" s="1"/>
  <c r="AF199" i="2"/>
  <c r="AD200" i="19"/>
  <c r="AE258" i="19" s="1"/>
  <c r="AD199" i="19"/>
  <c r="AE199" i="2" l="1"/>
  <c r="AE200" i="2"/>
  <c r="AF258" i="2" s="1"/>
  <c r="AE199" i="20"/>
  <c r="AE200" i="20"/>
  <c r="AF258" i="20" s="1"/>
  <c r="AC200" i="19"/>
  <c r="AD258" i="19" s="1"/>
  <c r="AC199" i="19"/>
  <c r="AD199" i="20" l="1"/>
  <c r="AD200" i="20"/>
  <c r="AE258" i="20" s="1"/>
  <c r="AD200" i="2"/>
  <c r="AE258" i="2" s="1"/>
  <c r="AD199" i="2"/>
  <c r="AB200" i="19"/>
  <c r="AC258" i="19" s="1"/>
  <c r="AB199" i="19"/>
  <c r="AC199" i="2" l="1"/>
  <c r="AC200" i="2"/>
  <c r="AD258" i="2" s="1"/>
  <c r="AC200" i="20"/>
  <c r="AD258" i="20" s="1"/>
  <c r="AC199" i="20"/>
  <c r="AA200" i="19"/>
  <c r="AB258" i="19" s="1"/>
  <c r="AA199" i="19"/>
  <c r="AB199" i="20" l="1"/>
  <c r="AB200" i="20"/>
  <c r="AC258" i="20" s="1"/>
  <c r="AB200" i="2"/>
  <c r="AC258" i="2" s="1"/>
  <c r="AB199" i="2"/>
  <c r="Z200" i="19"/>
  <c r="AA258" i="19" s="1"/>
  <c r="C307" i="19" s="1"/>
  <c r="D307" i="19" s="1"/>
  <c r="Z199" i="19"/>
  <c r="AA200" i="2" l="1"/>
  <c r="AB258" i="2" s="1"/>
  <c r="AA199" i="2"/>
  <c r="AA200" i="20"/>
  <c r="AB258" i="20" s="1"/>
  <c r="AA199" i="20"/>
  <c r="Y200" i="19"/>
  <c r="Z258" i="19" s="1"/>
  <c r="C308" i="19" s="1"/>
  <c r="D308" i="19" s="1"/>
  <c r="Y199" i="19"/>
  <c r="Z200" i="20" l="1"/>
  <c r="AA258" i="20" s="1"/>
  <c r="C307" i="20" s="1"/>
  <c r="D307" i="20" s="1"/>
  <c r="Z199" i="20"/>
  <c r="Z199" i="2"/>
  <c r="Z200" i="2"/>
  <c r="AA258" i="2" s="1"/>
  <c r="C307" i="2" s="1"/>
  <c r="D307" i="2" s="1"/>
  <c r="X200" i="19"/>
  <c r="Y258" i="19" s="1"/>
  <c r="C309" i="19" s="1"/>
  <c r="D309" i="19" s="1"/>
  <c r="X199" i="19"/>
  <c r="Y200" i="2" l="1"/>
  <c r="Z258" i="2" s="1"/>
  <c r="C308" i="2" s="1"/>
  <c r="D308" i="2" s="1"/>
  <c r="Y199" i="2"/>
  <c r="Y200" i="20"/>
  <c r="Z258" i="20" s="1"/>
  <c r="C308" i="20" s="1"/>
  <c r="D308" i="20" s="1"/>
  <c r="Y199" i="20"/>
  <c r="W200" i="19"/>
  <c r="X258" i="19" s="1"/>
  <c r="C310" i="19" s="1"/>
  <c r="D310" i="19" s="1"/>
  <c r="W199" i="19"/>
  <c r="X199" i="20" l="1"/>
  <c r="X200" i="20"/>
  <c r="Y258" i="20" s="1"/>
  <c r="C309" i="20" s="1"/>
  <c r="D309" i="20" s="1"/>
  <c r="X199" i="2"/>
  <c r="X200" i="2"/>
  <c r="Y258" i="2" s="1"/>
  <c r="C309" i="2" s="1"/>
  <c r="D309" i="2" s="1"/>
  <c r="V200" i="19"/>
  <c r="W258" i="19" s="1"/>
  <c r="C311" i="19" s="1"/>
  <c r="D311" i="19" s="1"/>
  <c r="V199" i="19"/>
  <c r="W199" i="2" l="1"/>
  <c r="W200" i="2"/>
  <c r="X258" i="2" s="1"/>
  <c r="C310" i="2" s="1"/>
  <c r="D310" i="2" s="1"/>
  <c r="W200" i="20"/>
  <c r="X258" i="20" s="1"/>
  <c r="C310" i="20" s="1"/>
  <c r="D310" i="20" s="1"/>
  <c r="W199" i="20"/>
  <c r="U200" i="19"/>
  <c r="V258" i="19" s="1"/>
  <c r="C312" i="19" s="1"/>
  <c r="D312" i="19" s="1"/>
  <c r="U199" i="19"/>
  <c r="V200" i="20" l="1"/>
  <c r="W258" i="20" s="1"/>
  <c r="C311" i="20" s="1"/>
  <c r="D311" i="20" s="1"/>
  <c r="V199" i="20"/>
  <c r="V200" i="2"/>
  <c r="W258" i="2" s="1"/>
  <c r="C311" i="2" s="1"/>
  <c r="D311" i="2" s="1"/>
  <c r="V199" i="2"/>
  <c r="T200" i="19"/>
  <c r="U258" i="19" s="1"/>
  <c r="C313" i="19" s="1"/>
  <c r="D313" i="19" s="1"/>
  <c r="T199" i="19"/>
  <c r="U199" i="2" l="1"/>
  <c r="U200" i="2"/>
  <c r="V258" i="2" s="1"/>
  <c r="C312" i="2" s="1"/>
  <c r="D312" i="2" s="1"/>
  <c r="U200" i="20"/>
  <c r="V258" i="20" s="1"/>
  <c r="C312" i="20" s="1"/>
  <c r="D312" i="20" s="1"/>
  <c r="U199" i="20"/>
  <c r="S200" i="19"/>
  <c r="T258" i="19" s="1"/>
  <c r="C314" i="19" s="1"/>
  <c r="D314" i="19" s="1"/>
  <c r="S199" i="19"/>
  <c r="T200" i="20" l="1"/>
  <c r="U258" i="20" s="1"/>
  <c r="C313" i="20" s="1"/>
  <c r="D313" i="20" s="1"/>
  <c r="T199" i="20"/>
  <c r="T200" i="2"/>
  <c r="U258" i="2" s="1"/>
  <c r="C313" i="2" s="1"/>
  <c r="D313" i="2" s="1"/>
  <c r="T199" i="2"/>
  <c r="R200" i="19"/>
  <c r="S258" i="19" s="1"/>
  <c r="C315" i="19" s="1"/>
  <c r="D315" i="19" s="1"/>
  <c r="R199" i="19"/>
  <c r="S200" i="2" l="1"/>
  <c r="T258" i="2" s="1"/>
  <c r="C314" i="2" s="1"/>
  <c r="D314" i="2" s="1"/>
  <c r="S199" i="2"/>
  <c r="S200" i="20"/>
  <c r="T258" i="20" s="1"/>
  <c r="C314" i="20" s="1"/>
  <c r="D314" i="20" s="1"/>
  <c r="S199" i="20"/>
  <c r="Q200" i="19"/>
  <c r="R258" i="19" s="1"/>
  <c r="C316" i="19" s="1"/>
  <c r="D316" i="19" s="1"/>
  <c r="Q199" i="19"/>
  <c r="R200" i="2" l="1"/>
  <c r="S258" i="2" s="1"/>
  <c r="C315" i="2" s="1"/>
  <c r="D315" i="2" s="1"/>
  <c r="R199" i="2"/>
  <c r="R200" i="20"/>
  <c r="S258" i="20" s="1"/>
  <c r="C315" i="20" s="1"/>
  <c r="D315" i="20" s="1"/>
  <c r="R199" i="20"/>
  <c r="P200" i="19"/>
  <c r="Q258" i="19" s="1"/>
  <c r="C317" i="19" s="1"/>
  <c r="D317" i="19" s="1"/>
  <c r="P199" i="19"/>
  <c r="Q200" i="20" l="1"/>
  <c r="R258" i="20" s="1"/>
  <c r="C316" i="20" s="1"/>
  <c r="D316" i="20" s="1"/>
  <c r="Q199" i="20"/>
  <c r="Q200" i="2"/>
  <c r="R258" i="2" s="1"/>
  <c r="C316" i="2" s="1"/>
  <c r="D316" i="2" s="1"/>
  <c r="Q199" i="2"/>
  <c r="O200" i="19"/>
  <c r="P258" i="19" s="1"/>
  <c r="C318" i="19" s="1"/>
  <c r="D318" i="19" s="1"/>
  <c r="O199" i="19"/>
  <c r="P200" i="2" l="1"/>
  <c r="Q258" i="2" s="1"/>
  <c r="C317" i="2" s="1"/>
  <c r="D317" i="2" s="1"/>
  <c r="P199" i="2"/>
  <c r="P200" i="20"/>
  <c r="Q258" i="20" s="1"/>
  <c r="C317" i="20" s="1"/>
  <c r="D317" i="20" s="1"/>
  <c r="P199" i="20"/>
  <c r="N200" i="19"/>
  <c r="O258" i="19" s="1"/>
  <c r="C319" i="19" s="1"/>
  <c r="D319" i="19" s="1"/>
  <c r="N199" i="19"/>
  <c r="O199" i="20" l="1"/>
  <c r="O200" i="20"/>
  <c r="P258" i="20" s="1"/>
  <c r="C318" i="20" s="1"/>
  <c r="D318" i="20" s="1"/>
  <c r="O200" i="2"/>
  <c r="P258" i="2" s="1"/>
  <c r="C318" i="2" s="1"/>
  <c r="D318" i="2" s="1"/>
  <c r="O199" i="2"/>
  <c r="M200" i="19"/>
  <c r="N258" i="19" s="1"/>
  <c r="C320" i="19" s="1"/>
  <c r="D320" i="19" s="1"/>
  <c r="M199" i="19"/>
  <c r="N200" i="2" l="1"/>
  <c r="O258" i="2" s="1"/>
  <c r="C319" i="2" s="1"/>
  <c r="D319" i="2" s="1"/>
  <c r="N199" i="2"/>
  <c r="N199" i="20"/>
  <c r="N200" i="20"/>
  <c r="O258" i="20" s="1"/>
  <c r="C319" i="20" s="1"/>
  <c r="D319" i="20" s="1"/>
  <c r="L200" i="19"/>
  <c r="M258" i="19" s="1"/>
  <c r="C321" i="19" s="1"/>
  <c r="D321" i="19" s="1"/>
  <c r="E220" i="19"/>
  <c r="L199" i="19"/>
  <c r="M200" i="2" l="1"/>
  <c r="N258" i="2" s="1"/>
  <c r="C320" i="2" s="1"/>
  <c r="D320" i="2" s="1"/>
  <c r="M199" i="2"/>
  <c r="M199" i="20"/>
  <c r="M200" i="20"/>
  <c r="N258" i="20" s="1"/>
  <c r="C320" i="20" s="1"/>
  <c r="D320" i="20" s="1"/>
  <c r="K200" i="19"/>
  <c r="L258" i="19" s="1"/>
  <c r="C322" i="19" s="1"/>
  <c r="D322" i="19" s="1"/>
  <c r="E221" i="19"/>
  <c r="K199" i="19"/>
  <c r="I220" i="19"/>
  <c r="J220" i="19" s="1"/>
  <c r="F220" i="19"/>
  <c r="G220" i="19"/>
  <c r="L199" i="20" l="1"/>
  <c r="L200" i="20"/>
  <c r="M258" i="20" s="1"/>
  <c r="C321" i="20" s="1"/>
  <c r="D321" i="20" s="1"/>
  <c r="E220" i="20"/>
  <c r="L200" i="2"/>
  <c r="M258" i="2" s="1"/>
  <c r="C321" i="2" s="1"/>
  <c r="D321" i="2" s="1"/>
  <c r="E220" i="2"/>
  <c r="L199" i="2"/>
  <c r="O220" i="19"/>
  <c r="M221" i="19"/>
  <c r="G221" i="19" s="1"/>
  <c r="K220" i="19"/>
  <c r="Q220" i="19"/>
  <c r="I221" i="19"/>
  <c r="F221" i="19"/>
  <c r="I248" i="19"/>
  <c r="E248" i="19"/>
  <c r="M248" i="19"/>
  <c r="G248" i="19"/>
  <c r="J248" i="19"/>
  <c r="D248" i="19"/>
  <c r="F248" i="19"/>
  <c r="L248" i="19"/>
  <c r="K248" i="19"/>
  <c r="H248" i="19"/>
  <c r="J200" i="19"/>
  <c r="K258" i="19" s="1"/>
  <c r="C323" i="19" s="1"/>
  <c r="D323" i="19" s="1"/>
  <c r="E222" i="19"/>
  <c r="J199" i="19"/>
  <c r="J221" i="19" l="1"/>
  <c r="M222" i="19" s="1"/>
  <c r="G222" i="19" s="1"/>
  <c r="E221" i="2"/>
  <c r="K200" i="2"/>
  <c r="L258" i="2" s="1"/>
  <c r="C322" i="2" s="1"/>
  <c r="D322" i="2" s="1"/>
  <c r="K199" i="2"/>
  <c r="I220" i="2"/>
  <c r="G220" i="2"/>
  <c r="F220" i="2"/>
  <c r="F220" i="20"/>
  <c r="G220" i="20"/>
  <c r="I220" i="20"/>
  <c r="K199" i="20"/>
  <c r="K200" i="20"/>
  <c r="L258" i="20" s="1"/>
  <c r="C322" i="20" s="1"/>
  <c r="D322" i="20" s="1"/>
  <c r="E221" i="20"/>
  <c r="I222" i="19"/>
  <c r="F222" i="19"/>
  <c r="I200" i="19"/>
  <c r="J258" i="19" s="1"/>
  <c r="C324" i="19" s="1"/>
  <c r="D324" i="19" s="1"/>
  <c r="E223" i="19"/>
  <c r="I199" i="19"/>
  <c r="K249" i="19"/>
  <c r="H249" i="19"/>
  <c r="J249" i="19"/>
  <c r="E249" i="19"/>
  <c r="G249" i="19"/>
  <c r="D249" i="19"/>
  <c r="I249" i="19"/>
  <c r="F249" i="19"/>
  <c r="L249" i="19"/>
  <c r="Q221" i="19" l="1"/>
  <c r="K221" i="19"/>
  <c r="O221" i="19"/>
  <c r="J222" i="19"/>
  <c r="M223" i="19" s="1"/>
  <c r="G223" i="19" s="1"/>
  <c r="L248" i="20"/>
  <c r="F248" i="20"/>
  <c r="D248" i="20"/>
  <c r="M248" i="20"/>
  <c r="J248" i="20"/>
  <c r="I248" i="20"/>
  <c r="K248" i="20"/>
  <c r="E248" i="20"/>
  <c r="G248" i="20"/>
  <c r="H248" i="20"/>
  <c r="D248" i="2"/>
  <c r="G248" i="2"/>
  <c r="E248" i="2"/>
  <c r="J248" i="2"/>
  <c r="M248" i="2"/>
  <c r="K248" i="2"/>
  <c r="I248" i="2"/>
  <c r="F248" i="2"/>
  <c r="L248" i="2"/>
  <c r="H248" i="2"/>
  <c r="I221" i="20"/>
  <c r="F221" i="20"/>
  <c r="J220" i="2"/>
  <c r="J200" i="2"/>
  <c r="K258" i="2" s="1"/>
  <c r="C323" i="2" s="1"/>
  <c r="D323" i="2" s="1"/>
  <c r="J199" i="2"/>
  <c r="E222" i="2"/>
  <c r="J199" i="20"/>
  <c r="E222" i="20"/>
  <c r="J200" i="20"/>
  <c r="K258" i="20" s="1"/>
  <c r="C323" i="20" s="1"/>
  <c r="D323" i="20" s="1"/>
  <c r="J220" i="20"/>
  <c r="I221" i="2"/>
  <c r="F221" i="2"/>
  <c r="H250" i="19"/>
  <c r="G250" i="19"/>
  <c r="I250" i="19"/>
  <c r="F250" i="19"/>
  <c r="E250" i="19"/>
  <c r="D250" i="19"/>
  <c r="J250" i="19"/>
  <c r="K250" i="19"/>
  <c r="H200" i="19"/>
  <c r="I258" i="19" s="1"/>
  <c r="C325" i="19" s="1"/>
  <c r="D325" i="19" s="1"/>
  <c r="E224" i="19"/>
  <c r="H199" i="19"/>
  <c r="I223" i="19"/>
  <c r="F223" i="19"/>
  <c r="O222" i="19" l="1"/>
  <c r="K222" i="19"/>
  <c r="Q222" i="19"/>
  <c r="J221" i="2"/>
  <c r="M222" i="2" s="1"/>
  <c r="G222" i="2" s="1"/>
  <c r="J223" i="19"/>
  <c r="O223" i="19" s="1"/>
  <c r="L249" i="2"/>
  <c r="J249" i="2"/>
  <c r="F249" i="2"/>
  <c r="I249" i="2"/>
  <c r="K249" i="2"/>
  <c r="E249" i="2"/>
  <c r="D249" i="2"/>
  <c r="G249" i="2"/>
  <c r="H249" i="2"/>
  <c r="K220" i="2"/>
  <c r="O220" i="2"/>
  <c r="M221" i="2"/>
  <c r="G221" i="2" s="1"/>
  <c r="Q220" i="2"/>
  <c r="K220" i="20"/>
  <c r="O220" i="20"/>
  <c r="M221" i="20"/>
  <c r="G221" i="20" s="1"/>
  <c r="Q220" i="20"/>
  <c r="H249" i="20"/>
  <c r="L249" i="20"/>
  <c r="D249" i="20"/>
  <c r="E249" i="20"/>
  <c r="F249" i="20"/>
  <c r="J249" i="20"/>
  <c r="I249" i="20"/>
  <c r="K249" i="20"/>
  <c r="G249" i="20"/>
  <c r="J221" i="20"/>
  <c r="M222" i="20" s="1"/>
  <c r="G222" i="20" s="1"/>
  <c r="F222" i="20"/>
  <c r="I222" i="20"/>
  <c r="I200" i="20"/>
  <c r="J258" i="20" s="1"/>
  <c r="C324" i="20" s="1"/>
  <c r="D324" i="20" s="1"/>
  <c r="I199" i="20"/>
  <c r="E223" i="20"/>
  <c r="F222" i="2"/>
  <c r="I222" i="2"/>
  <c r="I199" i="2"/>
  <c r="E223" i="2"/>
  <c r="I200" i="2"/>
  <c r="J258" i="2" s="1"/>
  <c r="C324" i="2" s="1"/>
  <c r="D324" i="2" s="1"/>
  <c r="I251" i="19"/>
  <c r="J251" i="19"/>
  <c r="D251" i="19"/>
  <c r="E251" i="19"/>
  <c r="F251" i="19"/>
  <c r="G251" i="19"/>
  <c r="H251" i="19"/>
  <c r="G200" i="19"/>
  <c r="H258" i="19" s="1"/>
  <c r="C326" i="19" s="1"/>
  <c r="D326" i="19" s="1"/>
  <c r="E225" i="19"/>
  <c r="G199" i="19"/>
  <c r="I224" i="19"/>
  <c r="F224" i="19"/>
  <c r="O221" i="2" l="1"/>
  <c r="Q221" i="2"/>
  <c r="K221" i="2"/>
  <c r="M224" i="19"/>
  <c r="G224" i="19" s="1"/>
  <c r="K223" i="19"/>
  <c r="Q223" i="19"/>
  <c r="J224" i="19"/>
  <c r="Q224" i="19" s="1"/>
  <c r="J222" i="2"/>
  <c r="K222" i="2" s="1"/>
  <c r="J222" i="20"/>
  <c r="O222" i="20" s="1"/>
  <c r="F223" i="20"/>
  <c r="I223" i="20"/>
  <c r="Q221" i="20"/>
  <c r="H199" i="20"/>
  <c r="H200" i="20"/>
  <c r="I258" i="20" s="1"/>
  <c r="C325" i="20" s="1"/>
  <c r="D325" i="20" s="1"/>
  <c r="E224" i="20"/>
  <c r="I223" i="2"/>
  <c r="F223" i="2"/>
  <c r="J250" i="20"/>
  <c r="D250" i="20"/>
  <c r="G250" i="20"/>
  <c r="E250" i="20"/>
  <c r="H250" i="20"/>
  <c r="K250" i="20"/>
  <c r="I250" i="20"/>
  <c r="F250" i="20"/>
  <c r="E224" i="2"/>
  <c r="H200" i="2"/>
  <c r="I258" i="2" s="1"/>
  <c r="C325" i="2" s="1"/>
  <c r="D325" i="2" s="1"/>
  <c r="H199" i="2"/>
  <c r="O221" i="20"/>
  <c r="K221" i="20"/>
  <c r="I250" i="2"/>
  <c r="D250" i="2"/>
  <c r="F250" i="2"/>
  <c r="G250" i="2"/>
  <c r="H250" i="2"/>
  <c r="K250" i="2"/>
  <c r="J250" i="2"/>
  <c r="E250" i="2"/>
  <c r="E252" i="19"/>
  <c r="F252" i="19"/>
  <c r="D252" i="19"/>
  <c r="G252" i="19"/>
  <c r="H252" i="19"/>
  <c r="I252" i="19"/>
  <c r="I225" i="19"/>
  <c r="F225" i="19"/>
  <c r="F200" i="19"/>
  <c r="G258" i="19" s="1"/>
  <c r="C327" i="19" s="1"/>
  <c r="D327" i="19" s="1"/>
  <c r="E226" i="19"/>
  <c r="F199" i="19"/>
  <c r="Q222" i="20" l="1"/>
  <c r="O222" i="2"/>
  <c r="Q222" i="2"/>
  <c r="M223" i="20"/>
  <c r="G223" i="20" s="1"/>
  <c r="M223" i="2"/>
  <c r="G223" i="2" s="1"/>
  <c r="K224" i="19"/>
  <c r="O224" i="19"/>
  <c r="M225" i="19"/>
  <c r="G225" i="19" s="1"/>
  <c r="K222" i="20"/>
  <c r="J223" i="20"/>
  <c r="K223" i="20" s="1"/>
  <c r="J223" i="2"/>
  <c r="O223" i="2" s="1"/>
  <c r="F224" i="2"/>
  <c r="I224" i="2"/>
  <c r="G251" i="2"/>
  <c r="H251" i="2"/>
  <c r="I251" i="2"/>
  <c r="D251" i="2"/>
  <c r="J251" i="2"/>
  <c r="E251" i="2"/>
  <c r="F251" i="2"/>
  <c r="I251" i="20"/>
  <c r="J251" i="20"/>
  <c r="D251" i="20"/>
  <c r="E251" i="20"/>
  <c r="F251" i="20"/>
  <c r="G251" i="20"/>
  <c r="H251" i="20"/>
  <c r="I224" i="20"/>
  <c r="F224" i="20"/>
  <c r="E225" i="2"/>
  <c r="G200" i="2"/>
  <c r="H258" i="2" s="1"/>
  <c r="C326" i="2" s="1"/>
  <c r="D326" i="2" s="1"/>
  <c r="G199" i="2"/>
  <c r="G199" i="20"/>
  <c r="E225" i="20"/>
  <c r="G200" i="20"/>
  <c r="H258" i="20" s="1"/>
  <c r="C326" i="20" s="1"/>
  <c r="D326" i="20" s="1"/>
  <c r="E253" i="19"/>
  <c r="F253" i="19"/>
  <c r="G253" i="19"/>
  <c r="H253" i="19"/>
  <c r="D253" i="19"/>
  <c r="J225" i="19"/>
  <c r="M226" i="19" s="1"/>
  <c r="G226" i="19" s="1"/>
  <c r="I226" i="19"/>
  <c r="F226" i="19"/>
  <c r="E227" i="19"/>
  <c r="E200" i="19"/>
  <c r="F258" i="19" s="1"/>
  <c r="C328" i="19" s="1"/>
  <c r="D328" i="19" s="1"/>
  <c r="E199" i="19"/>
  <c r="O223" i="20" l="1"/>
  <c r="J224" i="2"/>
  <c r="O224" i="2" s="1"/>
  <c r="M224" i="2"/>
  <c r="G224" i="2" s="1"/>
  <c r="Q223" i="2"/>
  <c r="K223" i="2"/>
  <c r="M224" i="20"/>
  <c r="G224" i="20" s="1"/>
  <c r="Q223" i="20"/>
  <c r="J224" i="20"/>
  <c r="M225" i="20" s="1"/>
  <c r="G225" i="20" s="1"/>
  <c r="D252" i="20"/>
  <c r="F252" i="20"/>
  <c r="I252" i="20"/>
  <c r="E252" i="20"/>
  <c r="H252" i="20"/>
  <c r="G252" i="20"/>
  <c r="F199" i="20"/>
  <c r="E226" i="20"/>
  <c r="F200" i="20"/>
  <c r="G258" i="20" s="1"/>
  <c r="C327" i="20" s="1"/>
  <c r="D327" i="20" s="1"/>
  <c r="F200" i="2"/>
  <c r="G258" i="2" s="1"/>
  <c r="C327" i="2" s="1"/>
  <c r="D327" i="2" s="1"/>
  <c r="E226" i="2"/>
  <c r="F199" i="2"/>
  <c r="D252" i="2"/>
  <c r="H252" i="2"/>
  <c r="F252" i="2"/>
  <c r="E252" i="2"/>
  <c r="G252" i="2"/>
  <c r="I252" i="2"/>
  <c r="I225" i="20"/>
  <c r="F225" i="20"/>
  <c r="F225" i="2"/>
  <c r="I225" i="2"/>
  <c r="Q225" i="19"/>
  <c r="K225" i="19"/>
  <c r="O225" i="19"/>
  <c r="D200" i="19"/>
  <c r="E258" i="19" s="1"/>
  <c r="C329" i="19" s="1"/>
  <c r="D329" i="19" s="1"/>
  <c r="E228" i="19"/>
  <c r="D199" i="19"/>
  <c r="I227" i="19"/>
  <c r="F227" i="19"/>
  <c r="F254" i="19"/>
  <c r="D254" i="19"/>
  <c r="E254" i="19"/>
  <c r="G254" i="19"/>
  <c r="J226" i="19"/>
  <c r="Q224" i="2" l="1"/>
  <c r="M225" i="2"/>
  <c r="G225" i="2" s="1"/>
  <c r="K224" i="2"/>
  <c r="O224" i="20"/>
  <c r="K224" i="20"/>
  <c r="Q224" i="20"/>
  <c r="J225" i="2"/>
  <c r="M226" i="2" s="1"/>
  <c r="G226" i="2" s="1"/>
  <c r="J227" i="19"/>
  <c r="M228" i="19" s="1"/>
  <c r="G228" i="19" s="1"/>
  <c r="J225" i="20"/>
  <c r="O225" i="20" s="1"/>
  <c r="E200" i="2"/>
  <c r="F258" i="2" s="1"/>
  <c r="C328" i="2" s="1"/>
  <c r="D328" i="2" s="1"/>
  <c r="E199" i="2"/>
  <c r="E227" i="2"/>
  <c r="I226" i="2"/>
  <c r="F226" i="2"/>
  <c r="H253" i="2"/>
  <c r="E253" i="2"/>
  <c r="G253" i="2"/>
  <c r="F253" i="2"/>
  <c r="D253" i="2"/>
  <c r="E253" i="20"/>
  <c r="F253" i="20"/>
  <c r="G253" i="20"/>
  <c r="H253" i="20"/>
  <c r="D253" i="20"/>
  <c r="F226" i="20"/>
  <c r="I226" i="20"/>
  <c r="E200" i="20"/>
  <c r="F258" i="20" s="1"/>
  <c r="C328" i="20" s="1"/>
  <c r="D328" i="20" s="1"/>
  <c r="E227" i="20"/>
  <c r="E199" i="20"/>
  <c r="D255" i="19"/>
  <c r="F255" i="19"/>
  <c r="E255" i="19"/>
  <c r="C200" i="19"/>
  <c r="D258" i="19" s="1"/>
  <c r="C330" i="19" s="1"/>
  <c r="D330" i="19" s="1"/>
  <c r="E229" i="19"/>
  <c r="O226" i="19"/>
  <c r="K226" i="19"/>
  <c r="Q226" i="19"/>
  <c r="M227" i="19"/>
  <c r="G227" i="19" s="1"/>
  <c r="I228" i="19"/>
  <c r="F228" i="19"/>
  <c r="K225" i="2" l="1"/>
  <c r="O225" i="2"/>
  <c r="K227" i="19"/>
  <c r="Q225" i="2"/>
  <c r="Q227" i="19"/>
  <c r="O227" i="19"/>
  <c r="K225" i="20"/>
  <c r="J226" i="20"/>
  <c r="K226" i="20" s="1"/>
  <c r="J226" i="2"/>
  <c r="Q226" i="2" s="1"/>
  <c r="J228" i="19"/>
  <c r="M229" i="19" s="1"/>
  <c r="G229" i="19" s="1"/>
  <c r="Q225" i="20"/>
  <c r="M226" i="20"/>
  <c r="G226" i="20" s="1"/>
  <c r="F227" i="20"/>
  <c r="I227" i="20"/>
  <c r="G254" i="2"/>
  <c r="E254" i="2"/>
  <c r="D254" i="2"/>
  <c r="F254" i="2"/>
  <c r="I227" i="2"/>
  <c r="F227" i="2"/>
  <c r="E228" i="2"/>
  <c r="D200" i="2"/>
  <c r="E258" i="2" s="1"/>
  <c r="C329" i="2" s="1"/>
  <c r="D329" i="2" s="1"/>
  <c r="D199" i="2"/>
  <c r="D200" i="20"/>
  <c r="E258" i="20" s="1"/>
  <c r="C329" i="20" s="1"/>
  <c r="D329" i="20" s="1"/>
  <c r="E228" i="20"/>
  <c r="D199" i="20"/>
  <c r="G254" i="20"/>
  <c r="F254" i="20"/>
  <c r="E254" i="20"/>
  <c r="D254" i="20"/>
  <c r="F229" i="19"/>
  <c r="D257" i="19" s="1"/>
  <c r="I229" i="19"/>
  <c r="D256" i="19"/>
  <c r="E256" i="19"/>
  <c r="O226" i="20" l="1"/>
  <c r="M227" i="2"/>
  <c r="G227" i="2" s="1"/>
  <c r="K226" i="2"/>
  <c r="O226" i="2"/>
  <c r="Q228" i="19"/>
  <c r="K228" i="19"/>
  <c r="O228" i="19"/>
  <c r="Q226" i="20"/>
  <c r="M227" i="20"/>
  <c r="G227" i="20" s="1"/>
  <c r="J227" i="20"/>
  <c r="K227" i="20" s="1"/>
  <c r="E229" i="20"/>
  <c r="C200" i="20"/>
  <c r="D258" i="20" s="1"/>
  <c r="C330" i="20" s="1"/>
  <c r="D330" i="20" s="1"/>
  <c r="F228" i="20"/>
  <c r="I228" i="20"/>
  <c r="E229" i="2"/>
  <c r="C200" i="2"/>
  <c r="D258" i="2" s="1"/>
  <c r="C330" i="2" s="1"/>
  <c r="D330" i="2" s="1"/>
  <c r="F228" i="2"/>
  <c r="I228" i="2"/>
  <c r="E255" i="2"/>
  <c r="F255" i="2"/>
  <c r="D255" i="2"/>
  <c r="J227" i="2"/>
  <c r="D255" i="20"/>
  <c r="E255" i="20"/>
  <c r="F255" i="20"/>
  <c r="J229" i="19"/>
  <c r="Q227" i="20" l="1"/>
  <c r="M228" i="20"/>
  <c r="G228" i="20" s="1"/>
  <c r="O227" i="20"/>
  <c r="J228" i="20"/>
  <c r="O228" i="20" s="1"/>
  <c r="D256" i="2"/>
  <c r="E256" i="2"/>
  <c r="I229" i="2"/>
  <c r="F229" i="2"/>
  <c r="D257" i="2" s="1"/>
  <c r="O227" i="2"/>
  <c r="K227" i="2"/>
  <c r="Q227" i="2"/>
  <c r="M228" i="2"/>
  <c r="G228" i="2" s="1"/>
  <c r="J228" i="2" s="1"/>
  <c r="D256" i="20"/>
  <c r="E256" i="20"/>
  <c r="F229" i="20"/>
  <c r="D257" i="20" s="1"/>
  <c r="I229" i="20"/>
  <c r="O229" i="19"/>
  <c r="K229" i="19"/>
  <c r="Q229" i="19"/>
  <c r="M229" i="20" l="1"/>
  <c r="G229" i="20" s="1"/>
  <c r="J229" i="20" s="1"/>
  <c r="O229" i="20" s="1"/>
  <c r="Q228" i="20"/>
  <c r="K228" i="20"/>
  <c r="K228" i="2"/>
  <c r="O228" i="2"/>
  <c r="Q228" i="2"/>
  <c r="M229" i="2"/>
  <c r="G229" i="2" s="1"/>
  <c r="J229" i="2" s="1"/>
  <c r="Q229" i="20" l="1"/>
  <c r="K229" i="20"/>
  <c r="Q229" i="2"/>
  <c r="O229" i="2"/>
  <c r="K229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<sst xmlns="http://schemas.openxmlformats.org/spreadsheetml/2006/main" count="602" uniqueCount="81">
  <si>
    <t>Cumulative Triangle</t>
  </si>
  <si>
    <t>Link Ratios</t>
  </si>
  <si>
    <t>UY</t>
  </si>
  <si>
    <t>Averages</t>
  </si>
  <si>
    <t>Strt All</t>
  </si>
  <si>
    <t>Last 5</t>
  </si>
  <si>
    <t>Last 3</t>
  </si>
  <si>
    <t>Last N</t>
  </si>
  <si>
    <t>Wtd All</t>
  </si>
  <si>
    <t>Wtd L5</t>
  </si>
  <si>
    <t>Wtd L3</t>
  </si>
  <si>
    <t>Wtd LN</t>
  </si>
  <si>
    <t>Other</t>
  </si>
  <si>
    <t>Selected</t>
  </si>
  <si>
    <t>Sel LDF</t>
  </si>
  <si>
    <t>Tail</t>
  </si>
  <si>
    <t>Sel CDF</t>
  </si>
  <si>
    <t>Sel % Ult</t>
  </si>
  <si>
    <t>Selections and Ultimates</t>
  </si>
  <si>
    <t xml:space="preserve">Average of Last </t>
  </si>
  <si>
    <t>Exposure</t>
  </si>
  <si>
    <t>Obs Loss</t>
  </si>
  <si>
    <t>Sel FTU</t>
  </si>
  <si>
    <t>BF Ult</t>
  </si>
  <si>
    <t>Sel Ult</t>
  </si>
  <si>
    <t>Ult / Obs</t>
  </si>
  <si>
    <t>Initial Expected</t>
  </si>
  <si>
    <t>ULR</t>
  </si>
  <si>
    <t>Include</t>
  </si>
  <si>
    <t>ULR (Running)</t>
  </si>
  <si>
    <t>Data as percentage of Ultimate</t>
  </si>
  <si>
    <t>Period</t>
  </si>
  <si>
    <t>Monthly</t>
  </si>
  <si>
    <t>Quaterly</t>
  </si>
  <si>
    <t>Yearly</t>
  </si>
  <si>
    <t>Bespoke</t>
  </si>
  <si>
    <t>Dev Period</t>
  </si>
  <si>
    <t>Month</t>
  </si>
  <si>
    <t>Development Period:</t>
  </si>
  <si>
    <t>(if bespoke):</t>
  </si>
  <si>
    <t>Starting Period:</t>
  </si>
  <si>
    <t>YearOfAccount End</t>
  </si>
  <si>
    <t>YoA</t>
  </si>
  <si>
    <t>https://exceljet.net/formula/get-value-of-last-non-empty-cell</t>
  </si>
  <si>
    <t>Current Position Triangle</t>
  </si>
  <si>
    <t>Not all blank?</t>
  </si>
  <si>
    <t>Formatting</t>
  </si>
  <si>
    <t>Max Period</t>
  </si>
  <si>
    <t>YearOfAccount Start</t>
  </si>
  <si>
    <t>Checks</t>
  </si>
  <si>
    <t>Link Ratios - Deleted Ratios</t>
  </si>
  <si>
    <t>Link Ratios Smoothed Ratios</t>
  </si>
  <si>
    <t>Calculations</t>
  </si>
  <si>
    <t>Link Ratios - Selected Include/Exclude</t>
  </si>
  <si>
    <t>End</t>
  </si>
  <si>
    <t>CL Ult</t>
  </si>
  <si>
    <t>BF/CL Threshold</t>
  </si>
  <si>
    <t>BlindCL</t>
  </si>
  <si>
    <t>Inputs</t>
  </si>
  <si>
    <t>Lastest Position</t>
  </si>
  <si>
    <t>Mvmt</t>
  </si>
  <si>
    <t>Selections</t>
  </si>
  <si>
    <t>Triangle Width</t>
  </si>
  <si>
    <t>Start x</t>
  </si>
  <si>
    <t>End x</t>
  </si>
  <si>
    <t>Version Number</t>
  </si>
  <si>
    <t>1.0</t>
  </si>
  <si>
    <t>Triangulation Template</t>
  </si>
  <si>
    <t>Updated By</t>
  </si>
  <si>
    <t>CG</t>
  </si>
  <si>
    <t>Updated Date</t>
  </si>
  <si>
    <t>Notes</t>
  </si>
  <si>
    <t>Sheets Updated</t>
  </si>
  <si>
    <t>InputTriangles, Mappings</t>
  </si>
  <si>
    <t>Created the triangulation template, with the InputTriangles tab and the Mappings Tab</t>
  </si>
  <si>
    <t>Output</t>
  </si>
  <si>
    <t>Dev (%)</t>
  </si>
  <si>
    <t>LDF</t>
  </si>
  <si>
    <t>Starstone Triangulation Template</t>
  </si>
  <si>
    <t>Tranposed Output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</si>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</sst>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#,##0_)"/>
    <numFmt numFmtId="167" formatCode="#,##0.000"/>
    <numFmt numFmtId="168" formatCode="&quot;Last &quot;#"/>
    <numFmt numFmtId="169" formatCode="#,##0.000_)"/>
    <numFmt numFmtId="170" formatCode="&quot;Wtd L&quot;#"/>
    <numFmt numFmtId="171" formatCode="#,##0_ ;\-#,##0\ "/>
    <numFmt numFmtId="172" formatCode="_-* #,##0.000_-;\-* #,##0.000_-;_-* &quot;-&quot;??_-;_-@_-"/>
    <numFmt numFmtId="173" formatCode="0.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62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name val="Calibri"/>
      <family val="2"/>
      <scheme val="minor"/>
    </font>
    <font>
      <i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5" fillId="0" borderId="0"/>
    <xf numFmtId="0" fontId="6" fillId="0" borderId="0"/>
    <xf numFmtId="0" fontId="4" fillId="3" borderId="1" applyNumberFormat="0" applyBorder="0" applyAlignment="0" applyProtection="0"/>
    <xf numFmtId="0" fontId="5" fillId="4" borderId="2" applyNumberFormat="0" applyFont="0" applyAlignment="0" applyProtection="0"/>
    <xf numFmtId="0" fontId="10" fillId="0" borderId="0" applyNumberFormat="0" applyFill="0" applyBorder="0" applyAlignment="0" applyProtection="0"/>
  </cellStyleXfs>
  <cellXfs count="237">
    <xf numFmtId="0" fontId="0" fillId="0" borderId="0" xfId="0"/>
    <xf numFmtId="3" fontId="4" fillId="4" borderId="0" xfId="7" applyNumberFormat="1" applyFont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14" xfId="0" applyBorder="1"/>
    <xf numFmtId="0" fontId="0" fillId="0" borderId="0" xfId="0" applyBorder="1"/>
    <xf numFmtId="0" fontId="2" fillId="0" borderId="4" xfId="0" applyFont="1" applyBorder="1"/>
    <xf numFmtId="0" fontId="9" fillId="0" borderId="5" xfId="6" applyFont="1" applyFill="1" applyBorder="1" applyAlignment="1">
      <alignment horizontal="center"/>
    </xf>
    <xf numFmtId="3" fontId="3" fillId="0" borderId="0" xfId="3" applyNumberFormat="1" applyFont="1" applyFill="1" applyBorder="1" applyAlignment="1">
      <alignment horizontal="center"/>
    </xf>
    <xf numFmtId="2" fontId="3" fillId="0" borderId="0" xfId="3" applyNumberFormat="1" applyFont="1" applyFill="1" applyBorder="1"/>
    <xf numFmtId="0" fontId="10" fillId="0" borderId="0" xfId="8" applyFont="1"/>
    <xf numFmtId="0" fontId="7" fillId="0" borderId="0" xfId="5" applyFont="1"/>
    <xf numFmtId="0" fontId="7" fillId="0" borderId="0" xfId="5" applyFont="1" applyFill="1"/>
    <xf numFmtId="3" fontId="7" fillId="0" borderId="0" xfId="5" applyNumberFormat="1" applyFont="1"/>
    <xf numFmtId="3" fontId="13" fillId="0" borderId="0" xfId="5" applyNumberFormat="1" applyFont="1"/>
    <xf numFmtId="165" fontId="7" fillId="0" borderId="0" xfId="2" applyNumberFormat="1" applyFont="1" applyBorder="1"/>
    <xf numFmtId="0" fontId="7" fillId="0" borderId="0" xfId="5" applyFont="1" applyAlignment="1">
      <alignment horizontal="right"/>
    </xf>
    <xf numFmtId="0" fontId="13" fillId="0" borderId="0" xfId="5" applyFont="1"/>
    <xf numFmtId="0" fontId="7" fillId="0" borderId="0" xfId="0" applyFont="1" applyFill="1" applyAlignment="1">
      <alignment vertical="center"/>
    </xf>
    <xf numFmtId="0" fontId="9" fillId="0" borderId="0" xfId="5" applyFont="1"/>
    <xf numFmtId="0" fontId="7" fillId="9" borderId="0" xfId="5" applyFont="1" applyFill="1"/>
    <xf numFmtId="0" fontId="9" fillId="5" borderId="4" xfId="5" applyFont="1" applyFill="1" applyBorder="1" applyAlignment="1">
      <alignment horizontal="center"/>
    </xf>
    <xf numFmtId="0" fontId="9" fillId="5" borderId="5" xfId="5" applyFont="1" applyFill="1" applyBorder="1" applyAlignment="1">
      <alignment horizontal="center"/>
    </xf>
    <xf numFmtId="0" fontId="9" fillId="5" borderId="6" xfId="5" applyFont="1" applyFill="1" applyBorder="1" applyAlignment="1">
      <alignment horizontal="center"/>
    </xf>
    <xf numFmtId="0" fontId="9" fillId="5" borderId="7" xfId="5" applyFont="1" applyFill="1" applyBorder="1" applyAlignment="1">
      <alignment horizontal="center"/>
    </xf>
    <xf numFmtId="0" fontId="9" fillId="0" borderId="0" xfId="5" applyFont="1" applyAlignment="1">
      <alignment horizontal="center"/>
    </xf>
    <xf numFmtId="3" fontId="7" fillId="0" borderId="5" xfId="5" applyNumberFormat="1" applyFont="1" applyBorder="1"/>
    <xf numFmtId="3" fontId="7" fillId="0" borderId="6" xfId="5" applyNumberFormat="1" applyFont="1" applyBorder="1"/>
    <xf numFmtId="4" fontId="7" fillId="0" borderId="0" xfId="5" applyNumberFormat="1" applyFont="1"/>
    <xf numFmtId="0" fontId="9" fillId="0" borderId="9" xfId="5" applyFont="1" applyBorder="1" applyAlignment="1">
      <alignment horizontal="center"/>
    </xf>
    <xf numFmtId="3" fontId="7" fillId="0" borderId="9" xfId="5" applyNumberFormat="1" applyFont="1" applyBorder="1"/>
    <xf numFmtId="0" fontId="9" fillId="0" borderId="10" xfId="5" applyFont="1" applyBorder="1" applyAlignment="1">
      <alignment horizontal="center"/>
    </xf>
    <xf numFmtId="3" fontId="7" fillId="0" borderId="3" xfId="5" applyNumberFormat="1" applyFont="1" applyBorder="1"/>
    <xf numFmtId="3" fontId="7" fillId="0" borderId="0" xfId="5" applyNumberFormat="1" applyFont="1" applyBorder="1"/>
    <xf numFmtId="0" fontId="9" fillId="0" borderId="11" xfId="5" applyFont="1" applyBorder="1" applyAlignment="1">
      <alignment horizontal="center"/>
    </xf>
    <xf numFmtId="3" fontId="7" fillId="0" borderId="11" xfId="5" applyNumberFormat="1" applyFont="1" applyBorder="1"/>
    <xf numFmtId="3" fontId="7" fillId="0" borderId="12" xfId="5" applyNumberFormat="1" applyFont="1" applyBorder="1"/>
    <xf numFmtId="3" fontId="7" fillId="0" borderId="13" xfId="5" applyNumberFormat="1" applyFont="1" applyBorder="1"/>
    <xf numFmtId="0" fontId="9" fillId="5" borderId="0" xfId="5" quotePrefix="1" applyFont="1" applyFill="1" applyAlignment="1">
      <alignment horizontal="center"/>
    </xf>
    <xf numFmtId="0" fontId="7" fillId="5" borderId="0" xfId="5" applyFont="1" applyFill="1"/>
    <xf numFmtId="0" fontId="9" fillId="0" borderId="0" xfId="5" quotePrefix="1" applyFont="1" applyAlignment="1">
      <alignment horizontal="center"/>
    </xf>
    <xf numFmtId="0" fontId="9" fillId="5" borderId="0" xfId="5" applyFont="1" applyFill="1" applyAlignment="1">
      <alignment horizontal="center"/>
    </xf>
    <xf numFmtId="167" fontId="7" fillId="0" borderId="0" xfId="5" applyNumberFormat="1" applyFont="1"/>
    <xf numFmtId="168" fontId="9" fillId="0" borderId="0" xfId="5" applyNumberFormat="1" applyFont="1" applyAlignment="1">
      <alignment horizontal="center"/>
    </xf>
    <xf numFmtId="169" fontId="7" fillId="0" borderId="0" xfId="5" applyNumberFormat="1" applyFont="1"/>
    <xf numFmtId="0" fontId="14" fillId="0" borderId="0" xfId="5" applyFont="1" applyAlignment="1">
      <alignment horizontal="left"/>
    </xf>
    <xf numFmtId="0" fontId="7" fillId="0" borderId="4" xfId="5" applyFont="1" applyBorder="1" applyAlignment="1">
      <alignment horizontal="center"/>
    </xf>
    <xf numFmtId="170" fontId="9" fillId="0" borderId="0" xfId="5" applyNumberFormat="1" applyFont="1" applyAlignment="1">
      <alignment horizontal="center"/>
    </xf>
    <xf numFmtId="169" fontId="7" fillId="0" borderId="0" xfId="5" applyNumberFormat="1" applyFont="1" applyAlignment="1">
      <alignment horizontal="right"/>
    </xf>
    <xf numFmtId="165" fontId="7" fillId="0" borderId="0" xfId="5" applyNumberFormat="1" applyFont="1"/>
    <xf numFmtId="165" fontId="12" fillId="0" borderId="0" xfId="5" applyNumberFormat="1" applyFont="1"/>
    <xf numFmtId="165" fontId="7" fillId="0" borderId="0" xfId="5" applyNumberFormat="1" applyFont="1" applyAlignment="1">
      <alignment horizontal="center"/>
    </xf>
    <xf numFmtId="9" fontId="7" fillId="0" borderId="0" xfId="5" applyNumberFormat="1" applyFont="1" applyAlignment="1">
      <alignment horizontal="center"/>
    </xf>
    <xf numFmtId="0" fontId="9" fillId="5" borderId="7" xfId="5" applyFont="1" applyFill="1" applyBorder="1" applyAlignment="1">
      <alignment horizontal="left"/>
    </xf>
    <xf numFmtId="165" fontId="7" fillId="0" borderId="9" xfId="5" applyNumberFormat="1" applyFont="1" applyBorder="1"/>
    <xf numFmtId="165" fontId="7" fillId="0" borderId="11" xfId="5" applyNumberFormat="1" applyFont="1" applyBorder="1"/>
    <xf numFmtId="165" fontId="7" fillId="0" borderId="12" xfId="5" applyNumberFormat="1" applyFont="1" applyBorder="1"/>
    <xf numFmtId="10" fontId="9" fillId="0" borderId="12" xfId="5" applyNumberFormat="1" applyFont="1" applyBorder="1"/>
    <xf numFmtId="10" fontId="9" fillId="0" borderId="0" xfId="5" applyNumberFormat="1" applyFont="1"/>
    <xf numFmtId="9" fontId="9" fillId="0" borderId="0" xfId="5" applyNumberFormat="1" applyFont="1"/>
    <xf numFmtId="0" fontId="9" fillId="5" borderId="17" xfId="5" applyFont="1" applyFill="1" applyBorder="1" applyAlignment="1">
      <alignment horizontal="center"/>
    </xf>
    <xf numFmtId="3" fontId="7" fillId="0" borderId="17" xfId="5" applyNumberFormat="1" applyFont="1" applyBorder="1"/>
    <xf numFmtId="171" fontId="7" fillId="10" borderId="3" xfId="1" applyNumberFormat="1" applyFont="1" applyFill="1" applyBorder="1"/>
    <xf numFmtId="171" fontId="7" fillId="10" borderId="13" xfId="1" applyNumberFormat="1" applyFont="1" applyFill="1" applyBorder="1"/>
    <xf numFmtId="0" fontId="11" fillId="0" borderId="0" xfId="5" applyFont="1"/>
    <xf numFmtId="165" fontId="7" fillId="0" borderId="0" xfId="5" applyNumberFormat="1" applyFont="1" applyBorder="1"/>
    <xf numFmtId="3" fontId="7" fillId="6" borderId="5" xfId="5" applyNumberFormat="1" applyFont="1" applyFill="1" applyBorder="1"/>
    <xf numFmtId="3" fontId="7" fillId="6" borderId="6" xfId="5" applyNumberFormat="1" applyFont="1" applyFill="1" applyBorder="1"/>
    <xf numFmtId="3" fontId="7" fillId="6" borderId="9" xfId="5" applyNumberFormat="1" applyFont="1" applyFill="1" applyBorder="1"/>
    <xf numFmtId="3" fontId="7" fillId="6" borderId="0" xfId="5" applyNumberFormat="1" applyFont="1" applyFill="1" applyBorder="1"/>
    <xf numFmtId="3" fontId="7" fillId="6" borderId="11" xfId="5" applyNumberFormat="1" applyFont="1" applyFill="1" applyBorder="1"/>
    <xf numFmtId="3" fontId="7" fillId="6" borderId="12" xfId="5" applyNumberFormat="1" applyFont="1" applyFill="1" applyBorder="1"/>
    <xf numFmtId="0" fontId="7" fillId="7" borderId="0" xfId="5" applyFont="1" applyFill="1"/>
    <xf numFmtId="3" fontId="3" fillId="7" borderId="0" xfId="3" applyNumberFormat="1" applyFont="1" applyFill="1" applyBorder="1" applyAlignment="1">
      <alignment horizontal="center"/>
    </xf>
    <xf numFmtId="3" fontId="7" fillId="7" borderId="0" xfId="5" applyNumberFormat="1" applyFont="1" applyFill="1"/>
    <xf numFmtId="0" fontId="13" fillId="7" borderId="0" xfId="5" applyFont="1" applyFill="1"/>
    <xf numFmtId="3" fontId="13" fillId="7" borderId="0" xfId="5" applyNumberFormat="1" applyFont="1" applyFill="1"/>
    <xf numFmtId="2" fontId="3" fillId="7" borderId="0" xfId="3" applyNumberFormat="1" applyFont="1" applyFill="1" applyBorder="1"/>
    <xf numFmtId="0" fontId="7" fillId="7" borderId="0" xfId="0" applyFont="1" applyFill="1" applyAlignment="1">
      <alignment vertical="center"/>
    </xf>
    <xf numFmtId="0" fontId="9" fillId="0" borderId="8" xfId="5" applyFont="1" applyBorder="1" applyAlignment="1">
      <alignment horizontal="center"/>
    </xf>
    <xf numFmtId="0" fontId="9" fillId="0" borderId="14" xfId="5" applyFont="1" applyBorder="1" applyAlignment="1">
      <alignment horizontal="center"/>
    </xf>
    <xf numFmtId="0" fontId="7" fillId="11" borderId="0" xfId="5" applyFont="1" applyFill="1"/>
    <xf numFmtId="0" fontId="9" fillId="0" borderId="0" xfId="5" quotePrefix="1" applyFont="1" applyFill="1" applyAlignment="1">
      <alignment horizontal="center"/>
    </xf>
    <xf numFmtId="167" fontId="7" fillId="0" borderId="0" xfId="5" applyNumberFormat="1" applyFont="1" applyFill="1"/>
    <xf numFmtId="3" fontId="4" fillId="6" borderId="0" xfId="6" applyNumberFormat="1" applyFont="1" applyFill="1" applyBorder="1"/>
    <xf numFmtId="1" fontId="7" fillId="0" borderId="0" xfId="5" applyNumberFormat="1" applyFont="1"/>
    <xf numFmtId="171" fontId="7" fillId="0" borderId="0" xfId="1" applyNumberFormat="1" applyFont="1"/>
    <xf numFmtId="167" fontId="4" fillId="0" borderId="0" xfId="7" applyNumberFormat="1" applyFont="1" applyFill="1" applyBorder="1"/>
    <xf numFmtId="1" fontId="4" fillId="0" borderId="0" xfId="6" applyNumberFormat="1" applyFont="1" applyFill="1" applyBorder="1"/>
    <xf numFmtId="0" fontId="9" fillId="5" borderId="8" xfId="5" applyFont="1" applyFill="1" applyBorder="1" applyAlignment="1">
      <alignment horizontal="center"/>
    </xf>
    <xf numFmtId="0" fontId="9" fillId="0" borderId="10" xfId="5" quotePrefix="1" applyFont="1" applyBorder="1" applyAlignment="1">
      <alignment horizontal="center"/>
    </xf>
    <xf numFmtId="0" fontId="9" fillId="0" borderId="14" xfId="5" quotePrefix="1" applyFont="1" applyBorder="1" applyAlignment="1">
      <alignment horizontal="center"/>
    </xf>
    <xf numFmtId="1" fontId="16" fillId="0" borderId="0" xfId="4" applyNumberFormat="1" applyFont="1" applyAlignment="1">
      <alignment horizontal="center"/>
    </xf>
    <xf numFmtId="3" fontId="17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 textRotation="90"/>
    </xf>
    <xf numFmtId="0" fontId="16" fillId="0" borderId="3" xfId="5" applyFont="1" applyBorder="1" applyAlignment="1">
      <alignment horizontal="center" vertical="center"/>
    </xf>
    <xf numFmtId="0" fontId="17" fillId="0" borderId="3" xfId="5" applyFont="1" applyBorder="1" applyAlignment="1">
      <alignment horizontal="center" vertical="center"/>
    </xf>
    <xf numFmtId="0" fontId="17" fillId="0" borderId="0" xfId="5" applyFont="1" applyAlignment="1">
      <alignment horizontal="center"/>
    </xf>
    <xf numFmtId="9" fontId="16" fillId="0" borderId="0" xfId="5" applyNumberFormat="1" applyFont="1" applyAlignment="1">
      <alignment horizontal="center"/>
    </xf>
    <xf numFmtId="3" fontId="17" fillId="0" borderId="0" xfId="5" applyNumberFormat="1" applyFont="1"/>
    <xf numFmtId="169" fontId="7" fillId="0" borderId="6" xfId="5" applyNumberFormat="1" applyFont="1" applyBorder="1"/>
    <xf numFmtId="0" fontId="7" fillId="0" borderId="0" xfId="5" applyFont="1" applyBorder="1"/>
    <xf numFmtId="169" fontId="7" fillId="0" borderId="0" xfId="5" applyNumberFormat="1" applyFont="1" applyBorder="1"/>
    <xf numFmtId="169" fontId="7" fillId="0" borderId="3" xfId="5" applyNumberFormat="1" applyFont="1" applyBorder="1"/>
    <xf numFmtId="169" fontId="7" fillId="0" borderId="12" xfId="5" applyNumberFormat="1" applyFont="1" applyBorder="1"/>
    <xf numFmtId="0" fontId="4" fillId="6" borderId="15" xfId="6" applyFont="1" applyFill="1" applyBorder="1" applyAlignment="1">
      <alignment horizontal="center"/>
    </xf>
    <xf numFmtId="169" fontId="7" fillId="0" borderId="5" xfId="5" applyNumberFormat="1" applyFont="1" applyBorder="1"/>
    <xf numFmtId="169" fontId="7" fillId="0" borderId="9" xfId="5" applyNumberFormat="1" applyFont="1" applyBorder="1"/>
    <xf numFmtId="169" fontId="7" fillId="0" borderId="11" xfId="5" applyNumberFormat="1" applyFont="1" applyBorder="1"/>
    <xf numFmtId="0" fontId="9" fillId="0" borderId="14" xfId="5" applyFont="1" applyBorder="1" applyAlignment="1">
      <alignment horizontal="right"/>
    </xf>
    <xf numFmtId="165" fontId="7" fillId="0" borderId="5" xfId="5" applyNumberFormat="1" applyFont="1" applyBorder="1"/>
    <xf numFmtId="165" fontId="7" fillId="0" borderId="6" xfId="5" applyNumberFormat="1" applyFont="1" applyBorder="1"/>
    <xf numFmtId="165" fontId="7" fillId="0" borderId="17" xfId="5" applyNumberFormat="1" applyFont="1" applyBorder="1"/>
    <xf numFmtId="165" fontId="12" fillId="0" borderId="11" xfId="5" applyNumberFormat="1" applyFont="1" applyBorder="1"/>
    <xf numFmtId="165" fontId="12" fillId="0" borderId="12" xfId="5" applyNumberFormat="1" applyFont="1" applyBorder="1"/>
    <xf numFmtId="10" fontId="12" fillId="0" borderId="12" xfId="5" applyNumberFormat="1" applyFont="1" applyBorder="1"/>
    <xf numFmtId="165" fontId="12" fillId="0" borderId="13" xfId="5" applyNumberFormat="1" applyFont="1" applyBorder="1"/>
    <xf numFmtId="3" fontId="4" fillId="6" borderId="9" xfId="6" applyNumberFormat="1" applyFont="1" applyFill="1" applyBorder="1"/>
    <xf numFmtId="0" fontId="9" fillId="0" borderId="0" xfId="5" applyFont="1" applyFill="1" applyAlignment="1">
      <alignment horizontal="center"/>
    </xf>
    <xf numFmtId="9" fontId="7" fillId="6" borderId="0" xfId="5" applyNumberFormat="1" applyFont="1" applyFill="1"/>
    <xf numFmtId="0" fontId="9" fillId="0" borderId="0" xfId="5" applyFont="1" applyBorder="1" applyAlignment="1">
      <alignment horizontal="right"/>
    </xf>
    <xf numFmtId="165" fontId="12" fillId="0" borderId="0" xfId="5" applyNumberFormat="1" applyFont="1" applyBorder="1"/>
    <xf numFmtId="10" fontId="12" fillId="0" borderId="0" xfId="5" applyNumberFormat="1" applyFont="1" applyBorder="1"/>
    <xf numFmtId="169" fontId="7" fillId="0" borderId="0" xfId="5" applyNumberFormat="1" applyFont="1" applyFill="1"/>
    <xf numFmtId="0" fontId="17" fillId="0" borderId="0" xfId="5" applyFont="1" applyFill="1" applyBorder="1" applyAlignment="1">
      <alignment horizontal="center"/>
    </xf>
    <xf numFmtId="0" fontId="9" fillId="0" borderId="0" xfId="5" applyFont="1" applyFill="1" applyBorder="1" applyAlignment="1">
      <alignment horizontal="center"/>
    </xf>
    <xf numFmtId="0" fontId="9" fillId="5" borderId="18" xfId="5" applyFont="1" applyFill="1" applyBorder="1"/>
    <xf numFmtId="0" fontId="7" fillId="5" borderId="19" xfId="5" applyFont="1" applyFill="1" applyBorder="1"/>
    <xf numFmtId="0" fontId="9" fillId="5" borderId="19" xfId="5" quotePrefix="1" applyFont="1" applyFill="1" applyBorder="1" applyAlignment="1">
      <alignment horizontal="center"/>
    </xf>
    <xf numFmtId="0" fontId="9" fillId="5" borderId="20" xfId="5" quotePrefix="1" applyFont="1" applyFill="1" applyBorder="1" applyAlignment="1">
      <alignment horizontal="center"/>
    </xf>
    <xf numFmtId="0" fontId="9" fillId="0" borderId="21" xfId="5" applyFont="1" applyBorder="1" applyAlignment="1">
      <alignment horizontal="center"/>
    </xf>
    <xf numFmtId="169" fontId="7" fillId="0" borderId="22" xfId="5" applyNumberFormat="1" applyFont="1" applyBorder="1"/>
    <xf numFmtId="0" fontId="9" fillId="0" borderId="23" xfId="5" applyFont="1" applyBorder="1" applyAlignment="1">
      <alignment horizontal="center"/>
    </xf>
    <xf numFmtId="169" fontId="7" fillId="0" borderId="24" xfId="5" applyNumberFormat="1" applyFont="1" applyBorder="1"/>
    <xf numFmtId="0" fontId="9" fillId="0" borderId="25" xfId="5" applyFont="1" applyBorder="1" applyAlignment="1">
      <alignment horizontal="center"/>
    </xf>
    <xf numFmtId="169" fontId="7" fillId="0" borderId="26" xfId="5" applyNumberFormat="1" applyFont="1" applyBorder="1"/>
    <xf numFmtId="0" fontId="9" fillId="0" borderId="27" xfId="5" applyFont="1" applyBorder="1" applyAlignment="1">
      <alignment horizontal="center"/>
    </xf>
    <xf numFmtId="0" fontId="7" fillId="0" borderId="28" xfId="5" applyFont="1" applyBorder="1"/>
    <xf numFmtId="167" fontId="4" fillId="4" borderId="28" xfId="7" applyNumberFormat="1" applyFont="1" applyBorder="1"/>
    <xf numFmtId="167" fontId="4" fillId="4" borderId="29" xfId="7" applyNumberFormat="1" applyFont="1" applyBorder="1"/>
    <xf numFmtId="0" fontId="9" fillId="0" borderId="30" xfId="5" applyFont="1" applyBorder="1" applyAlignment="1">
      <alignment horizontal="center"/>
    </xf>
    <xf numFmtId="0" fontId="7" fillId="0" borderId="31" xfId="5" applyFont="1" applyBorder="1"/>
    <xf numFmtId="0" fontId="15" fillId="0" borderId="0" xfId="5" applyFont="1" applyFill="1" applyAlignment="1">
      <alignment horizontal="center"/>
    </xf>
    <xf numFmtId="165" fontId="7" fillId="0" borderId="0" xfId="5" applyNumberFormat="1" applyFont="1" applyFill="1"/>
    <xf numFmtId="1" fontId="9" fillId="6" borderId="0" xfId="5" applyNumberFormat="1" applyFont="1" applyFill="1"/>
    <xf numFmtId="1" fontId="4" fillId="6" borderId="32" xfId="6" applyNumberFormat="1" applyFont="1" applyFill="1" applyBorder="1"/>
    <xf numFmtId="1" fontId="4" fillId="6" borderId="31" xfId="6" applyNumberFormat="1" applyFont="1" applyFill="1" applyBorder="1"/>
    <xf numFmtId="1" fontId="4" fillId="6" borderId="33" xfId="6" applyNumberFormat="1" applyFont="1" applyFill="1" applyBorder="1"/>
    <xf numFmtId="3" fontId="4" fillId="12" borderId="3" xfId="6" applyNumberFormat="1" applyFont="1" applyFill="1" applyBorder="1" applyAlignment="1">
      <alignment horizontal="center"/>
    </xf>
    <xf numFmtId="43" fontId="4" fillId="6" borderId="0" xfId="1" applyFont="1" applyFill="1" applyBorder="1"/>
    <xf numFmtId="9" fontId="4" fillId="12" borderId="0" xfId="6" applyNumberFormat="1" applyFont="1" applyFill="1" applyBorder="1"/>
    <xf numFmtId="164" fontId="4" fillId="12" borderId="0" xfId="1" applyNumberFormat="1" applyFont="1" applyFill="1" applyBorder="1"/>
    <xf numFmtId="10" fontId="9" fillId="0" borderId="15" xfId="5" applyNumberFormat="1" applyFont="1" applyBorder="1"/>
    <xf numFmtId="0" fontId="9" fillId="0" borderId="4" xfId="5" applyFont="1" applyBorder="1" applyAlignment="1">
      <alignment horizontal="right"/>
    </xf>
    <xf numFmtId="165" fontId="7" fillId="13" borderId="0" xfId="5" applyNumberFormat="1" applyFont="1" applyFill="1"/>
    <xf numFmtId="0" fontId="7" fillId="0" borderId="7" xfId="5" applyFont="1" applyBorder="1"/>
    <xf numFmtId="0" fontId="7" fillId="5" borderId="5" xfId="5" applyFont="1" applyFill="1" applyBorder="1"/>
    <xf numFmtId="0" fontId="9" fillId="5" borderId="6" xfId="5" quotePrefix="1" applyFont="1" applyFill="1" applyBorder="1" applyAlignment="1">
      <alignment horizontal="center"/>
    </xf>
    <xf numFmtId="0" fontId="7" fillId="0" borderId="9" xfId="5" applyFont="1" applyBorder="1"/>
    <xf numFmtId="167" fontId="7" fillId="0" borderId="0" xfId="5" applyNumberFormat="1" applyFont="1" applyBorder="1"/>
    <xf numFmtId="1" fontId="7" fillId="0" borderId="3" xfId="5" applyNumberFormat="1" applyFont="1" applyBorder="1"/>
    <xf numFmtId="0" fontId="7" fillId="0" borderId="11" xfId="5" applyFont="1" applyBorder="1"/>
    <xf numFmtId="167" fontId="7" fillId="0" borderId="12" xfId="5" applyNumberFormat="1" applyFont="1" applyBorder="1"/>
    <xf numFmtId="0" fontId="7" fillId="5" borderId="15" xfId="5" applyFont="1" applyFill="1" applyBorder="1"/>
    <xf numFmtId="0" fontId="9" fillId="5" borderId="15" xfId="5" quotePrefix="1" applyFont="1" applyFill="1" applyBorder="1" applyAlignment="1">
      <alignment horizontal="center"/>
    </xf>
    <xf numFmtId="0" fontId="9" fillId="5" borderId="16" xfId="5" quotePrefix="1" applyFont="1" applyFill="1" applyBorder="1" applyAlignment="1">
      <alignment horizontal="center"/>
    </xf>
    <xf numFmtId="1" fontId="7" fillId="0" borderId="0" xfId="5" applyNumberFormat="1" applyFont="1" applyBorder="1"/>
    <xf numFmtId="167" fontId="7" fillId="0" borderId="3" xfId="5" applyNumberFormat="1" applyFont="1" applyBorder="1"/>
    <xf numFmtId="0" fontId="7" fillId="0" borderId="12" xfId="5" applyFont="1" applyBorder="1"/>
    <xf numFmtId="167" fontId="7" fillId="0" borderId="13" xfId="5" applyNumberFormat="1" applyFont="1" applyBorder="1"/>
    <xf numFmtId="0" fontId="9" fillId="5" borderId="4" xfId="5" quotePrefix="1" applyFont="1" applyFill="1" applyBorder="1" applyAlignment="1">
      <alignment horizontal="center"/>
    </xf>
    <xf numFmtId="166" fontId="7" fillId="0" borderId="0" xfId="5" applyNumberFormat="1" applyFont="1" applyBorder="1" applyAlignment="1">
      <alignment horizontal="center"/>
    </xf>
    <xf numFmtId="166" fontId="7" fillId="0" borderId="3" xfId="5" applyNumberFormat="1" applyFont="1" applyBorder="1" applyAlignment="1">
      <alignment horizontal="center"/>
    </xf>
    <xf numFmtId="166" fontId="7" fillId="0" borderId="12" xfId="5" applyNumberFormat="1" applyFont="1" applyBorder="1" applyAlignment="1">
      <alignment horizontal="center"/>
    </xf>
    <xf numFmtId="166" fontId="7" fillId="0" borderId="13" xfId="5" applyNumberFormat="1" applyFont="1" applyBorder="1" applyAlignment="1">
      <alignment horizontal="center"/>
    </xf>
    <xf numFmtId="3" fontId="7" fillId="13" borderId="0" xfId="6" applyNumberFormat="1" applyFont="1" applyFill="1" applyBorder="1"/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8" fillId="0" borderId="0" xfId="0" applyFont="1" applyBorder="1" applyAlignment="1">
      <alignment horizontal="right"/>
    </xf>
    <xf numFmtId="1" fontId="20" fillId="0" borderId="0" xfId="4" applyNumberFormat="1" applyFont="1" applyAlignment="1">
      <alignment horizontal="left"/>
    </xf>
    <xf numFmtId="0" fontId="21" fillId="7" borderId="0" xfId="5" applyFont="1" applyFill="1"/>
    <xf numFmtId="0" fontId="17" fillId="14" borderId="0" xfId="5" applyFont="1" applyFill="1" applyAlignment="1">
      <alignment horizontal="center"/>
    </xf>
    <xf numFmtId="0" fontId="7" fillId="14" borderId="0" xfId="5" applyFont="1" applyFill="1"/>
    <xf numFmtId="0" fontId="21" fillId="14" borderId="0" xfId="5" applyFont="1" applyFill="1"/>
    <xf numFmtId="171" fontId="7" fillId="0" borderId="10" xfId="1" applyNumberFormat="1" applyFont="1" applyBorder="1"/>
    <xf numFmtId="171" fontId="7" fillId="0" borderId="14" xfId="1" applyNumberFormat="1" applyFont="1" applyBorder="1"/>
    <xf numFmtId="0" fontId="17" fillId="15" borderId="0" xfId="5" applyFont="1" applyFill="1" applyAlignment="1">
      <alignment horizontal="center"/>
    </xf>
    <xf numFmtId="0" fontId="21" fillId="15" borderId="0" xfId="5" applyFont="1" applyFill="1" applyAlignment="1">
      <alignment horizontal="center"/>
    </xf>
    <xf numFmtId="0" fontId="7" fillId="15" borderId="0" xfId="5" applyFont="1" applyFill="1"/>
    <xf numFmtId="167" fontId="7" fillId="15" borderId="0" xfId="5" applyNumberFormat="1" applyFont="1" applyFill="1"/>
    <xf numFmtId="0" fontId="7" fillId="0" borderId="0" xfId="5" applyFont="1" applyFill="1" applyBorder="1"/>
    <xf numFmtId="49" fontId="7" fillId="0" borderId="0" xfId="5" quotePrefix="1" applyNumberFormat="1" applyFont="1" applyBorder="1" applyAlignment="1">
      <alignment horizontal="right"/>
    </xf>
    <xf numFmtId="0" fontId="7" fillId="0" borderId="0" xfId="5" applyFont="1" applyBorder="1" applyAlignment="1">
      <alignment horizontal="right"/>
    </xf>
    <xf numFmtId="0" fontId="19" fillId="0" borderId="0" xfId="0" applyFont="1" applyBorder="1"/>
    <xf numFmtId="0" fontId="0" fillId="6" borderId="0" xfId="0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6" borderId="0" xfId="0" applyFill="1" applyBorder="1"/>
    <xf numFmtId="3" fontId="22" fillId="6" borderId="0" xfId="5" applyNumberFormat="1" applyFont="1" applyFill="1" applyBorder="1"/>
    <xf numFmtId="0" fontId="23" fillId="0" borderId="0" xfId="0" applyFont="1"/>
    <xf numFmtId="0" fontId="0" fillId="0" borderId="4" xfId="0" applyBorder="1"/>
    <xf numFmtId="0" fontId="0" fillId="0" borderId="4" xfId="0" quotePrefix="1" applyBorder="1" applyAlignment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quotePrefix="1" applyBorder="1" applyAlignment="1">
      <alignment horizontal="left" vertical="top" wrapText="1"/>
    </xf>
    <xf numFmtId="0" fontId="7" fillId="0" borderId="10" xfId="5" applyFont="1" applyBorder="1"/>
    <xf numFmtId="0" fontId="7" fillId="0" borderId="14" xfId="5" applyFont="1" applyBorder="1"/>
    <xf numFmtId="0" fontId="9" fillId="0" borderId="15" xfId="5" applyFont="1" applyBorder="1"/>
    <xf numFmtId="0" fontId="9" fillId="0" borderId="16" xfId="5" applyFont="1" applyFill="1" applyBorder="1"/>
    <xf numFmtId="0" fontId="9" fillId="0" borderId="4" xfId="5" applyFont="1" applyBorder="1"/>
    <xf numFmtId="0" fontId="7" fillId="0" borderId="8" xfId="5" applyFont="1" applyBorder="1"/>
    <xf numFmtId="169" fontId="7" fillId="6" borderId="17" xfId="5" applyNumberFormat="1" applyFont="1" applyFill="1" applyBorder="1"/>
    <xf numFmtId="169" fontId="7" fillId="6" borderId="3" xfId="5" applyNumberFormat="1" applyFont="1" applyFill="1" applyBorder="1"/>
    <xf numFmtId="169" fontId="7" fillId="6" borderId="13" xfId="5" applyNumberFormat="1" applyFont="1" applyFill="1" applyBorder="1"/>
    <xf numFmtId="169" fontId="4" fillId="6" borderId="16" xfId="6" applyNumberFormat="1" applyFont="1" applyFill="1" applyBorder="1"/>
    <xf numFmtId="9" fontId="7" fillId="0" borderId="17" xfId="5" applyNumberFormat="1" applyFont="1" applyBorder="1"/>
    <xf numFmtId="9" fontId="7" fillId="0" borderId="3" xfId="5" applyNumberFormat="1" applyFont="1" applyBorder="1"/>
    <xf numFmtId="9" fontId="7" fillId="0" borderId="13" xfId="5" applyNumberFormat="1" applyFont="1" applyBorder="1"/>
    <xf numFmtId="172" fontId="7" fillId="0" borderId="8" xfId="1" applyNumberFormat="1" applyFont="1" applyFill="1" applyBorder="1"/>
    <xf numFmtId="172" fontId="7" fillId="0" borderId="10" xfId="1" applyNumberFormat="1" applyFont="1" applyFill="1" applyBorder="1"/>
    <xf numFmtId="172" fontId="7" fillId="0" borderId="10" xfId="1" applyNumberFormat="1" applyFont="1" applyBorder="1"/>
    <xf numFmtId="172" fontId="7" fillId="0" borderId="14" xfId="1" applyNumberFormat="1" applyFont="1" applyBorder="1"/>
    <xf numFmtId="0" fontId="9" fillId="8" borderId="4" xfId="5" applyFont="1" applyFill="1" applyBorder="1" applyAlignment="1">
      <alignment wrapText="1"/>
    </xf>
    <xf numFmtId="0" fontId="9" fillId="8" borderId="7" xfId="5" applyFont="1" applyFill="1" applyBorder="1" applyAlignment="1">
      <alignment wrapText="1"/>
    </xf>
    <xf numFmtId="0" fontId="17" fillId="0" borderId="17" xfId="5" applyFont="1" applyBorder="1"/>
    <xf numFmtId="1" fontId="17" fillId="0" borderId="3" xfId="5" applyNumberFormat="1" applyFont="1" applyBorder="1"/>
    <xf numFmtId="0" fontId="17" fillId="0" borderId="3" xfId="5" applyFont="1" applyBorder="1"/>
    <xf numFmtId="0" fontId="17" fillId="0" borderId="13" xfId="5" applyFont="1" applyBorder="1"/>
    <xf numFmtId="0" fontId="0" fillId="0" borderId="0" xfId="0" applyBorder="1" applyAlignment="1">
      <alignment horizontal="right"/>
    </xf>
    <xf numFmtId="0" fontId="24" fillId="0" borderId="0" xfId="5" applyFont="1"/>
    <xf numFmtId="0" fontId="9" fillId="0" borderId="28" xfId="5" applyFont="1" applyBorder="1"/>
    <xf numFmtId="173" fontId="7" fillId="0" borderId="10" xfId="5" applyNumberFormat="1" applyFont="1" applyBorder="1"/>
    <xf numFmtId="173" fontId="7" fillId="0" borderId="14" xfId="5" applyNumberFormat="1" applyFont="1" applyBorder="1"/>
    <xf numFmtId="165" fontId="7" fillId="0" borderId="8" xfId="5" applyNumberFormat="1" applyFont="1" applyBorder="1"/>
    <xf numFmtId="165" fontId="7" fillId="0" borderId="10" xfId="5" applyNumberFormat="1" applyFont="1" applyBorder="1"/>
    <xf numFmtId="165" fontId="7" fillId="0" borderId="14" xfId="5" applyNumberFormat="1" applyFont="1" applyBorder="1"/>
    <xf numFmtId="0" fontId="0" fillId="0" borderId="0" xfId="0" applyBorder="1" applyAlignment="1">
      <alignment horizontal="right"/>
    </xf>
  </cellXfs>
  <cellStyles count="9">
    <cellStyle name="Comma" xfId="1" builtinId="3"/>
    <cellStyle name="Hyperlink" xfId="8" builtinId="8"/>
    <cellStyle name="Input 2" xfId="6" xr:uid="{7A1E5267-0976-46B4-AE3D-DF78CC51390C}"/>
    <cellStyle name="Neutral" xfId="3" builtinId="28"/>
    <cellStyle name="Normal" xfId="0" builtinId="0"/>
    <cellStyle name="Normal 2" xfId="5" xr:uid="{9DDDB1B9-DADC-4812-B8F5-F3FBBA0D4B78}"/>
    <cellStyle name="Normal_EM_GenUnion_2006" xfId="4" xr:uid="{311C5988-A7D8-4DFF-807B-460FB8C4EEBF}"/>
    <cellStyle name="Note 2" xfId="7" xr:uid="{F950E838-B50C-45F0-804D-29A4B79AB2BD}"/>
    <cellStyle name="Percent" xfId="2" builtinId="5"/>
  </cellStyles>
  <dxfs count="177">
    <dxf>
      <font>
        <b/>
        <i val="0"/>
        <color theme="9" tint="-0.24994659260841701"/>
      </font>
    </dxf>
    <dxf>
      <font>
        <b/>
        <i val="0"/>
        <color rgb="FFC00000"/>
      </font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8F8F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 tint="-0.14996795556505021"/>
      </font>
      <fill>
        <patternFill patternType="solid">
          <bgColor theme="0" tint="-0.14996795556505021"/>
        </patternFill>
      </fill>
    </dxf>
    <dxf>
      <font>
        <color theme="0" tint="-0.14996795556505021"/>
      </font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  <dxf>
      <font>
        <b/>
        <i val="0"/>
        <color theme="9" tint="-0.24994659260841701"/>
      </font>
    </dxf>
    <dxf>
      <font>
        <b/>
        <i val="0"/>
        <color rgb="FFC00000"/>
      </font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8F8F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 tint="-0.14996795556505021"/>
      </font>
      <fill>
        <patternFill patternType="solid">
          <bgColor theme="0" tint="-0.14996795556505021"/>
        </patternFill>
      </fill>
    </dxf>
    <dxf>
      <font>
        <color theme="0" tint="-0.14996795556505021"/>
      </font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  <dxf>
      <font>
        <b/>
        <i val="0"/>
        <color theme="9" tint="-0.24994659260841701"/>
      </font>
    </dxf>
    <dxf>
      <font>
        <b/>
        <i val="0"/>
        <color rgb="FFC00000"/>
      </font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theme="9" tint="0.79998168889431442"/>
        </patternFill>
      </fill>
    </dxf>
    <dxf>
      <font>
        <condense val="0"/>
        <extend val="0"/>
        <color indexed="10"/>
      </font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8F8F"/>
        </patternFill>
      </fill>
    </dxf>
    <dxf>
      <font>
        <condense val="0"/>
        <extend val="0"/>
        <color indexed="10"/>
      </font>
    </dxf>
    <dxf>
      <font>
        <condense val="0"/>
        <extend val="0"/>
        <color auto="1"/>
      </font>
      <fill>
        <patternFill>
          <bgColor indexed="43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ont>
        <condense val="0"/>
        <extend val="0"/>
        <color indexed="10"/>
      </font>
    </dxf>
    <dxf>
      <fill>
        <patternFill>
          <bgColor indexed="43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0" tint="-0.14996795556505021"/>
      </font>
      <fill>
        <patternFill patternType="solid">
          <bgColor theme="0" tint="-0.14996795556505021"/>
        </patternFill>
      </fill>
    </dxf>
    <dxf>
      <font>
        <color theme="0" tint="-0.14996795556505021"/>
      </font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  <dxf>
      <font>
        <b/>
        <i val="0"/>
        <condense val="0"/>
        <extend val="0"/>
        <color indexed="20"/>
      </font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CC"/>
      <color rgb="FFCCFFFF"/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/>
              <a:t>Development</a:t>
            </a:r>
            <a:r>
              <a:rPr lang="en-GB" sz="1800" b="1" baseline="0"/>
              <a:t> Period</a:t>
            </a:r>
            <a:endParaRPr lang="en-GB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09691047125725E-2"/>
          <c:y val="7.5337369327345138E-2"/>
          <c:w val="0.91094906168779399"/>
          <c:h val="0.75494972058623699"/>
        </c:manualLayout>
      </c:layout>
      <c:scatterChart>
        <c:scatterStyle val="lineMarker"/>
        <c:varyColors val="0"/>
        <c:ser>
          <c:idx val="0"/>
          <c:order val="0"/>
          <c:tx>
            <c:strRef>
              <c:f>InputTriangles!$B$234</c:f>
              <c:strCache>
                <c:ptCount val="1"/>
                <c:pt idx="0">
                  <c:v>1996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InputTriangles!$C$234:$CT$234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42-4F93-B901-54035E836086}"/>
            </c:ext>
          </c:extLst>
        </c:ser>
        <c:ser>
          <c:idx val="1"/>
          <c:order val="1"/>
          <c:tx>
            <c:strRef>
              <c:f>InputTriangles!$B$235</c:f>
              <c:strCache>
                <c:ptCount val="1"/>
                <c:pt idx="0">
                  <c:v>1997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InputTriangles!$C$235:$CT$235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42-4F93-B901-54035E836086}"/>
            </c:ext>
          </c:extLst>
        </c:ser>
        <c:ser>
          <c:idx val="2"/>
          <c:order val="2"/>
          <c:tx>
            <c:strRef>
              <c:f>InputTriangles!$B$236</c:f>
              <c:strCache>
                <c:ptCount val="1"/>
                <c:pt idx="0">
                  <c:v>1998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InputTriangles!$C$236:$CT$236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42-4F93-B901-54035E836086}"/>
            </c:ext>
          </c:extLst>
        </c:ser>
        <c:ser>
          <c:idx val="3"/>
          <c:order val="3"/>
          <c:tx>
            <c:strRef>
              <c:f>InputTriangles!$B$237</c:f>
              <c:strCache>
                <c:ptCount val="1"/>
                <c:pt idx="0">
                  <c:v>1999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InputTriangles!$C$237:$CT$237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42-4F93-B901-54035E836086}"/>
            </c:ext>
          </c:extLst>
        </c:ser>
        <c:ser>
          <c:idx val="12"/>
          <c:order val="12"/>
          <c:tx>
            <c:strRef>
              <c:f>InputTriangles!$B$246</c:f>
              <c:strCache>
                <c:ptCount val="1"/>
                <c:pt idx="0">
                  <c:v>2008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InputTriangles!$C$246:$CT$246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42-4F93-B901-54035E836086}"/>
            </c:ext>
          </c:extLst>
        </c:ser>
        <c:ser>
          <c:idx val="13"/>
          <c:order val="13"/>
          <c:tx>
            <c:strRef>
              <c:f>InputTriangles!$B$247</c:f>
              <c:strCache>
                <c:ptCount val="1"/>
                <c:pt idx="0">
                  <c:v>2009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InputTriangles!$C$247:$CT$247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42-4F93-B901-54035E836086}"/>
            </c:ext>
          </c:extLst>
        </c:ser>
        <c:ser>
          <c:idx val="14"/>
          <c:order val="14"/>
          <c:tx>
            <c:strRef>
              <c:f>InputTriangles!$B$248</c:f>
              <c:strCache>
                <c:ptCount val="1"/>
                <c:pt idx="0">
                  <c:v>2010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InputTriangles!$C$248:$CT$248</c:f>
              <c:numCache>
                <c:formatCode>0.0%</c:formatCode>
                <c:ptCount val="96"/>
                <c:pt idx="0">
                  <c:v>0</c:v>
                </c:pt>
                <c:pt idx="1">
                  <c:v>4.1207046817780701E-2</c:v>
                </c:pt>
                <c:pt idx="2">
                  <c:v>6.8368478019381118E-2</c:v>
                </c:pt>
                <c:pt idx="3">
                  <c:v>0.85633264806249276</c:v>
                </c:pt>
                <c:pt idx="4">
                  <c:v>1.0267258248179469</c:v>
                </c:pt>
                <c:pt idx="5">
                  <c:v>1.0342635009403431</c:v>
                </c:pt>
                <c:pt idx="6">
                  <c:v>1.035129514575811</c:v>
                </c:pt>
                <c:pt idx="7">
                  <c:v>1.0298699457351443</c:v>
                </c:pt>
                <c:pt idx="8">
                  <c:v>1.0295082042156012</c:v>
                </c:pt>
                <c:pt idx="9">
                  <c:v>1.0003806316046377</c:v>
                </c:pt>
                <c:pt idx="10">
                  <c:v>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42-4F93-B901-54035E836086}"/>
            </c:ext>
          </c:extLst>
        </c:ser>
        <c:ser>
          <c:idx val="15"/>
          <c:order val="15"/>
          <c:tx>
            <c:strRef>
              <c:f>InputTriangles!$B$249</c:f>
              <c:strCache>
                <c:ptCount val="1"/>
                <c:pt idx="0">
                  <c:v>2011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InputTriangles!$C$249:$CT$249</c:f>
              <c:numCache>
                <c:formatCode>0.0%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2.5932545204445154</c:v>
                </c:pt>
                <c:pt idx="3">
                  <c:v>2.6004415563842267</c:v>
                </c:pt>
                <c:pt idx="4">
                  <c:v>2.1520927027713488</c:v>
                </c:pt>
                <c:pt idx="5">
                  <c:v>1.1769527307728518</c:v>
                </c:pt>
                <c:pt idx="6">
                  <c:v>1.0844030225014354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42-4F93-B901-54035E836086}"/>
            </c:ext>
          </c:extLst>
        </c:ser>
        <c:ser>
          <c:idx val="16"/>
          <c:order val="16"/>
          <c:tx>
            <c:strRef>
              <c:f>InputTriangles!$B$250</c:f>
              <c:strCache>
                <c:ptCount val="1"/>
                <c:pt idx="0">
                  <c:v>2012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InputTriangles!$C$250:$CT$250</c:f>
              <c:numCache>
                <c:formatCode>0.0%</c:formatCode>
                <c:ptCount val="96"/>
                <c:pt idx="0">
                  <c:v>0</c:v>
                </c:pt>
                <c:pt idx="1">
                  <c:v>0.46794394409926193</c:v>
                </c:pt>
                <c:pt idx="2">
                  <c:v>0.53418859646110395</c:v>
                </c:pt>
                <c:pt idx="3">
                  <c:v>1.4350212312289992</c:v>
                </c:pt>
                <c:pt idx="4">
                  <c:v>1.7860806858437412</c:v>
                </c:pt>
                <c:pt idx="5">
                  <c:v>1.7824186891184481</c:v>
                </c:pt>
                <c:pt idx="6">
                  <c:v>1.2578480947745474</c:v>
                </c:pt>
                <c:pt idx="7">
                  <c:v>1.0671211924863186</c:v>
                </c:pt>
                <c:pt idx="8">
                  <c:v>1.0291164899546705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442-4F93-B901-54035E836086}"/>
            </c:ext>
          </c:extLst>
        </c:ser>
        <c:ser>
          <c:idx val="17"/>
          <c:order val="17"/>
          <c:tx>
            <c:strRef>
              <c:f>InputTriangles!$B$251</c:f>
              <c:strCache>
                <c:ptCount val="1"/>
                <c:pt idx="0">
                  <c:v>2013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InputTriangles!$C$251:$CT$251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442-4F93-B901-54035E836086}"/>
            </c:ext>
          </c:extLst>
        </c:ser>
        <c:ser>
          <c:idx val="18"/>
          <c:order val="18"/>
          <c:tx>
            <c:strRef>
              <c:f>InputTriangles!$B$252</c:f>
              <c:strCache>
                <c:ptCount val="1"/>
                <c:pt idx="0">
                  <c:v>2014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InputTriangles!$C$252:$CT$252</c:f>
              <c:numCache>
                <c:formatCode>0.0%</c:formatCode>
                <c:ptCount val="96"/>
                <c:pt idx="0">
                  <c:v>0</c:v>
                </c:pt>
                <c:pt idx="1">
                  <c:v>0.24256717831176661</c:v>
                </c:pt>
                <c:pt idx="2">
                  <c:v>1.1382312913279216</c:v>
                </c:pt>
                <c:pt idx="3">
                  <c:v>1.1382312913279216</c:v>
                </c:pt>
                <c:pt idx="4">
                  <c:v>1.1971009907027943</c:v>
                </c:pt>
                <c:pt idx="5">
                  <c:v>1.1782207777335043</c:v>
                </c:pt>
                <c:pt idx="6">
                  <c:v>1.0880103866928268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442-4F93-B901-54035E836086}"/>
            </c:ext>
          </c:extLst>
        </c:ser>
        <c:ser>
          <c:idx val="19"/>
          <c:order val="19"/>
          <c:tx>
            <c:strRef>
              <c:f>InputTriangles!$B$253</c:f>
              <c:strCache>
                <c:ptCount val="1"/>
                <c:pt idx="0">
                  <c:v>2015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InputTriangles!$C$253:$CT$253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442-4F93-B901-54035E836086}"/>
            </c:ext>
          </c:extLst>
        </c:ser>
        <c:ser>
          <c:idx val="20"/>
          <c:order val="20"/>
          <c:tx>
            <c:strRef>
              <c:f>InputTriangles!$B$254</c:f>
              <c:strCache>
                <c:ptCount val="1"/>
                <c:pt idx="0">
                  <c:v>2016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InputTriangles!$C$254:$CT$254</c:f>
              <c:numCache>
                <c:formatCode>0.0%</c:formatCode>
                <c:ptCount val="96"/>
                <c:pt idx="0">
                  <c:v>0</c:v>
                </c:pt>
                <c:pt idx="1">
                  <c:v>0.18534857745325087</c:v>
                </c:pt>
                <c:pt idx="2">
                  <c:v>1.2406962783258715</c:v>
                </c:pt>
                <c:pt idx="3">
                  <c:v>1.4519582062775829</c:v>
                </c:pt>
                <c:pt idx="4">
                  <c:v>1.2872115323431041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442-4F93-B901-54035E836086}"/>
            </c:ext>
          </c:extLst>
        </c:ser>
        <c:ser>
          <c:idx val="21"/>
          <c:order val="21"/>
          <c:tx>
            <c:strRef>
              <c:f>InputTriangles!$B$255</c:f>
              <c:strCache>
                <c:ptCount val="1"/>
                <c:pt idx="0">
                  <c:v>2017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InputTriangles!$C$255:$CT$255</c:f>
              <c:numCache>
                <c:formatCode>0.0%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1.2083679677923913E-2</c:v>
                </c:pt>
                <c:pt idx="3">
                  <c:v>1.1633644885481438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442-4F93-B901-54035E836086}"/>
            </c:ext>
          </c:extLst>
        </c:ser>
        <c:ser>
          <c:idx val="22"/>
          <c:order val="22"/>
          <c:tx>
            <c:strRef>
              <c:f>InputTriangles!$B$256</c:f>
              <c:strCache>
                <c:ptCount val="1"/>
                <c:pt idx="0">
                  <c:v>2018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InputTriangles!$C$256:$CT$256</c:f>
              <c:numCache>
                <c:formatCode>0.0%</c:formatCode>
                <c:ptCount val="96"/>
                <c:pt idx="0">
                  <c:v>0</c:v>
                </c:pt>
                <c:pt idx="1">
                  <c:v>1.0595492615705908</c:v>
                </c:pt>
                <c:pt idx="2">
                  <c:v>0.60848617159943708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442-4F93-B901-54035E836086}"/>
            </c:ext>
          </c:extLst>
        </c:ser>
        <c:ser>
          <c:idx val="23"/>
          <c:order val="23"/>
          <c:tx>
            <c:strRef>
              <c:f>InputTriangles!$B$257</c:f>
              <c:strCache>
                <c:ptCount val="1"/>
                <c:pt idx="0">
                  <c:v>2019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InputTriangles!$C$257:$CT$257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442-4F93-B901-54035E836086}"/>
            </c:ext>
          </c:extLst>
        </c:ser>
        <c:ser>
          <c:idx val="24"/>
          <c:order val="24"/>
          <c:tx>
            <c:strRef>
              <c:f>InputTriangles!$B$258</c:f>
              <c:strCache>
                <c:ptCount val="1"/>
                <c:pt idx="0">
                  <c:v>Selected</c:v>
                </c:pt>
              </c:strCache>
            </c:strRef>
          </c:tx>
          <c:spPr>
            <a:ln w="57150" cap="rnd">
              <a:solidFill>
                <a:schemeClr val="accent1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InputTriangles!$C$258:$CT$258</c:f>
              <c:numCache>
                <c:formatCode>0.00%</c:formatCode>
                <c:ptCount val="96"/>
                <c:pt idx="0" formatCode="General">
                  <c:v>0</c:v>
                </c:pt>
                <c:pt idx="1">
                  <c:v>0.24507096328562628</c:v>
                </c:pt>
                <c:pt idx="2">
                  <c:v>0.60848617159943708</c:v>
                </c:pt>
                <c:pt idx="3">
                  <c:v>1.1633644885481438</c:v>
                </c:pt>
                <c:pt idx="4">
                  <c:v>1.2872115323431044</c:v>
                </c:pt>
                <c:pt idx="5">
                  <c:v>1.2283588194064305</c:v>
                </c:pt>
                <c:pt idx="6">
                  <c:v>1.0880103866928268</c:v>
                </c:pt>
                <c:pt idx="7">
                  <c:v>1.0294418230116882</c:v>
                </c:pt>
                <c:pt idx="8">
                  <c:v>1.0291164899546705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442-4F93-B901-54035E836086}"/>
            </c:ext>
          </c:extLst>
        </c:ser>
        <c:ser>
          <c:idx val="25"/>
          <c:order val="25"/>
          <c:tx>
            <c:strRef>
              <c:f>InputTriangles!$B$259</c:f>
              <c:strCache>
                <c:ptCount val="1"/>
                <c:pt idx="0">
                  <c:v>BlindCL</c:v>
                </c:pt>
              </c:strCache>
            </c:strRef>
          </c:tx>
          <c:spPr>
            <a:ln w="571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InputTriangles!$C$259:$CT$259</c:f>
              <c:numCache>
                <c:formatCode>0.00%</c:formatCode>
                <c:ptCount val="96"/>
                <c:pt idx="0" formatCode="General">
                  <c:v>0</c:v>
                </c:pt>
                <c:pt idx="1">
                  <c:v>0.24507096328562628</c:v>
                </c:pt>
                <c:pt idx="2">
                  <c:v>0.60848617159943708</c:v>
                </c:pt>
                <c:pt idx="3">
                  <c:v>1.163364488548144</c:v>
                </c:pt>
                <c:pt idx="4">
                  <c:v>1.2872115323431044</c:v>
                </c:pt>
                <c:pt idx="5">
                  <c:v>1.2283588194064305</c:v>
                </c:pt>
                <c:pt idx="6">
                  <c:v>1.0880103866928268</c:v>
                </c:pt>
                <c:pt idx="7">
                  <c:v>1.0294418230116882</c:v>
                </c:pt>
                <c:pt idx="8">
                  <c:v>1.0291164899546705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442-4F93-B901-54035E836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594496"/>
        <c:axId val="60859482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InputTriangles!$B$238</c15:sqref>
                        </c15:formulaRef>
                      </c:ext>
                    </c:extLst>
                    <c:strCache>
                      <c:ptCount val="1"/>
                      <c:pt idx="0">
                        <c:v>2000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InputTriangles!$C$233:$CT$233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InputTriangles!$C$238:$CT$238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442-4F93-B901-54035E83608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InputTriangles!$B$239</c15:sqref>
                        </c15:formulaRef>
                      </c:ext>
                    </c:extLst>
                    <c:strCache>
                      <c:ptCount val="1"/>
                      <c:pt idx="0">
                        <c:v>2001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InputTriangles!$C$239:$CT$239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442-4F93-B901-54035E83608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InputTriangles!$B$240</c15:sqref>
                        </c15:formulaRef>
                      </c:ext>
                    </c:extLst>
                    <c:strCache>
                      <c:ptCount val="1"/>
                      <c:pt idx="0">
                        <c:v>2002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InputTriangles!$C$240:$CT$240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442-4F93-B901-54035E83608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InputTriangles!$B$241</c15:sqref>
                        </c15:formulaRef>
                      </c:ext>
                    </c:extLst>
                    <c:strCache>
                      <c:ptCount val="1"/>
                      <c:pt idx="0">
                        <c:v>2003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InputTriangles!$C$241:$CT$241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442-4F93-B901-54035E83608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InputTriangles!$B$242</c15:sqref>
                        </c15:formulaRef>
                      </c:ext>
                    </c:extLst>
                    <c:strCache>
                      <c:ptCount val="1"/>
                      <c:pt idx="0">
                        <c:v>2004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InputTriangles!$C$242:$CT$242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442-4F93-B901-54035E83608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InputTriangles!$B$243</c15:sqref>
                        </c15:formulaRef>
                      </c:ext>
                    </c:extLst>
                    <c:strCache>
                      <c:ptCount val="1"/>
                      <c:pt idx="0">
                        <c:v>2005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InputTriangles!$C$243:$CT$243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442-4F93-B901-54035E836086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InputTriangles!$B$244</c15:sqref>
                        </c15:formulaRef>
                      </c:ext>
                    </c:extLst>
                    <c:strCache>
                      <c:ptCount val="1"/>
                      <c:pt idx="0">
                        <c:v>2006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InputTriangles!$C$244:$CT$244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442-4F93-B901-54035E836086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InputTriangles!$B$245</c15:sqref>
                        </c15:formulaRef>
                      </c:ext>
                    </c:extLst>
                    <c:strCache>
                      <c:ptCount val="1"/>
                      <c:pt idx="0">
                        <c:v>2007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InputTriangles!$C$245:$CT$245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442-4F93-B901-54035E836086}"/>
                  </c:ext>
                </c:extLst>
              </c15:ser>
            </c15:filteredScatterSeries>
          </c:ext>
        </c:extLst>
      </c:scatterChart>
      <c:valAx>
        <c:axId val="60859449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Development Period</a:t>
                </a:r>
              </a:p>
            </c:rich>
          </c:tx>
          <c:layout>
            <c:manualLayout>
              <c:xMode val="edge"/>
              <c:yMode val="edge"/>
              <c:x val="0.46299991392657563"/>
              <c:y val="0.87395578775788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94824"/>
        <c:crosses val="autoZero"/>
        <c:crossBetween val="midCat"/>
        <c:majorUnit val="3"/>
        <c:minorUnit val="1"/>
      </c:valAx>
      <c:valAx>
        <c:axId val="60859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Incurred (%) of CL Ultimate</a:t>
                </a:r>
              </a:p>
            </c:rich>
          </c:tx>
          <c:layout>
            <c:manualLayout>
              <c:xMode val="edge"/>
              <c:yMode val="edge"/>
              <c:x val="8.440043743797157E-3"/>
              <c:y val="0.31318270587759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9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600995162157645"/>
          <c:y val="0.9234587453892279"/>
          <c:w val="0.67132735876421779"/>
          <c:h val="7.16407737541812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/>
              <a:t>Development</a:t>
            </a:r>
            <a:r>
              <a:rPr lang="en-GB" sz="1800" b="1" baseline="0"/>
              <a:t> Period</a:t>
            </a:r>
            <a:endParaRPr lang="en-GB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09691047125725E-2"/>
          <c:y val="7.5337369327345138E-2"/>
          <c:w val="0.91094906168779399"/>
          <c:h val="0.75494972058623699"/>
        </c:manualLayout>
      </c:layout>
      <c:scatterChart>
        <c:scatterStyle val="lineMarker"/>
        <c:varyColors val="0"/>
        <c:ser>
          <c:idx val="0"/>
          <c:order val="0"/>
          <c:tx>
            <c:strRef>
              <c:f>InputTriangles!$B$234</c:f>
              <c:strCache>
                <c:ptCount val="1"/>
                <c:pt idx="0">
                  <c:v>1996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InputTriangles!$C$234:$CT$234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A1-4F92-9BB8-D451BBA4CAEF}"/>
            </c:ext>
          </c:extLst>
        </c:ser>
        <c:ser>
          <c:idx val="1"/>
          <c:order val="1"/>
          <c:tx>
            <c:strRef>
              <c:f>InputTriangles!$B$235</c:f>
              <c:strCache>
                <c:ptCount val="1"/>
                <c:pt idx="0">
                  <c:v>1997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InputTriangles!$C$235:$CT$235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A1-4F92-9BB8-D451BBA4CAEF}"/>
            </c:ext>
          </c:extLst>
        </c:ser>
        <c:ser>
          <c:idx val="2"/>
          <c:order val="2"/>
          <c:tx>
            <c:strRef>
              <c:f>InputTriangles!$B$236</c:f>
              <c:strCache>
                <c:ptCount val="1"/>
                <c:pt idx="0">
                  <c:v>1998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InputTriangles!$C$236:$CT$236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A1-4F92-9BB8-D451BBA4CAEF}"/>
            </c:ext>
          </c:extLst>
        </c:ser>
        <c:ser>
          <c:idx val="3"/>
          <c:order val="3"/>
          <c:tx>
            <c:strRef>
              <c:f>InputTriangles!$B$237</c:f>
              <c:strCache>
                <c:ptCount val="1"/>
                <c:pt idx="0">
                  <c:v>1999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InputTriangles!$C$237:$CT$237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A1-4F92-9BB8-D451BBA4CAEF}"/>
            </c:ext>
          </c:extLst>
        </c:ser>
        <c:ser>
          <c:idx val="12"/>
          <c:order val="12"/>
          <c:tx>
            <c:strRef>
              <c:f>InputTrianglesCount!$B$246</c:f>
              <c:strCache>
                <c:ptCount val="1"/>
                <c:pt idx="0">
                  <c:v>2008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InputTrianglesCount!$C$246:$CT$246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A1-4F92-9BB8-D451BBA4CAEF}"/>
            </c:ext>
          </c:extLst>
        </c:ser>
        <c:ser>
          <c:idx val="13"/>
          <c:order val="13"/>
          <c:tx>
            <c:strRef>
              <c:f>InputTrianglesCount!$B$247</c:f>
              <c:strCache>
                <c:ptCount val="1"/>
                <c:pt idx="0">
                  <c:v>2009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InputTrianglesCount!$C$247:$CT$247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A1-4F92-9BB8-D451BBA4CAEF}"/>
            </c:ext>
          </c:extLst>
        </c:ser>
        <c:ser>
          <c:idx val="14"/>
          <c:order val="14"/>
          <c:tx>
            <c:strRef>
              <c:f>InputTrianglesCount!$B$248</c:f>
              <c:strCache>
                <c:ptCount val="1"/>
                <c:pt idx="0">
                  <c:v>2010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InputTrianglesCount!$C$248:$CT$248</c:f>
              <c:numCache>
                <c:formatCode>0.0%</c:formatCode>
                <c:ptCount val="96"/>
                <c:pt idx="0">
                  <c:v>0</c:v>
                </c:pt>
                <c:pt idx="1">
                  <c:v>0.16666666666666666</c:v>
                </c:pt>
                <c:pt idx="2">
                  <c:v>0.66666666666666663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A1-4F92-9BB8-D451BBA4CAEF}"/>
            </c:ext>
          </c:extLst>
        </c:ser>
        <c:ser>
          <c:idx val="15"/>
          <c:order val="15"/>
          <c:tx>
            <c:strRef>
              <c:f>InputTrianglesCount!$B$249</c:f>
              <c:strCache>
                <c:ptCount val="1"/>
                <c:pt idx="0">
                  <c:v>2011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InputTrianglesCount!$C$249:$CT$249</c:f>
              <c:numCache>
                <c:formatCode>0.0%</c:formatCode>
                <c:ptCount val="96"/>
                <c:pt idx="0">
                  <c:v>0</c:v>
                </c:pt>
                <c:pt idx="1">
                  <c:v>0.4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A1-4F92-9BB8-D451BBA4CAEF}"/>
            </c:ext>
          </c:extLst>
        </c:ser>
        <c:ser>
          <c:idx val="16"/>
          <c:order val="16"/>
          <c:tx>
            <c:strRef>
              <c:f>InputTrianglesCount!$B$250</c:f>
              <c:strCache>
                <c:ptCount val="1"/>
                <c:pt idx="0">
                  <c:v>2012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InputTrianglesCount!$C$250:$CT$250</c:f>
              <c:numCache>
                <c:formatCode>0.0%</c:formatCode>
                <c:ptCount val="96"/>
                <c:pt idx="0">
                  <c:v>0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1A1-4F92-9BB8-D451BBA4CAEF}"/>
            </c:ext>
          </c:extLst>
        </c:ser>
        <c:ser>
          <c:idx val="17"/>
          <c:order val="17"/>
          <c:tx>
            <c:strRef>
              <c:f>InputTrianglesCount!$B$251</c:f>
              <c:strCache>
                <c:ptCount val="1"/>
                <c:pt idx="0">
                  <c:v>2013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InputTrianglesCount!$C$251:$CT$251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1A1-4F92-9BB8-D451BBA4CAEF}"/>
            </c:ext>
          </c:extLst>
        </c:ser>
        <c:ser>
          <c:idx val="18"/>
          <c:order val="18"/>
          <c:tx>
            <c:strRef>
              <c:f>InputTrianglesCount!$B$252</c:f>
              <c:strCache>
                <c:ptCount val="1"/>
                <c:pt idx="0">
                  <c:v>2014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InputTrianglesCount!$C$252:$CT$252</c:f>
              <c:numCache>
                <c:formatCode>0.0%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1A1-4F92-9BB8-D451BBA4CAEF}"/>
            </c:ext>
          </c:extLst>
        </c:ser>
        <c:ser>
          <c:idx val="19"/>
          <c:order val="19"/>
          <c:tx>
            <c:strRef>
              <c:f>InputTrianglesCount!$B$253</c:f>
              <c:strCache>
                <c:ptCount val="1"/>
                <c:pt idx="0">
                  <c:v>2015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InputTrianglesCount!$C$253:$CT$253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1A1-4F92-9BB8-D451BBA4CAEF}"/>
            </c:ext>
          </c:extLst>
        </c:ser>
        <c:ser>
          <c:idx val="20"/>
          <c:order val="20"/>
          <c:tx>
            <c:strRef>
              <c:f>InputTrianglesCount!$B$254</c:f>
              <c:strCache>
                <c:ptCount val="1"/>
                <c:pt idx="0">
                  <c:v>2016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InputTrianglesCount!$C$254:$CT$254</c:f>
              <c:numCache>
                <c:formatCode>0.0%</c:formatCode>
                <c:ptCount val="9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1A1-4F92-9BB8-D451BBA4CAEF}"/>
            </c:ext>
          </c:extLst>
        </c:ser>
        <c:ser>
          <c:idx val="21"/>
          <c:order val="21"/>
          <c:tx>
            <c:strRef>
              <c:f>InputTrianglesCount!$B$255</c:f>
              <c:strCache>
                <c:ptCount val="1"/>
                <c:pt idx="0">
                  <c:v>2017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InputTrianglesCount!$C$255:$CT$255</c:f>
              <c:numCache>
                <c:formatCode>0.0%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1A1-4F92-9BB8-D451BBA4CAEF}"/>
            </c:ext>
          </c:extLst>
        </c:ser>
        <c:ser>
          <c:idx val="22"/>
          <c:order val="22"/>
          <c:tx>
            <c:strRef>
              <c:f>InputTrianglesCount!$B$256</c:f>
              <c:strCache>
                <c:ptCount val="1"/>
                <c:pt idx="0">
                  <c:v>2018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InputTrianglesCount!$C$256:$CT$256</c:f>
              <c:numCache>
                <c:formatCode>0.0%</c:formatCode>
                <c:ptCount val="96"/>
                <c:pt idx="0">
                  <c:v>0</c:v>
                </c:pt>
                <c:pt idx="1">
                  <c:v>0.88235294117647056</c:v>
                </c:pt>
                <c:pt idx="2">
                  <c:v>0.88235294117647056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1A1-4F92-9BB8-D451BBA4CAEF}"/>
            </c:ext>
          </c:extLst>
        </c:ser>
        <c:ser>
          <c:idx val="23"/>
          <c:order val="23"/>
          <c:tx>
            <c:strRef>
              <c:f>InputTrianglesCount!$B$257</c:f>
              <c:strCache>
                <c:ptCount val="1"/>
                <c:pt idx="0">
                  <c:v>2019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InputTrianglesCount!$C$257:$CT$257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1A1-4F92-9BB8-D451BBA4CAEF}"/>
            </c:ext>
          </c:extLst>
        </c:ser>
        <c:ser>
          <c:idx val="24"/>
          <c:order val="24"/>
          <c:tx>
            <c:strRef>
              <c:f>InputTrianglesCount!$B$258</c:f>
              <c:strCache>
                <c:ptCount val="1"/>
                <c:pt idx="0">
                  <c:v>Selected</c:v>
                </c:pt>
              </c:strCache>
            </c:strRef>
          </c:tx>
          <c:spPr>
            <a:ln w="57150" cap="rnd">
              <a:solidFill>
                <a:schemeClr val="accent1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InputTrianglesCount!$C$258:$CT$258</c:f>
              <c:numCache>
                <c:formatCode>0.00%</c:formatCode>
                <c:ptCount val="96"/>
                <c:pt idx="0" formatCode="General">
                  <c:v>0</c:v>
                </c:pt>
                <c:pt idx="1">
                  <c:v>0.44117647058823528</c:v>
                </c:pt>
                <c:pt idx="2">
                  <c:v>0.88235294117647056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1A1-4F92-9BB8-D451BBA4CAEF}"/>
            </c:ext>
          </c:extLst>
        </c:ser>
        <c:ser>
          <c:idx val="25"/>
          <c:order val="25"/>
          <c:tx>
            <c:strRef>
              <c:f>InputTrianglesCount!$B$259</c:f>
              <c:strCache>
                <c:ptCount val="1"/>
                <c:pt idx="0">
                  <c:v>BlindCL</c:v>
                </c:pt>
              </c:strCache>
            </c:strRef>
          </c:tx>
          <c:spPr>
            <a:ln w="571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InputTrianglesCount!$C$233:$CT$233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InputTrianglesCount!$C$259:$CT$259</c:f>
              <c:numCache>
                <c:formatCode>0.00%</c:formatCode>
                <c:ptCount val="96"/>
                <c:pt idx="0" formatCode="General">
                  <c:v>0</c:v>
                </c:pt>
                <c:pt idx="1">
                  <c:v>0.44117647058823528</c:v>
                </c:pt>
                <c:pt idx="2">
                  <c:v>0.88235294117647056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1A1-4F92-9BB8-D451BBA4C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594496"/>
        <c:axId val="60859482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InputTrianglesCount!$B$238</c15:sqref>
                        </c15:formulaRef>
                      </c:ext>
                    </c:extLst>
                    <c:strCache>
                      <c:ptCount val="1"/>
                      <c:pt idx="0">
                        <c:v>2000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InputTrianglesCount!$C$233:$CT$233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InputTrianglesCount!$C$238:$CT$238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01A1-4F92-9BB8-D451BBA4CAE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InputTrianglesCount!$B$239</c15:sqref>
                        </c15:formulaRef>
                      </c:ext>
                    </c:extLst>
                    <c:strCache>
                      <c:ptCount val="1"/>
                      <c:pt idx="0">
                        <c:v>2001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InputTrianglesCount!$C$239:$CT$239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1A1-4F92-9BB8-D451BBA4CAEF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InputTrianglesCount!$B$240</c15:sqref>
                        </c15:formulaRef>
                      </c:ext>
                    </c:extLst>
                    <c:strCache>
                      <c:ptCount val="1"/>
                      <c:pt idx="0">
                        <c:v>2002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InputTrianglesCount!$C$240:$CT$240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1A1-4F92-9BB8-D451BBA4CAEF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InputTrianglesCount!$B$241</c15:sqref>
                        </c15:formulaRef>
                      </c:ext>
                    </c:extLst>
                    <c:strCache>
                      <c:ptCount val="1"/>
                      <c:pt idx="0">
                        <c:v>2003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InputTrianglesCount!$C$241:$CT$241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1A1-4F92-9BB8-D451BBA4CAEF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InputTrianglesCount!$B$242</c15:sqref>
                        </c15:formulaRef>
                      </c:ext>
                    </c:extLst>
                    <c:strCache>
                      <c:ptCount val="1"/>
                      <c:pt idx="0">
                        <c:v>2004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InputTrianglesCount!$C$242:$CT$242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1A1-4F92-9BB8-D451BBA4CAEF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InputTrianglesCount!$B$243</c15:sqref>
                        </c15:formulaRef>
                      </c:ext>
                    </c:extLst>
                    <c:strCache>
                      <c:ptCount val="1"/>
                      <c:pt idx="0">
                        <c:v>2005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InputTrianglesCount!$C$243:$CT$243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1A1-4F92-9BB8-D451BBA4CAEF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InputTrianglesCount!$B$244</c15:sqref>
                        </c15:formulaRef>
                      </c:ext>
                    </c:extLst>
                    <c:strCache>
                      <c:ptCount val="1"/>
                      <c:pt idx="0">
                        <c:v>2006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InputTrianglesCount!$C$244:$CT$244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1A1-4F92-9BB8-D451BBA4CAEF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InputTrianglesCount!$B$245</c15:sqref>
                        </c15:formulaRef>
                      </c:ext>
                    </c:extLst>
                    <c:strCache>
                      <c:ptCount val="1"/>
                      <c:pt idx="0">
                        <c:v>2007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InputTrianglesCount!$C$245:$CT$245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1A1-4F92-9BB8-D451BBA4CAEF}"/>
                  </c:ext>
                </c:extLst>
              </c15:ser>
            </c15:filteredScatterSeries>
          </c:ext>
        </c:extLst>
      </c:scatterChart>
      <c:valAx>
        <c:axId val="60859449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Development Period</a:t>
                </a:r>
              </a:p>
            </c:rich>
          </c:tx>
          <c:layout>
            <c:manualLayout>
              <c:xMode val="edge"/>
              <c:yMode val="edge"/>
              <c:x val="0.46299991392657563"/>
              <c:y val="0.87395578775788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94824"/>
        <c:crosses val="autoZero"/>
        <c:crossBetween val="midCat"/>
        <c:majorUnit val="3"/>
        <c:minorUnit val="1"/>
      </c:valAx>
      <c:valAx>
        <c:axId val="60859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Incurred (%) of CL Ultimate</a:t>
                </a:r>
              </a:p>
            </c:rich>
          </c:tx>
          <c:layout>
            <c:manualLayout>
              <c:xMode val="edge"/>
              <c:yMode val="edge"/>
              <c:x val="8.440043743797157E-3"/>
              <c:y val="0.31318270587759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9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600995162157645"/>
          <c:y val="0.9234587453892279"/>
          <c:w val="0.67132735876421779"/>
          <c:h val="7.16407737541812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/>
              <a:t>Development</a:t>
            </a:r>
            <a:r>
              <a:rPr lang="en-GB" sz="1800" b="1" baseline="0"/>
              <a:t> Period</a:t>
            </a:r>
            <a:endParaRPr lang="en-GB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09691047125725E-2"/>
          <c:y val="7.5337369327345138E-2"/>
          <c:w val="0.91094906168779399"/>
          <c:h val="0.75494972058623699"/>
        </c:manualLayout>
      </c:layout>
      <c:scatterChart>
        <c:scatterStyle val="lineMarker"/>
        <c:varyColors val="0"/>
        <c:ser>
          <c:idx val="0"/>
          <c:order val="0"/>
          <c:tx>
            <c:strRef>
              <c:f>InputTriangles!$B$234</c:f>
              <c:strCache>
                <c:ptCount val="1"/>
                <c:pt idx="0">
                  <c:v>1996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InputTriangles!$C$234:$CT$234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E68-485B-B902-C9EFD77AECC7}"/>
            </c:ext>
          </c:extLst>
        </c:ser>
        <c:ser>
          <c:idx val="1"/>
          <c:order val="1"/>
          <c:tx>
            <c:strRef>
              <c:f>InputTriangles!$B$235</c:f>
              <c:strCache>
                <c:ptCount val="1"/>
                <c:pt idx="0">
                  <c:v>1997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InputTriangles!$C$235:$CT$235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E68-485B-B902-C9EFD77AECC7}"/>
            </c:ext>
          </c:extLst>
        </c:ser>
        <c:ser>
          <c:idx val="2"/>
          <c:order val="2"/>
          <c:tx>
            <c:strRef>
              <c:f>InputTriangles!$B$236</c:f>
              <c:strCache>
                <c:ptCount val="1"/>
                <c:pt idx="0">
                  <c:v>1998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InputTriangles!$C$236:$CT$236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E68-485B-B902-C9EFD77AECC7}"/>
            </c:ext>
          </c:extLst>
        </c:ser>
        <c:ser>
          <c:idx val="3"/>
          <c:order val="3"/>
          <c:tx>
            <c:strRef>
              <c:f>InputTriangles!$B$237</c:f>
              <c:strCache>
                <c:ptCount val="1"/>
                <c:pt idx="0">
                  <c:v>1999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InputTriangles!$C$233:$CT$233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  <c:extLst xmlns:c15="http://schemas.microsoft.com/office/drawing/2012/chart"/>
            </c:numRef>
          </c:xVal>
          <c:yVal>
            <c:numRef>
              <c:f>InputTriangles!$C$237:$CT$237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E68-485B-B902-C9EFD77AECC7}"/>
            </c:ext>
          </c:extLst>
        </c:ser>
        <c:ser>
          <c:idx val="12"/>
          <c:order val="12"/>
          <c:tx>
            <c:strRef>
              <c:f>InputTrianglesACPC!$B$246</c:f>
              <c:strCache>
                <c:ptCount val="1"/>
                <c:pt idx="0">
                  <c:v>2008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InputTrianglesACPC!$C$246:$CT$246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E68-485B-B902-C9EFD77AECC7}"/>
            </c:ext>
          </c:extLst>
        </c:ser>
        <c:ser>
          <c:idx val="13"/>
          <c:order val="13"/>
          <c:tx>
            <c:strRef>
              <c:f>InputTrianglesACPC!$B$247</c:f>
              <c:strCache>
                <c:ptCount val="1"/>
                <c:pt idx="0">
                  <c:v>2009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InputTrianglesACPC!$C$247:$CT$247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E68-485B-B902-C9EFD77AECC7}"/>
            </c:ext>
          </c:extLst>
        </c:ser>
        <c:ser>
          <c:idx val="14"/>
          <c:order val="14"/>
          <c:tx>
            <c:strRef>
              <c:f>InputTrianglesACPC!$B$248</c:f>
              <c:strCache>
                <c:ptCount val="1"/>
                <c:pt idx="0">
                  <c:v>2010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InputTrianglesACPC!$C$248:$CT$248</c:f>
              <c:numCache>
                <c:formatCode>0.0%</c:formatCode>
                <c:ptCount val="96"/>
                <c:pt idx="0">
                  <c:v>0</c:v>
                </c:pt>
                <c:pt idx="1">
                  <c:v>0.24724228090668424</c:v>
                </c:pt>
                <c:pt idx="2">
                  <c:v>0.10255271702907168</c:v>
                </c:pt>
                <c:pt idx="3">
                  <c:v>0.85633264806249276</c:v>
                </c:pt>
                <c:pt idx="4">
                  <c:v>1.0267258248179469</c:v>
                </c:pt>
                <c:pt idx="5">
                  <c:v>1.0342635009403431</c:v>
                </c:pt>
                <c:pt idx="6">
                  <c:v>1.035129514575811</c:v>
                </c:pt>
                <c:pt idx="7">
                  <c:v>1.0298699457351443</c:v>
                </c:pt>
                <c:pt idx="8">
                  <c:v>1.0295082042156014</c:v>
                </c:pt>
                <c:pt idx="9">
                  <c:v>1.0003806316046377</c:v>
                </c:pt>
                <c:pt idx="10">
                  <c:v>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E68-485B-B902-C9EFD77AECC7}"/>
            </c:ext>
          </c:extLst>
        </c:ser>
        <c:ser>
          <c:idx val="15"/>
          <c:order val="15"/>
          <c:tx>
            <c:strRef>
              <c:f>InputTrianglesACPC!$B$249</c:f>
              <c:strCache>
                <c:ptCount val="1"/>
                <c:pt idx="0">
                  <c:v>2011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InputTrianglesACPC!$C$249:$CT$249</c:f>
              <c:numCache>
                <c:formatCode>0.0%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2.593254520444515</c:v>
                </c:pt>
                <c:pt idx="3">
                  <c:v>2.6004415563842267</c:v>
                </c:pt>
                <c:pt idx="4">
                  <c:v>2.1520927027713483</c:v>
                </c:pt>
                <c:pt idx="5">
                  <c:v>1.1769527307728518</c:v>
                </c:pt>
                <c:pt idx="6">
                  <c:v>1.0844030225014354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E68-485B-B902-C9EFD77AECC7}"/>
            </c:ext>
          </c:extLst>
        </c:ser>
        <c:ser>
          <c:idx val="16"/>
          <c:order val="16"/>
          <c:tx>
            <c:strRef>
              <c:f>InputTrianglesACPC!$B$250</c:f>
              <c:strCache>
                <c:ptCount val="1"/>
                <c:pt idx="0">
                  <c:v>2012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InputTrianglesACPC!$C$250:$CT$250</c:f>
              <c:numCache>
                <c:formatCode>0.0%</c:formatCode>
                <c:ptCount val="96"/>
                <c:pt idx="0">
                  <c:v>0</c:v>
                </c:pt>
                <c:pt idx="1">
                  <c:v>0.68205681572531229</c:v>
                </c:pt>
                <c:pt idx="2">
                  <c:v>0.51907495572695894</c:v>
                </c:pt>
                <c:pt idx="3">
                  <c:v>1.3944205978977244</c:v>
                </c:pt>
                <c:pt idx="4">
                  <c:v>1.7355476306889344</c:v>
                </c:pt>
                <c:pt idx="5">
                  <c:v>1.7319892417591698</c:v>
                </c:pt>
                <c:pt idx="6">
                  <c:v>1.222260168846339</c:v>
                </c:pt>
                <c:pt idx="7">
                  <c:v>1.0369294466686876</c:v>
                </c:pt>
                <c:pt idx="8">
                  <c:v>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E68-485B-B902-C9EFD77AECC7}"/>
            </c:ext>
          </c:extLst>
        </c:ser>
        <c:ser>
          <c:idx val="17"/>
          <c:order val="17"/>
          <c:tx>
            <c:strRef>
              <c:f>InputTrianglesACPC!$B$251</c:f>
              <c:strCache>
                <c:ptCount val="1"/>
                <c:pt idx="0">
                  <c:v>2013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InputTrianglesACPC!$C$251:$CT$251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68-485B-B902-C9EFD77AECC7}"/>
            </c:ext>
          </c:extLst>
        </c:ser>
        <c:ser>
          <c:idx val="18"/>
          <c:order val="18"/>
          <c:tx>
            <c:strRef>
              <c:f>InputTrianglesACPC!$B$252</c:f>
              <c:strCache>
                <c:ptCount val="1"/>
                <c:pt idx="0">
                  <c:v>2014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InputTrianglesACPC!$C$252:$CT$252</c:f>
              <c:numCache>
                <c:formatCode>0.0%</c:formatCode>
                <c:ptCount val="96"/>
                <c:pt idx="0">
                  <c:v>0</c:v>
                </c:pt>
                <c:pt idx="1">
                  <c:v>0.241393091364941</c:v>
                </c:pt>
                <c:pt idx="2">
                  <c:v>1.1327219618674496</c:v>
                </c:pt>
                <c:pt idx="3">
                  <c:v>1.1327219618674496</c:v>
                </c:pt>
                <c:pt idx="4">
                  <c:v>1.1913067168979117</c:v>
                </c:pt>
                <c:pt idx="5">
                  <c:v>1.1725178889698906</c:v>
                </c:pt>
                <c:pt idx="6">
                  <c:v>1.0827441392065948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E68-485B-B902-C9EFD77AECC7}"/>
            </c:ext>
          </c:extLst>
        </c:ser>
        <c:ser>
          <c:idx val="19"/>
          <c:order val="19"/>
          <c:tx>
            <c:strRef>
              <c:f>InputTrianglesACPC!$B$253</c:f>
              <c:strCache>
                <c:ptCount val="1"/>
                <c:pt idx="0">
                  <c:v>2015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InputTrianglesACPC!$C$253:$CT$253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E68-485B-B902-C9EFD77AECC7}"/>
            </c:ext>
          </c:extLst>
        </c:ser>
        <c:ser>
          <c:idx val="20"/>
          <c:order val="20"/>
          <c:tx>
            <c:strRef>
              <c:f>InputTrianglesACPC!$B$254</c:f>
              <c:strCache>
                <c:ptCount val="1"/>
                <c:pt idx="0">
                  <c:v>2016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InputTrianglesACPC!$C$254:$CT$254</c:f>
              <c:numCache>
                <c:formatCode>0.0%</c:formatCode>
                <c:ptCount val="96"/>
                <c:pt idx="0">
                  <c:v>0</c:v>
                </c:pt>
                <c:pt idx="1">
                  <c:v>0.38380334351433348</c:v>
                </c:pt>
                <c:pt idx="2">
                  <c:v>1.2845617334920303</c:v>
                </c:pt>
                <c:pt idx="3">
                  <c:v>1.503292935585022</c:v>
                </c:pt>
                <c:pt idx="4">
                  <c:v>1.3327215582436804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E68-485B-B902-C9EFD77AECC7}"/>
            </c:ext>
          </c:extLst>
        </c:ser>
        <c:ser>
          <c:idx val="21"/>
          <c:order val="21"/>
          <c:tx>
            <c:strRef>
              <c:f>InputTrianglesACPC!$B$255</c:f>
              <c:strCache>
                <c:ptCount val="1"/>
                <c:pt idx="0">
                  <c:v>2017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InputTrianglesACPC!$C$255:$CT$255</c:f>
              <c:numCache>
                <c:formatCode>0.0%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1.2584749097372236E-2</c:v>
                </c:pt>
                <c:pt idx="3">
                  <c:v>1.211605288074515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E68-485B-B902-C9EFD77AECC7}"/>
            </c:ext>
          </c:extLst>
        </c:ser>
        <c:ser>
          <c:idx val="22"/>
          <c:order val="22"/>
          <c:tx>
            <c:strRef>
              <c:f>InputTrianglesACPC!$B$256</c:f>
              <c:strCache>
                <c:ptCount val="1"/>
                <c:pt idx="0">
                  <c:v>2018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InputTrianglesACPC!$C$256:$CT$256</c:f>
              <c:numCache>
                <c:formatCode>0.0%</c:formatCode>
                <c:ptCount val="96"/>
                <c:pt idx="0">
                  <c:v>0</c:v>
                </c:pt>
                <c:pt idx="1">
                  <c:v>1.5647448724643089</c:v>
                </c:pt>
                <c:pt idx="2">
                  <c:v>0.89861382713277738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E68-485B-B902-C9EFD77AECC7}"/>
            </c:ext>
          </c:extLst>
        </c:ser>
        <c:ser>
          <c:idx val="23"/>
          <c:order val="23"/>
          <c:tx>
            <c:strRef>
              <c:f>InputTrianglesACPC!$B$257</c:f>
              <c:strCache>
                <c:ptCount val="1"/>
                <c:pt idx="0">
                  <c:v>2019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InputTrianglesACPC!$C$257:$CT$257</c:f>
              <c:numCache>
                <c:formatCode>0.0%</c:formatCode>
                <c:ptCount val="96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E68-485B-B902-C9EFD77AECC7}"/>
            </c:ext>
          </c:extLst>
        </c:ser>
        <c:ser>
          <c:idx val="24"/>
          <c:order val="24"/>
          <c:tx>
            <c:strRef>
              <c:f>InputTrianglesACPC!$B$258</c:f>
              <c:strCache>
                <c:ptCount val="1"/>
                <c:pt idx="0">
                  <c:v>Selected</c:v>
                </c:pt>
              </c:strCache>
            </c:strRef>
          </c:tx>
          <c:spPr>
            <a:ln w="57150" cap="rnd">
              <a:solidFill>
                <a:schemeClr val="accent1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InputTrianglesACPC!$C$258:$CT$258</c:f>
              <c:numCache>
                <c:formatCode>0.00%</c:formatCode>
                <c:ptCount val="96"/>
                <c:pt idx="0" formatCode="General">
                  <c:v>0</c:v>
                </c:pt>
                <c:pt idx="1">
                  <c:v>0.35172268133802653</c:v>
                </c:pt>
                <c:pt idx="2">
                  <c:v>0.89861382713277738</c:v>
                </c:pt>
                <c:pt idx="3">
                  <c:v>1.211605288074515</c:v>
                </c:pt>
                <c:pt idx="4">
                  <c:v>1.3327215582436804</c:v>
                </c:pt>
                <c:pt idx="5">
                  <c:v>1.2921089569738489</c:v>
                </c:pt>
                <c:pt idx="6">
                  <c:v>1.0827441392065948</c:v>
                </c:pt>
                <c:pt idx="7">
                  <c:v>1.0003099113477911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E68-485B-B902-C9EFD77AECC7}"/>
            </c:ext>
          </c:extLst>
        </c:ser>
        <c:ser>
          <c:idx val="25"/>
          <c:order val="25"/>
          <c:tx>
            <c:strRef>
              <c:f>InputTrianglesACPC!$B$259</c:f>
              <c:strCache>
                <c:ptCount val="1"/>
                <c:pt idx="0">
                  <c:v>BlindCL</c:v>
                </c:pt>
              </c:strCache>
            </c:strRef>
          </c:tx>
          <c:spPr>
            <a:ln w="571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InputTrianglesACPC!$C$233:$CT$233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InputTrianglesACPC!$C$259:$CT$259</c:f>
              <c:numCache>
                <c:formatCode>0.00%</c:formatCode>
                <c:ptCount val="96"/>
                <c:pt idx="0" formatCode="General">
                  <c:v>0</c:v>
                </c:pt>
                <c:pt idx="1">
                  <c:v>0.36196361125603499</c:v>
                </c:pt>
                <c:pt idx="2">
                  <c:v>0.92477830760361712</c:v>
                </c:pt>
                <c:pt idx="3">
                  <c:v>1.2468829812737623</c:v>
                </c:pt>
                <c:pt idx="4">
                  <c:v>1.3715257321066554</c:v>
                </c:pt>
                <c:pt idx="5">
                  <c:v>1.3297306344399178</c:v>
                </c:pt>
                <c:pt idx="6">
                  <c:v>1.1142698480592821</c:v>
                </c:pt>
                <c:pt idx="7">
                  <c:v>1.0294354248331066</c:v>
                </c:pt>
                <c:pt idx="8">
                  <c:v>1.0291164899546705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E68-485B-B902-C9EFD77AE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594496"/>
        <c:axId val="60859482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InputTrianglesACPC!$B$238</c15:sqref>
                        </c15:formulaRef>
                      </c:ext>
                    </c:extLst>
                    <c:strCache>
                      <c:ptCount val="1"/>
                      <c:pt idx="0">
                        <c:v>2000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InputTrianglesACPC!$C$233:$CT$233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InputTrianglesACPC!$C$238:$CT$238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2-BE68-485B-B902-C9EFD77AECC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InputTrianglesACPC!$B$239</c15:sqref>
                        </c15:formulaRef>
                      </c:ext>
                    </c:extLst>
                    <c:strCache>
                      <c:ptCount val="1"/>
                      <c:pt idx="0">
                        <c:v>2001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InputTrianglesACPC!$C$239:$CT$239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E68-485B-B902-C9EFD77AECC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InputTrianglesACPC!$B$240</c15:sqref>
                        </c15:formulaRef>
                      </c:ext>
                    </c:extLst>
                    <c:strCache>
                      <c:ptCount val="1"/>
                      <c:pt idx="0">
                        <c:v>2002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InputTrianglesACPC!$C$240:$CT$240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E68-485B-B902-C9EFD77AECC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InputTrianglesACPC!$B$241</c15:sqref>
                        </c15:formulaRef>
                      </c:ext>
                    </c:extLst>
                    <c:strCache>
                      <c:ptCount val="1"/>
                      <c:pt idx="0">
                        <c:v>2003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InputTrianglesACPC!$C$241:$CT$241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E68-485B-B902-C9EFD77AECC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InputTrianglesACPC!$B$242</c15:sqref>
                        </c15:formulaRef>
                      </c:ext>
                    </c:extLst>
                    <c:strCache>
                      <c:ptCount val="1"/>
                      <c:pt idx="0">
                        <c:v>2004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InputTrianglesACPC!$C$242:$CT$242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E68-485B-B902-C9EFD77AECC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InputTrianglesACPC!$B$243</c15:sqref>
                        </c15:formulaRef>
                      </c:ext>
                    </c:extLst>
                    <c:strCache>
                      <c:ptCount val="1"/>
                      <c:pt idx="0">
                        <c:v>2005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InputTrianglesACPC!$C$243:$CT$243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E68-485B-B902-C9EFD77AECC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InputTrianglesACPC!$B$244</c15:sqref>
                        </c15:formulaRef>
                      </c:ext>
                    </c:extLst>
                    <c:strCache>
                      <c:ptCount val="1"/>
                      <c:pt idx="0">
                        <c:v>2006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InputTrianglesACPC!$C$244:$CT$244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E68-485B-B902-C9EFD77AECC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InputTrianglesACPC!$B$245</c15:sqref>
                        </c15:formulaRef>
                      </c:ext>
                    </c:extLst>
                    <c:strCache>
                      <c:ptCount val="1"/>
                      <c:pt idx="0">
                        <c:v>2007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InputTrianglesACPC!$C$233:$CT$233</c15:sqref>
                        </c15:formulaRef>
                      </c:ext>
                    </c:extLst>
                    <c:numCache>
                      <c:formatCode>General</c:formatCode>
                      <c:ptCount val="9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InputTrianglesACPC!$C$245:$CT$245</c15:sqref>
                        </c15:formulaRef>
                      </c:ext>
                    </c:extLst>
                    <c:numCache>
                      <c:formatCode>0.0%</c:formatCode>
                      <c:ptCount val="96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E68-485B-B902-C9EFD77AECC7}"/>
                  </c:ext>
                </c:extLst>
              </c15:ser>
            </c15:filteredScatterSeries>
          </c:ext>
        </c:extLst>
      </c:scatterChart>
      <c:valAx>
        <c:axId val="60859449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Development Period</a:t>
                </a:r>
              </a:p>
            </c:rich>
          </c:tx>
          <c:layout>
            <c:manualLayout>
              <c:xMode val="edge"/>
              <c:yMode val="edge"/>
              <c:x val="0.46299991392657563"/>
              <c:y val="0.87395578775788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94824"/>
        <c:crosses val="autoZero"/>
        <c:crossBetween val="midCat"/>
        <c:majorUnit val="3"/>
        <c:minorUnit val="1"/>
      </c:valAx>
      <c:valAx>
        <c:axId val="60859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Incurred (%) of CL Ultimate</a:t>
                </a:r>
              </a:p>
            </c:rich>
          </c:tx>
          <c:layout>
            <c:manualLayout>
              <c:xMode val="edge"/>
              <c:yMode val="edge"/>
              <c:x val="8.440043743797157E-3"/>
              <c:y val="0.313182705877590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59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600995162157645"/>
          <c:y val="0.9234587453892279"/>
          <c:w val="0.67132735876421779"/>
          <c:h val="7.16407737541812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437707</xdr:colOff>
      <xdr:row>263</xdr:row>
      <xdr:rowOff>126422</xdr:rowOff>
    </xdr:from>
    <xdr:to>
      <xdr:col>19</xdr:col>
      <xdr:colOff>655542</xdr:colOff>
      <xdr:row>302</xdr:row>
      <xdr:rowOff>34016</xdr:rowOff>
    </xdr:to>
    <xdr:graphicFrame macro="">
      <xdr:nvGraphicFramePr>
        <xdr:cNvPr id="8" name="DevGraph">
          <a:extLst>
            <a:ext uri="{FF2B5EF4-FFF2-40B4-BE49-F238E27FC236}">
              <a16:creationId xmlns:a16="http://schemas.microsoft.com/office/drawing/2014/main" id="{C99BB512-858C-460A-B7A7-D2221070BE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229720</xdr:colOff>
      <xdr:row>0</xdr:row>
      <xdr:rowOff>67235</xdr:rowOff>
    </xdr:from>
    <xdr:to>
      <xdr:col>11</xdr:col>
      <xdr:colOff>319368</xdr:colOff>
      <xdr:row>4</xdr:row>
      <xdr:rowOff>100853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C613265-6476-4A6E-BC84-7432BF1A76ED}"/>
            </a:ext>
          </a:extLst>
        </xdr:cNvPr>
        <xdr:cNvSpPr/>
      </xdr:nvSpPr>
      <xdr:spPr>
        <a:xfrm>
          <a:off x="6908426" y="67235"/>
          <a:ext cx="4784913" cy="902074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 u="sng"/>
            <a:t>Tasks</a:t>
          </a:r>
        </a:p>
      </xdr:txBody>
    </xdr:sp>
    <xdr:clientData/>
  </xdr:twoCellAnchor>
  <xdr:twoCellAnchor>
    <xdr:from>
      <xdr:col>5</xdr:col>
      <xdr:colOff>435348</xdr:colOff>
      <xdr:row>1</xdr:row>
      <xdr:rowOff>60793</xdr:rowOff>
    </xdr:from>
    <xdr:to>
      <xdr:col>6</xdr:col>
      <xdr:colOff>470951</xdr:colOff>
      <xdr:row>3</xdr:row>
      <xdr:rowOff>183793</xdr:rowOff>
    </xdr:to>
    <xdr:sp macro="[0]!FormatTriangles" textlink="">
      <xdr:nvSpPr>
        <xdr:cNvPr id="10" name="Rectangle 9">
          <a:extLst>
            <a:ext uri="{FF2B5EF4-FFF2-40B4-BE49-F238E27FC236}">
              <a16:creationId xmlns:a16="http://schemas.microsoft.com/office/drawing/2014/main" id="{DA0F3307-0908-4F6C-8AD8-18AE89FAEC14}"/>
            </a:ext>
          </a:extLst>
        </xdr:cNvPr>
        <xdr:cNvSpPr/>
      </xdr:nvSpPr>
      <xdr:spPr>
        <a:xfrm>
          <a:off x="4088186" y="356068"/>
          <a:ext cx="792840" cy="504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Format Triangles</a:t>
          </a:r>
        </a:p>
      </xdr:txBody>
    </xdr:sp>
    <xdr:clientData/>
  </xdr:twoCellAnchor>
  <xdr:twoCellAnchor>
    <xdr:from>
      <xdr:col>6</xdr:col>
      <xdr:colOff>518412</xdr:colOff>
      <xdr:row>1</xdr:row>
      <xdr:rowOff>60793</xdr:rowOff>
    </xdr:from>
    <xdr:to>
      <xdr:col>7</xdr:col>
      <xdr:colOff>554015</xdr:colOff>
      <xdr:row>3</xdr:row>
      <xdr:rowOff>183793</xdr:rowOff>
    </xdr:to>
    <xdr:sp macro="[0]!UnFormatTriangles" textlink="">
      <xdr:nvSpPr>
        <xdr:cNvPr id="11" name="Rectangle 10">
          <a:extLst>
            <a:ext uri="{FF2B5EF4-FFF2-40B4-BE49-F238E27FC236}">
              <a16:creationId xmlns:a16="http://schemas.microsoft.com/office/drawing/2014/main" id="{03133C92-C05A-4A0C-8899-C06DAEDE4989}"/>
            </a:ext>
          </a:extLst>
        </xdr:cNvPr>
        <xdr:cNvSpPr/>
      </xdr:nvSpPr>
      <xdr:spPr>
        <a:xfrm>
          <a:off x="4928487" y="356068"/>
          <a:ext cx="792841" cy="504000"/>
        </a:xfrm>
        <a:prstGeom prst="rect">
          <a:avLst/>
        </a:prstGeom>
        <a:solidFill>
          <a:srgbClr val="C0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UnFormat Triangles</a:t>
          </a:r>
        </a:p>
      </xdr:txBody>
    </xdr:sp>
    <xdr:clientData/>
  </xdr:twoCellAnchor>
  <xdr:twoCellAnchor>
    <xdr:from>
      <xdr:col>7</xdr:col>
      <xdr:colOff>601476</xdr:colOff>
      <xdr:row>1</xdr:row>
      <xdr:rowOff>60793</xdr:rowOff>
    </xdr:from>
    <xdr:to>
      <xdr:col>8</xdr:col>
      <xdr:colOff>637079</xdr:colOff>
      <xdr:row>3</xdr:row>
      <xdr:rowOff>183793</xdr:rowOff>
    </xdr:to>
    <xdr:sp macro="[0]!ResetWorkbook" textlink="">
      <xdr:nvSpPr>
        <xdr:cNvPr id="12" name="Rectangle 11">
          <a:extLst>
            <a:ext uri="{FF2B5EF4-FFF2-40B4-BE49-F238E27FC236}">
              <a16:creationId xmlns:a16="http://schemas.microsoft.com/office/drawing/2014/main" id="{84A99D1A-BE9F-4C77-8965-D2CC9514A87D}"/>
            </a:ext>
          </a:extLst>
        </xdr:cNvPr>
        <xdr:cNvSpPr/>
      </xdr:nvSpPr>
      <xdr:spPr>
        <a:xfrm>
          <a:off x="5768789" y="356068"/>
          <a:ext cx="792840" cy="50400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Reset Sheet</a:t>
          </a:r>
        </a:p>
      </xdr:txBody>
    </xdr:sp>
    <xdr:clientData/>
  </xdr:twoCellAnchor>
  <xdr:twoCellAnchor>
    <xdr:from>
      <xdr:col>8</xdr:col>
      <xdr:colOff>684540</xdr:colOff>
      <xdr:row>1</xdr:row>
      <xdr:rowOff>60793</xdr:rowOff>
    </xdr:from>
    <xdr:to>
      <xdr:col>9</xdr:col>
      <xdr:colOff>720143</xdr:colOff>
      <xdr:row>3</xdr:row>
      <xdr:rowOff>183793</xdr:rowOff>
    </xdr:to>
    <xdr:sp macro="[0]!ClearDiagonal" textlink="">
      <xdr:nvSpPr>
        <xdr:cNvPr id="13" name="Rectangle 12">
          <a:extLst>
            <a:ext uri="{FF2B5EF4-FFF2-40B4-BE49-F238E27FC236}">
              <a16:creationId xmlns:a16="http://schemas.microsoft.com/office/drawing/2014/main" id="{E2F88ACC-0902-4209-94EE-3B1F59040E53}"/>
            </a:ext>
          </a:extLst>
        </xdr:cNvPr>
        <xdr:cNvSpPr/>
      </xdr:nvSpPr>
      <xdr:spPr>
        <a:xfrm>
          <a:off x="6609090" y="356068"/>
          <a:ext cx="792841" cy="504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Clear</a:t>
          </a:r>
          <a:r>
            <a:rPr lang="en-GB" sz="1100" baseline="0"/>
            <a:t> Past Diagonal</a:t>
          </a:r>
          <a:endParaRPr lang="en-GB" sz="1100"/>
        </a:p>
      </xdr:txBody>
    </xdr:sp>
    <xdr:clientData/>
  </xdr:twoCellAnchor>
  <xdr:twoCellAnchor>
    <xdr:from>
      <xdr:col>10</xdr:col>
      <xdr:colOff>11206</xdr:colOff>
      <xdr:row>1</xdr:row>
      <xdr:rowOff>60793</xdr:rowOff>
    </xdr:from>
    <xdr:to>
      <xdr:col>11</xdr:col>
      <xdr:colOff>46810</xdr:colOff>
      <xdr:row>3</xdr:row>
      <xdr:rowOff>183793</xdr:rowOff>
    </xdr:to>
    <xdr:sp macro="[0]!DuplicateSheet" textlink="">
      <xdr:nvSpPr>
        <xdr:cNvPr id="14" name="Rectangle 13">
          <a:extLst>
            <a:ext uri="{FF2B5EF4-FFF2-40B4-BE49-F238E27FC236}">
              <a16:creationId xmlns:a16="http://schemas.microsoft.com/office/drawing/2014/main" id="{868B9B9E-C62B-4CCB-9777-2176301CE38F}"/>
            </a:ext>
          </a:extLst>
        </xdr:cNvPr>
        <xdr:cNvSpPr/>
      </xdr:nvSpPr>
      <xdr:spPr>
        <a:xfrm>
          <a:off x="7450231" y="356068"/>
          <a:ext cx="792842" cy="504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Duplicate Sheet</a:t>
          </a:r>
        </a:p>
      </xdr:txBody>
    </xdr:sp>
    <xdr:clientData/>
  </xdr:twoCellAnchor>
  <xdr:twoCellAnchor>
    <xdr:from>
      <xdr:col>9</xdr:col>
      <xdr:colOff>77638</xdr:colOff>
      <xdr:row>5</xdr:row>
      <xdr:rowOff>54031</xdr:rowOff>
    </xdr:from>
    <xdr:to>
      <xdr:col>9</xdr:col>
      <xdr:colOff>548286</xdr:colOff>
      <xdr:row>8</xdr:row>
      <xdr:rowOff>1</xdr:rowOff>
    </xdr:to>
    <xdr:sp macro="[0]!IncreaseWidth" textlink="">
      <xdr:nvSpPr>
        <xdr:cNvPr id="16" name="Plus Sign 15">
          <a:extLst>
            <a:ext uri="{FF2B5EF4-FFF2-40B4-BE49-F238E27FC236}">
              <a16:creationId xmlns:a16="http://schemas.microsoft.com/office/drawing/2014/main" id="{8460A74B-EA02-4B72-B711-3C9AFE9F3323}"/>
            </a:ext>
          </a:extLst>
        </xdr:cNvPr>
        <xdr:cNvSpPr/>
      </xdr:nvSpPr>
      <xdr:spPr>
        <a:xfrm>
          <a:off x="7024085" y="1108585"/>
          <a:ext cx="470648" cy="51747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224517</xdr:colOff>
      <xdr:row>5</xdr:row>
      <xdr:rowOff>67633</xdr:rowOff>
    </xdr:from>
    <xdr:to>
      <xdr:col>8</xdr:col>
      <xdr:colOff>768002</xdr:colOff>
      <xdr:row>7</xdr:row>
      <xdr:rowOff>141674</xdr:rowOff>
    </xdr:to>
    <xdr:sp macro="[0]!DecreaseWidth" textlink="">
      <xdr:nvSpPr>
        <xdr:cNvPr id="17" name="Minus Sign 16">
          <a:extLst>
            <a:ext uri="{FF2B5EF4-FFF2-40B4-BE49-F238E27FC236}">
              <a16:creationId xmlns:a16="http://schemas.microsoft.com/office/drawing/2014/main" id="{22171183-706B-4D6F-9F7D-5F6E88C74E0C}"/>
            </a:ext>
          </a:extLst>
        </xdr:cNvPr>
        <xdr:cNvSpPr/>
      </xdr:nvSpPr>
      <xdr:spPr>
        <a:xfrm>
          <a:off x="6368143" y="1122187"/>
          <a:ext cx="543485" cy="455041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137672</xdr:colOff>
      <xdr:row>259</xdr:row>
      <xdr:rowOff>145676</xdr:rowOff>
    </xdr:from>
    <xdr:to>
      <xdr:col>3</xdr:col>
      <xdr:colOff>755196</xdr:colOff>
      <xdr:row>262</xdr:row>
      <xdr:rowOff>61632</xdr:rowOff>
    </xdr:to>
    <xdr:sp macro="[0]!ChartWidth" textlink="">
      <xdr:nvSpPr>
        <xdr:cNvPr id="18" name="Rectangle 17">
          <a:extLst>
            <a:ext uri="{FF2B5EF4-FFF2-40B4-BE49-F238E27FC236}">
              <a16:creationId xmlns:a16="http://schemas.microsoft.com/office/drawing/2014/main" id="{F306915B-7234-4EF7-8104-49A6B4D1AEF5}"/>
            </a:ext>
          </a:extLst>
        </xdr:cNvPr>
        <xdr:cNvSpPr/>
      </xdr:nvSpPr>
      <xdr:spPr>
        <a:xfrm>
          <a:off x="2267191" y="48117659"/>
          <a:ext cx="617524" cy="46704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Format</a:t>
          </a:r>
          <a:r>
            <a:rPr lang="en-GB" sz="1100" baseline="0"/>
            <a:t> Graph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437707</xdr:colOff>
      <xdr:row>263</xdr:row>
      <xdr:rowOff>126422</xdr:rowOff>
    </xdr:from>
    <xdr:to>
      <xdr:col>19</xdr:col>
      <xdr:colOff>655542</xdr:colOff>
      <xdr:row>302</xdr:row>
      <xdr:rowOff>34016</xdr:rowOff>
    </xdr:to>
    <xdr:graphicFrame macro="">
      <xdr:nvGraphicFramePr>
        <xdr:cNvPr id="2" name="DevGraph">
          <a:extLst>
            <a:ext uri="{FF2B5EF4-FFF2-40B4-BE49-F238E27FC236}">
              <a16:creationId xmlns:a16="http://schemas.microsoft.com/office/drawing/2014/main" id="{362FDB0E-6FD5-4478-A29D-47F96017D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229720</xdr:colOff>
      <xdr:row>0</xdr:row>
      <xdr:rowOff>67235</xdr:rowOff>
    </xdr:from>
    <xdr:to>
      <xdr:col>11</xdr:col>
      <xdr:colOff>319368</xdr:colOff>
      <xdr:row>4</xdr:row>
      <xdr:rowOff>100853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7DD01EA-7C27-4949-AD0E-8B4859C48142}"/>
            </a:ext>
          </a:extLst>
        </xdr:cNvPr>
        <xdr:cNvSpPr/>
      </xdr:nvSpPr>
      <xdr:spPr>
        <a:xfrm>
          <a:off x="3915895" y="67235"/>
          <a:ext cx="5004548" cy="900393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 u="sng"/>
            <a:t>Tasks</a:t>
          </a:r>
        </a:p>
      </xdr:txBody>
    </xdr:sp>
    <xdr:clientData/>
  </xdr:twoCellAnchor>
  <xdr:twoCellAnchor>
    <xdr:from>
      <xdr:col>5</xdr:col>
      <xdr:colOff>435348</xdr:colOff>
      <xdr:row>1</xdr:row>
      <xdr:rowOff>60793</xdr:rowOff>
    </xdr:from>
    <xdr:to>
      <xdr:col>6</xdr:col>
      <xdr:colOff>470951</xdr:colOff>
      <xdr:row>3</xdr:row>
      <xdr:rowOff>183793</xdr:rowOff>
    </xdr:to>
    <xdr:sp macro="[0]!FormatTriangles" textlink="">
      <xdr:nvSpPr>
        <xdr:cNvPr id="4" name="Rectangle 3">
          <a:extLst>
            <a:ext uri="{FF2B5EF4-FFF2-40B4-BE49-F238E27FC236}">
              <a16:creationId xmlns:a16="http://schemas.microsoft.com/office/drawing/2014/main" id="{49C70876-EE90-45D2-8E5A-C91A74716A89}"/>
            </a:ext>
          </a:extLst>
        </xdr:cNvPr>
        <xdr:cNvSpPr/>
      </xdr:nvSpPr>
      <xdr:spPr>
        <a:xfrm>
          <a:off x="4121523" y="356068"/>
          <a:ext cx="854753" cy="504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Format Triangles</a:t>
          </a:r>
        </a:p>
      </xdr:txBody>
    </xdr:sp>
    <xdr:clientData/>
  </xdr:twoCellAnchor>
  <xdr:twoCellAnchor>
    <xdr:from>
      <xdr:col>6</xdr:col>
      <xdr:colOff>518412</xdr:colOff>
      <xdr:row>1</xdr:row>
      <xdr:rowOff>60793</xdr:rowOff>
    </xdr:from>
    <xdr:to>
      <xdr:col>7</xdr:col>
      <xdr:colOff>554015</xdr:colOff>
      <xdr:row>3</xdr:row>
      <xdr:rowOff>183793</xdr:rowOff>
    </xdr:to>
    <xdr:sp macro="[0]!UnFormatTriangles" textlink="">
      <xdr:nvSpPr>
        <xdr:cNvPr id="5" name="Rectangle 4">
          <a:extLst>
            <a:ext uri="{FF2B5EF4-FFF2-40B4-BE49-F238E27FC236}">
              <a16:creationId xmlns:a16="http://schemas.microsoft.com/office/drawing/2014/main" id="{C60DBABC-847B-46D5-B3CA-26FF15E421FA}"/>
            </a:ext>
          </a:extLst>
        </xdr:cNvPr>
        <xdr:cNvSpPr/>
      </xdr:nvSpPr>
      <xdr:spPr>
        <a:xfrm>
          <a:off x="5023737" y="356068"/>
          <a:ext cx="854753" cy="504000"/>
        </a:xfrm>
        <a:prstGeom prst="rect">
          <a:avLst/>
        </a:prstGeom>
        <a:solidFill>
          <a:srgbClr val="C0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UnFormat Triangles</a:t>
          </a:r>
        </a:p>
      </xdr:txBody>
    </xdr:sp>
    <xdr:clientData/>
  </xdr:twoCellAnchor>
  <xdr:twoCellAnchor>
    <xdr:from>
      <xdr:col>7</xdr:col>
      <xdr:colOff>601476</xdr:colOff>
      <xdr:row>1</xdr:row>
      <xdr:rowOff>60793</xdr:rowOff>
    </xdr:from>
    <xdr:to>
      <xdr:col>8</xdr:col>
      <xdr:colOff>637079</xdr:colOff>
      <xdr:row>3</xdr:row>
      <xdr:rowOff>183793</xdr:rowOff>
    </xdr:to>
    <xdr:sp macro="[0]!ResetWorkbook" textlink="">
      <xdr:nvSpPr>
        <xdr:cNvPr id="6" name="Rectangle 5">
          <a:extLst>
            <a:ext uri="{FF2B5EF4-FFF2-40B4-BE49-F238E27FC236}">
              <a16:creationId xmlns:a16="http://schemas.microsoft.com/office/drawing/2014/main" id="{33705840-5F92-4C21-AF03-0352E6F8404E}"/>
            </a:ext>
          </a:extLst>
        </xdr:cNvPr>
        <xdr:cNvSpPr/>
      </xdr:nvSpPr>
      <xdr:spPr>
        <a:xfrm>
          <a:off x="5925951" y="356068"/>
          <a:ext cx="854753" cy="50400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Reset Sheet</a:t>
          </a:r>
        </a:p>
      </xdr:txBody>
    </xdr:sp>
    <xdr:clientData/>
  </xdr:twoCellAnchor>
  <xdr:twoCellAnchor>
    <xdr:from>
      <xdr:col>8</xdr:col>
      <xdr:colOff>684540</xdr:colOff>
      <xdr:row>1</xdr:row>
      <xdr:rowOff>60793</xdr:rowOff>
    </xdr:from>
    <xdr:to>
      <xdr:col>9</xdr:col>
      <xdr:colOff>720143</xdr:colOff>
      <xdr:row>3</xdr:row>
      <xdr:rowOff>183793</xdr:rowOff>
    </xdr:to>
    <xdr:sp macro="[0]!ClearDiagonal" textlink="">
      <xdr:nvSpPr>
        <xdr:cNvPr id="7" name="Rectangle 6">
          <a:extLst>
            <a:ext uri="{FF2B5EF4-FFF2-40B4-BE49-F238E27FC236}">
              <a16:creationId xmlns:a16="http://schemas.microsoft.com/office/drawing/2014/main" id="{35C53A0C-F105-418B-9B96-DC37F3A46A8F}"/>
            </a:ext>
          </a:extLst>
        </xdr:cNvPr>
        <xdr:cNvSpPr/>
      </xdr:nvSpPr>
      <xdr:spPr>
        <a:xfrm>
          <a:off x="6828165" y="356068"/>
          <a:ext cx="854753" cy="504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Clear</a:t>
          </a:r>
          <a:r>
            <a:rPr lang="en-GB" sz="1100" baseline="0"/>
            <a:t> Past Diagonal</a:t>
          </a:r>
          <a:endParaRPr lang="en-GB" sz="1100"/>
        </a:p>
      </xdr:txBody>
    </xdr:sp>
    <xdr:clientData/>
  </xdr:twoCellAnchor>
  <xdr:twoCellAnchor>
    <xdr:from>
      <xdr:col>10</xdr:col>
      <xdr:colOff>11206</xdr:colOff>
      <xdr:row>1</xdr:row>
      <xdr:rowOff>60793</xdr:rowOff>
    </xdr:from>
    <xdr:to>
      <xdr:col>11</xdr:col>
      <xdr:colOff>46810</xdr:colOff>
      <xdr:row>3</xdr:row>
      <xdr:rowOff>183793</xdr:rowOff>
    </xdr:to>
    <xdr:sp macro="[0]!DuplicateSheet" textlink="">
      <xdr:nvSpPr>
        <xdr:cNvPr id="8" name="Rectangle 7">
          <a:extLst>
            <a:ext uri="{FF2B5EF4-FFF2-40B4-BE49-F238E27FC236}">
              <a16:creationId xmlns:a16="http://schemas.microsoft.com/office/drawing/2014/main" id="{30E0E05F-6CA0-43EA-8201-AB724EF0DA8F}"/>
            </a:ext>
          </a:extLst>
        </xdr:cNvPr>
        <xdr:cNvSpPr/>
      </xdr:nvSpPr>
      <xdr:spPr>
        <a:xfrm>
          <a:off x="7793131" y="356068"/>
          <a:ext cx="854754" cy="504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Duplicate Sheet</a:t>
          </a:r>
        </a:p>
      </xdr:txBody>
    </xdr:sp>
    <xdr:clientData/>
  </xdr:twoCellAnchor>
  <xdr:twoCellAnchor>
    <xdr:from>
      <xdr:col>9</xdr:col>
      <xdr:colOff>77638</xdr:colOff>
      <xdr:row>5</xdr:row>
      <xdr:rowOff>54031</xdr:rowOff>
    </xdr:from>
    <xdr:to>
      <xdr:col>9</xdr:col>
      <xdr:colOff>548286</xdr:colOff>
      <xdr:row>8</xdr:row>
      <xdr:rowOff>1</xdr:rowOff>
    </xdr:to>
    <xdr:sp macro="[0]!IncreaseWidth" textlink="">
      <xdr:nvSpPr>
        <xdr:cNvPr id="9" name="Plus Sign 8">
          <a:extLst>
            <a:ext uri="{FF2B5EF4-FFF2-40B4-BE49-F238E27FC236}">
              <a16:creationId xmlns:a16="http://schemas.microsoft.com/office/drawing/2014/main" id="{6AD06629-6ACA-4ADE-931D-241D692673F8}"/>
            </a:ext>
          </a:extLst>
        </xdr:cNvPr>
        <xdr:cNvSpPr/>
      </xdr:nvSpPr>
      <xdr:spPr>
        <a:xfrm>
          <a:off x="7040413" y="1111306"/>
          <a:ext cx="470648" cy="51747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224517</xdr:colOff>
      <xdr:row>5</xdr:row>
      <xdr:rowOff>67633</xdr:rowOff>
    </xdr:from>
    <xdr:to>
      <xdr:col>8</xdr:col>
      <xdr:colOff>768002</xdr:colOff>
      <xdr:row>7</xdr:row>
      <xdr:rowOff>141674</xdr:rowOff>
    </xdr:to>
    <xdr:sp macro="[0]!DecreaseWidth" textlink="">
      <xdr:nvSpPr>
        <xdr:cNvPr id="10" name="Minus Sign 9">
          <a:extLst>
            <a:ext uri="{FF2B5EF4-FFF2-40B4-BE49-F238E27FC236}">
              <a16:creationId xmlns:a16="http://schemas.microsoft.com/office/drawing/2014/main" id="{62DFEAC7-DBAE-4D35-BF9F-AAA9A6FB9D46}"/>
            </a:ext>
          </a:extLst>
        </xdr:cNvPr>
        <xdr:cNvSpPr/>
      </xdr:nvSpPr>
      <xdr:spPr>
        <a:xfrm>
          <a:off x="6368142" y="1124908"/>
          <a:ext cx="543485" cy="455041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137672</xdr:colOff>
      <xdr:row>259</xdr:row>
      <xdr:rowOff>145676</xdr:rowOff>
    </xdr:from>
    <xdr:to>
      <xdr:col>3</xdr:col>
      <xdr:colOff>755196</xdr:colOff>
      <xdr:row>262</xdr:row>
      <xdr:rowOff>61632</xdr:rowOff>
    </xdr:to>
    <xdr:sp macro="[0]!ChartWidth" textlink="">
      <xdr:nvSpPr>
        <xdr:cNvPr id="11" name="Rectangle 10">
          <a:extLst>
            <a:ext uri="{FF2B5EF4-FFF2-40B4-BE49-F238E27FC236}">
              <a16:creationId xmlns:a16="http://schemas.microsoft.com/office/drawing/2014/main" id="{D3C78216-3B4F-4A59-8D5D-0794E2F97FC3}"/>
            </a:ext>
          </a:extLst>
        </xdr:cNvPr>
        <xdr:cNvSpPr/>
      </xdr:nvSpPr>
      <xdr:spPr>
        <a:xfrm>
          <a:off x="2185547" y="24072476"/>
          <a:ext cx="617524" cy="48745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Format</a:t>
          </a:r>
          <a:r>
            <a:rPr lang="en-GB" sz="1100" baseline="0"/>
            <a:t> Graph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437707</xdr:colOff>
      <xdr:row>263</xdr:row>
      <xdr:rowOff>126422</xdr:rowOff>
    </xdr:from>
    <xdr:to>
      <xdr:col>19</xdr:col>
      <xdr:colOff>655542</xdr:colOff>
      <xdr:row>302</xdr:row>
      <xdr:rowOff>34016</xdr:rowOff>
    </xdr:to>
    <xdr:graphicFrame macro="">
      <xdr:nvGraphicFramePr>
        <xdr:cNvPr id="2" name="DevGraph">
          <a:extLst>
            <a:ext uri="{FF2B5EF4-FFF2-40B4-BE49-F238E27FC236}">
              <a16:creationId xmlns:a16="http://schemas.microsoft.com/office/drawing/2014/main" id="{E12B84CC-90DA-46B7-A251-611090843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229720</xdr:colOff>
      <xdr:row>0</xdr:row>
      <xdr:rowOff>67235</xdr:rowOff>
    </xdr:from>
    <xdr:to>
      <xdr:col>11</xdr:col>
      <xdr:colOff>319368</xdr:colOff>
      <xdr:row>4</xdr:row>
      <xdr:rowOff>100853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213931F-D2B5-43E3-9C2A-049073937525}"/>
            </a:ext>
          </a:extLst>
        </xdr:cNvPr>
        <xdr:cNvSpPr/>
      </xdr:nvSpPr>
      <xdr:spPr>
        <a:xfrm>
          <a:off x="3915895" y="67235"/>
          <a:ext cx="5004548" cy="900393"/>
        </a:xfrm>
        <a:prstGeom prst="rect">
          <a:avLst/>
        </a:prstGeom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 u="sng"/>
            <a:t>Tasks</a:t>
          </a:r>
        </a:p>
      </xdr:txBody>
    </xdr:sp>
    <xdr:clientData/>
  </xdr:twoCellAnchor>
  <xdr:twoCellAnchor>
    <xdr:from>
      <xdr:col>5</xdr:col>
      <xdr:colOff>435348</xdr:colOff>
      <xdr:row>1</xdr:row>
      <xdr:rowOff>60793</xdr:rowOff>
    </xdr:from>
    <xdr:to>
      <xdr:col>6</xdr:col>
      <xdr:colOff>470951</xdr:colOff>
      <xdr:row>3</xdr:row>
      <xdr:rowOff>183793</xdr:rowOff>
    </xdr:to>
    <xdr:sp macro="[0]!FormatTriangles" textlink="">
      <xdr:nvSpPr>
        <xdr:cNvPr id="4" name="Rectangle 3">
          <a:extLst>
            <a:ext uri="{FF2B5EF4-FFF2-40B4-BE49-F238E27FC236}">
              <a16:creationId xmlns:a16="http://schemas.microsoft.com/office/drawing/2014/main" id="{8A6AEEB6-9594-4D6F-B623-DFD61DA357AD}"/>
            </a:ext>
          </a:extLst>
        </xdr:cNvPr>
        <xdr:cNvSpPr/>
      </xdr:nvSpPr>
      <xdr:spPr>
        <a:xfrm>
          <a:off x="4121523" y="356068"/>
          <a:ext cx="854753" cy="504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Format Triangles</a:t>
          </a:r>
        </a:p>
      </xdr:txBody>
    </xdr:sp>
    <xdr:clientData/>
  </xdr:twoCellAnchor>
  <xdr:twoCellAnchor>
    <xdr:from>
      <xdr:col>6</xdr:col>
      <xdr:colOff>518412</xdr:colOff>
      <xdr:row>1</xdr:row>
      <xdr:rowOff>60793</xdr:rowOff>
    </xdr:from>
    <xdr:to>
      <xdr:col>7</xdr:col>
      <xdr:colOff>554015</xdr:colOff>
      <xdr:row>3</xdr:row>
      <xdr:rowOff>183793</xdr:rowOff>
    </xdr:to>
    <xdr:sp macro="[0]!UnFormatTriangles" textlink="">
      <xdr:nvSpPr>
        <xdr:cNvPr id="5" name="Rectangle 4">
          <a:extLst>
            <a:ext uri="{FF2B5EF4-FFF2-40B4-BE49-F238E27FC236}">
              <a16:creationId xmlns:a16="http://schemas.microsoft.com/office/drawing/2014/main" id="{F9972860-7A3F-4E78-9F56-F6C44CA2EA67}"/>
            </a:ext>
          </a:extLst>
        </xdr:cNvPr>
        <xdr:cNvSpPr/>
      </xdr:nvSpPr>
      <xdr:spPr>
        <a:xfrm>
          <a:off x="5023737" y="356068"/>
          <a:ext cx="854753" cy="504000"/>
        </a:xfrm>
        <a:prstGeom prst="rect">
          <a:avLst/>
        </a:prstGeom>
        <a:solidFill>
          <a:srgbClr val="C0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UnFormat Triangles</a:t>
          </a:r>
        </a:p>
      </xdr:txBody>
    </xdr:sp>
    <xdr:clientData/>
  </xdr:twoCellAnchor>
  <xdr:twoCellAnchor>
    <xdr:from>
      <xdr:col>7</xdr:col>
      <xdr:colOff>601476</xdr:colOff>
      <xdr:row>1</xdr:row>
      <xdr:rowOff>60793</xdr:rowOff>
    </xdr:from>
    <xdr:to>
      <xdr:col>8</xdr:col>
      <xdr:colOff>637079</xdr:colOff>
      <xdr:row>3</xdr:row>
      <xdr:rowOff>183793</xdr:rowOff>
    </xdr:to>
    <xdr:sp macro="[0]!ResetWorkbook" textlink="">
      <xdr:nvSpPr>
        <xdr:cNvPr id="6" name="Rectangle 5">
          <a:extLst>
            <a:ext uri="{FF2B5EF4-FFF2-40B4-BE49-F238E27FC236}">
              <a16:creationId xmlns:a16="http://schemas.microsoft.com/office/drawing/2014/main" id="{79DDB6F9-B01A-4AC6-A234-0B53C15CF468}"/>
            </a:ext>
          </a:extLst>
        </xdr:cNvPr>
        <xdr:cNvSpPr/>
      </xdr:nvSpPr>
      <xdr:spPr>
        <a:xfrm>
          <a:off x="5925951" y="356068"/>
          <a:ext cx="854753" cy="50400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Reset Sheet</a:t>
          </a:r>
        </a:p>
      </xdr:txBody>
    </xdr:sp>
    <xdr:clientData/>
  </xdr:twoCellAnchor>
  <xdr:twoCellAnchor>
    <xdr:from>
      <xdr:col>8</xdr:col>
      <xdr:colOff>684540</xdr:colOff>
      <xdr:row>1</xdr:row>
      <xdr:rowOff>60793</xdr:rowOff>
    </xdr:from>
    <xdr:to>
      <xdr:col>9</xdr:col>
      <xdr:colOff>720143</xdr:colOff>
      <xdr:row>3</xdr:row>
      <xdr:rowOff>183793</xdr:rowOff>
    </xdr:to>
    <xdr:sp macro="[0]!ClearDiagonal" textlink="">
      <xdr:nvSpPr>
        <xdr:cNvPr id="7" name="Rectangle 6">
          <a:extLst>
            <a:ext uri="{FF2B5EF4-FFF2-40B4-BE49-F238E27FC236}">
              <a16:creationId xmlns:a16="http://schemas.microsoft.com/office/drawing/2014/main" id="{A6906917-5E2D-414C-9382-5DBEB3003393}"/>
            </a:ext>
          </a:extLst>
        </xdr:cNvPr>
        <xdr:cNvSpPr/>
      </xdr:nvSpPr>
      <xdr:spPr>
        <a:xfrm>
          <a:off x="6828165" y="356068"/>
          <a:ext cx="854753" cy="5040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Clear</a:t>
          </a:r>
          <a:r>
            <a:rPr lang="en-GB" sz="1100" baseline="0"/>
            <a:t> Past Diagonal</a:t>
          </a:r>
          <a:endParaRPr lang="en-GB" sz="1100"/>
        </a:p>
      </xdr:txBody>
    </xdr:sp>
    <xdr:clientData/>
  </xdr:twoCellAnchor>
  <xdr:twoCellAnchor>
    <xdr:from>
      <xdr:col>10</xdr:col>
      <xdr:colOff>11206</xdr:colOff>
      <xdr:row>1</xdr:row>
      <xdr:rowOff>60793</xdr:rowOff>
    </xdr:from>
    <xdr:to>
      <xdr:col>11</xdr:col>
      <xdr:colOff>46810</xdr:colOff>
      <xdr:row>3</xdr:row>
      <xdr:rowOff>183793</xdr:rowOff>
    </xdr:to>
    <xdr:sp macro="[0]!DuplicateSheet" textlink="">
      <xdr:nvSpPr>
        <xdr:cNvPr id="8" name="Rectangle 7">
          <a:extLst>
            <a:ext uri="{FF2B5EF4-FFF2-40B4-BE49-F238E27FC236}">
              <a16:creationId xmlns:a16="http://schemas.microsoft.com/office/drawing/2014/main" id="{29B8DB58-9A29-4C58-A6D2-C247A7AC400C}"/>
            </a:ext>
          </a:extLst>
        </xdr:cNvPr>
        <xdr:cNvSpPr/>
      </xdr:nvSpPr>
      <xdr:spPr>
        <a:xfrm>
          <a:off x="7793131" y="356068"/>
          <a:ext cx="854754" cy="504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Duplicate Sheet</a:t>
          </a:r>
        </a:p>
      </xdr:txBody>
    </xdr:sp>
    <xdr:clientData/>
  </xdr:twoCellAnchor>
  <xdr:twoCellAnchor>
    <xdr:from>
      <xdr:col>9</xdr:col>
      <xdr:colOff>77638</xdr:colOff>
      <xdr:row>5</xdr:row>
      <xdr:rowOff>54031</xdr:rowOff>
    </xdr:from>
    <xdr:to>
      <xdr:col>9</xdr:col>
      <xdr:colOff>548286</xdr:colOff>
      <xdr:row>8</xdr:row>
      <xdr:rowOff>1</xdr:rowOff>
    </xdr:to>
    <xdr:sp macro="[0]!IncreaseWidth" textlink="">
      <xdr:nvSpPr>
        <xdr:cNvPr id="9" name="Plus Sign 8">
          <a:extLst>
            <a:ext uri="{FF2B5EF4-FFF2-40B4-BE49-F238E27FC236}">
              <a16:creationId xmlns:a16="http://schemas.microsoft.com/office/drawing/2014/main" id="{0086D332-CE3F-4588-B835-58D1D21C1C1C}"/>
            </a:ext>
          </a:extLst>
        </xdr:cNvPr>
        <xdr:cNvSpPr/>
      </xdr:nvSpPr>
      <xdr:spPr>
        <a:xfrm>
          <a:off x="7040413" y="1111306"/>
          <a:ext cx="470648" cy="51747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224517</xdr:colOff>
      <xdr:row>5</xdr:row>
      <xdr:rowOff>67633</xdr:rowOff>
    </xdr:from>
    <xdr:to>
      <xdr:col>8</xdr:col>
      <xdr:colOff>768002</xdr:colOff>
      <xdr:row>7</xdr:row>
      <xdr:rowOff>141674</xdr:rowOff>
    </xdr:to>
    <xdr:sp macro="[0]!DecreaseWidth" textlink="">
      <xdr:nvSpPr>
        <xdr:cNvPr id="10" name="Minus Sign 9">
          <a:extLst>
            <a:ext uri="{FF2B5EF4-FFF2-40B4-BE49-F238E27FC236}">
              <a16:creationId xmlns:a16="http://schemas.microsoft.com/office/drawing/2014/main" id="{FE740175-9C60-48A4-9C50-2AFAD6F72867}"/>
            </a:ext>
          </a:extLst>
        </xdr:cNvPr>
        <xdr:cNvSpPr/>
      </xdr:nvSpPr>
      <xdr:spPr>
        <a:xfrm>
          <a:off x="6368142" y="1124908"/>
          <a:ext cx="543485" cy="455041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137672</xdr:colOff>
      <xdr:row>259</xdr:row>
      <xdr:rowOff>145676</xdr:rowOff>
    </xdr:from>
    <xdr:to>
      <xdr:col>3</xdr:col>
      <xdr:colOff>755196</xdr:colOff>
      <xdr:row>262</xdr:row>
      <xdr:rowOff>61632</xdr:rowOff>
    </xdr:to>
    <xdr:sp macro="[0]!ChartWidth" textlink="">
      <xdr:nvSpPr>
        <xdr:cNvPr id="11" name="Rectangle 10">
          <a:extLst>
            <a:ext uri="{FF2B5EF4-FFF2-40B4-BE49-F238E27FC236}">
              <a16:creationId xmlns:a16="http://schemas.microsoft.com/office/drawing/2014/main" id="{4EAE060A-6D8C-4AD6-8468-139AA87A5B8E}"/>
            </a:ext>
          </a:extLst>
        </xdr:cNvPr>
        <xdr:cNvSpPr/>
      </xdr:nvSpPr>
      <xdr:spPr>
        <a:xfrm>
          <a:off x="2185547" y="24072476"/>
          <a:ext cx="617524" cy="48745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Format</a:t>
          </a:r>
          <a:r>
            <a:rPr lang="en-GB" sz="1100" baseline="0"/>
            <a:t> Graph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celjet.net/formula/get-value-of-last-non-empty-cel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xceljet.net/formula/get-value-of-last-non-empty-cel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exceljet.net/formula/get-value-of-last-non-empty-ce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8A1F3-529B-4431-A3F4-C5536BDF4269}">
  <sheetPr codeName="Sheet1"/>
  <dimension ref="A1:F23"/>
  <sheetViews>
    <sheetView showGridLines="0" workbookViewId="0">
      <selection activeCell="B26" sqref="B26"/>
    </sheetView>
  </sheetViews>
  <sheetFormatPr defaultRowHeight="15" x14ac:dyDescent="0.25"/>
  <cols>
    <col min="2" max="2" width="16" customWidth="1"/>
    <col min="3" max="3" width="16.85546875" customWidth="1"/>
    <col min="4" max="4" width="50.85546875" customWidth="1"/>
    <col min="5" max="5" width="10.28515625" bestFit="1" customWidth="1"/>
    <col min="6" max="6" width="12" bestFit="1" customWidth="1"/>
  </cols>
  <sheetData>
    <row r="1" spans="1:6" ht="18.75" x14ac:dyDescent="0.3">
      <c r="A1" s="199" t="s">
        <v>67</v>
      </c>
    </row>
    <row r="4" spans="1:6" x14ac:dyDescent="0.25">
      <c r="B4" s="6" t="s">
        <v>65</v>
      </c>
      <c r="C4" s="6" t="s">
        <v>72</v>
      </c>
      <c r="D4" s="6" t="s">
        <v>71</v>
      </c>
      <c r="E4" s="6" t="s">
        <v>68</v>
      </c>
      <c r="F4" s="6" t="s">
        <v>70</v>
      </c>
    </row>
    <row r="5" spans="1:6" ht="153.75" customHeight="1" x14ac:dyDescent="0.25">
      <c r="B5" s="201" t="s">
        <v>66</v>
      </c>
      <c r="C5" s="204" t="s">
        <v>73</v>
      </c>
      <c r="D5" s="204" t="s">
        <v>74</v>
      </c>
      <c r="E5" s="202" t="s">
        <v>69</v>
      </c>
      <c r="F5" s="203">
        <v>43877</v>
      </c>
    </row>
    <row r="6" spans="1:6" x14ac:dyDescent="0.25">
      <c r="B6" s="200"/>
      <c r="C6" s="200"/>
      <c r="D6" s="200"/>
      <c r="E6" s="200"/>
      <c r="F6" s="200"/>
    </row>
    <row r="7" spans="1:6" x14ac:dyDescent="0.25">
      <c r="B7" s="200"/>
      <c r="C7" s="200"/>
      <c r="D7" s="200"/>
      <c r="E7" s="200"/>
      <c r="F7" s="200"/>
    </row>
    <row r="8" spans="1:6" x14ac:dyDescent="0.25">
      <c r="B8" s="200"/>
      <c r="C8" s="200"/>
      <c r="D8" s="200"/>
      <c r="E8" s="200"/>
      <c r="F8" s="200"/>
    </row>
    <row r="9" spans="1:6" x14ac:dyDescent="0.25">
      <c r="B9" s="200"/>
      <c r="C9" s="200"/>
      <c r="D9" s="200"/>
      <c r="E9" s="200"/>
      <c r="F9" s="200"/>
    </row>
    <row r="10" spans="1:6" x14ac:dyDescent="0.25">
      <c r="B10" s="200"/>
      <c r="C10" s="200"/>
      <c r="D10" s="200"/>
      <c r="E10" s="200"/>
      <c r="F10" s="200"/>
    </row>
    <row r="11" spans="1:6" x14ac:dyDescent="0.25">
      <c r="B11" s="200"/>
      <c r="C11" s="200"/>
      <c r="D11" s="200"/>
      <c r="E11" s="200"/>
      <c r="F11" s="200"/>
    </row>
    <row r="12" spans="1:6" x14ac:dyDescent="0.25">
      <c r="B12" s="200"/>
      <c r="C12" s="200"/>
      <c r="D12" s="200"/>
      <c r="E12" s="200"/>
      <c r="F12" s="200"/>
    </row>
    <row r="13" spans="1:6" x14ac:dyDescent="0.25">
      <c r="B13" s="200"/>
      <c r="C13" s="200"/>
      <c r="D13" s="200"/>
      <c r="E13" s="200"/>
      <c r="F13" s="200"/>
    </row>
    <row r="14" spans="1:6" x14ac:dyDescent="0.25">
      <c r="B14" s="200"/>
      <c r="C14" s="200"/>
      <c r="D14" s="200"/>
      <c r="E14" s="200"/>
      <c r="F14" s="200"/>
    </row>
    <row r="15" spans="1:6" x14ac:dyDescent="0.25">
      <c r="B15" s="200"/>
      <c r="C15" s="200"/>
      <c r="D15" s="200"/>
      <c r="E15" s="200"/>
      <c r="F15" s="200"/>
    </row>
    <row r="16" spans="1:6" x14ac:dyDescent="0.25">
      <c r="B16" s="200"/>
      <c r="C16" s="200"/>
      <c r="D16" s="200"/>
      <c r="E16" s="200"/>
      <c r="F16" s="200"/>
    </row>
    <row r="17" spans="2:6" x14ac:dyDescent="0.25">
      <c r="B17" s="200"/>
      <c r="C17" s="200"/>
      <c r="D17" s="200"/>
      <c r="E17" s="200"/>
      <c r="F17" s="200"/>
    </row>
    <row r="18" spans="2:6" x14ac:dyDescent="0.25">
      <c r="B18" s="200"/>
      <c r="C18" s="200"/>
      <c r="D18" s="200"/>
      <c r="E18" s="200"/>
      <c r="F18" s="200"/>
    </row>
    <row r="19" spans="2:6" x14ac:dyDescent="0.25">
      <c r="B19" s="200"/>
      <c r="C19" s="200"/>
      <c r="D19" s="200"/>
      <c r="E19" s="200"/>
      <c r="F19" s="200"/>
    </row>
    <row r="20" spans="2:6" x14ac:dyDescent="0.25">
      <c r="B20" s="200"/>
      <c r="C20" s="200"/>
      <c r="D20" s="200"/>
      <c r="E20" s="200"/>
      <c r="F20" s="200"/>
    </row>
    <row r="21" spans="2:6" x14ac:dyDescent="0.25">
      <c r="B21" s="200"/>
      <c r="C21" s="200"/>
      <c r="D21" s="200"/>
      <c r="E21" s="200"/>
      <c r="F21" s="200"/>
    </row>
    <row r="22" spans="2:6" x14ac:dyDescent="0.25">
      <c r="B22" s="200"/>
      <c r="C22" s="200"/>
      <c r="D22" s="200"/>
      <c r="E22" s="200"/>
      <c r="F22" s="200"/>
    </row>
    <row r="23" spans="2:6" x14ac:dyDescent="0.25">
      <c r="B23" s="200"/>
      <c r="C23" s="200"/>
      <c r="D23" s="200"/>
      <c r="E23" s="200"/>
      <c r="F23" s="20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86F9A-B469-485F-A486-9D11D80B21C9}">
  <sheetPr codeName="Sheet2"/>
  <dimension ref="A1:CY387"/>
  <sheetViews>
    <sheetView showGridLines="0" tabSelected="1" topLeftCell="A260" zoomScale="70" zoomScaleNormal="70" workbookViewId="0">
      <selection activeCell="J314" sqref="J314"/>
    </sheetView>
  </sheetViews>
  <sheetFormatPr defaultColWidth="9.140625" defaultRowHeight="15" x14ac:dyDescent="0.25"/>
  <cols>
    <col min="1" max="1" width="6.28515625" style="97" customWidth="1"/>
    <col min="2" max="2" width="12.140625" style="11" customWidth="1"/>
    <col min="3" max="97" width="12.28515625" style="11" customWidth="1"/>
    <col min="98" max="101" width="15.5703125" style="11" customWidth="1"/>
    <col min="102" max="102" width="7.85546875" style="11" customWidth="1"/>
    <col min="103" max="103" width="10.28515625" style="11" customWidth="1"/>
    <col min="104" max="16384" width="9.140625" style="11"/>
  </cols>
  <sheetData>
    <row r="1" spans="1:102" ht="23.25" x14ac:dyDescent="0.35">
      <c r="A1" s="180" t="s">
        <v>78</v>
      </c>
    </row>
    <row r="2" spans="1:102" ht="15" customHeight="1" x14ac:dyDescent="0.25">
      <c r="A2" s="92"/>
      <c r="B2" s="194" t="s">
        <v>58</v>
      </c>
      <c r="C2" s="5"/>
      <c r="D2" s="5"/>
      <c r="E2" s="5"/>
      <c r="M2" s="176" t="s">
        <v>52</v>
      </c>
      <c r="N2"/>
    </row>
    <row r="3" spans="1:102" ht="15" customHeight="1" x14ac:dyDescent="0.25">
      <c r="A3" s="93"/>
      <c r="B3" s="5"/>
      <c r="C3" s="5"/>
      <c r="D3" s="5"/>
      <c r="E3" s="5"/>
      <c r="F3" s="13"/>
      <c r="G3" s="15"/>
      <c r="H3" s="13"/>
      <c r="I3" s="13"/>
      <c r="J3" s="13"/>
      <c r="K3" s="13"/>
      <c r="L3" s="13"/>
      <c r="M3" t="s">
        <v>47</v>
      </c>
      <c r="N3" s="177">
        <f>(D9-D8)*InputTriangles!$E$4+D6</f>
        <v>10</v>
      </c>
      <c r="S3" s="13"/>
      <c r="V3" s="13"/>
      <c r="W3" s="192"/>
      <c r="X3" s="8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</row>
    <row r="4" spans="1:102" ht="15" customHeight="1" x14ac:dyDescent="0.25">
      <c r="A4" s="93"/>
      <c r="B4" s="5"/>
      <c r="C4" s="178" t="s">
        <v>38</v>
      </c>
      <c r="D4" s="195" t="s">
        <v>34</v>
      </c>
      <c r="E4" s="196">
        <f>INDEX(Mappings!$E$4:$E$7,MATCH(D4,List_DevPeriod,0))</f>
        <v>1</v>
      </c>
      <c r="F4" s="13"/>
      <c r="G4" s="13"/>
      <c r="H4" s="13"/>
      <c r="I4" s="13"/>
      <c r="J4" s="13"/>
      <c r="K4" s="13"/>
      <c r="L4" s="13"/>
      <c r="M4" t="s">
        <v>49</v>
      </c>
      <c r="N4" t="str">
        <f>IF(AND(D4&lt;&gt;"",D6&lt;&gt;"",D8&lt;&gt;"",D9&lt;&gt;""), "Format","Wait for Inputs")</f>
        <v>Format</v>
      </c>
      <c r="S4" s="13"/>
      <c r="T4" s="13"/>
      <c r="U4" s="13"/>
      <c r="V4" s="13"/>
      <c r="W4" s="193"/>
      <c r="X4" s="8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</row>
    <row r="5" spans="1:102" ht="15" customHeight="1" x14ac:dyDescent="0.25">
      <c r="A5" s="93"/>
      <c r="B5" s="5"/>
      <c r="C5" s="179" t="s">
        <v>39</v>
      </c>
      <c r="D5" s="5"/>
      <c r="E5" s="5"/>
      <c r="F5" s="13"/>
      <c r="G5" s="13"/>
      <c r="H5" s="13"/>
      <c r="I5" s="13"/>
      <c r="J5" s="13"/>
      <c r="K5" s="13"/>
      <c r="L5" s="13"/>
      <c r="S5" s="13"/>
      <c r="T5" s="13"/>
      <c r="U5" s="13"/>
      <c r="V5" s="9"/>
      <c r="W5" s="101"/>
      <c r="X5" s="8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CS5" s="18"/>
      <c r="CT5" s="18"/>
      <c r="CU5" s="18"/>
      <c r="CV5" s="18"/>
    </row>
    <row r="6" spans="1:102" ht="15" customHeight="1" x14ac:dyDescent="0.25">
      <c r="A6" s="93"/>
      <c r="B6" s="5"/>
      <c r="C6" s="178" t="s">
        <v>40</v>
      </c>
      <c r="D6" s="195">
        <v>1</v>
      </c>
      <c r="E6" s="5"/>
      <c r="F6" s="13"/>
      <c r="G6" s="13"/>
      <c r="H6" s="13"/>
      <c r="I6" s="13"/>
      <c r="J6" s="13"/>
      <c r="K6" s="13"/>
      <c r="L6" s="13"/>
      <c r="S6" s="13"/>
      <c r="T6" s="13"/>
      <c r="U6" s="13"/>
      <c r="V6" s="9"/>
      <c r="W6" s="33"/>
      <c r="X6" s="3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CS6" s="18"/>
      <c r="CT6" s="18"/>
      <c r="CU6" s="18"/>
      <c r="CV6" s="18"/>
    </row>
    <row r="7" spans="1:102" ht="15" customHeight="1" x14ac:dyDescent="0.25">
      <c r="A7" s="93"/>
      <c r="B7" s="5"/>
      <c r="C7" s="178"/>
      <c r="D7" s="5"/>
      <c r="E7" s="5"/>
      <c r="F7" s="13"/>
      <c r="G7" s="13"/>
      <c r="H7" s="19" t="s">
        <v>62</v>
      </c>
      <c r="I7" s="13"/>
      <c r="J7" s="13"/>
      <c r="K7" s="13"/>
      <c r="L7" s="13"/>
      <c r="S7" s="13"/>
      <c r="T7" s="13"/>
      <c r="U7" s="13"/>
      <c r="V7" s="9"/>
      <c r="W7" s="33"/>
      <c r="X7" s="3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CS7" s="18"/>
      <c r="CT7" s="18"/>
      <c r="CU7" s="18"/>
      <c r="CV7" s="18"/>
    </row>
    <row r="8" spans="1:102" ht="15" customHeight="1" x14ac:dyDescent="0.25">
      <c r="A8" s="93"/>
      <c r="B8" s="236" t="s">
        <v>48</v>
      </c>
      <c r="C8" s="236"/>
      <c r="D8" s="197">
        <v>2010</v>
      </c>
      <c r="E8" s="5"/>
      <c r="F8" s="13"/>
      <c r="G8" s="13"/>
      <c r="H8" s="13"/>
      <c r="I8" s="13"/>
      <c r="J8" s="13"/>
      <c r="K8" s="13"/>
      <c r="L8" s="13"/>
      <c r="S8" s="13"/>
      <c r="T8" s="13"/>
      <c r="U8" s="13"/>
      <c r="V8" s="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CS8" s="18"/>
      <c r="CT8" s="18"/>
      <c r="CU8" s="18"/>
      <c r="CV8" s="18"/>
    </row>
    <row r="9" spans="1:102" ht="15" customHeight="1" x14ac:dyDescent="0.25">
      <c r="A9" s="93"/>
      <c r="B9" s="236" t="s">
        <v>41</v>
      </c>
      <c r="C9" s="236"/>
      <c r="D9" s="197">
        <v>2019</v>
      </c>
      <c r="E9" s="5"/>
      <c r="F9" s="13"/>
      <c r="G9" s="13"/>
      <c r="H9" s="13"/>
      <c r="I9" s="13"/>
      <c r="J9" s="13"/>
      <c r="K9" s="13"/>
      <c r="L9" s="13"/>
      <c r="S9" s="13"/>
      <c r="T9" s="13"/>
      <c r="U9" s="13"/>
      <c r="V9" s="9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CS9" s="18"/>
      <c r="CT9" s="18"/>
      <c r="CU9" s="18"/>
      <c r="CV9" s="18"/>
    </row>
    <row r="10" spans="1:102" ht="15" customHeight="1" x14ac:dyDescent="0.25">
      <c r="A10" s="93"/>
      <c r="B10" s="5"/>
      <c r="C10" s="5"/>
      <c r="D10" s="5"/>
      <c r="E10" s="5"/>
      <c r="G10" s="17"/>
      <c r="H10" s="1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9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CS10" s="18"/>
      <c r="CT10" s="18"/>
      <c r="CU10" s="18"/>
      <c r="CV10" s="18"/>
    </row>
    <row r="11" spans="1:102" ht="18.75" x14ac:dyDescent="0.3">
      <c r="A11" s="73"/>
      <c r="B11" s="181" t="s">
        <v>0</v>
      </c>
      <c r="C11" s="72"/>
      <c r="D11" s="73"/>
      <c r="E11" s="74"/>
      <c r="F11" s="72"/>
      <c r="G11" s="75"/>
      <c r="H11" s="76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7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8"/>
      <c r="CT11" s="78"/>
      <c r="CU11" s="78"/>
      <c r="CV11" s="78"/>
      <c r="CW11" s="72"/>
    </row>
    <row r="12" spans="1:102" ht="12.75" customHeight="1" x14ac:dyDescent="0.25">
      <c r="A12" s="94"/>
      <c r="C12" s="99">
        <f>IF(InputTriangles!C13&lt;=InputTriangles!$N$3,1,0)</f>
        <v>1</v>
      </c>
      <c r="D12" s="99">
        <f>IF(InputTriangles!D13&lt;=InputTriangles!$N$3,1,0)</f>
        <v>1</v>
      </c>
      <c r="E12" s="99">
        <f>IF(InputTriangles!E13&lt;=InputTriangles!$N$3,1,0)</f>
        <v>1</v>
      </c>
      <c r="F12" s="99">
        <f>IF(InputTriangles!F13&lt;=InputTriangles!$N$3,1,0)</f>
        <v>1</v>
      </c>
      <c r="G12" s="99">
        <f>IF(InputTriangles!G13&lt;=InputTriangles!$N$3,1,0)</f>
        <v>1</v>
      </c>
      <c r="H12" s="99">
        <f>IF(InputTriangles!H13&lt;=InputTriangles!$N$3,1,0)</f>
        <v>1</v>
      </c>
      <c r="I12" s="99">
        <f>IF(InputTriangles!I13&lt;=InputTriangles!$N$3,1,0)</f>
        <v>1</v>
      </c>
      <c r="J12" s="99">
        <f>IF(InputTriangles!J13&lt;=InputTriangles!$N$3,1,0)</f>
        <v>1</v>
      </c>
      <c r="K12" s="99">
        <f>IF(InputTriangles!K13&lt;=InputTriangles!$N$3,1,0)</f>
        <v>1</v>
      </c>
      <c r="L12" s="99">
        <f>IF(InputTriangles!L13&lt;=InputTriangles!$N$3,1,0)</f>
        <v>1</v>
      </c>
      <c r="M12" s="99">
        <f>IF(InputTriangles!M13&lt;=InputTriangles!$N$3,1,0)</f>
        <v>0</v>
      </c>
      <c r="N12" s="99">
        <f>IF(InputTriangles!N13&lt;=InputTriangles!$N$3,1,0)</f>
        <v>0</v>
      </c>
      <c r="O12" s="99">
        <f>IF(InputTriangles!O13&lt;=InputTriangles!$N$3,1,0)</f>
        <v>0</v>
      </c>
      <c r="P12" s="99">
        <f>IF(InputTriangles!P13&lt;=InputTriangles!$N$3,1,0)</f>
        <v>0</v>
      </c>
      <c r="Q12" s="99">
        <f>IF(InputTriangles!Q13&lt;=InputTriangles!$N$3,1,0)</f>
        <v>0</v>
      </c>
      <c r="R12" s="99">
        <f>IF(InputTriangles!R13&lt;=InputTriangles!$N$3,1,0)</f>
        <v>0</v>
      </c>
      <c r="S12" s="99">
        <f>IF(InputTriangles!S13&lt;=InputTriangles!$N$3,1,0)</f>
        <v>0</v>
      </c>
      <c r="T12" s="99">
        <f>IF(InputTriangles!T13&lt;=InputTriangles!$N$3,1,0)</f>
        <v>0</v>
      </c>
      <c r="U12" s="99">
        <f>IF(InputTriangles!U13&lt;=InputTriangles!$N$3,1,0)</f>
        <v>0</v>
      </c>
      <c r="V12" s="99">
        <f>IF(InputTriangles!V13&lt;=InputTriangles!$N$3,1,0)</f>
        <v>0</v>
      </c>
      <c r="W12" s="99">
        <f>IF(InputTriangles!W13&lt;=InputTriangles!$N$3,1,0)</f>
        <v>0</v>
      </c>
      <c r="X12" s="99">
        <f>IF(InputTriangles!X13&lt;=InputTriangles!$N$3,1,0)</f>
        <v>0</v>
      </c>
      <c r="Y12" s="99">
        <f>IF(InputTriangles!Y13&lt;=InputTriangles!$N$3,1,0)</f>
        <v>0</v>
      </c>
      <c r="Z12" s="99">
        <f>IF(InputTriangles!Z13&lt;=InputTriangles!$N$3,1,0)</f>
        <v>0</v>
      </c>
      <c r="AA12" s="99">
        <f>IF(InputTriangles!AA13&lt;=InputTriangles!$N$3,1,0)</f>
        <v>0</v>
      </c>
      <c r="AB12" s="99">
        <f>IF(InputTriangles!AB13&lt;=InputTriangles!$N$3,1,0)</f>
        <v>0</v>
      </c>
      <c r="AC12" s="99">
        <f>IF(InputTriangles!AC13&lt;=InputTriangles!$N$3,1,0)</f>
        <v>0</v>
      </c>
      <c r="AD12" s="99">
        <f>IF(InputTriangles!AD13&lt;=InputTriangles!$N$3,1,0)</f>
        <v>0</v>
      </c>
      <c r="AE12" s="99">
        <f>IF(InputTriangles!AE13&lt;=InputTriangles!$N$3,1,0)</f>
        <v>0</v>
      </c>
      <c r="AF12" s="99">
        <f>IF(InputTriangles!AF13&lt;=InputTriangles!$N$3,1,0)</f>
        <v>0</v>
      </c>
      <c r="AG12" s="99">
        <f>IF(InputTriangles!AG13&lt;=InputTriangles!$N$3,1,0)</f>
        <v>0</v>
      </c>
      <c r="AH12" s="99">
        <f>IF(InputTriangles!AH13&lt;=InputTriangles!$N$3,1,0)</f>
        <v>0</v>
      </c>
      <c r="AI12" s="99">
        <f>IF(InputTriangles!AI13&lt;=InputTriangles!$N$3,1,0)</f>
        <v>0</v>
      </c>
      <c r="AJ12" s="99">
        <f>IF(InputTriangles!AJ13&lt;=InputTriangles!$N$3,1,0)</f>
        <v>0</v>
      </c>
      <c r="AK12" s="99">
        <f>IF(InputTriangles!AK13&lt;=InputTriangles!$N$3,1,0)</f>
        <v>0</v>
      </c>
      <c r="AL12" s="99">
        <f>IF(InputTriangles!AL13&lt;=InputTriangles!$N$3,1,0)</f>
        <v>0</v>
      </c>
      <c r="AM12" s="99">
        <f>IF(InputTriangles!AM13&lt;=InputTriangles!$N$3,1,0)</f>
        <v>0</v>
      </c>
      <c r="AN12" s="99">
        <f>IF(InputTriangles!AN13&lt;=InputTriangles!$N$3,1,0)</f>
        <v>0</v>
      </c>
      <c r="AO12" s="99">
        <f>IF(InputTriangles!AO13&lt;=InputTriangles!$N$3,1,0)</f>
        <v>0</v>
      </c>
      <c r="AP12" s="13">
        <f>IF(InputTriangles!AP13&lt;=InputTriangles!$N$3,1,0)</f>
        <v>0</v>
      </c>
      <c r="AQ12" s="13">
        <f>IF(InputTriangles!AQ13&lt;=InputTriangles!$N$3,1,0)</f>
        <v>0</v>
      </c>
      <c r="AR12" s="13">
        <f>IF(InputTriangles!AR13&lt;=InputTriangles!$N$3,1,0)</f>
        <v>0</v>
      </c>
      <c r="AS12" s="13">
        <f>IF(InputTriangles!AS13&lt;=InputTriangles!$N$3,1,0)</f>
        <v>0</v>
      </c>
      <c r="AT12" s="13">
        <f>IF(InputTriangles!AT13&lt;=InputTriangles!$N$3,1,0)</f>
        <v>0</v>
      </c>
      <c r="AU12" s="13">
        <f>IF(InputTriangles!AU13&lt;=InputTriangles!$N$3,1,0)</f>
        <v>0</v>
      </c>
      <c r="AV12" s="13">
        <f>IF(InputTriangles!AV13&lt;=InputTriangles!$N$3,1,0)</f>
        <v>0</v>
      </c>
      <c r="AW12" s="13">
        <f>IF(InputTriangles!AW13&lt;=InputTriangles!$N$3,1,0)</f>
        <v>0</v>
      </c>
      <c r="AX12" s="13">
        <f>IF(InputTriangles!AX13&lt;=InputTriangles!$N$3,1,0)</f>
        <v>0</v>
      </c>
      <c r="AY12" s="13">
        <f>IF(InputTriangles!AY13&lt;=InputTriangles!$N$3,1,0)</f>
        <v>0</v>
      </c>
      <c r="AZ12" s="13">
        <f>IF(InputTriangles!AZ13&lt;=InputTriangles!$N$3,1,0)</f>
        <v>0</v>
      </c>
      <c r="BA12" s="13">
        <f>IF(InputTriangles!BA13&lt;=InputTriangles!$N$3,1,0)</f>
        <v>0</v>
      </c>
      <c r="BB12" s="13">
        <f>IF(InputTriangles!BB13&lt;=InputTriangles!$N$3,1,0)</f>
        <v>0</v>
      </c>
      <c r="BC12" s="13">
        <f>IF(InputTriangles!BC13&lt;=InputTriangles!$N$3,1,0)</f>
        <v>0</v>
      </c>
      <c r="BD12" s="13">
        <f>IF(InputTriangles!BD13&lt;=InputTriangles!$N$3,1,0)</f>
        <v>0</v>
      </c>
      <c r="BE12" s="13">
        <f>IF(InputTriangles!BE13&lt;=InputTriangles!$N$3,1,0)</f>
        <v>0</v>
      </c>
      <c r="BF12" s="13">
        <f>IF(InputTriangles!BF13&lt;=InputTriangles!$N$3,1,0)</f>
        <v>0</v>
      </c>
      <c r="BG12" s="13">
        <f>IF(InputTriangles!BG13&lt;=InputTriangles!$N$3,1,0)</f>
        <v>0</v>
      </c>
      <c r="BH12" s="13">
        <f>IF(InputTriangles!BH13&lt;=InputTriangles!$N$3,1,0)</f>
        <v>0</v>
      </c>
      <c r="BI12" s="13">
        <f>IF(InputTriangles!BI13&lt;=InputTriangles!$N$3,1,0)</f>
        <v>0</v>
      </c>
      <c r="BJ12" s="13">
        <f>IF(InputTriangles!BJ13&lt;=InputTriangles!$N$3,1,0)</f>
        <v>0</v>
      </c>
      <c r="BK12" s="13">
        <f>IF(InputTriangles!BK13&lt;=InputTriangles!$N$3,1,0)</f>
        <v>0</v>
      </c>
      <c r="BL12" s="13">
        <f>IF(InputTriangles!BL13&lt;=InputTriangles!$N$3,1,0)</f>
        <v>0</v>
      </c>
      <c r="BM12" s="13">
        <f>IF(InputTriangles!BM13&lt;=InputTriangles!$N$3,1,0)</f>
        <v>0</v>
      </c>
      <c r="BN12" s="13">
        <f>IF(InputTriangles!BN13&lt;=InputTriangles!$N$3,1,0)</f>
        <v>0</v>
      </c>
      <c r="BO12" s="13">
        <f>IF(InputTriangles!BO13&lt;=InputTriangles!$N$3,1,0)</f>
        <v>0</v>
      </c>
      <c r="BP12" s="13">
        <f>IF(InputTriangles!BP13&lt;=InputTriangles!$N$3,1,0)</f>
        <v>0</v>
      </c>
      <c r="BQ12" s="13">
        <f>IF(InputTriangles!BQ13&lt;=InputTriangles!$N$3,1,0)</f>
        <v>0</v>
      </c>
      <c r="BR12" s="13">
        <f>IF(InputTriangles!BR13&lt;=InputTriangles!$N$3,1,0)</f>
        <v>0</v>
      </c>
      <c r="BS12" s="13">
        <f>IF(InputTriangles!BS13&lt;=InputTriangles!$N$3,1,0)</f>
        <v>0</v>
      </c>
      <c r="BT12" s="13">
        <f>IF(InputTriangles!BT13&lt;=InputTriangles!$N$3,1,0)</f>
        <v>0</v>
      </c>
      <c r="BU12" s="13">
        <f>IF(InputTriangles!BU13&lt;=InputTriangles!$N$3,1,0)</f>
        <v>0</v>
      </c>
      <c r="BV12" s="13">
        <f>IF(InputTriangles!BV13&lt;=InputTriangles!$N$3,1,0)</f>
        <v>0</v>
      </c>
      <c r="BW12" s="13">
        <f>IF(InputTriangles!BW13&lt;=InputTriangles!$N$3,1,0)</f>
        <v>0</v>
      </c>
      <c r="BX12" s="13">
        <f>IF(InputTriangles!BX13&lt;=InputTriangles!$N$3,1,0)</f>
        <v>0</v>
      </c>
      <c r="BY12" s="13">
        <f>IF(InputTriangles!BY13&lt;=InputTriangles!$N$3,1,0)</f>
        <v>0</v>
      </c>
      <c r="BZ12" s="13">
        <f>IF(InputTriangles!BZ13&lt;=InputTriangles!$N$3,1,0)</f>
        <v>0</v>
      </c>
      <c r="CA12" s="13">
        <f>IF(InputTriangles!CA13&lt;=InputTriangles!$N$3,1,0)</f>
        <v>0</v>
      </c>
      <c r="CB12" s="13">
        <f>IF(InputTriangles!CB13&lt;=InputTriangles!$N$3,1,0)</f>
        <v>0</v>
      </c>
      <c r="CC12" s="13">
        <f>IF(InputTriangles!CC13&lt;=InputTriangles!$N$3,1,0)</f>
        <v>0</v>
      </c>
      <c r="CD12" s="13">
        <f>IF(InputTriangles!CD13&lt;=InputTriangles!$N$3,1,0)</f>
        <v>0</v>
      </c>
      <c r="CE12" s="13">
        <f>IF(InputTriangles!CE13&lt;=InputTriangles!$N$3,1,0)</f>
        <v>0</v>
      </c>
      <c r="CF12" s="13">
        <f>IF(InputTriangles!CF13&lt;=InputTriangles!$N$3,1,0)</f>
        <v>0</v>
      </c>
      <c r="CG12" s="13">
        <f>IF(InputTriangles!CG13&lt;=InputTriangles!$N$3,1,0)</f>
        <v>0</v>
      </c>
      <c r="CH12" s="13">
        <f>IF(InputTriangles!CH13&lt;=InputTriangles!$N$3,1,0)</f>
        <v>0</v>
      </c>
      <c r="CI12" s="13">
        <f>IF(InputTriangles!CI13&lt;=InputTriangles!$N$3,1,0)</f>
        <v>0</v>
      </c>
      <c r="CJ12" s="13">
        <f>IF(InputTriangles!CJ13&lt;=InputTriangles!$N$3,1,0)</f>
        <v>0</v>
      </c>
      <c r="CK12" s="13">
        <f>IF(InputTriangles!CK13&lt;=InputTriangles!$N$3,1,0)</f>
        <v>0</v>
      </c>
      <c r="CL12" s="13">
        <f>IF(InputTriangles!CL13&lt;=InputTriangles!$N$3,1,0)</f>
        <v>0</v>
      </c>
      <c r="CM12" s="13">
        <f>IF(InputTriangles!CM13&lt;=InputTriangles!$N$3,1,0)</f>
        <v>0</v>
      </c>
      <c r="CN12" s="13">
        <f>IF(InputTriangles!CN13&lt;=InputTriangles!$N$3,1,0)</f>
        <v>0</v>
      </c>
      <c r="CO12" s="13">
        <f>IF(InputTriangles!CO13&lt;=InputTriangles!$N$3,1,0)</f>
        <v>0</v>
      </c>
      <c r="CP12" s="13">
        <f>IF(InputTriangles!CP13&lt;=InputTriangles!$N$3,1,0)</f>
        <v>0</v>
      </c>
      <c r="CQ12" s="13">
        <f>IF(InputTriangles!CQ13&lt;=InputTriangles!$N$3,1,0)</f>
        <v>0</v>
      </c>
      <c r="CR12" s="13">
        <f>IF(InputTriangles!CR13&lt;=InputTriangles!$N$3,1,0)</f>
        <v>0</v>
      </c>
      <c r="CS12" s="13">
        <f>IF(InputTriangles!CS13&lt;=InputTriangles!$N$3,1,0)</f>
        <v>0</v>
      </c>
      <c r="CU12" s="20">
        <v>1</v>
      </c>
      <c r="CV12" s="12"/>
    </row>
    <row r="13" spans="1:102" ht="30" x14ac:dyDescent="0.25">
      <c r="A13" s="95"/>
      <c r="B13" s="21" t="s">
        <v>42</v>
      </c>
      <c r="C13" s="22">
        <v>1</v>
      </c>
      <c r="D13" s="23">
        <f t="shared" ref="D13:AN13" si="0">C13+1</f>
        <v>2</v>
      </c>
      <c r="E13" s="23">
        <f t="shared" si="0"/>
        <v>3</v>
      </c>
      <c r="F13" s="23">
        <f t="shared" si="0"/>
        <v>4</v>
      </c>
      <c r="G13" s="23">
        <f t="shared" si="0"/>
        <v>5</v>
      </c>
      <c r="H13" s="23">
        <f t="shared" si="0"/>
        <v>6</v>
      </c>
      <c r="I13" s="23">
        <f t="shared" si="0"/>
        <v>7</v>
      </c>
      <c r="J13" s="23">
        <f t="shared" si="0"/>
        <v>8</v>
      </c>
      <c r="K13" s="23">
        <f t="shared" si="0"/>
        <v>9</v>
      </c>
      <c r="L13" s="23">
        <f t="shared" si="0"/>
        <v>10</v>
      </c>
      <c r="M13" s="23">
        <f t="shared" si="0"/>
        <v>11</v>
      </c>
      <c r="N13" s="23">
        <f t="shared" si="0"/>
        <v>12</v>
      </c>
      <c r="O13" s="23">
        <f t="shared" si="0"/>
        <v>13</v>
      </c>
      <c r="P13" s="23">
        <f t="shared" si="0"/>
        <v>14</v>
      </c>
      <c r="Q13" s="23">
        <f t="shared" si="0"/>
        <v>15</v>
      </c>
      <c r="R13" s="23">
        <f t="shared" si="0"/>
        <v>16</v>
      </c>
      <c r="S13" s="23">
        <f t="shared" si="0"/>
        <v>17</v>
      </c>
      <c r="T13" s="23">
        <f t="shared" si="0"/>
        <v>18</v>
      </c>
      <c r="U13" s="23">
        <f t="shared" si="0"/>
        <v>19</v>
      </c>
      <c r="V13" s="23">
        <f t="shared" si="0"/>
        <v>20</v>
      </c>
      <c r="W13" s="23">
        <f t="shared" si="0"/>
        <v>21</v>
      </c>
      <c r="X13" s="23">
        <f t="shared" si="0"/>
        <v>22</v>
      </c>
      <c r="Y13" s="23">
        <f t="shared" si="0"/>
        <v>23</v>
      </c>
      <c r="Z13" s="23">
        <f t="shared" si="0"/>
        <v>24</v>
      </c>
      <c r="AA13" s="23">
        <f t="shared" si="0"/>
        <v>25</v>
      </c>
      <c r="AB13" s="23">
        <f t="shared" si="0"/>
        <v>26</v>
      </c>
      <c r="AC13" s="23">
        <f t="shared" si="0"/>
        <v>27</v>
      </c>
      <c r="AD13" s="23">
        <f t="shared" si="0"/>
        <v>28</v>
      </c>
      <c r="AE13" s="23">
        <f t="shared" si="0"/>
        <v>29</v>
      </c>
      <c r="AF13" s="23">
        <f t="shared" si="0"/>
        <v>30</v>
      </c>
      <c r="AG13" s="23">
        <f t="shared" si="0"/>
        <v>31</v>
      </c>
      <c r="AH13" s="23">
        <f t="shared" si="0"/>
        <v>32</v>
      </c>
      <c r="AI13" s="23">
        <f t="shared" si="0"/>
        <v>33</v>
      </c>
      <c r="AJ13" s="23">
        <f t="shared" si="0"/>
        <v>34</v>
      </c>
      <c r="AK13" s="23">
        <f t="shared" si="0"/>
        <v>35</v>
      </c>
      <c r="AL13" s="23">
        <f t="shared" si="0"/>
        <v>36</v>
      </c>
      <c r="AM13" s="23">
        <f t="shared" si="0"/>
        <v>37</v>
      </c>
      <c r="AN13" s="23">
        <f t="shared" si="0"/>
        <v>38</v>
      </c>
      <c r="AO13" s="23">
        <v>39</v>
      </c>
      <c r="AP13" s="23">
        <v>40</v>
      </c>
      <c r="AQ13" s="23">
        <v>41</v>
      </c>
      <c r="AR13" s="23">
        <v>42</v>
      </c>
      <c r="AS13" s="23">
        <v>43</v>
      </c>
      <c r="AT13" s="23">
        <v>44</v>
      </c>
      <c r="AU13" s="23">
        <v>45</v>
      </c>
      <c r="AV13" s="23">
        <v>46</v>
      </c>
      <c r="AW13" s="23">
        <v>47</v>
      </c>
      <c r="AX13" s="23">
        <v>48</v>
      </c>
      <c r="AY13" s="23">
        <v>49</v>
      </c>
      <c r="AZ13" s="23">
        <v>50</v>
      </c>
      <c r="BA13" s="23">
        <v>51</v>
      </c>
      <c r="BB13" s="23">
        <v>52</v>
      </c>
      <c r="BC13" s="23">
        <v>53</v>
      </c>
      <c r="BD13" s="23">
        <v>54</v>
      </c>
      <c r="BE13" s="23">
        <v>55</v>
      </c>
      <c r="BF13" s="23">
        <v>56</v>
      </c>
      <c r="BG13" s="23">
        <v>57</v>
      </c>
      <c r="BH13" s="23">
        <v>58</v>
      </c>
      <c r="BI13" s="23">
        <v>59</v>
      </c>
      <c r="BJ13" s="23">
        <v>60</v>
      </c>
      <c r="BK13" s="23">
        <v>61</v>
      </c>
      <c r="BL13" s="23">
        <v>62</v>
      </c>
      <c r="BM13" s="23">
        <v>63</v>
      </c>
      <c r="BN13" s="23">
        <v>64</v>
      </c>
      <c r="BO13" s="23">
        <v>65</v>
      </c>
      <c r="BP13" s="23">
        <v>66</v>
      </c>
      <c r="BQ13" s="23">
        <v>67</v>
      </c>
      <c r="BR13" s="23">
        <v>68</v>
      </c>
      <c r="BS13" s="23">
        <v>69</v>
      </c>
      <c r="BT13" s="23">
        <v>70</v>
      </c>
      <c r="BU13" s="23">
        <v>71</v>
      </c>
      <c r="BV13" s="23">
        <v>72</v>
      </c>
      <c r="BW13" s="23">
        <v>73</v>
      </c>
      <c r="BX13" s="23">
        <v>74</v>
      </c>
      <c r="BY13" s="23">
        <v>75</v>
      </c>
      <c r="BZ13" s="23">
        <v>76</v>
      </c>
      <c r="CA13" s="23">
        <v>77</v>
      </c>
      <c r="CB13" s="23">
        <v>78</v>
      </c>
      <c r="CC13" s="23">
        <v>79</v>
      </c>
      <c r="CD13" s="23">
        <v>80</v>
      </c>
      <c r="CE13" s="23">
        <v>81</v>
      </c>
      <c r="CF13" s="23">
        <v>82</v>
      </c>
      <c r="CG13" s="23">
        <v>83</v>
      </c>
      <c r="CH13" s="23">
        <v>84</v>
      </c>
      <c r="CI13" s="23">
        <v>85</v>
      </c>
      <c r="CJ13" s="23">
        <v>86</v>
      </c>
      <c r="CK13" s="23">
        <v>87</v>
      </c>
      <c r="CL13" s="23">
        <v>88</v>
      </c>
      <c r="CM13" s="23">
        <v>89</v>
      </c>
      <c r="CN13" s="23">
        <v>90</v>
      </c>
      <c r="CO13" s="23">
        <v>91</v>
      </c>
      <c r="CP13" s="23">
        <v>92</v>
      </c>
      <c r="CQ13" s="23">
        <f>CP13+1</f>
        <v>93</v>
      </c>
      <c r="CR13" s="23">
        <f t="shared" ref="CR13:CS13" si="1">CQ13+1</f>
        <v>94</v>
      </c>
      <c r="CS13" s="60">
        <f t="shared" si="1"/>
        <v>95</v>
      </c>
      <c r="CT13" s="222" t="s">
        <v>44</v>
      </c>
      <c r="CU13" s="223" t="str">
        <f>"Current Position Triangle less " &amp; CU12</f>
        <v>Current Position Triangle less 1</v>
      </c>
      <c r="CV13" s="223" t="s">
        <v>60</v>
      </c>
      <c r="CW13" s="21" t="s">
        <v>59</v>
      </c>
      <c r="CX13" s="64" t="s">
        <v>45</v>
      </c>
    </row>
    <row r="14" spans="1:102" hidden="1" x14ac:dyDescent="0.25">
      <c r="A14" s="96">
        <f>IF(InputTriangles!B14&gt;=$D$8,1,0)</f>
        <v>0</v>
      </c>
      <c r="B14" s="7">
        <f t="shared" ref="B14:B34" si="2">B15-1</f>
        <v>1996</v>
      </c>
      <c r="C14" s="66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2" t="str">
        <f ca="1">IF(CX14=0,"",OFFSET(B14,0,$D$6+ ($D$9-B14)*InputTriangles!$E$4))</f>
        <v/>
      </c>
      <c r="CU14" s="30" t="str">
        <f ca="1">IF(CX14=0,"",OFFSET(B14,0,$D$6+ ($D$9-B14)*InputTriangles!$E$4-CU$12))</f>
        <v/>
      </c>
      <c r="CV14" s="185" t="str">
        <f t="shared" ref="CV14:CV37" ca="1" si="3">IF(CT14="","",CT14-CU14)</f>
        <v/>
      </c>
      <c r="CW14" s="32" t="str" cm="1">
        <f t="array" ref="CW14">IF(CX14=0,"",LOOKUP(2,1/(ISNUMBER(C14:CS14)),C14:CS14))</f>
        <v/>
      </c>
      <c r="CX14" s="64">
        <f>IF(COUNTBLANK(C14:CS14)=CS$13,0,1)</f>
        <v>0</v>
      </c>
    </row>
    <row r="15" spans="1:102" hidden="1" x14ac:dyDescent="0.25">
      <c r="A15" s="96">
        <f>IF(InputTriangles!B15&gt;=$D$8,1,0)</f>
        <v>0</v>
      </c>
      <c r="B15" s="29">
        <f t="shared" si="2"/>
        <v>1997</v>
      </c>
      <c r="C15" s="68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2" t="str">
        <f ca="1">IF(CX15=0,"",OFFSET(B15,0,$D$6+ ($D$9-B15)*InputTriangles!$E$4))</f>
        <v/>
      </c>
      <c r="CU15" s="30" t="str">
        <f ca="1">IF(CX15=0,"",OFFSET(B15,0,$D$6+ ($D$9-B15)*InputTriangles!$E$4-CU$12))</f>
        <v/>
      </c>
      <c r="CV15" s="185" t="str">
        <f t="shared" ca="1" si="3"/>
        <v/>
      </c>
      <c r="CW15" s="32" t="str" cm="1">
        <f t="array" ref="CW15">IF(CX15=0,"",LOOKUP(2,1/(ISNUMBER(C15:CS15)),C15:CS15))</f>
        <v/>
      </c>
      <c r="CX15" s="64">
        <f t="shared" ref="CX15:CX37" si="4">IF(COUNTBLANK(C15:CS15)=CS$13,0,1)</f>
        <v>0</v>
      </c>
    </row>
    <row r="16" spans="1:102" hidden="1" x14ac:dyDescent="0.25">
      <c r="A16" s="96">
        <f>IF(InputTriangles!B16&gt;=$D$8,1,0)</f>
        <v>0</v>
      </c>
      <c r="B16" s="29">
        <f t="shared" si="2"/>
        <v>1998</v>
      </c>
      <c r="C16" s="68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2" t="str">
        <f ca="1">IF(CX16=0,"",OFFSET(B16,0,$D$6+ ($D$9-B16)*InputTriangles!$E$4))</f>
        <v/>
      </c>
      <c r="CU16" s="30" t="str">
        <f ca="1">IF(CX16=0,"",OFFSET(B16,0,$D$6+ ($D$9-B16)*InputTriangles!$E$4-CU$12))</f>
        <v/>
      </c>
      <c r="CV16" s="185" t="str">
        <f t="shared" ca="1" si="3"/>
        <v/>
      </c>
      <c r="CW16" s="32" t="str" cm="1">
        <f t="array" ref="CW16">IF(CX16=0,"",LOOKUP(2,1/(ISNUMBER(C16:CS16)),C16:CS16))</f>
        <v/>
      </c>
      <c r="CX16" s="64">
        <f t="shared" si="4"/>
        <v>0</v>
      </c>
    </row>
    <row r="17" spans="1:102" hidden="1" x14ac:dyDescent="0.25">
      <c r="A17" s="96">
        <f>IF(InputTriangles!B17&gt;=$D$8,1,0)</f>
        <v>0</v>
      </c>
      <c r="B17" s="29">
        <f t="shared" si="2"/>
        <v>1999</v>
      </c>
      <c r="C17" s="68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2" t="str">
        <f ca="1">IF(CX17=0,"",OFFSET(B17,0,$D$6+ ($D$9-B17)*InputTriangles!$E$4))</f>
        <v/>
      </c>
      <c r="CU17" s="30" t="str">
        <f ca="1">IF(CX17=0,"",OFFSET(B17,0,$D$6+ ($D$9-B17)*InputTriangles!$E$4-CU$12))</f>
        <v/>
      </c>
      <c r="CV17" s="185" t="str">
        <f t="shared" ca="1" si="3"/>
        <v/>
      </c>
      <c r="CW17" s="32" t="str" cm="1">
        <f t="array" ref="CW17">IF(CX17=0,"",LOOKUP(2,1/(ISNUMBER(C17:CS17)),C17:CS17))</f>
        <v/>
      </c>
      <c r="CX17" s="64">
        <f t="shared" si="4"/>
        <v>0</v>
      </c>
    </row>
    <row r="18" spans="1:102" x14ac:dyDescent="0.25">
      <c r="A18" s="96">
        <f>IF(InputTriangles!B18&gt;=$D$8,1,0)</f>
        <v>0</v>
      </c>
      <c r="B18" s="29">
        <f t="shared" si="2"/>
        <v>2000</v>
      </c>
      <c r="C18" s="68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2" t="str">
        <f ca="1">IF(CX18=0,"",OFFSET(B18,0,$D$6+ ($D$9-B18)*InputTriangles!$E$4))</f>
        <v/>
      </c>
      <c r="CU18" s="30" t="str">
        <f ca="1">IF(CX18=0,"",OFFSET(B18,0,$D$6+ ($D$9-B18)*InputTriangles!$E$4-CU$12))</f>
        <v/>
      </c>
      <c r="CV18" s="185" t="str">
        <f t="shared" ca="1" si="3"/>
        <v/>
      </c>
      <c r="CW18" s="32" t="str" cm="1">
        <f t="array" ref="CW18">IF(CX18=0,"",LOOKUP(2,1/(ISNUMBER(C18:CS18)),C18:CS18))</f>
        <v/>
      </c>
      <c r="CX18" s="64">
        <f t="shared" si="4"/>
        <v>0</v>
      </c>
    </row>
    <row r="19" spans="1:102" x14ac:dyDescent="0.25">
      <c r="A19" s="96">
        <f>IF(InputTriangles!B19&gt;=$D$8,1,0)</f>
        <v>0</v>
      </c>
      <c r="B19" s="29">
        <f t="shared" si="2"/>
        <v>2001</v>
      </c>
      <c r="C19" s="68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2" t="str">
        <f ca="1">IF(CX19=0,"",OFFSET(B19,0,$D$6+ ($D$9-B19)*InputTriangles!$E$4))</f>
        <v/>
      </c>
      <c r="CU19" s="30" t="str">
        <f ca="1">IF(CX19=0,"",OFFSET(B19,0,$D$6+ ($D$9-B19)*InputTriangles!$E$4-CU$12))</f>
        <v/>
      </c>
      <c r="CV19" s="185" t="str">
        <f t="shared" ca="1" si="3"/>
        <v/>
      </c>
      <c r="CW19" s="32" t="str" cm="1">
        <f t="array" ref="CW19">IF(CX19=0,"",LOOKUP(2,1/(ISNUMBER(C19:CS19)),C19:CS19))</f>
        <v/>
      </c>
      <c r="CX19" s="64">
        <f t="shared" si="4"/>
        <v>0</v>
      </c>
    </row>
    <row r="20" spans="1:102" x14ac:dyDescent="0.25">
      <c r="A20" s="96">
        <f>IF(InputTriangles!B20&gt;=$D$8,1,0)</f>
        <v>0</v>
      </c>
      <c r="B20" s="29">
        <f t="shared" si="2"/>
        <v>2002</v>
      </c>
      <c r="C20" s="68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2" t="str">
        <f ca="1">IF(CX20=0,"",OFFSET(B20,0,$D$6+ ($D$9-B20)*InputTriangles!$E$4))</f>
        <v/>
      </c>
      <c r="CU20" s="30" t="str">
        <f ca="1">IF(CX20=0,"",OFFSET(B20,0,$D$6+ ($D$9-B20)*InputTriangles!$E$4-CU$12))</f>
        <v/>
      </c>
      <c r="CV20" s="185" t="str">
        <f t="shared" ca="1" si="3"/>
        <v/>
      </c>
      <c r="CW20" s="32" t="str" cm="1">
        <f t="array" ref="CW20">IF(CX20=0,"",LOOKUP(2,1/(ISNUMBER(C20:CS20)),C20:CS20))</f>
        <v/>
      </c>
      <c r="CX20" s="64">
        <f t="shared" si="4"/>
        <v>0</v>
      </c>
    </row>
    <row r="21" spans="1:102" x14ac:dyDescent="0.25">
      <c r="A21" s="96">
        <f>IF(InputTriangles!B21&gt;=$D$8,1,0)</f>
        <v>0</v>
      </c>
      <c r="B21" s="29">
        <f t="shared" si="2"/>
        <v>2003</v>
      </c>
      <c r="C21" s="68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2" t="str">
        <f ca="1">IF(CX21=0,"",OFFSET(B21,0,$D$6+ ($D$9-B21)*InputTriangles!$E$4))</f>
        <v/>
      </c>
      <c r="CU21" s="30" t="str">
        <f ca="1">IF(CX21=0,"",OFFSET(B21,0,$D$6+ ($D$9-B21)*InputTriangles!$E$4-CU$12))</f>
        <v/>
      </c>
      <c r="CV21" s="185" t="str">
        <f t="shared" ca="1" si="3"/>
        <v/>
      </c>
      <c r="CW21" s="32" t="str" cm="1">
        <f t="array" ref="CW21">IF(CX21=0,"",LOOKUP(2,1/(ISNUMBER(C21:CS21)),C21:CS21))</f>
        <v/>
      </c>
      <c r="CX21" s="64">
        <f t="shared" si="4"/>
        <v>0</v>
      </c>
    </row>
    <row r="22" spans="1:102" x14ac:dyDescent="0.25">
      <c r="A22" s="96">
        <f>IF(InputTriangles!B22&gt;=$D$8,1,0)</f>
        <v>0</v>
      </c>
      <c r="B22" s="29">
        <f t="shared" si="2"/>
        <v>2004</v>
      </c>
      <c r="C22" s="68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2" t="str">
        <f ca="1">IF(CX22=0,"",OFFSET(B22,0,$D$6+ ($D$9-B22)*InputTriangles!$E$4))</f>
        <v/>
      </c>
      <c r="CU22" s="30" t="str">
        <f ca="1">IF(CX22=0,"",OFFSET(B22,0,$D$6+ ($D$9-B22)*InputTriangles!$E$4-CU$12))</f>
        <v/>
      </c>
      <c r="CV22" s="185" t="str">
        <f t="shared" ca="1" si="3"/>
        <v/>
      </c>
      <c r="CW22" s="32" t="str" cm="1">
        <f t="array" ref="CW22">IF(CX22=0,"",LOOKUP(2,1/(ISNUMBER(C22:CS22)),C22:CS22))</f>
        <v/>
      </c>
      <c r="CX22" s="64">
        <f t="shared" si="4"/>
        <v>0</v>
      </c>
    </row>
    <row r="23" spans="1:102" x14ac:dyDescent="0.25">
      <c r="A23" s="96">
        <f>IF(InputTriangles!B23&gt;=$D$8,1,0)</f>
        <v>0</v>
      </c>
      <c r="B23" s="29">
        <f t="shared" si="2"/>
        <v>2005</v>
      </c>
      <c r="C23" s="68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2" t="str">
        <f ca="1">IF(CX23=0,"",OFFSET(B23,0,$D$6+ ($D$9-B23)*InputTriangles!$E$4))</f>
        <v/>
      </c>
      <c r="CU23" s="30" t="str">
        <f ca="1">IF(CX23=0,"",OFFSET(B23,0,$D$6+ ($D$9-B23)*InputTriangles!$E$4-CU$12))</f>
        <v/>
      </c>
      <c r="CV23" s="185" t="str">
        <f t="shared" ca="1" si="3"/>
        <v/>
      </c>
      <c r="CW23" s="32" t="str" cm="1">
        <f t="array" ref="CW23">IF(CX23=0,"",LOOKUP(2,1/(ISNUMBER(C23:CS23)),C23:CS23))</f>
        <v/>
      </c>
      <c r="CX23" s="64">
        <f t="shared" si="4"/>
        <v>0</v>
      </c>
    </row>
    <row r="24" spans="1:102" x14ac:dyDescent="0.25">
      <c r="A24" s="96">
        <f>IF(InputTriangles!B24&gt;=$D$8,1,0)</f>
        <v>0</v>
      </c>
      <c r="B24" s="29">
        <f t="shared" si="2"/>
        <v>2006</v>
      </c>
      <c r="C24" s="68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2" t="str">
        <f ca="1">IF(CX24=0,"",OFFSET(B24,0,$D$6+ ($D$9-B24)*InputTriangles!$E$4))</f>
        <v/>
      </c>
      <c r="CU24" s="30" t="str">
        <f ca="1">IF(CX24=0,"",OFFSET(B24,0,$D$6+ ($D$9-B24)*InputTriangles!$E$4-CU$12))</f>
        <v/>
      </c>
      <c r="CV24" s="185" t="str">
        <f t="shared" ca="1" si="3"/>
        <v/>
      </c>
      <c r="CW24" s="32" t="str" cm="1">
        <f t="array" ref="CW24">IF(CX24=0,"",LOOKUP(2,1/(ISNUMBER(C24:CS24)),C24:CS24))</f>
        <v/>
      </c>
      <c r="CX24" s="64">
        <f t="shared" si="4"/>
        <v>0</v>
      </c>
    </row>
    <row r="25" spans="1:102" x14ac:dyDescent="0.25">
      <c r="A25" s="96">
        <f>IF(InputTriangles!B25&gt;=$D$8,1,0)</f>
        <v>0</v>
      </c>
      <c r="B25" s="29">
        <f t="shared" si="2"/>
        <v>2007</v>
      </c>
      <c r="C25" s="68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2" t="str">
        <f ca="1">IF(CX25=0,"",OFFSET(B25,0,$D$6+ ($D$9-B25)*InputTriangles!$E$4))</f>
        <v/>
      </c>
      <c r="CU25" s="30" t="str">
        <f ca="1">IF(CX25=0,"",OFFSET(B25,0,$D$6+ ($D$9-B25)*InputTriangles!$E$4-CU$12))</f>
        <v/>
      </c>
      <c r="CV25" s="185" t="str">
        <f t="shared" ca="1" si="3"/>
        <v/>
      </c>
      <c r="CW25" s="32" t="str" cm="1">
        <f t="array" ref="CW25">IF(CX25=0,"",LOOKUP(2,1/(ISNUMBER(C25:CS25)),C25:CS25))</f>
        <v/>
      </c>
      <c r="CX25" s="64">
        <f t="shared" si="4"/>
        <v>0</v>
      </c>
    </row>
    <row r="26" spans="1:102" x14ac:dyDescent="0.25">
      <c r="A26" s="96">
        <f>IF(InputTriangles!B26&gt;=$D$8,1,0)</f>
        <v>0</v>
      </c>
      <c r="B26" s="29">
        <f t="shared" si="2"/>
        <v>2008</v>
      </c>
      <c r="C26" s="68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2" t="str">
        <f ca="1">IF(CX26=0,"",OFFSET(B26,0,$D$6+ ($D$9-B26)*InputTriangles!$E$4))</f>
        <v/>
      </c>
      <c r="CU26" s="30" t="str">
        <f ca="1">IF(CX26=0,"",OFFSET(B26,0,$D$6+ ($D$9-B26)*InputTriangles!$E$4-CU$12))</f>
        <v/>
      </c>
      <c r="CV26" s="185" t="str">
        <f t="shared" ca="1" si="3"/>
        <v/>
      </c>
      <c r="CW26" s="32" t="str" cm="1">
        <f t="array" ref="CW26">IF(CX26=0,"",LOOKUP(2,1/(ISNUMBER(C26:CS26)),C26:CS26))</f>
        <v/>
      </c>
      <c r="CX26" s="64">
        <f t="shared" si="4"/>
        <v>0</v>
      </c>
    </row>
    <row r="27" spans="1:102" x14ac:dyDescent="0.25">
      <c r="A27" s="96">
        <f>IF(InputTriangles!B27&gt;=$D$8,1,0)</f>
        <v>0</v>
      </c>
      <c r="B27" s="29">
        <f t="shared" si="2"/>
        <v>2009</v>
      </c>
      <c r="C27" s="68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  <c r="CP27" s="69"/>
      <c r="CQ27" s="69"/>
      <c r="CR27" s="69"/>
      <c r="CS27" s="69"/>
      <c r="CT27" s="62" t="str">
        <f ca="1">IF(CX27=0,"",OFFSET(B27,0,$D$6+ ($D$9-B27)*InputTriangles!$E$4))</f>
        <v/>
      </c>
      <c r="CU27" s="30" t="str">
        <f ca="1">IF(CX27=0,"",OFFSET(B27,0,$D$6+ ($D$9-B27)*InputTriangles!$E$4-CU$12))</f>
        <v/>
      </c>
      <c r="CV27" s="185" t="str">
        <f t="shared" ca="1" si="3"/>
        <v/>
      </c>
      <c r="CW27" s="32" t="str" cm="1">
        <f t="array" ref="CW27">IF(CX27=0,"",LOOKUP(2,1/(ISNUMBER(C27:CS27)),C27:CS27))</f>
        <v/>
      </c>
      <c r="CX27" s="64">
        <f t="shared" si="4"/>
        <v>0</v>
      </c>
    </row>
    <row r="28" spans="1:102" x14ac:dyDescent="0.25">
      <c r="A28" s="96">
        <f>IF(InputTriangles!B28&gt;=$D$8,1,0)</f>
        <v>1</v>
      </c>
      <c r="B28" s="29">
        <f t="shared" si="2"/>
        <v>2010</v>
      </c>
      <c r="C28" s="68">
        <v>1170000</v>
      </c>
      <c r="D28" s="69">
        <v>1941200</v>
      </c>
      <c r="E28" s="69">
        <v>24314025.77</v>
      </c>
      <c r="F28" s="69">
        <v>29152033.639999997</v>
      </c>
      <c r="G28" s="69">
        <v>29366052.399999999</v>
      </c>
      <c r="H28" s="69">
        <v>29390641.299999997</v>
      </c>
      <c r="I28" s="69">
        <v>29241305.299999997</v>
      </c>
      <c r="J28" s="69">
        <v>29231034.299999997</v>
      </c>
      <c r="K28" s="69">
        <v>28404009.25</v>
      </c>
      <c r="L28" s="69">
        <v>28393201.899999999</v>
      </c>
      <c r="M28" s="69"/>
      <c r="N28" s="198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2">
        <f ca="1">IF(CX28=0,"",OFFSET(B28,0,$D$6+ ($D$9-B28)*InputTriangles!$E$4))</f>
        <v>28393201.899999999</v>
      </c>
      <c r="CU28" s="30">
        <f ca="1">IF(CX28=0,"",OFFSET(B28,0,$D$6+ ($D$9-B28)*InputTriangles!$E$4-CU$12))</f>
        <v>28404009.25</v>
      </c>
      <c r="CV28" s="185">
        <f t="shared" ca="1" si="3"/>
        <v>-10807.35000000149</v>
      </c>
      <c r="CW28" s="32" cm="1">
        <f t="array" ref="CW28">IF(CX28=0,"",LOOKUP(2,1/(ISNUMBER(C28:CS28)),C28:CS28))</f>
        <v>28393201.899999999</v>
      </c>
      <c r="CX28" s="64">
        <f t="shared" si="4"/>
        <v>1</v>
      </c>
    </row>
    <row r="29" spans="1:102" x14ac:dyDescent="0.25">
      <c r="A29" s="96">
        <f>IF(InputTriangles!B29&gt;=$D$8,1,0)</f>
        <v>1</v>
      </c>
      <c r="B29" s="29">
        <f t="shared" si="2"/>
        <v>2011</v>
      </c>
      <c r="C29" s="68">
        <v>0</v>
      </c>
      <c r="D29" s="69">
        <v>8451203.5500000007</v>
      </c>
      <c r="E29" s="69">
        <v>8474625.5099999998</v>
      </c>
      <c r="F29" s="69">
        <v>7013493.4100000001</v>
      </c>
      <c r="G29" s="69">
        <v>3835592.31</v>
      </c>
      <c r="H29" s="69">
        <v>3533980.41</v>
      </c>
      <c r="I29" s="69">
        <v>3258917.8899999997</v>
      </c>
      <c r="J29" s="69">
        <v>3258917.8899999997</v>
      </c>
      <c r="K29" s="69">
        <v>3258917.8899999997</v>
      </c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/>
      <c r="BR29" s="69"/>
      <c r="BS29" s="69"/>
      <c r="BT29" s="69"/>
      <c r="BU29" s="69"/>
      <c r="BV29" s="69"/>
      <c r="BW29" s="69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9"/>
      <c r="CM29" s="69"/>
      <c r="CN29" s="69"/>
      <c r="CO29" s="69"/>
      <c r="CP29" s="69"/>
      <c r="CQ29" s="69"/>
      <c r="CR29" s="69"/>
      <c r="CS29" s="69"/>
      <c r="CT29" s="62">
        <f ca="1">IF(CX29=0,"",OFFSET(B29,0,$D$6+ ($D$9-B29)*InputTriangles!$E$4))</f>
        <v>3258917.8899999997</v>
      </c>
      <c r="CU29" s="30">
        <f ca="1">IF(CX29=0,"",OFFSET(B29,0,$D$6+ ($D$9-B29)*InputTriangles!$E$4-CU$12))</f>
        <v>3258917.8899999997</v>
      </c>
      <c r="CV29" s="185">
        <f t="shared" ca="1" si="3"/>
        <v>0</v>
      </c>
      <c r="CW29" s="32" cm="1">
        <f t="array" ref="CW29">IF(CX29=0,"",LOOKUP(2,1/(ISNUMBER(C29:CS29)),C29:CS29))</f>
        <v>3258917.8899999997</v>
      </c>
      <c r="CX29" s="64">
        <f t="shared" si="4"/>
        <v>1</v>
      </c>
    </row>
    <row r="30" spans="1:102" x14ac:dyDescent="0.25">
      <c r="A30" s="96">
        <f>IF(InputTriangles!B30&gt;=$D$8,1,0)</f>
        <v>1</v>
      </c>
      <c r="B30" s="29">
        <f t="shared" si="2"/>
        <v>2012</v>
      </c>
      <c r="C30" s="68">
        <v>5127561.05</v>
      </c>
      <c r="D30" s="69">
        <v>5853446.0700000003</v>
      </c>
      <c r="E30" s="69">
        <v>15724445.34</v>
      </c>
      <c r="F30" s="69">
        <v>19571228.289999999</v>
      </c>
      <c r="G30" s="69">
        <v>19531101.449999999</v>
      </c>
      <c r="H30" s="69">
        <v>13783045.98</v>
      </c>
      <c r="I30" s="69">
        <v>11693129.34</v>
      </c>
      <c r="J30" s="69">
        <v>11276687.51</v>
      </c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/>
      <c r="CS30" s="69"/>
      <c r="CT30" s="62">
        <f ca="1">IF(CX30=0,"",OFFSET(B30,0,$D$6+ ($D$9-B30)*InputTriangles!$E$4))</f>
        <v>11276687.51</v>
      </c>
      <c r="CU30" s="30">
        <f ca="1">IF(CX30=0,"",OFFSET(B30,0,$D$6+ ($D$9-B30)*InputTriangles!$E$4-CU$12))</f>
        <v>11693129.34</v>
      </c>
      <c r="CV30" s="185">
        <f ca="1">IF(CT30="","",CT30-CU30)</f>
        <v>-416441.83000000007</v>
      </c>
      <c r="CW30" s="32" cm="1">
        <f t="array" ref="CW30">IF(CX30=0,"",LOOKUP(2,1/(ISNUMBER(C30:CS30)),C30:CS30))</f>
        <v>11276687.51</v>
      </c>
      <c r="CX30" s="64">
        <f t="shared" si="4"/>
        <v>1</v>
      </c>
    </row>
    <row r="31" spans="1:102" x14ac:dyDescent="0.25">
      <c r="A31" s="96">
        <f>IF(InputTriangles!B31&gt;=$D$8,1,0)</f>
        <v>1</v>
      </c>
      <c r="B31" s="29">
        <f t="shared" si="2"/>
        <v>2013</v>
      </c>
      <c r="C31" s="68">
        <v>0</v>
      </c>
      <c r="D31" s="69">
        <v>0</v>
      </c>
      <c r="E31" s="69">
        <v>0</v>
      </c>
      <c r="F31" s="69">
        <v>0</v>
      </c>
      <c r="G31" s="69">
        <v>0</v>
      </c>
      <c r="H31" s="69">
        <v>0</v>
      </c>
      <c r="I31" s="69">
        <v>0</v>
      </c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2">
        <f ca="1">IF(CX31=0,"",OFFSET(B31,0,$D$6+ ($D$9-B31)*InputTriangles!$E$4))</f>
        <v>0</v>
      </c>
      <c r="CU31" s="30">
        <f ca="1">IF(CX31=0,"",OFFSET(B31,0,$D$6+ ($D$9-B31)*InputTriangles!$E$4-CU$12))</f>
        <v>0</v>
      </c>
      <c r="CV31" s="185">
        <f t="shared" ca="1" si="3"/>
        <v>0</v>
      </c>
      <c r="CW31" s="32" cm="1">
        <f t="array" ref="CW31">IF(CX31=0,"",LOOKUP(2,1/(ISNUMBER(C31:CS31)),C31:CS31))</f>
        <v>0</v>
      </c>
      <c r="CX31" s="64">
        <f t="shared" si="4"/>
        <v>1</v>
      </c>
    </row>
    <row r="32" spans="1:102" x14ac:dyDescent="0.25">
      <c r="A32" s="96">
        <f>IF(InputTriangles!B32&gt;=$D$8,1,0)</f>
        <v>1</v>
      </c>
      <c r="B32" s="29">
        <f t="shared" si="2"/>
        <v>2014</v>
      </c>
      <c r="C32" s="68">
        <v>3082881</v>
      </c>
      <c r="D32" s="69">
        <v>14466226</v>
      </c>
      <c r="E32" s="69">
        <v>14466226</v>
      </c>
      <c r="F32" s="69">
        <v>15214424</v>
      </c>
      <c r="G32" s="69">
        <v>14974468</v>
      </c>
      <c r="H32" s="69">
        <v>13827948.91</v>
      </c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2">
        <f ca="1">IF(CX32=0,"",OFFSET(B32,0,$D$6+ ($D$9-B32)*InputTriangles!$E$4))</f>
        <v>13827948.91</v>
      </c>
      <c r="CU32" s="30">
        <f ca="1">IF(CX32=0,"",OFFSET(B32,0,$D$6+ ($D$9-B32)*InputTriangles!$E$4-CU$12))</f>
        <v>14974468</v>
      </c>
      <c r="CV32" s="185">
        <f t="shared" ca="1" si="3"/>
        <v>-1146519.0899999999</v>
      </c>
      <c r="CW32" s="32" cm="1">
        <f t="array" ref="CW32">IF(CX32=0,"",LOOKUP(2,1/(ISNUMBER(C32:CS32)),C32:CS32))</f>
        <v>13827948.91</v>
      </c>
      <c r="CX32" s="64">
        <f t="shared" si="4"/>
        <v>1</v>
      </c>
    </row>
    <row r="33" spans="1:102" x14ac:dyDescent="0.25">
      <c r="A33" s="96">
        <f>IF(InputTriangles!B33&gt;=$D$8,1,0)</f>
        <v>1</v>
      </c>
      <c r="B33" s="29">
        <f t="shared" si="2"/>
        <v>2015</v>
      </c>
      <c r="C33" s="68">
        <v>1145400</v>
      </c>
      <c r="D33" s="69">
        <v>1145400</v>
      </c>
      <c r="E33" s="69">
        <v>1145400</v>
      </c>
      <c r="F33" s="69">
        <v>0</v>
      </c>
      <c r="G33" s="69">
        <v>0</v>
      </c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2">
        <f ca="1">IF(CX33=0,"",OFFSET(B33,0,$D$6+ ($D$9-B33)*InputTriangles!$E$4))</f>
        <v>0</v>
      </c>
      <c r="CU33" s="30">
        <f ca="1">IF(CX33=0,"",OFFSET(B33,0,$D$6+ ($D$9-B33)*InputTriangles!$E$4-CU$12))</f>
        <v>0</v>
      </c>
      <c r="CV33" s="185">
        <f t="shared" ca="1" si="3"/>
        <v>0</v>
      </c>
      <c r="CW33" s="32" cm="1">
        <f t="array" ref="CW33">IF(CX33=0,"",LOOKUP(2,1/(ISNUMBER(C33:CS33)),C33:CS33))</f>
        <v>0</v>
      </c>
      <c r="CX33" s="64">
        <f t="shared" si="4"/>
        <v>1</v>
      </c>
    </row>
    <row r="34" spans="1:102" x14ac:dyDescent="0.25">
      <c r="A34" s="96">
        <f>IF(InputTriangles!B34&gt;=$D$8,1,0)</f>
        <v>1</v>
      </c>
      <c r="B34" s="29">
        <f t="shared" si="2"/>
        <v>2016</v>
      </c>
      <c r="C34" s="68">
        <v>647909.57999999996</v>
      </c>
      <c r="D34" s="69">
        <v>4337012</v>
      </c>
      <c r="E34" s="69">
        <v>5075505</v>
      </c>
      <c r="F34" s="69">
        <v>4499612</v>
      </c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BN34" s="69"/>
      <c r="BO34" s="69"/>
      <c r="BP34" s="69"/>
      <c r="BQ34" s="69"/>
      <c r="BR34" s="69"/>
      <c r="BS34" s="69"/>
      <c r="BT34" s="69"/>
      <c r="BU34" s="69"/>
      <c r="BV34" s="69"/>
      <c r="BW34" s="69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9"/>
      <c r="CM34" s="69"/>
      <c r="CN34" s="69"/>
      <c r="CO34" s="69"/>
      <c r="CP34" s="69"/>
      <c r="CQ34" s="69"/>
      <c r="CR34" s="69"/>
      <c r="CS34" s="69"/>
      <c r="CT34" s="62">
        <f ca="1">IF(CX34=0,"",OFFSET(B34,0,$D$6+ ($D$9-B34)*InputTriangles!$E$4))</f>
        <v>4499612</v>
      </c>
      <c r="CU34" s="30">
        <f ca="1">IF(CX34=0,"",OFFSET(B34,0,$D$6+ ($D$9-B34)*InputTriangles!$E$4-CU$12))</f>
        <v>5075505</v>
      </c>
      <c r="CV34" s="185">
        <f t="shared" ca="1" si="3"/>
        <v>-575893</v>
      </c>
      <c r="CW34" s="32" cm="1">
        <f t="array" ref="CW34">IF(CX34=0,"",LOOKUP(2,1/(ISNUMBER(C34:CS34)),C34:CS34))</f>
        <v>4499612</v>
      </c>
      <c r="CX34" s="64">
        <f t="shared" si="4"/>
        <v>1</v>
      </c>
    </row>
    <row r="35" spans="1:102" x14ac:dyDescent="0.25">
      <c r="A35" s="96">
        <f>IF(InputTriangles!B35&gt;=$D$8,1,0)</f>
        <v>1</v>
      </c>
      <c r="B35" s="29">
        <f>B36-1</f>
        <v>2017</v>
      </c>
      <c r="C35" s="68">
        <v>0</v>
      </c>
      <c r="D35" s="69">
        <v>164052</v>
      </c>
      <c r="E35" s="69">
        <v>15794218</v>
      </c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BN35" s="69"/>
      <c r="BO35" s="69"/>
      <c r="BP35" s="69"/>
      <c r="BQ35" s="69"/>
      <c r="BR35" s="69"/>
      <c r="BS35" s="69"/>
      <c r="BT35" s="69"/>
      <c r="BU35" s="69"/>
      <c r="BV35" s="69"/>
      <c r="BW35" s="69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9"/>
      <c r="CM35" s="69"/>
      <c r="CN35" s="69"/>
      <c r="CO35" s="69"/>
      <c r="CP35" s="69"/>
      <c r="CQ35" s="69"/>
      <c r="CR35" s="69"/>
      <c r="CS35" s="69"/>
      <c r="CT35" s="62">
        <f ca="1">IF(CX35=0,"",OFFSET(B35,0,$D$6+ ($D$9-B35)*InputTriangles!$E$4))</f>
        <v>15794218</v>
      </c>
      <c r="CU35" s="30">
        <f ca="1">IF(CX35=0,"",OFFSET(B35,0,$D$6+ ($D$9-B35)*InputTriangles!$E$4-CU$12))</f>
        <v>164052</v>
      </c>
      <c r="CV35" s="185">
        <f t="shared" ca="1" si="3"/>
        <v>15630166</v>
      </c>
      <c r="CW35" s="32" cm="1">
        <f t="array" ref="CW35">IF(CX35=0,"",LOOKUP(2,1/(ISNUMBER(C35:CS35)),C35:CS35))</f>
        <v>15794218</v>
      </c>
      <c r="CX35" s="64">
        <f t="shared" si="4"/>
        <v>1</v>
      </c>
    </row>
    <row r="36" spans="1:102" x14ac:dyDescent="0.25">
      <c r="A36" s="96">
        <f>IF(InputTriangles!B36&gt;=$D$8,1,0)</f>
        <v>1</v>
      </c>
      <c r="B36" s="29">
        <f>B37-1</f>
        <v>2018</v>
      </c>
      <c r="C36" s="68">
        <v>10047405.51</v>
      </c>
      <c r="D36" s="69">
        <v>5770102</v>
      </c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BN36" s="69"/>
      <c r="BO36" s="69"/>
      <c r="BP36" s="69"/>
      <c r="BQ36" s="69"/>
      <c r="BR36" s="69"/>
      <c r="BS36" s="69"/>
      <c r="BT36" s="69"/>
      <c r="BU36" s="69"/>
      <c r="BV36" s="69"/>
      <c r="BW36" s="69"/>
      <c r="BX36" s="69"/>
      <c r="BY36" s="69"/>
      <c r="BZ36" s="69"/>
      <c r="CA36" s="69"/>
      <c r="CB36" s="69"/>
      <c r="CC36" s="69"/>
      <c r="CD36" s="69"/>
      <c r="CE36" s="69"/>
      <c r="CF36" s="69"/>
      <c r="CG36" s="69"/>
      <c r="CH36" s="69"/>
      <c r="CI36" s="69"/>
      <c r="CJ36" s="69"/>
      <c r="CK36" s="69"/>
      <c r="CL36" s="69"/>
      <c r="CM36" s="69"/>
      <c r="CN36" s="69"/>
      <c r="CO36" s="69"/>
      <c r="CP36" s="69"/>
      <c r="CQ36" s="69"/>
      <c r="CR36" s="69"/>
      <c r="CS36" s="69"/>
      <c r="CT36" s="62">
        <f ca="1">IF(CX36=0,"",OFFSET(B36,0,$D$6+ ($D$9-B36)*InputTriangles!$E$4))</f>
        <v>5770102</v>
      </c>
      <c r="CU36" s="30">
        <f ca="1">IF(CX36=0,"",OFFSET(B36,0,$D$6+ ($D$9-B36)*InputTriangles!$E$4-CU$12))</f>
        <v>10047405.51</v>
      </c>
      <c r="CV36" s="185">
        <f t="shared" ca="1" si="3"/>
        <v>-4277303.51</v>
      </c>
      <c r="CW36" s="32" cm="1">
        <f t="array" ref="CW36">IF(CX36=0,"",LOOKUP(2,1/(ISNUMBER(C36:CS36)),C36:CS36))</f>
        <v>5770102</v>
      </c>
      <c r="CX36" s="64">
        <f t="shared" si="4"/>
        <v>1</v>
      </c>
    </row>
    <row r="37" spans="1:102" x14ac:dyDescent="0.25">
      <c r="A37" s="96">
        <f>IF(InputTriangles!B37&gt;=$D$8,1,0)</f>
        <v>1</v>
      </c>
      <c r="B37" s="34">
        <f>InputTriangles!D9</f>
        <v>2019</v>
      </c>
      <c r="C37" s="70">
        <v>0</v>
      </c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/>
      <c r="BI37" s="71"/>
      <c r="BJ37" s="71"/>
      <c r="BK37" s="71"/>
      <c r="BL37" s="71"/>
      <c r="BM37" s="71"/>
      <c r="BN37" s="71"/>
      <c r="BO37" s="71"/>
      <c r="BP37" s="71"/>
      <c r="BQ37" s="71"/>
      <c r="BR37" s="71"/>
      <c r="BS37" s="71"/>
      <c r="BT37" s="71"/>
      <c r="BU37" s="71"/>
      <c r="BV37" s="71"/>
      <c r="BW37" s="71"/>
      <c r="BX37" s="71"/>
      <c r="BY37" s="71"/>
      <c r="BZ37" s="71"/>
      <c r="CA37" s="71"/>
      <c r="CB37" s="71"/>
      <c r="CC37" s="71"/>
      <c r="CD37" s="71"/>
      <c r="CE37" s="71"/>
      <c r="CF37" s="71"/>
      <c r="CG37" s="71"/>
      <c r="CH37" s="71"/>
      <c r="CI37" s="71"/>
      <c r="CJ37" s="71"/>
      <c r="CK37" s="71"/>
      <c r="CL37" s="71"/>
      <c r="CM37" s="71"/>
      <c r="CN37" s="71"/>
      <c r="CO37" s="71"/>
      <c r="CP37" s="71"/>
      <c r="CQ37" s="71"/>
      <c r="CR37" s="71"/>
      <c r="CS37" s="71"/>
      <c r="CT37" s="63">
        <f ca="1">IF(CX37=0,"",OFFSET(B37,0,$D$6+ ($D$9-B37)*InputTriangles!$E$4))</f>
        <v>0</v>
      </c>
      <c r="CU37" s="35">
        <f ca="1">IF(CX37=0,"",OFFSET(B37,0,$D$6+ ($D$9-B37)*InputTriangles!$E$4-CU$12))</f>
        <v>2019</v>
      </c>
      <c r="CV37" s="186">
        <f t="shared" ca="1" si="3"/>
        <v>-2019</v>
      </c>
      <c r="CW37" s="37" cm="1">
        <f t="array" ref="CW37">IF(CX37=0,"",LOOKUP(2,1/(ISNUMBER(C37:CS37)),C37:CS37))</f>
        <v>0</v>
      </c>
      <c r="CX37" s="64">
        <f t="shared" si="4"/>
        <v>1</v>
      </c>
    </row>
    <row r="38" spans="1:102" x14ac:dyDescent="0.25">
      <c r="A38" s="97">
        <v>1</v>
      </c>
      <c r="C38" s="13"/>
      <c r="D38" s="13"/>
      <c r="E38" s="28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0" t="s">
        <v>43</v>
      </c>
    </row>
    <row r="39" spans="1:102" hidden="1" x14ac:dyDescent="0.25">
      <c r="A39" s="97">
        <v>0</v>
      </c>
      <c r="B39" s="81" t="s">
        <v>46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13"/>
      <c r="CV39" s="13"/>
    </row>
    <row r="40" spans="1:102" hidden="1" x14ac:dyDescent="0.25">
      <c r="A40" s="97">
        <v>0</v>
      </c>
      <c r="CU40" s="13"/>
      <c r="CV40" s="13"/>
    </row>
    <row r="41" spans="1:102" hidden="1" x14ac:dyDescent="0.25">
      <c r="A41" s="97">
        <v>0</v>
      </c>
      <c r="B41" s="21" t="s">
        <v>42</v>
      </c>
      <c r="C41" s="22">
        <v>1</v>
      </c>
      <c r="D41" s="23">
        <f t="shared" ref="D41" si="5">C41+1</f>
        <v>2</v>
      </c>
      <c r="E41" s="23">
        <f t="shared" ref="E41" si="6">D41+1</f>
        <v>3</v>
      </c>
      <c r="F41" s="23">
        <f t="shared" ref="F41" si="7">E41+1</f>
        <v>4</v>
      </c>
      <c r="G41" s="23">
        <f t="shared" ref="G41" si="8">F41+1</f>
        <v>5</v>
      </c>
      <c r="H41" s="23">
        <f t="shared" ref="H41" si="9">G41+1</f>
        <v>6</v>
      </c>
      <c r="I41" s="23">
        <f t="shared" ref="I41" si="10">H41+1</f>
        <v>7</v>
      </c>
      <c r="J41" s="23">
        <f t="shared" ref="J41" si="11">I41+1</f>
        <v>8</v>
      </c>
      <c r="K41" s="23">
        <f t="shared" ref="K41" si="12">J41+1</f>
        <v>9</v>
      </c>
      <c r="L41" s="23">
        <f t="shared" ref="L41" si="13">K41+1</f>
        <v>10</v>
      </c>
      <c r="M41" s="23">
        <f t="shared" ref="M41" si="14">L41+1</f>
        <v>11</v>
      </c>
      <c r="N41" s="23">
        <f t="shared" ref="N41" si="15">M41+1</f>
        <v>12</v>
      </c>
      <c r="O41" s="23">
        <f t="shared" ref="O41" si="16">N41+1</f>
        <v>13</v>
      </c>
      <c r="P41" s="23">
        <f t="shared" ref="P41" si="17">O41+1</f>
        <v>14</v>
      </c>
      <c r="Q41" s="23">
        <f t="shared" ref="Q41" si="18">P41+1</f>
        <v>15</v>
      </c>
      <c r="R41" s="23">
        <f t="shared" ref="R41" si="19">Q41+1</f>
        <v>16</v>
      </c>
      <c r="S41" s="23">
        <f t="shared" ref="S41" si="20">R41+1</f>
        <v>17</v>
      </c>
      <c r="T41" s="23">
        <f t="shared" ref="T41" si="21">S41+1</f>
        <v>18</v>
      </c>
      <c r="U41" s="23">
        <f t="shared" ref="U41" si="22">T41+1</f>
        <v>19</v>
      </c>
      <c r="V41" s="23">
        <f t="shared" ref="V41" si="23">U41+1</f>
        <v>20</v>
      </c>
      <c r="W41" s="23">
        <f t="shared" ref="W41" si="24">V41+1</f>
        <v>21</v>
      </c>
      <c r="X41" s="23">
        <f t="shared" ref="X41" si="25">W41+1</f>
        <v>22</v>
      </c>
      <c r="Y41" s="23">
        <f t="shared" ref="Y41" si="26">X41+1</f>
        <v>23</v>
      </c>
      <c r="Z41" s="23">
        <f t="shared" ref="Z41" si="27">Y41+1</f>
        <v>24</v>
      </c>
      <c r="AA41" s="23">
        <f t="shared" ref="AA41" si="28">Z41+1</f>
        <v>25</v>
      </c>
      <c r="AB41" s="23">
        <f t="shared" ref="AB41" si="29">AA41+1</f>
        <v>26</v>
      </c>
      <c r="AC41" s="23">
        <f t="shared" ref="AC41" si="30">AB41+1</f>
        <v>27</v>
      </c>
      <c r="AD41" s="23">
        <f t="shared" ref="AD41" si="31">AC41+1</f>
        <v>28</v>
      </c>
      <c r="AE41" s="23">
        <f t="shared" ref="AE41" si="32">AD41+1</f>
        <v>29</v>
      </c>
      <c r="AF41" s="23">
        <f t="shared" ref="AF41" si="33">AE41+1</f>
        <v>30</v>
      </c>
      <c r="AG41" s="23">
        <f t="shared" ref="AG41" si="34">AF41+1</f>
        <v>31</v>
      </c>
      <c r="AH41" s="23">
        <f t="shared" ref="AH41" si="35">AG41+1</f>
        <v>32</v>
      </c>
      <c r="AI41" s="23">
        <f t="shared" ref="AI41" si="36">AH41+1</f>
        <v>33</v>
      </c>
      <c r="AJ41" s="23">
        <f t="shared" ref="AJ41" si="37">AI41+1</f>
        <v>34</v>
      </c>
      <c r="AK41" s="23">
        <f t="shared" ref="AK41" si="38">AJ41+1</f>
        <v>35</v>
      </c>
      <c r="AL41" s="23">
        <f t="shared" ref="AL41" si="39">AK41+1</f>
        <v>36</v>
      </c>
      <c r="AM41" s="23">
        <f t="shared" ref="AM41" si="40">AL41+1</f>
        <v>37</v>
      </c>
      <c r="AN41" s="23">
        <f t="shared" ref="AN41" si="41">AM41+1</f>
        <v>38</v>
      </c>
      <c r="AO41" s="23">
        <v>39</v>
      </c>
      <c r="AP41" s="23">
        <v>40</v>
      </c>
      <c r="AQ41" s="23">
        <v>41</v>
      </c>
      <c r="AR41" s="23">
        <v>42</v>
      </c>
      <c r="AS41" s="23">
        <v>43</v>
      </c>
      <c r="AT41" s="23">
        <v>44</v>
      </c>
      <c r="AU41" s="23">
        <v>45</v>
      </c>
      <c r="AV41" s="23">
        <v>46</v>
      </c>
      <c r="AW41" s="23">
        <v>47</v>
      </c>
      <c r="AX41" s="23">
        <v>48</v>
      </c>
      <c r="AY41" s="23">
        <v>49</v>
      </c>
      <c r="AZ41" s="23">
        <v>50</v>
      </c>
      <c r="BA41" s="23">
        <v>51</v>
      </c>
      <c r="BB41" s="23">
        <v>52</v>
      </c>
      <c r="BC41" s="23">
        <v>53</v>
      </c>
      <c r="BD41" s="23">
        <v>54</v>
      </c>
      <c r="BE41" s="23">
        <v>55</v>
      </c>
      <c r="BF41" s="23">
        <v>56</v>
      </c>
      <c r="BG41" s="23">
        <v>57</v>
      </c>
      <c r="BH41" s="23">
        <v>58</v>
      </c>
      <c r="BI41" s="23">
        <v>59</v>
      </c>
      <c r="BJ41" s="23">
        <v>60</v>
      </c>
      <c r="BK41" s="23">
        <v>61</v>
      </c>
      <c r="BL41" s="23">
        <v>62</v>
      </c>
      <c r="BM41" s="23">
        <v>63</v>
      </c>
      <c r="BN41" s="23">
        <v>64</v>
      </c>
      <c r="BO41" s="23">
        <v>65</v>
      </c>
      <c r="BP41" s="23">
        <v>66</v>
      </c>
      <c r="BQ41" s="23">
        <v>67</v>
      </c>
      <c r="BR41" s="23">
        <v>68</v>
      </c>
      <c r="BS41" s="23">
        <v>69</v>
      </c>
      <c r="BT41" s="23">
        <v>70</v>
      </c>
      <c r="BU41" s="23">
        <v>71</v>
      </c>
      <c r="BV41" s="23">
        <v>72</v>
      </c>
      <c r="BW41" s="23">
        <v>73</v>
      </c>
      <c r="BX41" s="23">
        <v>74</v>
      </c>
      <c r="BY41" s="23">
        <v>75</v>
      </c>
      <c r="BZ41" s="23">
        <v>76</v>
      </c>
      <c r="CA41" s="23">
        <v>77</v>
      </c>
      <c r="CB41" s="23">
        <v>78</v>
      </c>
      <c r="CC41" s="23">
        <v>79</v>
      </c>
      <c r="CD41" s="23">
        <v>80</v>
      </c>
      <c r="CE41" s="23">
        <v>81</v>
      </c>
      <c r="CF41" s="23">
        <v>82</v>
      </c>
      <c r="CG41" s="23">
        <v>83</v>
      </c>
      <c r="CH41" s="23">
        <v>84</v>
      </c>
      <c r="CI41" s="23">
        <v>85</v>
      </c>
      <c r="CJ41" s="23">
        <v>86</v>
      </c>
      <c r="CK41" s="23">
        <v>87</v>
      </c>
      <c r="CL41" s="23">
        <v>88</v>
      </c>
      <c r="CM41" s="23">
        <v>89</v>
      </c>
      <c r="CN41" s="23">
        <v>90</v>
      </c>
      <c r="CO41" s="23">
        <v>91</v>
      </c>
      <c r="CP41" s="23">
        <v>92</v>
      </c>
      <c r="CQ41" s="23">
        <f>CP41+1</f>
        <v>93</v>
      </c>
      <c r="CR41" s="23">
        <f>CQ41+1</f>
        <v>94</v>
      </c>
      <c r="CS41" s="23">
        <f>CR41+1</f>
        <v>95</v>
      </c>
      <c r="CT41" s="22" t="s">
        <v>47</v>
      </c>
    </row>
    <row r="42" spans="1:102" hidden="1" x14ac:dyDescent="0.25">
      <c r="A42" s="97">
        <v>0</v>
      </c>
      <c r="B42" s="7">
        <f t="shared" ref="B42:B62" si="42">B43-1</f>
        <v>1996</v>
      </c>
      <c r="C42" s="26">
        <f>IF(AND($B42&gt;=InputTriangles!$D$8,$CT42&gt;=C$41),1,0)</f>
        <v>0</v>
      </c>
      <c r="D42" s="27">
        <f>IF(AND($B42&gt;=InputTriangles!$D$8,$CT42&gt;=D$41),1,0)</f>
        <v>0</v>
      </c>
      <c r="E42" s="27">
        <f>IF(AND($B42&gt;=InputTriangles!$D$8,$CT42&gt;=E$41),1,0)</f>
        <v>0</v>
      </c>
      <c r="F42" s="27">
        <f>IF(AND($B42&gt;=InputTriangles!$D$8,$CT42&gt;=F$41),1,0)</f>
        <v>0</v>
      </c>
      <c r="G42" s="27">
        <f>IF(AND($B42&gt;=InputTriangles!$D$8,$CT42&gt;=G$41),1,0)</f>
        <v>0</v>
      </c>
      <c r="H42" s="27">
        <f>IF(AND($B42&gt;=InputTriangles!$D$8,$CT42&gt;=H$41),1,0)</f>
        <v>0</v>
      </c>
      <c r="I42" s="27">
        <f>IF(AND($B42&gt;=InputTriangles!$D$8,$CT42&gt;=I$41),1,0)</f>
        <v>0</v>
      </c>
      <c r="J42" s="27">
        <f>IF(AND($B42&gt;=InputTriangles!$D$8,$CT42&gt;=J$41),1,0)</f>
        <v>0</v>
      </c>
      <c r="K42" s="27">
        <f>IF(AND($B42&gt;=InputTriangles!$D$8,$CT42&gt;=K$41),1,0)</f>
        <v>0</v>
      </c>
      <c r="L42" s="27">
        <f>IF(AND($B42&gt;=InputTriangles!$D$8,$CT42&gt;=L$41),1,0)</f>
        <v>0</v>
      </c>
      <c r="M42" s="27">
        <f>IF(AND($B42&gt;=InputTriangles!$D$8,$CT42&gt;=M$41),1,0)</f>
        <v>0</v>
      </c>
      <c r="N42" s="27">
        <f>IF(AND($B42&gt;=InputTriangles!$D$8,$CT42&gt;=N$41),1,0)</f>
        <v>0</v>
      </c>
      <c r="O42" s="27">
        <f>IF(AND($B42&gt;=InputTriangles!$D$8,$CT42&gt;=O$41),1,0)</f>
        <v>0</v>
      </c>
      <c r="P42" s="27">
        <f>IF(AND($B42&gt;=InputTriangles!$D$8,$CT42&gt;=P$41),1,0)</f>
        <v>0</v>
      </c>
      <c r="Q42" s="27">
        <f>IF(AND($B42&gt;=InputTriangles!$D$8,$CT42&gt;=Q$41),1,0)</f>
        <v>0</v>
      </c>
      <c r="R42" s="27">
        <f>IF(AND($B42&gt;=InputTriangles!$D$8,$CT42&gt;=R$41),1,0)</f>
        <v>0</v>
      </c>
      <c r="S42" s="27">
        <f>IF(AND($B42&gt;=InputTriangles!$D$8,$CT42&gt;=S$41),1,0)</f>
        <v>0</v>
      </c>
      <c r="T42" s="27">
        <f>IF(AND($B42&gt;=InputTriangles!$D$8,$CT42&gt;=T$41),1,0)</f>
        <v>0</v>
      </c>
      <c r="U42" s="27">
        <f>IF(AND($B42&gt;=InputTriangles!$D$8,$CT42&gt;=U$41),1,0)</f>
        <v>0</v>
      </c>
      <c r="V42" s="27">
        <f>IF(AND($B42&gt;=InputTriangles!$D$8,$CT42&gt;=V$41),1,0)</f>
        <v>0</v>
      </c>
      <c r="W42" s="27">
        <f>IF(AND($B42&gt;=InputTriangles!$D$8,$CT42&gt;=W$41),1,0)</f>
        <v>0</v>
      </c>
      <c r="X42" s="27">
        <f>IF(AND($B42&gt;=InputTriangles!$D$8,$CT42&gt;=X$41),1,0)</f>
        <v>0</v>
      </c>
      <c r="Y42" s="27">
        <f>IF(AND($B42&gt;=InputTriangles!$D$8,$CT42&gt;=Y$41),1,0)</f>
        <v>0</v>
      </c>
      <c r="Z42" s="27">
        <f>IF(AND($B42&gt;=InputTriangles!$D$8,$CT42&gt;=Z$41),1,0)</f>
        <v>0</v>
      </c>
      <c r="AA42" s="27">
        <f>IF(AND($B42&gt;=InputTriangles!$D$8,$CT42&gt;=AA$41),1,0)</f>
        <v>0</v>
      </c>
      <c r="AB42" s="27">
        <f>IF(AND($B42&gt;=InputTriangles!$D$8,$CT42&gt;=AB$41),1,0)</f>
        <v>0</v>
      </c>
      <c r="AC42" s="27">
        <f>IF(AND($B42&gt;=InputTriangles!$D$8,$CT42&gt;=AC$41),1,0)</f>
        <v>0</v>
      </c>
      <c r="AD42" s="27">
        <f>IF(AND($B42&gt;=InputTriangles!$D$8,$CT42&gt;=AD$41),1,0)</f>
        <v>0</v>
      </c>
      <c r="AE42" s="27">
        <f>IF(AND($B42&gt;=InputTriangles!$D$8,$CT42&gt;=AE$41),1,0)</f>
        <v>0</v>
      </c>
      <c r="AF42" s="27">
        <f>IF(AND($B42&gt;=InputTriangles!$D$8,$CT42&gt;=AF$41),1,0)</f>
        <v>0</v>
      </c>
      <c r="AG42" s="27">
        <f>IF(AND($B42&gt;=InputTriangles!$D$8,$CT42&gt;=AG$41),1,0)</f>
        <v>0</v>
      </c>
      <c r="AH42" s="27">
        <f>IF(AND($B42&gt;=InputTriangles!$D$8,$CT42&gt;=AH$41),1,0)</f>
        <v>0</v>
      </c>
      <c r="AI42" s="27">
        <f>IF(AND($B42&gt;=InputTriangles!$D$8,$CT42&gt;=AI$41),1,0)</f>
        <v>0</v>
      </c>
      <c r="AJ42" s="27">
        <f>IF(AND($B42&gt;=InputTriangles!$D$8,$CT42&gt;=AJ$41),1,0)</f>
        <v>0</v>
      </c>
      <c r="AK42" s="27">
        <f>IF(AND($B42&gt;=InputTriangles!$D$8,$CT42&gt;=AK$41),1,0)</f>
        <v>0</v>
      </c>
      <c r="AL42" s="27">
        <f>IF(AND($B42&gt;=InputTriangles!$D$8,$CT42&gt;=AL$41),1,0)</f>
        <v>0</v>
      </c>
      <c r="AM42" s="27">
        <f>IF(AND($B42&gt;=InputTriangles!$D$8,$CT42&gt;=AM$41),1,0)</f>
        <v>0</v>
      </c>
      <c r="AN42" s="27">
        <f>IF(AND($B42&gt;=InputTriangles!$D$8,$CT42&gt;=AN$41),1,0)</f>
        <v>0</v>
      </c>
      <c r="AO42" s="27">
        <f>IF(AND($B42&gt;=InputTriangles!$D$8,$CT42&gt;=AO$41),1,0)</f>
        <v>0</v>
      </c>
      <c r="AP42" s="27">
        <f>IF(AND($B42&gt;=InputTriangles!$D$8,$CT42&gt;=AP$41),1,0)</f>
        <v>0</v>
      </c>
      <c r="AQ42" s="27">
        <f>IF(AND($B42&gt;=InputTriangles!$D$8,$CT42&gt;=AQ$41),1,0)</f>
        <v>0</v>
      </c>
      <c r="AR42" s="27">
        <f>IF(AND($B42&gt;=InputTriangles!$D$8,$CT42&gt;=AR$41),1,0)</f>
        <v>0</v>
      </c>
      <c r="AS42" s="27">
        <f>IF(AND($B42&gt;=InputTriangles!$D$8,$CT42&gt;=AS$41),1,0)</f>
        <v>0</v>
      </c>
      <c r="AT42" s="27">
        <f>IF(AND($B42&gt;=InputTriangles!$D$8,$CT42&gt;=AT$41),1,0)</f>
        <v>0</v>
      </c>
      <c r="AU42" s="27">
        <f>IF(AND($B42&gt;=InputTriangles!$D$8,$CT42&gt;=AU$41),1,0)</f>
        <v>0</v>
      </c>
      <c r="AV42" s="27">
        <f>IF(AND($B42&gt;=InputTriangles!$D$8,$CT42&gt;=AV$41),1,0)</f>
        <v>0</v>
      </c>
      <c r="AW42" s="27">
        <f>IF(AND($B42&gt;=InputTriangles!$D$8,$CT42&gt;=AW$41),1,0)</f>
        <v>0</v>
      </c>
      <c r="AX42" s="27">
        <f>IF(AND($B42&gt;=InputTriangles!$D$8,$CT42&gt;=AX$41),1,0)</f>
        <v>0</v>
      </c>
      <c r="AY42" s="27">
        <f>IF(AND($B42&gt;=InputTriangles!$D$8,$CT42&gt;=AY$41),1,0)</f>
        <v>0</v>
      </c>
      <c r="AZ42" s="27">
        <f>IF(AND($B42&gt;=InputTriangles!$D$8,$CT42&gt;=AZ$41),1,0)</f>
        <v>0</v>
      </c>
      <c r="BA42" s="27">
        <f>IF(AND($B42&gt;=InputTriangles!$D$8,$CT42&gt;=BA$41),1,0)</f>
        <v>0</v>
      </c>
      <c r="BB42" s="27">
        <f>IF(AND($B42&gt;=InputTriangles!$D$8,$CT42&gt;=BB$41),1,0)</f>
        <v>0</v>
      </c>
      <c r="BC42" s="27">
        <f>IF(AND($B42&gt;=InputTriangles!$D$8,$CT42&gt;=BC$41),1,0)</f>
        <v>0</v>
      </c>
      <c r="BD42" s="27">
        <f>IF(AND($B42&gt;=InputTriangles!$D$8,$CT42&gt;=BD$41),1,0)</f>
        <v>0</v>
      </c>
      <c r="BE42" s="27">
        <f>IF(AND($B42&gt;=InputTriangles!$D$8,$CT42&gt;=BE$41),1,0)</f>
        <v>0</v>
      </c>
      <c r="BF42" s="27">
        <f>IF(AND($B42&gt;=InputTriangles!$D$8,$CT42&gt;=BF$41),1,0)</f>
        <v>0</v>
      </c>
      <c r="BG42" s="27">
        <f>IF(AND($B42&gt;=InputTriangles!$D$8,$CT42&gt;=BG$41),1,0)</f>
        <v>0</v>
      </c>
      <c r="BH42" s="27">
        <f>IF(AND($B42&gt;=InputTriangles!$D$8,$CT42&gt;=BH$41),1,0)</f>
        <v>0</v>
      </c>
      <c r="BI42" s="27">
        <f>IF(AND($B42&gt;=InputTriangles!$D$8,$CT42&gt;=BI$41),1,0)</f>
        <v>0</v>
      </c>
      <c r="BJ42" s="27">
        <f>IF(AND($B42&gt;=InputTriangles!$D$8,$CT42&gt;=BJ$41),1,0)</f>
        <v>0</v>
      </c>
      <c r="BK42" s="27">
        <f>IF(AND($B42&gt;=InputTriangles!$D$8,$CT42&gt;=BK$41),1,0)</f>
        <v>0</v>
      </c>
      <c r="BL42" s="27">
        <f>IF(AND($B42&gt;=InputTriangles!$D$8,$CT42&gt;=BL$41),1,0)</f>
        <v>0</v>
      </c>
      <c r="BM42" s="27">
        <f>IF(AND($B42&gt;=InputTriangles!$D$8,$CT42&gt;=BM$41),1,0)</f>
        <v>0</v>
      </c>
      <c r="BN42" s="27">
        <f>IF(AND($B42&gt;=InputTriangles!$D$8,$CT42&gt;=BN$41),1,0)</f>
        <v>0</v>
      </c>
      <c r="BO42" s="27">
        <f>IF(AND($B42&gt;=InputTriangles!$D$8,$CT42&gt;=BO$41),1,0)</f>
        <v>0</v>
      </c>
      <c r="BP42" s="27">
        <f>IF(AND($B42&gt;=InputTriangles!$D$8,$CT42&gt;=BP$41),1,0)</f>
        <v>0</v>
      </c>
      <c r="BQ42" s="27">
        <f>IF(AND($B42&gt;=InputTriangles!$D$8,$CT42&gt;=BQ$41),1,0)</f>
        <v>0</v>
      </c>
      <c r="BR42" s="27">
        <f>IF(AND($B42&gt;=InputTriangles!$D$8,$CT42&gt;=BR$41),1,0)</f>
        <v>0</v>
      </c>
      <c r="BS42" s="27">
        <f>IF(AND($B42&gt;=InputTriangles!$D$8,$CT42&gt;=BS$41),1,0)</f>
        <v>0</v>
      </c>
      <c r="BT42" s="27">
        <f>IF(AND($B42&gt;=InputTriangles!$D$8,$CT42&gt;=BT$41),1,0)</f>
        <v>0</v>
      </c>
      <c r="BU42" s="27">
        <f>IF(AND($B42&gt;=InputTriangles!$D$8,$CT42&gt;=BU$41),1,0)</f>
        <v>0</v>
      </c>
      <c r="BV42" s="27">
        <f>IF(AND($B42&gt;=InputTriangles!$D$8,$CT42&gt;=BV$41),1,0)</f>
        <v>0</v>
      </c>
      <c r="BW42" s="27">
        <f>IF(AND($B42&gt;=InputTriangles!$D$8,$CT42&gt;=BW$41),1,0)</f>
        <v>0</v>
      </c>
      <c r="BX42" s="27">
        <f>IF(AND($B42&gt;=InputTriangles!$D$8,$CT42&gt;=BX$41),1,0)</f>
        <v>0</v>
      </c>
      <c r="BY42" s="27">
        <f>IF(AND($B42&gt;=InputTriangles!$D$8,$CT42&gt;=BY$41),1,0)</f>
        <v>0</v>
      </c>
      <c r="BZ42" s="27">
        <f>IF(AND($B42&gt;=InputTriangles!$D$8,$CT42&gt;=BZ$41),1,0)</f>
        <v>0</v>
      </c>
      <c r="CA42" s="27">
        <f>IF(AND($B42&gt;=InputTriangles!$D$8,$CT42&gt;=CA$41),1,0)</f>
        <v>0</v>
      </c>
      <c r="CB42" s="27">
        <f>IF(AND($B42&gt;=InputTriangles!$D$8,$CT42&gt;=CB$41),1,0)</f>
        <v>0</v>
      </c>
      <c r="CC42" s="27">
        <f>IF(AND($B42&gt;=InputTriangles!$D$8,$CT42&gt;=CC$41),1,0)</f>
        <v>0</v>
      </c>
      <c r="CD42" s="27">
        <f>IF(AND($B42&gt;=InputTriangles!$D$8,$CT42&gt;=CD$41),1,0)</f>
        <v>0</v>
      </c>
      <c r="CE42" s="27">
        <f>IF(AND($B42&gt;=InputTriangles!$D$8,$CT42&gt;=CE$41),1,0)</f>
        <v>0</v>
      </c>
      <c r="CF42" s="27">
        <f>IF(AND($B42&gt;=InputTriangles!$D$8,$CT42&gt;=CF$41),1,0)</f>
        <v>0</v>
      </c>
      <c r="CG42" s="27">
        <f>IF(AND($B42&gt;=InputTriangles!$D$8,$CT42&gt;=CG$41),1,0)</f>
        <v>0</v>
      </c>
      <c r="CH42" s="27">
        <f>IF(AND($B42&gt;=InputTriangles!$D$8,$CT42&gt;=CH$41),1,0)</f>
        <v>0</v>
      </c>
      <c r="CI42" s="27">
        <f>IF(AND($B42&gt;=InputTriangles!$D$8,$CT42&gt;=CI$41),1,0)</f>
        <v>0</v>
      </c>
      <c r="CJ42" s="27">
        <f>IF(AND($B42&gt;=InputTriangles!$D$8,$CT42&gt;=CJ$41),1,0)</f>
        <v>0</v>
      </c>
      <c r="CK42" s="27">
        <f>IF(AND($B42&gt;=InputTriangles!$D$8,$CT42&gt;=CK$41),1,0)</f>
        <v>0</v>
      </c>
      <c r="CL42" s="27">
        <f>IF(AND($B42&gt;=InputTriangles!$D$8,$CT42&gt;=CL$41),1,0)</f>
        <v>0</v>
      </c>
      <c r="CM42" s="27">
        <f>IF(AND($B42&gt;=InputTriangles!$D$8,$CT42&gt;=CM$41),1,0)</f>
        <v>0</v>
      </c>
      <c r="CN42" s="27">
        <f>IF(AND($B42&gt;=InputTriangles!$D$8,$CT42&gt;=CN$41),1,0)</f>
        <v>0</v>
      </c>
      <c r="CO42" s="27">
        <f>IF(AND($B42&gt;=InputTriangles!$D$8,$CT42&gt;=CO$41),1,0)</f>
        <v>0</v>
      </c>
      <c r="CP42" s="27">
        <f>IF(AND($B42&gt;=InputTriangles!$D$8,$CT42&gt;=CP$41),1,0)</f>
        <v>0</v>
      </c>
      <c r="CQ42" s="27">
        <f>IF(AND($B42&gt;=InputTriangles!$D$8,$CT42&gt;=CQ$41),1,0)</f>
        <v>0</v>
      </c>
      <c r="CR42" s="27">
        <f>IF(AND($B42&gt;=InputTriangles!$D$8,$CT42&gt;=CR$41),1,0)</f>
        <v>0</v>
      </c>
      <c r="CS42" s="61">
        <f>IF(AND($B42&gt;=InputTriangles!$D$8,$CT42&gt;=CS$41),1,0)</f>
        <v>0</v>
      </c>
      <c r="CT42" s="79">
        <f>($D$9-InputTriangles!$B42)*InputTriangles!$E$4+$D$6</f>
        <v>24</v>
      </c>
    </row>
    <row r="43" spans="1:102" hidden="1" x14ac:dyDescent="0.25">
      <c r="A43" s="97">
        <v>0</v>
      </c>
      <c r="B43" s="29">
        <f t="shared" si="42"/>
        <v>1997</v>
      </c>
      <c r="C43" s="30">
        <f>IF(AND($B43&gt;=InputTriangles!$D$8,$CT43&gt;=C$41),1,0)</f>
        <v>0</v>
      </c>
      <c r="D43" s="33">
        <f>IF(AND($B43&gt;=InputTriangles!$D$8,$CT43&gt;=D$41),1,0)</f>
        <v>0</v>
      </c>
      <c r="E43" s="33">
        <f>IF(AND($B43&gt;=InputTriangles!$D$8,$CT43&gt;=E$41),1,0)</f>
        <v>0</v>
      </c>
      <c r="F43" s="33">
        <f>IF(AND($B43&gt;=InputTriangles!$D$8,$CT43&gt;=F$41),1,0)</f>
        <v>0</v>
      </c>
      <c r="G43" s="33">
        <f>IF(AND($B43&gt;=InputTriangles!$D$8,$CT43&gt;=G$41),1,0)</f>
        <v>0</v>
      </c>
      <c r="H43" s="33">
        <f>IF(AND($B43&gt;=InputTriangles!$D$8,$CT43&gt;=H$41),1,0)</f>
        <v>0</v>
      </c>
      <c r="I43" s="33">
        <f>IF(AND($B43&gt;=InputTriangles!$D$8,$CT43&gt;=I$41),1,0)</f>
        <v>0</v>
      </c>
      <c r="J43" s="33">
        <f>IF(AND($B43&gt;=InputTriangles!$D$8,$CT43&gt;=J$41),1,0)</f>
        <v>0</v>
      </c>
      <c r="K43" s="33">
        <f>IF(AND($B43&gt;=InputTriangles!$D$8,$CT43&gt;=K$41),1,0)</f>
        <v>0</v>
      </c>
      <c r="L43" s="33">
        <f>IF(AND($B43&gt;=InputTriangles!$D$8,$CT43&gt;=L$41),1,0)</f>
        <v>0</v>
      </c>
      <c r="M43" s="33">
        <f>IF(AND($B43&gt;=InputTriangles!$D$8,$CT43&gt;=M$41),1,0)</f>
        <v>0</v>
      </c>
      <c r="N43" s="33">
        <f>IF(AND($B43&gt;=InputTriangles!$D$8,$CT43&gt;=N$41),1,0)</f>
        <v>0</v>
      </c>
      <c r="O43" s="33">
        <f>IF(AND($B43&gt;=InputTriangles!$D$8,$CT43&gt;=O$41),1,0)</f>
        <v>0</v>
      </c>
      <c r="P43" s="33">
        <f>IF(AND($B43&gt;=InputTriangles!$D$8,$CT43&gt;=P$41),1,0)</f>
        <v>0</v>
      </c>
      <c r="Q43" s="33">
        <f>IF(AND($B43&gt;=InputTriangles!$D$8,$CT43&gt;=Q$41),1,0)</f>
        <v>0</v>
      </c>
      <c r="R43" s="33">
        <f>IF(AND($B43&gt;=InputTriangles!$D$8,$CT43&gt;=R$41),1,0)</f>
        <v>0</v>
      </c>
      <c r="S43" s="33">
        <f>IF(AND($B43&gt;=InputTriangles!$D$8,$CT43&gt;=S$41),1,0)</f>
        <v>0</v>
      </c>
      <c r="T43" s="33">
        <f>IF(AND($B43&gt;=InputTriangles!$D$8,$CT43&gt;=T$41),1,0)</f>
        <v>0</v>
      </c>
      <c r="U43" s="33">
        <f>IF(AND($B43&gt;=InputTriangles!$D$8,$CT43&gt;=U$41),1,0)</f>
        <v>0</v>
      </c>
      <c r="V43" s="33">
        <f>IF(AND($B43&gt;=InputTriangles!$D$8,$CT43&gt;=V$41),1,0)</f>
        <v>0</v>
      </c>
      <c r="W43" s="33">
        <f>IF(AND($B43&gt;=InputTriangles!$D$8,$CT43&gt;=W$41),1,0)</f>
        <v>0</v>
      </c>
      <c r="X43" s="33">
        <f>IF(AND($B43&gt;=InputTriangles!$D$8,$CT43&gt;=X$41),1,0)</f>
        <v>0</v>
      </c>
      <c r="Y43" s="33">
        <f>IF(AND($B43&gt;=InputTriangles!$D$8,$CT43&gt;=Y$41),1,0)</f>
        <v>0</v>
      </c>
      <c r="Z43" s="33">
        <f>IF(AND($B43&gt;=InputTriangles!$D$8,$CT43&gt;=Z$41),1,0)</f>
        <v>0</v>
      </c>
      <c r="AA43" s="33">
        <f>IF(AND($B43&gt;=InputTriangles!$D$8,$CT43&gt;=AA$41),1,0)</f>
        <v>0</v>
      </c>
      <c r="AB43" s="33">
        <f>IF(AND($B43&gt;=InputTriangles!$D$8,$CT43&gt;=AB$41),1,0)</f>
        <v>0</v>
      </c>
      <c r="AC43" s="33">
        <f>IF(AND($B43&gt;=InputTriangles!$D$8,$CT43&gt;=AC$41),1,0)</f>
        <v>0</v>
      </c>
      <c r="AD43" s="33">
        <f>IF(AND($B43&gt;=InputTriangles!$D$8,$CT43&gt;=AD$41),1,0)</f>
        <v>0</v>
      </c>
      <c r="AE43" s="33">
        <f>IF(AND($B43&gt;=InputTriangles!$D$8,$CT43&gt;=AE$41),1,0)</f>
        <v>0</v>
      </c>
      <c r="AF43" s="33">
        <f>IF(AND($B43&gt;=InputTriangles!$D$8,$CT43&gt;=AF$41),1,0)</f>
        <v>0</v>
      </c>
      <c r="AG43" s="33">
        <f>IF(AND($B43&gt;=InputTriangles!$D$8,$CT43&gt;=AG$41),1,0)</f>
        <v>0</v>
      </c>
      <c r="AH43" s="33">
        <f>IF(AND($B43&gt;=InputTriangles!$D$8,$CT43&gt;=AH$41),1,0)</f>
        <v>0</v>
      </c>
      <c r="AI43" s="33">
        <f>IF(AND($B43&gt;=InputTriangles!$D$8,$CT43&gt;=AI$41),1,0)</f>
        <v>0</v>
      </c>
      <c r="AJ43" s="33">
        <f>IF(AND($B43&gt;=InputTriangles!$D$8,$CT43&gt;=AJ$41),1,0)</f>
        <v>0</v>
      </c>
      <c r="AK43" s="33">
        <f>IF(AND($B43&gt;=InputTriangles!$D$8,$CT43&gt;=AK$41),1,0)</f>
        <v>0</v>
      </c>
      <c r="AL43" s="33">
        <f>IF(AND($B43&gt;=InputTriangles!$D$8,$CT43&gt;=AL$41),1,0)</f>
        <v>0</v>
      </c>
      <c r="AM43" s="33">
        <f>IF(AND($B43&gt;=InputTriangles!$D$8,$CT43&gt;=AM$41),1,0)</f>
        <v>0</v>
      </c>
      <c r="AN43" s="33">
        <f>IF(AND($B43&gt;=InputTriangles!$D$8,$CT43&gt;=AN$41),1,0)</f>
        <v>0</v>
      </c>
      <c r="AO43" s="33">
        <f>IF(AND($B43&gt;=InputTriangles!$D$8,$CT43&gt;=AO$41),1,0)</f>
        <v>0</v>
      </c>
      <c r="AP43" s="33">
        <f>IF(AND($B43&gt;=InputTriangles!$D$8,$CT43&gt;=AP$41),1,0)</f>
        <v>0</v>
      </c>
      <c r="AQ43" s="33">
        <f>IF(AND($B43&gt;=InputTriangles!$D$8,$CT43&gt;=AQ$41),1,0)</f>
        <v>0</v>
      </c>
      <c r="AR43" s="33">
        <f>IF(AND($B43&gt;=InputTriangles!$D$8,$CT43&gt;=AR$41),1,0)</f>
        <v>0</v>
      </c>
      <c r="AS43" s="33">
        <f>IF(AND($B43&gt;=InputTriangles!$D$8,$CT43&gt;=AS$41),1,0)</f>
        <v>0</v>
      </c>
      <c r="AT43" s="33">
        <f>IF(AND($B43&gt;=InputTriangles!$D$8,$CT43&gt;=AT$41),1,0)</f>
        <v>0</v>
      </c>
      <c r="AU43" s="33">
        <f>IF(AND($B43&gt;=InputTriangles!$D$8,$CT43&gt;=AU$41),1,0)</f>
        <v>0</v>
      </c>
      <c r="AV43" s="33">
        <f>IF(AND($B43&gt;=InputTriangles!$D$8,$CT43&gt;=AV$41),1,0)</f>
        <v>0</v>
      </c>
      <c r="AW43" s="33">
        <f>IF(AND($B43&gt;=InputTriangles!$D$8,$CT43&gt;=AW$41),1,0)</f>
        <v>0</v>
      </c>
      <c r="AX43" s="33">
        <f>IF(AND($B43&gt;=InputTriangles!$D$8,$CT43&gt;=AX$41),1,0)</f>
        <v>0</v>
      </c>
      <c r="AY43" s="33">
        <f>IF(AND($B43&gt;=InputTriangles!$D$8,$CT43&gt;=AY$41),1,0)</f>
        <v>0</v>
      </c>
      <c r="AZ43" s="33">
        <f>IF(AND($B43&gt;=InputTriangles!$D$8,$CT43&gt;=AZ$41),1,0)</f>
        <v>0</v>
      </c>
      <c r="BA43" s="33">
        <f>IF(AND($B43&gt;=InputTriangles!$D$8,$CT43&gt;=BA$41),1,0)</f>
        <v>0</v>
      </c>
      <c r="BB43" s="33">
        <f>IF(AND($B43&gt;=InputTriangles!$D$8,$CT43&gt;=BB$41),1,0)</f>
        <v>0</v>
      </c>
      <c r="BC43" s="33">
        <f>IF(AND($B43&gt;=InputTriangles!$D$8,$CT43&gt;=BC$41),1,0)</f>
        <v>0</v>
      </c>
      <c r="BD43" s="33">
        <f>IF(AND($B43&gt;=InputTriangles!$D$8,$CT43&gt;=BD$41),1,0)</f>
        <v>0</v>
      </c>
      <c r="BE43" s="33">
        <f>IF(AND($B43&gt;=InputTriangles!$D$8,$CT43&gt;=BE$41),1,0)</f>
        <v>0</v>
      </c>
      <c r="BF43" s="33">
        <f>IF(AND($B43&gt;=InputTriangles!$D$8,$CT43&gt;=BF$41),1,0)</f>
        <v>0</v>
      </c>
      <c r="BG43" s="33">
        <f>IF(AND($B43&gt;=InputTriangles!$D$8,$CT43&gt;=BG$41),1,0)</f>
        <v>0</v>
      </c>
      <c r="BH43" s="33">
        <f>IF(AND($B43&gt;=InputTriangles!$D$8,$CT43&gt;=BH$41),1,0)</f>
        <v>0</v>
      </c>
      <c r="BI43" s="33">
        <f>IF(AND($B43&gt;=InputTriangles!$D$8,$CT43&gt;=BI$41),1,0)</f>
        <v>0</v>
      </c>
      <c r="BJ43" s="33">
        <f>IF(AND($B43&gt;=InputTriangles!$D$8,$CT43&gt;=BJ$41),1,0)</f>
        <v>0</v>
      </c>
      <c r="BK43" s="33">
        <f>IF(AND($B43&gt;=InputTriangles!$D$8,$CT43&gt;=BK$41),1,0)</f>
        <v>0</v>
      </c>
      <c r="BL43" s="33">
        <f>IF(AND($B43&gt;=InputTriangles!$D$8,$CT43&gt;=BL$41),1,0)</f>
        <v>0</v>
      </c>
      <c r="BM43" s="33">
        <f>IF(AND($B43&gt;=InputTriangles!$D$8,$CT43&gt;=BM$41),1,0)</f>
        <v>0</v>
      </c>
      <c r="BN43" s="33">
        <f>IF(AND($B43&gt;=InputTriangles!$D$8,$CT43&gt;=BN$41),1,0)</f>
        <v>0</v>
      </c>
      <c r="BO43" s="33">
        <f>IF(AND($B43&gt;=InputTriangles!$D$8,$CT43&gt;=BO$41),1,0)</f>
        <v>0</v>
      </c>
      <c r="BP43" s="33">
        <f>IF(AND($B43&gt;=InputTriangles!$D$8,$CT43&gt;=BP$41),1,0)</f>
        <v>0</v>
      </c>
      <c r="BQ43" s="33">
        <f>IF(AND($B43&gt;=InputTriangles!$D$8,$CT43&gt;=BQ$41),1,0)</f>
        <v>0</v>
      </c>
      <c r="BR43" s="33">
        <f>IF(AND($B43&gt;=InputTriangles!$D$8,$CT43&gt;=BR$41),1,0)</f>
        <v>0</v>
      </c>
      <c r="BS43" s="33">
        <f>IF(AND($B43&gt;=InputTriangles!$D$8,$CT43&gt;=BS$41),1,0)</f>
        <v>0</v>
      </c>
      <c r="BT43" s="33">
        <f>IF(AND($B43&gt;=InputTriangles!$D$8,$CT43&gt;=BT$41),1,0)</f>
        <v>0</v>
      </c>
      <c r="BU43" s="33">
        <f>IF(AND($B43&gt;=InputTriangles!$D$8,$CT43&gt;=BU$41),1,0)</f>
        <v>0</v>
      </c>
      <c r="BV43" s="33">
        <f>IF(AND($B43&gt;=InputTriangles!$D$8,$CT43&gt;=BV$41),1,0)</f>
        <v>0</v>
      </c>
      <c r="BW43" s="33">
        <f>IF(AND($B43&gt;=InputTriangles!$D$8,$CT43&gt;=BW$41),1,0)</f>
        <v>0</v>
      </c>
      <c r="BX43" s="33">
        <f>IF(AND($B43&gt;=InputTriangles!$D$8,$CT43&gt;=BX$41),1,0)</f>
        <v>0</v>
      </c>
      <c r="BY43" s="33">
        <f>IF(AND($B43&gt;=InputTriangles!$D$8,$CT43&gt;=BY$41),1,0)</f>
        <v>0</v>
      </c>
      <c r="BZ43" s="33">
        <f>IF(AND($B43&gt;=InputTriangles!$D$8,$CT43&gt;=BZ$41),1,0)</f>
        <v>0</v>
      </c>
      <c r="CA43" s="33">
        <f>IF(AND($B43&gt;=InputTriangles!$D$8,$CT43&gt;=CA$41),1,0)</f>
        <v>0</v>
      </c>
      <c r="CB43" s="33">
        <f>IF(AND($B43&gt;=InputTriangles!$D$8,$CT43&gt;=CB$41),1,0)</f>
        <v>0</v>
      </c>
      <c r="CC43" s="33">
        <f>IF(AND($B43&gt;=InputTriangles!$D$8,$CT43&gt;=CC$41),1,0)</f>
        <v>0</v>
      </c>
      <c r="CD43" s="33">
        <f>IF(AND($B43&gt;=InputTriangles!$D$8,$CT43&gt;=CD$41),1,0)</f>
        <v>0</v>
      </c>
      <c r="CE43" s="33">
        <f>IF(AND($B43&gt;=InputTriangles!$D$8,$CT43&gt;=CE$41),1,0)</f>
        <v>0</v>
      </c>
      <c r="CF43" s="33">
        <f>IF(AND($B43&gt;=InputTriangles!$D$8,$CT43&gt;=CF$41),1,0)</f>
        <v>0</v>
      </c>
      <c r="CG43" s="33">
        <f>IF(AND($B43&gt;=InputTriangles!$D$8,$CT43&gt;=CG$41),1,0)</f>
        <v>0</v>
      </c>
      <c r="CH43" s="33">
        <f>IF(AND($B43&gt;=InputTriangles!$D$8,$CT43&gt;=CH$41),1,0)</f>
        <v>0</v>
      </c>
      <c r="CI43" s="33">
        <f>IF(AND($B43&gt;=InputTriangles!$D$8,$CT43&gt;=CI$41),1,0)</f>
        <v>0</v>
      </c>
      <c r="CJ43" s="33">
        <f>IF(AND($B43&gt;=InputTriangles!$D$8,$CT43&gt;=CJ$41),1,0)</f>
        <v>0</v>
      </c>
      <c r="CK43" s="33">
        <f>IF(AND($B43&gt;=InputTriangles!$D$8,$CT43&gt;=CK$41),1,0)</f>
        <v>0</v>
      </c>
      <c r="CL43" s="33">
        <f>IF(AND($B43&gt;=InputTriangles!$D$8,$CT43&gt;=CL$41),1,0)</f>
        <v>0</v>
      </c>
      <c r="CM43" s="33">
        <f>IF(AND($B43&gt;=InputTriangles!$D$8,$CT43&gt;=CM$41),1,0)</f>
        <v>0</v>
      </c>
      <c r="CN43" s="33">
        <f>IF(AND($B43&gt;=InputTriangles!$D$8,$CT43&gt;=CN$41),1,0)</f>
        <v>0</v>
      </c>
      <c r="CO43" s="33">
        <f>IF(AND($B43&gt;=InputTriangles!$D$8,$CT43&gt;=CO$41),1,0)</f>
        <v>0</v>
      </c>
      <c r="CP43" s="33">
        <f>IF(AND($B43&gt;=InputTriangles!$D$8,$CT43&gt;=CP$41),1,0)</f>
        <v>0</v>
      </c>
      <c r="CQ43" s="33">
        <f>IF(AND($B43&gt;=InputTriangles!$D$8,$CT43&gt;=CQ$41),1,0)</f>
        <v>0</v>
      </c>
      <c r="CR43" s="33">
        <f>IF(AND($B43&gt;=InputTriangles!$D$8,$CT43&gt;=CR$41),1,0)</f>
        <v>0</v>
      </c>
      <c r="CS43" s="32">
        <f>IF(AND($B43&gt;=InputTriangles!$D$8,$CT43&gt;=CS$41),1,0)</f>
        <v>0</v>
      </c>
      <c r="CT43" s="31">
        <f>($D$9-InputTriangles!$B43)*InputTriangles!$E$4+$D$6</f>
        <v>23</v>
      </c>
    </row>
    <row r="44" spans="1:102" hidden="1" x14ac:dyDescent="0.25">
      <c r="A44" s="97">
        <v>0</v>
      </c>
      <c r="B44" s="29">
        <f t="shared" si="42"/>
        <v>1998</v>
      </c>
      <c r="C44" s="30">
        <f>IF(AND($B44&gt;=InputTriangles!$D$8,$CT44&gt;=C$41),1,0)</f>
        <v>0</v>
      </c>
      <c r="D44" s="33">
        <f>IF(AND($B44&gt;=InputTriangles!$D$8,$CT44&gt;=D$41),1,0)</f>
        <v>0</v>
      </c>
      <c r="E44" s="33">
        <f>IF(AND($B44&gt;=InputTriangles!$D$8,$CT44&gt;=E$41),1,0)</f>
        <v>0</v>
      </c>
      <c r="F44" s="33">
        <f>IF(AND($B44&gt;=InputTriangles!$D$8,$CT44&gt;=F$41),1,0)</f>
        <v>0</v>
      </c>
      <c r="G44" s="33">
        <f>IF(AND($B44&gt;=InputTriangles!$D$8,$CT44&gt;=G$41),1,0)</f>
        <v>0</v>
      </c>
      <c r="H44" s="33">
        <f>IF(AND($B44&gt;=InputTriangles!$D$8,$CT44&gt;=H$41),1,0)</f>
        <v>0</v>
      </c>
      <c r="I44" s="33">
        <f>IF(AND($B44&gt;=InputTriangles!$D$8,$CT44&gt;=I$41),1,0)</f>
        <v>0</v>
      </c>
      <c r="J44" s="33">
        <f>IF(AND($B44&gt;=InputTriangles!$D$8,$CT44&gt;=J$41),1,0)</f>
        <v>0</v>
      </c>
      <c r="K44" s="33">
        <f>IF(AND($B44&gt;=InputTriangles!$D$8,$CT44&gt;=K$41),1,0)</f>
        <v>0</v>
      </c>
      <c r="L44" s="33">
        <f>IF(AND($B44&gt;=InputTriangles!$D$8,$CT44&gt;=L$41),1,0)</f>
        <v>0</v>
      </c>
      <c r="M44" s="33">
        <f>IF(AND($B44&gt;=InputTriangles!$D$8,$CT44&gt;=M$41),1,0)</f>
        <v>0</v>
      </c>
      <c r="N44" s="33">
        <f>IF(AND($B44&gt;=InputTriangles!$D$8,$CT44&gt;=N$41),1,0)</f>
        <v>0</v>
      </c>
      <c r="O44" s="33">
        <f>IF(AND($B44&gt;=InputTriangles!$D$8,$CT44&gt;=O$41),1,0)</f>
        <v>0</v>
      </c>
      <c r="P44" s="33">
        <f>IF(AND($B44&gt;=InputTriangles!$D$8,$CT44&gt;=P$41),1,0)</f>
        <v>0</v>
      </c>
      <c r="Q44" s="33">
        <f>IF(AND($B44&gt;=InputTriangles!$D$8,$CT44&gt;=Q$41),1,0)</f>
        <v>0</v>
      </c>
      <c r="R44" s="33">
        <f>IF(AND($B44&gt;=InputTriangles!$D$8,$CT44&gt;=R$41),1,0)</f>
        <v>0</v>
      </c>
      <c r="S44" s="33">
        <f>IF(AND($B44&gt;=InputTriangles!$D$8,$CT44&gt;=S$41),1,0)</f>
        <v>0</v>
      </c>
      <c r="T44" s="33">
        <f>IF(AND($B44&gt;=InputTriangles!$D$8,$CT44&gt;=T$41),1,0)</f>
        <v>0</v>
      </c>
      <c r="U44" s="33">
        <f>IF(AND($B44&gt;=InputTriangles!$D$8,$CT44&gt;=U$41),1,0)</f>
        <v>0</v>
      </c>
      <c r="V44" s="33">
        <f>IF(AND($B44&gt;=InputTriangles!$D$8,$CT44&gt;=V$41),1,0)</f>
        <v>0</v>
      </c>
      <c r="W44" s="33">
        <f>IF(AND($B44&gt;=InputTriangles!$D$8,$CT44&gt;=W$41),1,0)</f>
        <v>0</v>
      </c>
      <c r="X44" s="33">
        <f>IF(AND($B44&gt;=InputTriangles!$D$8,$CT44&gt;=X$41),1,0)</f>
        <v>0</v>
      </c>
      <c r="Y44" s="33">
        <f>IF(AND($B44&gt;=InputTriangles!$D$8,$CT44&gt;=Y$41),1,0)</f>
        <v>0</v>
      </c>
      <c r="Z44" s="33">
        <f>IF(AND($B44&gt;=InputTriangles!$D$8,$CT44&gt;=Z$41),1,0)</f>
        <v>0</v>
      </c>
      <c r="AA44" s="33">
        <f>IF(AND($B44&gt;=InputTriangles!$D$8,$CT44&gt;=AA$41),1,0)</f>
        <v>0</v>
      </c>
      <c r="AB44" s="33">
        <f>IF(AND($B44&gt;=InputTriangles!$D$8,$CT44&gt;=AB$41),1,0)</f>
        <v>0</v>
      </c>
      <c r="AC44" s="33">
        <f>IF(AND($B44&gt;=InputTriangles!$D$8,$CT44&gt;=AC$41),1,0)</f>
        <v>0</v>
      </c>
      <c r="AD44" s="33">
        <f>IF(AND($B44&gt;=InputTriangles!$D$8,$CT44&gt;=AD$41),1,0)</f>
        <v>0</v>
      </c>
      <c r="AE44" s="33">
        <f>IF(AND($B44&gt;=InputTriangles!$D$8,$CT44&gt;=AE$41),1,0)</f>
        <v>0</v>
      </c>
      <c r="AF44" s="33">
        <f>IF(AND($B44&gt;=InputTriangles!$D$8,$CT44&gt;=AF$41),1,0)</f>
        <v>0</v>
      </c>
      <c r="AG44" s="33">
        <f>IF(AND($B44&gt;=InputTriangles!$D$8,$CT44&gt;=AG$41),1,0)</f>
        <v>0</v>
      </c>
      <c r="AH44" s="33">
        <f>IF(AND($B44&gt;=InputTriangles!$D$8,$CT44&gt;=AH$41),1,0)</f>
        <v>0</v>
      </c>
      <c r="AI44" s="33">
        <f>IF(AND($B44&gt;=InputTriangles!$D$8,$CT44&gt;=AI$41),1,0)</f>
        <v>0</v>
      </c>
      <c r="AJ44" s="33">
        <f>IF(AND($B44&gt;=InputTriangles!$D$8,$CT44&gt;=AJ$41),1,0)</f>
        <v>0</v>
      </c>
      <c r="AK44" s="33">
        <f>IF(AND($B44&gt;=InputTriangles!$D$8,$CT44&gt;=AK$41),1,0)</f>
        <v>0</v>
      </c>
      <c r="AL44" s="33">
        <f>IF(AND($B44&gt;=InputTriangles!$D$8,$CT44&gt;=AL$41),1,0)</f>
        <v>0</v>
      </c>
      <c r="AM44" s="33">
        <f>IF(AND($B44&gt;=InputTriangles!$D$8,$CT44&gt;=AM$41),1,0)</f>
        <v>0</v>
      </c>
      <c r="AN44" s="33">
        <f>IF(AND($B44&gt;=InputTriangles!$D$8,$CT44&gt;=AN$41),1,0)</f>
        <v>0</v>
      </c>
      <c r="AO44" s="33">
        <f>IF(AND($B44&gt;=InputTriangles!$D$8,$CT44&gt;=AO$41),1,0)</f>
        <v>0</v>
      </c>
      <c r="AP44" s="33">
        <f>IF(AND($B44&gt;=InputTriangles!$D$8,$CT44&gt;=AP$41),1,0)</f>
        <v>0</v>
      </c>
      <c r="AQ44" s="33">
        <f>IF(AND($B44&gt;=InputTriangles!$D$8,$CT44&gt;=AQ$41),1,0)</f>
        <v>0</v>
      </c>
      <c r="AR44" s="33">
        <f>IF(AND($B44&gt;=InputTriangles!$D$8,$CT44&gt;=AR$41),1,0)</f>
        <v>0</v>
      </c>
      <c r="AS44" s="33">
        <f>IF(AND($B44&gt;=InputTriangles!$D$8,$CT44&gt;=AS$41),1,0)</f>
        <v>0</v>
      </c>
      <c r="AT44" s="33">
        <f>IF(AND($B44&gt;=InputTriangles!$D$8,$CT44&gt;=AT$41),1,0)</f>
        <v>0</v>
      </c>
      <c r="AU44" s="33">
        <f>IF(AND($B44&gt;=InputTriangles!$D$8,$CT44&gt;=AU$41),1,0)</f>
        <v>0</v>
      </c>
      <c r="AV44" s="33">
        <f>IF(AND($B44&gt;=InputTriangles!$D$8,$CT44&gt;=AV$41),1,0)</f>
        <v>0</v>
      </c>
      <c r="AW44" s="33">
        <f>IF(AND($B44&gt;=InputTriangles!$D$8,$CT44&gt;=AW$41),1,0)</f>
        <v>0</v>
      </c>
      <c r="AX44" s="33">
        <f>IF(AND($B44&gt;=InputTriangles!$D$8,$CT44&gt;=AX$41),1,0)</f>
        <v>0</v>
      </c>
      <c r="AY44" s="33">
        <f>IF(AND($B44&gt;=InputTriangles!$D$8,$CT44&gt;=AY$41),1,0)</f>
        <v>0</v>
      </c>
      <c r="AZ44" s="33">
        <f>IF(AND($B44&gt;=InputTriangles!$D$8,$CT44&gt;=AZ$41),1,0)</f>
        <v>0</v>
      </c>
      <c r="BA44" s="33">
        <f>IF(AND($B44&gt;=InputTriangles!$D$8,$CT44&gt;=BA$41),1,0)</f>
        <v>0</v>
      </c>
      <c r="BB44" s="33">
        <f>IF(AND($B44&gt;=InputTriangles!$D$8,$CT44&gt;=BB$41),1,0)</f>
        <v>0</v>
      </c>
      <c r="BC44" s="33">
        <f>IF(AND($B44&gt;=InputTriangles!$D$8,$CT44&gt;=BC$41),1,0)</f>
        <v>0</v>
      </c>
      <c r="BD44" s="33">
        <f>IF(AND($B44&gt;=InputTriangles!$D$8,$CT44&gt;=BD$41),1,0)</f>
        <v>0</v>
      </c>
      <c r="BE44" s="33">
        <f>IF(AND($B44&gt;=InputTriangles!$D$8,$CT44&gt;=BE$41),1,0)</f>
        <v>0</v>
      </c>
      <c r="BF44" s="33">
        <f>IF(AND($B44&gt;=InputTriangles!$D$8,$CT44&gt;=BF$41),1,0)</f>
        <v>0</v>
      </c>
      <c r="BG44" s="33">
        <f>IF(AND($B44&gt;=InputTriangles!$D$8,$CT44&gt;=BG$41),1,0)</f>
        <v>0</v>
      </c>
      <c r="BH44" s="33">
        <f>IF(AND($B44&gt;=InputTriangles!$D$8,$CT44&gt;=BH$41),1,0)</f>
        <v>0</v>
      </c>
      <c r="BI44" s="33">
        <f>IF(AND($B44&gt;=InputTriangles!$D$8,$CT44&gt;=BI$41),1,0)</f>
        <v>0</v>
      </c>
      <c r="BJ44" s="33">
        <f>IF(AND($B44&gt;=InputTriangles!$D$8,$CT44&gt;=BJ$41),1,0)</f>
        <v>0</v>
      </c>
      <c r="BK44" s="33">
        <f>IF(AND($B44&gt;=InputTriangles!$D$8,$CT44&gt;=BK$41),1,0)</f>
        <v>0</v>
      </c>
      <c r="BL44" s="33">
        <f>IF(AND($B44&gt;=InputTriangles!$D$8,$CT44&gt;=BL$41),1,0)</f>
        <v>0</v>
      </c>
      <c r="BM44" s="33">
        <f>IF(AND($B44&gt;=InputTriangles!$D$8,$CT44&gt;=BM$41),1,0)</f>
        <v>0</v>
      </c>
      <c r="BN44" s="33">
        <f>IF(AND($B44&gt;=InputTriangles!$D$8,$CT44&gt;=BN$41),1,0)</f>
        <v>0</v>
      </c>
      <c r="BO44" s="33">
        <f>IF(AND($B44&gt;=InputTriangles!$D$8,$CT44&gt;=BO$41),1,0)</f>
        <v>0</v>
      </c>
      <c r="BP44" s="33">
        <f>IF(AND($B44&gt;=InputTriangles!$D$8,$CT44&gt;=BP$41),1,0)</f>
        <v>0</v>
      </c>
      <c r="BQ44" s="33">
        <f>IF(AND($B44&gt;=InputTriangles!$D$8,$CT44&gt;=BQ$41),1,0)</f>
        <v>0</v>
      </c>
      <c r="BR44" s="33">
        <f>IF(AND($B44&gt;=InputTriangles!$D$8,$CT44&gt;=BR$41),1,0)</f>
        <v>0</v>
      </c>
      <c r="BS44" s="33">
        <f>IF(AND($B44&gt;=InputTriangles!$D$8,$CT44&gt;=BS$41),1,0)</f>
        <v>0</v>
      </c>
      <c r="BT44" s="33">
        <f>IF(AND($B44&gt;=InputTriangles!$D$8,$CT44&gt;=BT$41),1,0)</f>
        <v>0</v>
      </c>
      <c r="BU44" s="33">
        <f>IF(AND($B44&gt;=InputTriangles!$D$8,$CT44&gt;=BU$41),1,0)</f>
        <v>0</v>
      </c>
      <c r="BV44" s="33">
        <f>IF(AND($B44&gt;=InputTriangles!$D$8,$CT44&gt;=BV$41),1,0)</f>
        <v>0</v>
      </c>
      <c r="BW44" s="33">
        <f>IF(AND($B44&gt;=InputTriangles!$D$8,$CT44&gt;=BW$41),1,0)</f>
        <v>0</v>
      </c>
      <c r="BX44" s="33">
        <f>IF(AND($B44&gt;=InputTriangles!$D$8,$CT44&gt;=BX$41),1,0)</f>
        <v>0</v>
      </c>
      <c r="BY44" s="33">
        <f>IF(AND($B44&gt;=InputTriangles!$D$8,$CT44&gt;=BY$41),1,0)</f>
        <v>0</v>
      </c>
      <c r="BZ44" s="33">
        <f>IF(AND($B44&gt;=InputTriangles!$D$8,$CT44&gt;=BZ$41),1,0)</f>
        <v>0</v>
      </c>
      <c r="CA44" s="33">
        <f>IF(AND($B44&gt;=InputTriangles!$D$8,$CT44&gt;=CA$41),1,0)</f>
        <v>0</v>
      </c>
      <c r="CB44" s="33">
        <f>IF(AND($B44&gt;=InputTriangles!$D$8,$CT44&gt;=CB$41),1,0)</f>
        <v>0</v>
      </c>
      <c r="CC44" s="33">
        <f>IF(AND($B44&gt;=InputTriangles!$D$8,$CT44&gt;=CC$41),1,0)</f>
        <v>0</v>
      </c>
      <c r="CD44" s="33">
        <f>IF(AND($B44&gt;=InputTriangles!$D$8,$CT44&gt;=CD$41),1,0)</f>
        <v>0</v>
      </c>
      <c r="CE44" s="33">
        <f>IF(AND($B44&gt;=InputTriangles!$D$8,$CT44&gt;=CE$41),1,0)</f>
        <v>0</v>
      </c>
      <c r="CF44" s="33">
        <f>IF(AND($B44&gt;=InputTriangles!$D$8,$CT44&gt;=CF$41),1,0)</f>
        <v>0</v>
      </c>
      <c r="CG44" s="33">
        <f>IF(AND($B44&gt;=InputTriangles!$D$8,$CT44&gt;=CG$41),1,0)</f>
        <v>0</v>
      </c>
      <c r="CH44" s="33">
        <f>IF(AND($B44&gt;=InputTriangles!$D$8,$CT44&gt;=CH$41),1,0)</f>
        <v>0</v>
      </c>
      <c r="CI44" s="33">
        <f>IF(AND($B44&gt;=InputTriangles!$D$8,$CT44&gt;=CI$41),1,0)</f>
        <v>0</v>
      </c>
      <c r="CJ44" s="33">
        <f>IF(AND($B44&gt;=InputTriangles!$D$8,$CT44&gt;=CJ$41),1,0)</f>
        <v>0</v>
      </c>
      <c r="CK44" s="33">
        <f>IF(AND($B44&gt;=InputTriangles!$D$8,$CT44&gt;=CK$41),1,0)</f>
        <v>0</v>
      </c>
      <c r="CL44" s="33">
        <f>IF(AND($B44&gt;=InputTriangles!$D$8,$CT44&gt;=CL$41),1,0)</f>
        <v>0</v>
      </c>
      <c r="CM44" s="33">
        <f>IF(AND($B44&gt;=InputTriangles!$D$8,$CT44&gt;=CM$41),1,0)</f>
        <v>0</v>
      </c>
      <c r="CN44" s="33">
        <f>IF(AND($B44&gt;=InputTriangles!$D$8,$CT44&gt;=CN$41),1,0)</f>
        <v>0</v>
      </c>
      <c r="CO44" s="33">
        <f>IF(AND($B44&gt;=InputTriangles!$D$8,$CT44&gt;=CO$41),1,0)</f>
        <v>0</v>
      </c>
      <c r="CP44" s="33">
        <f>IF(AND($B44&gt;=InputTriangles!$D$8,$CT44&gt;=CP$41),1,0)</f>
        <v>0</v>
      </c>
      <c r="CQ44" s="33">
        <f>IF(AND($B44&gt;=InputTriangles!$D$8,$CT44&gt;=CQ$41),1,0)</f>
        <v>0</v>
      </c>
      <c r="CR44" s="33">
        <f>IF(AND($B44&gt;=InputTriangles!$D$8,$CT44&gt;=CR$41),1,0)</f>
        <v>0</v>
      </c>
      <c r="CS44" s="32">
        <f>IF(AND($B44&gt;=InputTriangles!$D$8,$CT44&gt;=CS$41),1,0)</f>
        <v>0</v>
      </c>
      <c r="CT44" s="31">
        <f>($D$9-InputTriangles!$B44)*InputTriangles!$E$4+$D$6</f>
        <v>22</v>
      </c>
    </row>
    <row r="45" spans="1:102" hidden="1" x14ac:dyDescent="0.25">
      <c r="A45" s="97">
        <v>0</v>
      </c>
      <c r="B45" s="29">
        <f t="shared" si="42"/>
        <v>1999</v>
      </c>
      <c r="C45" s="30">
        <f>IF(AND($B45&gt;=InputTriangles!$D$8,$CT45&gt;=C$41),1,0)</f>
        <v>0</v>
      </c>
      <c r="D45" s="33">
        <f>IF(AND($B45&gt;=InputTriangles!$D$8,$CT45&gt;=D$41),1,0)</f>
        <v>0</v>
      </c>
      <c r="E45" s="33">
        <f>IF(AND($B45&gt;=InputTriangles!$D$8,$CT45&gt;=E$41),1,0)</f>
        <v>0</v>
      </c>
      <c r="F45" s="33">
        <f>IF(AND($B45&gt;=InputTriangles!$D$8,$CT45&gt;=F$41),1,0)</f>
        <v>0</v>
      </c>
      <c r="G45" s="33">
        <f>IF(AND($B45&gt;=InputTriangles!$D$8,$CT45&gt;=G$41),1,0)</f>
        <v>0</v>
      </c>
      <c r="H45" s="33">
        <f>IF(AND($B45&gt;=InputTriangles!$D$8,$CT45&gt;=H$41),1,0)</f>
        <v>0</v>
      </c>
      <c r="I45" s="33">
        <f>IF(AND($B45&gt;=InputTriangles!$D$8,$CT45&gt;=I$41),1,0)</f>
        <v>0</v>
      </c>
      <c r="J45" s="33">
        <f>IF(AND($B45&gt;=InputTriangles!$D$8,$CT45&gt;=J$41),1,0)</f>
        <v>0</v>
      </c>
      <c r="K45" s="33">
        <f>IF(AND($B45&gt;=InputTriangles!$D$8,$CT45&gt;=K$41),1,0)</f>
        <v>0</v>
      </c>
      <c r="L45" s="33">
        <f>IF(AND($B45&gt;=InputTriangles!$D$8,$CT45&gt;=L$41),1,0)</f>
        <v>0</v>
      </c>
      <c r="M45" s="33">
        <f>IF(AND($B45&gt;=InputTriangles!$D$8,$CT45&gt;=M$41),1,0)</f>
        <v>0</v>
      </c>
      <c r="N45" s="33">
        <f>IF(AND($B45&gt;=InputTriangles!$D$8,$CT45&gt;=N$41),1,0)</f>
        <v>0</v>
      </c>
      <c r="O45" s="33">
        <f>IF(AND($B45&gt;=InputTriangles!$D$8,$CT45&gt;=O$41),1,0)</f>
        <v>0</v>
      </c>
      <c r="P45" s="33">
        <f>IF(AND($B45&gt;=InputTriangles!$D$8,$CT45&gt;=P$41),1,0)</f>
        <v>0</v>
      </c>
      <c r="Q45" s="33">
        <f>IF(AND($B45&gt;=InputTriangles!$D$8,$CT45&gt;=Q$41),1,0)</f>
        <v>0</v>
      </c>
      <c r="R45" s="33">
        <f>IF(AND($B45&gt;=InputTriangles!$D$8,$CT45&gt;=R$41),1,0)</f>
        <v>0</v>
      </c>
      <c r="S45" s="33">
        <f>IF(AND($B45&gt;=InputTriangles!$D$8,$CT45&gt;=S$41),1,0)</f>
        <v>0</v>
      </c>
      <c r="T45" s="33">
        <f>IF(AND($B45&gt;=InputTriangles!$D$8,$CT45&gt;=T$41),1,0)</f>
        <v>0</v>
      </c>
      <c r="U45" s="33">
        <f>IF(AND($B45&gt;=InputTriangles!$D$8,$CT45&gt;=U$41),1,0)</f>
        <v>0</v>
      </c>
      <c r="V45" s="33">
        <f>IF(AND($B45&gt;=InputTriangles!$D$8,$CT45&gt;=V$41),1,0)</f>
        <v>0</v>
      </c>
      <c r="W45" s="33">
        <f>IF(AND($B45&gt;=InputTriangles!$D$8,$CT45&gt;=W$41),1,0)</f>
        <v>0</v>
      </c>
      <c r="X45" s="33">
        <f>IF(AND($B45&gt;=InputTriangles!$D$8,$CT45&gt;=X$41),1,0)</f>
        <v>0</v>
      </c>
      <c r="Y45" s="33">
        <f>IF(AND($B45&gt;=InputTriangles!$D$8,$CT45&gt;=Y$41),1,0)</f>
        <v>0</v>
      </c>
      <c r="Z45" s="33">
        <f>IF(AND($B45&gt;=InputTriangles!$D$8,$CT45&gt;=Z$41),1,0)</f>
        <v>0</v>
      </c>
      <c r="AA45" s="33">
        <f>IF(AND($B45&gt;=InputTriangles!$D$8,$CT45&gt;=AA$41),1,0)</f>
        <v>0</v>
      </c>
      <c r="AB45" s="33">
        <f>IF(AND($B45&gt;=InputTriangles!$D$8,$CT45&gt;=AB$41),1,0)</f>
        <v>0</v>
      </c>
      <c r="AC45" s="33">
        <f>IF(AND($B45&gt;=InputTriangles!$D$8,$CT45&gt;=AC$41),1,0)</f>
        <v>0</v>
      </c>
      <c r="AD45" s="33">
        <f>IF(AND($B45&gt;=InputTriangles!$D$8,$CT45&gt;=AD$41),1,0)</f>
        <v>0</v>
      </c>
      <c r="AE45" s="33">
        <f>IF(AND($B45&gt;=InputTriangles!$D$8,$CT45&gt;=AE$41),1,0)</f>
        <v>0</v>
      </c>
      <c r="AF45" s="33">
        <f>IF(AND($B45&gt;=InputTriangles!$D$8,$CT45&gt;=AF$41),1,0)</f>
        <v>0</v>
      </c>
      <c r="AG45" s="33">
        <f>IF(AND($B45&gt;=InputTriangles!$D$8,$CT45&gt;=AG$41),1,0)</f>
        <v>0</v>
      </c>
      <c r="AH45" s="33">
        <f>IF(AND($B45&gt;=InputTriangles!$D$8,$CT45&gt;=AH$41),1,0)</f>
        <v>0</v>
      </c>
      <c r="AI45" s="33">
        <f>IF(AND($B45&gt;=InputTriangles!$D$8,$CT45&gt;=AI$41),1,0)</f>
        <v>0</v>
      </c>
      <c r="AJ45" s="33">
        <f>IF(AND($B45&gt;=InputTriangles!$D$8,$CT45&gt;=AJ$41),1,0)</f>
        <v>0</v>
      </c>
      <c r="AK45" s="33">
        <f>IF(AND($B45&gt;=InputTriangles!$D$8,$CT45&gt;=AK$41),1,0)</f>
        <v>0</v>
      </c>
      <c r="AL45" s="33">
        <f>IF(AND($B45&gt;=InputTriangles!$D$8,$CT45&gt;=AL$41),1,0)</f>
        <v>0</v>
      </c>
      <c r="AM45" s="33">
        <f>IF(AND($B45&gt;=InputTriangles!$D$8,$CT45&gt;=AM$41),1,0)</f>
        <v>0</v>
      </c>
      <c r="AN45" s="33">
        <f>IF(AND($B45&gt;=InputTriangles!$D$8,$CT45&gt;=AN$41),1,0)</f>
        <v>0</v>
      </c>
      <c r="AO45" s="33">
        <f>IF(AND($B45&gt;=InputTriangles!$D$8,$CT45&gt;=AO$41),1,0)</f>
        <v>0</v>
      </c>
      <c r="AP45" s="33">
        <f>IF(AND($B45&gt;=InputTriangles!$D$8,$CT45&gt;=AP$41),1,0)</f>
        <v>0</v>
      </c>
      <c r="AQ45" s="33">
        <f>IF(AND($B45&gt;=InputTriangles!$D$8,$CT45&gt;=AQ$41),1,0)</f>
        <v>0</v>
      </c>
      <c r="AR45" s="33">
        <f>IF(AND($B45&gt;=InputTriangles!$D$8,$CT45&gt;=AR$41),1,0)</f>
        <v>0</v>
      </c>
      <c r="AS45" s="33">
        <f>IF(AND($B45&gt;=InputTriangles!$D$8,$CT45&gt;=AS$41),1,0)</f>
        <v>0</v>
      </c>
      <c r="AT45" s="33">
        <f>IF(AND($B45&gt;=InputTriangles!$D$8,$CT45&gt;=AT$41),1,0)</f>
        <v>0</v>
      </c>
      <c r="AU45" s="33">
        <f>IF(AND($B45&gt;=InputTriangles!$D$8,$CT45&gt;=AU$41),1,0)</f>
        <v>0</v>
      </c>
      <c r="AV45" s="33">
        <f>IF(AND($B45&gt;=InputTriangles!$D$8,$CT45&gt;=AV$41),1,0)</f>
        <v>0</v>
      </c>
      <c r="AW45" s="33">
        <f>IF(AND($B45&gt;=InputTriangles!$D$8,$CT45&gt;=AW$41),1,0)</f>
        <v>0</v>
      </c>
      <c r="AX45" s="33">
        <f>IF(AND($B45&gt;=InputTriangles!$D$8,$CT45&gt;=AX$41),1,0)</f>
        <v>0</v>
      </c>
      <c r="AY45" s="33">
        <f>IF(AND($B45&gt;=InputTriangles!$D$8,$CT45&gt;=AY$41),1,0)</f>
        <v>0</v>
      </c>
      <c r="AZ45" s="33">
        <f>IF(AND($B45&gt;=InputTriangles!$D$8,$CT45&gt;=AZ$41),1,0)</f>
        <v>0</v>
      </c>
      <c r="BA45" s="33">
        <f>IF(AND($B45&gt;=InputTriangles!$D$8,$CT45&gt;=BA$41),1,0)</f>
        <v>0</v>
      </c>
      <c r="BB45" s="33">
        <f>IF(AND($B45&gt;=InputTriangles!$D$8,$CT45&gt;=BB$41),1,0)</f>
        <v>0</v>
      </c>
      <c r="BC45" s="33">
        <f>IF(AND($B45&gt;=InputTriangles!$D$8,$CT45&gt;=BC$41),1,0)</f>
        <v>0</v>
      </c>
      <c r="BD45" s="33">
        <f>IF(AND($B45&gt;=InputTriangles!$D$8,$CT45&gt;=BD$41),1,0)</f>
        <v>0</v>
      </c>
      <c r="BE45" s="33">
        <f>IF(AND($B45&gt;=InputTriangles!$D$8,$CT45&gt;=BE$41),1,0)</f>
        <v>0</v>
      </c>
      <c r="BF45" s="33">
        <f>IF(AND($B45&gt;=InputTriangles!$D$8,$CT45&gt;=BF$41),1,0)</f>
        <v>0</v>
      </c>
      <c r="BG45" s="33">
        <f>IF(AND($B45&gt;=InputTriangles!$D$8,$CT45&gt;=BG$41),1,0)</f>
        <v>0</v>
      </c>
      <c r="BH45" s="33">
        <f>IF(AND($B45&gt;=InputTriangles!$D$8,$CT45&gt;=BH$41),1,0)</f>
        <v>0</v>
      </c>
      <c r="BI45" s="33">
        <f>IF(AND($B45&gt;=InputTriangles!$D$8,$CT45&gt;=BI$41),1,0)</f>
        <v>0</v>
      </c>
      <c r="BJ45" s="33">
        <f>IF(AND($B45&gt;=InputTriangles!$D$8,$CT45&gt;=BJ$41),1,0)</f>
        <v>0</v>
      </c>
      <c r="BK45" s="33">
        <f>IF(AND($B45&gt;=InputTriangles!$D$8,$CT45&gt;=BK$41),1,0)</f>
        <v>0</v>
      </c>
      <c r="BL45" s="33">
        <f>IF(AND($B45&gt;=InputTriangles!$D$8,$CT45&gt;=BL$41),1,0)</f>
        <v>0</v>
      </c>
      <c r="BM45" s="33">
        <f>IF(AND($B45&gt;=InputTriangles!$D$8,$CT45&gt;=BM$41),1,0)</f>
        <v>0</v>
      </c>
      <c r="BN45" s="33">
        <f>IF(AND($B45&gt;=InputTriangles!$D$8,$CT45&gt;=BN$41),1,0)</f>
        <v>0</v>
      </c>
      <c r="BO45" s="33">
        <f>IF(AND($B45&gt;=InputTriangles!$D$8,$CT45&gt;=BO$41),1,0)</f>
        <v>0</v>
      </c>
      <c r="BP45" s="33">
        <f>IF(AND($B45&gt;=InputTriangles!$D$8,$CT45&gt;=BP$41),1,0)</f>
        <v>0</v>
      </c>
      <c r="BQ45" s="33">
        <f>IF(AND($B45&gt;=InputTriangles!$D$8,$CT45&gt;=BQ$41),1,0)</f>
        <v>0</v>
      </c>
      <c r="BR45" s="33">
        <f>IF(AND($B45&gt;=InputTriangles!$D$8,$CT45&gt;=BR$41),1,0)</f>
        <v>0</v>
      </c>
      <c r="BS45" s="33">
        <f>IF(AND($B45&gt;=InputTriangles!$D$8,$CT45&gt;=BS$41),1,0)</f>
        <v>0</v>
      </c>
      <c r="BT45" s="33">
        <f>IF(AND($B45&gt;=InputTriangles!$D$8,$CT45&gt;=BT$41),1,0)</f>
        <v>0</v>
      </c>
      <c r="BU45" s="33">
        <f>IF(AND($B45&gt;=InputTriangles!$D$8,$CT45&gt;=BU$41),1,0)</f>
        <v>0</v>
      </c>
      <c r="BV45" s="33">
        <f>IF(AND($B45&gt;=InputTriangles!$D$8,$CT45&gt;=BV$41),1,0)</f>
        <v>0</v>
      </c>
      <c r="BW45" s="33">
        <f>IF(AND($B45&gt;=InputTriangles!$D$8,$CT45&gt;=BW$41),1,0)</f>
        <v>0</v>
      </c>
      <c r="BX45" s="33">
        <f>IF(AND($B45&gt;=InputTriangles!$D$8,$CT45&gt;=BX$41),1,0)</f>
        <v>0</v>
      </c>
      <c r="BY45" s="33">
        <f>IF(AND($B45&gt;=InputTriangles!$D$8,$CT45&gt;=BY$41),1,0)</f>
        <v>0</v>
      </c>
      <c r="BZ45" s="33">
        <f>IF(AND($B45&gt;=InputTriangles!$D$8,$CT45&gt;=BZ$41),1,0)</f>
        <v>0</v>
      </c>
      <c r="CA45" s="33">
        <f>IF(AND($B45&gt;=InputTriangles!$D$8,$CT45&gt;=CA$41),1,0)</f>
        <v>0</v>
      </c>
      <c r="CB45" s="33">
        <f>IF(AND($B45&gt;=InputTriangles!$D$8,$CT45&gt;=CB$41),1,0)</f>
        <v>0</v>
      </c>
      <c r="CC45" s="33">
        <f>IF(AND($B45&gt;=InputTriangles!$D$8,$CT45&gt;=CC$41),1,0)</f>
        <v>0</v>
      </c>
      <c r="CD45" s="33">
        <f>IF(AND($B45&gt;=InputTriangles!$D$8,$CT45&gt;=CD$41),1,0)</f>
        <v>0</v>
      </c>
      <c r="CE45" s="33">
        <f>IF(AND($B45&gt;=InputTriangles!$D$8,$CT45&gt;=CE$41),1,0)</f>
        <v>0</v>
      </c>
      <c r="CF45" s="33">
        <f>IF(AND($B45&gt;=InputTriangles!$D$8,$CT45&gt;=CF$41),1,0)</f>
        <v>0</v>
      </c>
      <c r="CG45" s="33">
        <f>IF(AND($B45&gt;=InputTriangles!$D$8,$CT45&gt;=CG$41),1,0)</f>
        <v>0</v>
      </c>
      <c r="CH45" s="33">
        <f>IF(AND($B45&gt;=InputTriangles!$D$8,$CT45&gt;=CH$41),1,0)</f>
        <v>0</v>
      </c>
      <c r="CI45" s="33">
        <f>IF(AND($B45&gt;=InputTriangles!$D$8,$CT45&gt;=CI$41),1,0)</f>
        <v>0</v>
      </c>
      <c r="CJ45" s="33">
        <f>IF(AND($B45&gt;=InputTriangles!$D$8,$CT45&gt;=CJ$41),1,0)</f>
        <v>0</v>
      </c>
      <c r="CK45" s="33">
        <f>IF(AND($B45&gt;=InputTriangles!$D$8,$CT45&gt;=CK$41),1,0)</f>
        <v>0</v>
      </c>
      <c r="CL45" s="33">
        <f>IF(AND($B45&gt;=InputTriangles!$D$8,$CT45&gt;=CL$41),1,0)</f>
        <v>0</v>
      </c>
      <c r="CM45" s="33">
        <f>IF(AND($B45&gt;=InputTriangles!$D$8,$CT45&gt;=CM$41),1,0)</f>
        <v>0</v>
      </c>
      <c r="CN45" s="33">
        <f>IF(AND($B45&gt;=InputTriangles!$D$8,$CT45&gt;=CN$41),1,0)</f>
        <v>0</v>
      </c>
      <c r="CO45" s="33">
        <f>IF(AND($B45&gt;=InputTriangles!$D$8,$CT45&gt;=CO$41),1,0)</f>
        <v>0</v>
      </c>
      <c r="CP45" s="33">
        <f>IF(AND($B45&gt;=InputTriangles!$D$8,$CT45&gt;=CP$41),1,0)</f>
        <v>0</v>
      </c>
      <c r="CQ45" s="33">
        <f>IF(AND($B45&gt;=InputTriangles!$D$8,$CT45&gt;=CQ$41),1,0)</f>
        <v>0</v>
      </c>
      <c r="CR45" s="33">
        <f>IF(AND($B45&gt;=InputTriangles!$D$8,$CT45&gt;=CR$41),1,0)</f>
        <v>0</v>
      </c>
      <c r="CS45" s="32">
        <f>IF(AND($B45&gt;=InputTriangles!$D$8,$CT45&gt;=CS$41),1,0)</f>
        <v>0</v>
      </c>
      <c r="CT45" s="31">
        <f>($D$9-InputTriangles!$B45)*InputTriangles!$E$4+$D$6</f>
        <v>21</v>
      </c>
    </row>
    <row r="46" spans="1:102" hidden="1" x14ac:dyDescent="0.25">
      <c r="A46" s="97">
        <v>0</v>
      </c>
      <c r="B46" s="29">
        <f t="shared" si="42"/>
        <v>2000</v>
      </c>
      <c r="C46" s="30">
        <f>IF(AND($B46&gt;=InputTriangles!$D$8,$CT46&gt;=C$41),1,0)</f>
        <v>0</v>
      </c>
      <c r="D46" s="33">
        <f>IF(AND($B46&gt;=InputTriangles!$D$8,$CT46&gt;=D$41),1,0)</f>
        <v>0</v>
      </c>
      <c r="E46" s="33">
        <f>IF(AND($B46&gt;=InputTriangles!$D$8,$CT46&gt;=E$41),1,0)</f>
        <v>0</v>
      </c>
      <c r="F46" s="33">
        <f>IF(AND($B46&gt;=InputTriangles!$D$8,$CT46&gt;=F$41),1,0)</f>
        <v>0</v>
      </c>
      <c r="G46" s="33">
        <f>IF(AND($B46&gt;=InputTriangles!$D$8,$CT46&gt;=G$41),1,0)</f>
        <v>0</v>
      </c>
      <c r="H46" s="33">
        <f>IF(AND($B46&gt;=InputTriangles!$D$8,$CT46&gt;=H$41),1,0)</f>
        <v>0</v>
      </c>
      <c r="I46" s="33">
        <f>IF(AND($B46&gt;=InputTriangles!$D$8,$CT46&gt;=I$41),1,0)</f>
        <v>0</v>
      </c>
      <c r="J46" s="33">
        <f>IF(AND($B46&gt;=InputTriangles!$D$8,$CT46&gt;=J$41),1,0)</f>
        <v>0</v>
      </c>
      <c r="K46" s="33">
        <f>IF(AND($B46&gt;=InputTriangles!$D$8,$CT46&gt;=K$41),1,0)</f>
        <v>0</v>
      </c>
      <c r="L46" s="33">
        <f>IF(AND($B46&gt;=InputTriangles!$D$8,$CT46&gt;=L$41),1,0)</f>
        <v>0</v>
      </c>
      <c r="M46" s="33">
        <f>IF(AND($B46&gt;=InputTriangles!$D$8,$CT46&gt;=M$41),1,0)</f>
        <v>0</v>
      </c>
      <c r="N46" s="33">
        <f>IF(AND($B46&gt;=InputTriangles!$D$8,$CT46&gt;=N$41),1,0)</f>
        <v>0</v>
      </c>
      <c r="O46" s="33">
        <f>IF(AND($B46&gt;=InputTriangles!$D$8,$CT46&gt;=O$41),1,0)</f>
        <v>0</v>
      </c>
      <c r="P46" s="33">
        <f>IF(AND($B46&gt;=InputTriangles!$D$8,$CT46&gt;=P$41),1,0)</f>
        <v>0</v>
      </c>
      <c r="Q46" s="33">
        <f>IF(AND($B46&gt;=InputTriangles!$D$8,$CT46&gt;=Q$41),1,0)</f>
        <v>0</v>
      </c>
      <c r="R46" s="33">
        <f>IF(AND($B46&gt;=InputTriangles!$D$8,$CT46&gt;=R$41),1,0)</f>
        <v>0</v>
      </c>
      <c r="S46" s="33">
        <f>IF(AND($B46&gt;=InputTriangles!$D$8,$CT46&gt;=S$41),1,0)</f>
        <v>0</v>
      </c>
      <c r="T46" s="33">
        <f>IF(AND($B46&gt;=InputTriangles!$D$8,$CT46&gt;=T$41),1,0)</f>
        <v>0</v>
      </c>
      <c r="U46" s="33">
        <f>IF(AND($B46&gt;=InputTriangles!$D$8,$CT46&gt;=U$41),1,0)</f>
        <v>0</v>
      </c>
      <c r="V46" s="33">
        <f>IF(AND($B46&gt;=InputTriangles!$D$8,$CT46&gt;=V$41),1,0)</f>
        <v>0</v>
      </c>
      <c r="W46" s="33">
        <f>IF(AND($B46&gt;=InputTriangles!$D$8,$CT46&gt;=W$41),1,0)</f>
        <v>0</v>
      </c>
      <c r="X46" s="33">
        <f>IF(AND($B46&gt;=InputTriangles!$D$8,$CT46&gt;=X$41),1,0)</f>
        <v>0</v>
      </c>
      <c r="Y46" s="33">
        <f>IF(AND($B46&gt;=InputTriangles!$D$8,$CT46&gt;=Y$41),1,0)</f>
        <v>0</v>
      </c>
      <c r="Z46" s="33">
        <f>IF(AND($B46&gt;=InputTriangles!$D$8,$CT46&gt;=Z$41),1,0)</f>
        <v>0</v>
      </c>
      <c r="AA46" s="33">
        <f>IF(AND($B46&gt;=InputTriangles!$D$8,$CT46&gt;=AA$41),1,0)</f>
        <v>0</v>
      </c>
      <c r="AB46" s="33">
        <f>IF(AND($B46&gt;=InputTriangles!$D$8,$CT46&gt;=AB$41),1,0)</f>
        <v>0</v>
      </c>
      <c r="AC46" s="33">
        <f>IF(AND($B46&gt;=InputTriangles!$D$8,$CT46&gt;=AC$41),1,0)</f>
        <v>0</v>
      </c>
      <c r="AD46" s="33">
        <f>IF(AND($B46&gt;=InputTriangles!$D$8,$CT46&gt;=AD$41),1,0)</f>
        <v>0</v>
      </c>
      <c r="AE46" s="33">
        <f>IF(AND($B46&gt;=InputTriangles!$D$8,$CT46&gt;=AE$41),1,0)</f>
        <v>0</v>
      </c>
      <c r="AF46" s="33">
        <f>IF(AND($B46&gt;=InputTriangles!$D$8,$CT46&gt;=AF$41),1,0)</f>
        <v>0</v>
      </c>
      <c r="AG46" s="33">
        <f>IF(AND($B46&gt;=InputTriangles!$D$8,$CT46&gt;=AG$41),1,0)</f>
        <v>0</v>
      </c>
      <c r="AH46" s="33">
        <f>IF(AND($B46&gt;=InputTriangles!$D$8,$CT46&gt;=AH$41),1,0)</f>
        <v>0</v>
      </c>
      <c r="AI46" s="33">
        <f>IF(AND($B46&gt;=InputTriangles!$D$8,$CT46&gt;=AI$41),1,0)</f>
        <v>0</v>
      </c>
      <c r="AJ46" s="33">
        <f>IF(AND($B46&gt;=InputTriangles!$D$8,$CT46&gt;=AJ$41),1,0)</f>
        <v>0</v>
      </c>
      <c r="AK46" s="33">
        <f>IF(AND($B46&gt;=InputTriangles!$D$8,$CT46&gt;=AK$41),1,0)</f>
        <v>0</v>
      </c>
      <c r="AL46" s="33">
        <f>IF(AND($B46&gt;=InputTriangles!$D$8,$CT46&gt;=AL$41),1,0)</f>
        <v>0</v>
      </c>
      <c r="AM46" s="33">
        <f>IF(AND($B46&gt;=InputTriangles!$D$8,$CT46&gt;=AM$41),1,0)</f>
        <v>0</v>
      </c>
      <c r="AN46" s="33">
        <f>IF(AND($B46&gt;=InputTriangles!$D$8,$CT46&gt;=AN$41),1,0)</f>
        <v>0</v>
      </c>
      <c r="AO46" s="33">
        <f>IF(AND($B46&gt;=InputTriangles!$D$8,$CT46&gt;=AO$41),1,0)</f>
        <v>0</v>
      </c>
      <c r="AP46" s="33">
        <f>IF(AND($B46&gt;=InputTriangles!$D$8,$CT46&gt;=AP$41),1,0)</f>
        <v>0</v>
      </c>
      <c r="AQ46" s="33">
        <f>IF(AND($B46&gt;=InputTriangles!$D$8,$CT46&gt;=AQ$41),1,0)</f>
        <v>0</v>
      </c>
      <c r="AR46" s="33">
        <f>IF(AND($B46&gt;=InputTriangles!$D$8,$CT46&gt;=AR$41),1,0)</f>
        <v>0</v>
      </c>
      <c r="AS46" s="33">
        <f>IF(AND($B46&gt;=InputTriangles!$D$8,$CT46&gt;=AS$41),1,0)</f>
        <v>0</v>
      </c>
      <c r="AT46" s="33">
        <f>IF(AND($B46&gt;=InputTriangles!$D$8,$CT46&gt;=AT$41),1,0)</f>
        <v>0</v>
      </c>
      <c r="AU46" s="33">
        <f>IF(AND($B46&gt;=InputTriangles!$D$8,$CT46&gt;=AU$41),1,0)</f>
        <v>0</v>
      </c>
      <c r="AV46" s="33">
        <f>IF(AND($B46&gt;=InputTriangles!$D$8,$CT46&gt;=AV$41),1,0)</f>
        <v>0</v>
      </c>
      <c r="AW46" s="33">
        <f>IF(AND($B46&gt;=InputTriangles!$D$8,$CT46&gt;=AW$41),1,0)</f>
        <v>0</v>
      </c>
      <c r="AX46" s="33">
        <f>IF(AND($B46&gt;=InputTriangles!$D$8,$CT46&gt;=AX$41),1,0)</f>
        <v>0</v>
      </c>
      <c r="AY46" s="33">
        <f>IF(AND($B46&gt;=InputTriangles!$D$8,$CT46&gt;=AY$41),1,0)</f>
        <v>0</v>
      </c>
      <c r="AZ46" s="33">
        <f>IF(AND($B46&gt;=InputTriangles!$D$8,$CT46&gt;=AZ$41),1,0)</f>
        <v>0</v>
      </c>
      <c r="BA46" s="33">
        <f>IF(AND($B46&gt;=InputTriangles!$D$8,$CT46&gt;=BA$41),1,0)</f>
        <v>0</v>
      </c>
      <c r="BB46" s="33">
        <f>IF(AND($B46&gt;=InputTriangles!$D$8,$CT46&gt;=BB$41),1,0)</f>
        <v>0</v>
      </c>
      <c r="BC46" s="33">
        <f>IF(AND($B46&gt;=InputTriangles!$D$8,$CT46&gt;=BC$41),1,0)</f>
        <v>0</v>
      </c>
      <c r="BD46" s="33">
        <f>IF(AND($B46&gt;=InputTriangles!$D$8,$CT46&gt;=BD$41),1,0)</f>
        <v>0</v>
      </c>
      <c r="BE46" s="33">
        <f>IF(AND($B46&gt;=InputTriangles!$D$8,$CT46&gt;=BE$41),1,0)</f>
        <v>0</v>
      </c>
      <c r="BF46" s="33">
        <f>IF(AND($B46&gt;=InputTriangles!$D$8,$CT46&gt;=BF$41),1,0)</f>
        <v>0</v>
      </c>
      <c r="BG46" s="33">
        <f>IF(AND($B46&gt;=InputTriangles!$D$8,$CT46&gt;=BG$41),1,0)</f>
        <v>0</v>
      </c>
      <c r="BH46" s="33">
        <f>IF(AND($B46&gt;=InputTriangles!$D$8,$CT46&gt;=BH$41),1,0)</f>
        <v>0</v>
      </c>
      <c r="BI46" s="33">
        <f>IF(AND($B46&gt;=InputTriangles!$D$8,$CT46&gt;=BI$41),1,0)</f>
        <v>0</v>
      </c>
      <c r="BJ46" s="33">
        <f>IF(AND($B46&gt;=InputTriangles!$D$8,$CT46&gt;=BJ$41),1,0)</f>
        <v>0</v>
      </c>
      <c r="BK46" s="33">
        <f>IF(AND($B46&gt;=InputTriangles!$D$8,$CT46&gt;=BK$41),1,0)</f>
        <v>0</v>
      </c>
      <c r="BL46" s="33">
        <f>IF(AND($B46&gt;=InputTriangles!$D$8,$CT46&gt;=BL$41),1,0)</f>
        <v>0</v>
      </c>
      <c r="BM46" s="33">
        <f>IF(AND($B46&gt;=InputTriangles!$D$8,$CT46&gt;=BM$41),1,0)</f>
        <v>0</v>
      </c>
      <c r="BN46" s="33">
        <f>IF(AND($B46&gt;=InputTriangles!$D$8,$CT46&gt;=BN$41),1,0)</f>
        <v>0</v>
      </c>
      <c r="BO46" s="33">
        <f>IF(AND($B46&gt;=InputTriangles!$D$8,$CT46&gt;=BO$41),1,0)</f>
        <v>0</v>
      </c>
      <c r="BP46" s="33">
        <f>IF(AND($B46&gt;=InputTriangles!$D$8,$CT46&gt;=BP$41),1,0)</f>
        <v>0</v>
      </c>
      <c r="BQ46" s="33">
        <f>IF(AND($B46&gt;=InputTriangles!$D$8,$CT46&gt;=BQ$41),1,0)</f>
        <v>0</v>
      </c>
      <c r="BR46" s="33">
        <f>IF(AND($B46&gt;=InputTriangles!$D$8,$CT46&gt;=BR$41),1,0)</f>
        <v>0</v>
      </c>
      <c r="BS46" s="33">
        <f>IF(AND($B46&gt;=InputTriangles!$D$8,$CT46&gt;=BS$41),1,0)</f>
        <v>0</v>
      </c>
      <c r="BT46" s="33">
        <f>IF(AND($B46&gt;=InputTriangles!$D$8,$CT46&gt;=BT$41),1,0)</f>
        <v>0</v>
      </c>
      <c r="BU46" s="33">
        <f>IF(AND($B46&gt;=InputTriangles!$D$8,$CT46&gt;=BU$41),1,0)</f>
        <v>0</v>
      </c>
      <c r="BV46" s="33">
        <f>IF(AND($B46&gt;=InputTriangles!$D$8,$CT46&gt;=BV$41),1,0)</f>
        <v>0</v>
      </c>
      <c r="BW46" s="33">
        <f>IF(AND($B46&gt;=InputTriangles!$D$8,$CT46&gt;=BW$41),1,0)</f>
        <v>0</v>
      </c>
      <c r="BX46" s="33">
        <f>IF(AND($B46&gt;=InputTriangles!$D$8,$CT46&gt;=BX$41),1,0)</f>
        <v>0</v>
      </c>
      <c r="BY46" s="33">
        <f>IF(AND($B46&gt;=InputTriangles!$D$8,$CT46&gt;=BY$41),1,0)</f>
        <v>0</v>
      </c>
      <c r="BZ46" s="33">
        <f>IF(AND($B46&gt;=InputTriangles!$D$8,$CT46&gt;=BZ$41),1,0)</f>
        <v>0</v>
      </c>
      <c r="CA46" s="33">
        <f>IF(AND($B46&gt;=InputTriangles!$D$8,$CT46&gt;=CA$41),1,0)</f>
        <v>0</v>
      </c>
      <c r="CB46" s="33">
        <f>IF(AND($B46&gt;=InputTriangles!$D$8,$CT46&gt;=CB$41),1,0)</f>
        <v>0</v>
      </c>
      <c r="CC46" s="33">
        <f>IF(AND($B46&gt;=InputTriangles!$D$8,$CT46&gt;=CC$41),1,0)</f>
        <v>0</v>
      </c>
      <c r="CD46" s="33">
        <f>IF(AND($B46&gt;=InputTriangles!$D$8,$CT46&gt;=CD$41),1,0)</f>
        <v>0</v>
      </c>
      <c r="CE46" s="33">
        <f>IF(AND($B46&gt;=InputTriangles!$D$8,$CT46&gt;=CE$41),1,0)</f>
        <v>0</v>
      </c>
      <c r="CF46" s="33">
        <f>IF(AND($B46&gt;=InputTriangles!$D$8,$CT46&gt;=CF$41),1,0)</f>
        <v>0</v>
      </c>
      <c r="CG46" s="33">
        <f>IF(AND($B46&gt;=InputTriangles!$D$8,$CT46&gt;=CG$41),1,0)</f>
        <v>0</v>
      </c>
      <c r="CH46" s="33">
        <f>IF(AND($B46&gt;=InputTriangles!$D$8,$CT46&gt;=CH$41),1,0)</f>
        <v>0</v>
      </c>
      <c r="CI46" s="33">
        <f>IF(AND($B46&gt;=InputTriangles!$D$8,$CT46&gt;=CI$41),1,0)</f>
        <v>0</v>
      </c>
      <c r="CJ46" s="33">
        <f>IF(AND($B46&gt;=InputTriangles!$D$8,$CT46&gt;=CJ$41),1,0)</f>
        <v>0</v>
      </c>
      <c r="CK46" s="33">
        <f>IF(AND($B46&gt;=InputTriangles!$D$8,$CT46&gt;=CK$41),1,0)</f>
        <v>0</v>
      </c>
      <c r="CL46" s="33">
        <f>IF(AND($B46&gt;=InputTriangles!$D$8,$CT46&gt;=CL$41),1,0)</f>
        <v>0</v>
      </c>
      <c r="CM46" s="33">
        <f>IF(AND($B46&gt;=InputTriangles!$D$8,$CT46&gt;=CM$41),1,0)</f>
        <v>0</v>
      </c>
      <c r="CN46" s="33">
        <f>IF(AND($B46&gt;=InputTriangles!$D$8,$CT46&gt;=CN$41),1,0)</f>
        <v>0</v>
      </c>
      <c r="CO46" s="33">
        <f>IF(AND($B46&gt;=InputTriangles!$D$8,$CT46&gt;=CO$41),1,0)</f>
        <v>0</v>
      </c>
      <c r="CP46" s="33">
        <f>IF(AND($B46&gt;=InputTriangles!$D$8,$CT46&gt;=CP$41),1,0)</f>
        <v>0</v>
      </c>
      <c r="CQ46" s="33">
        <f>IF(AND($B46&gt;=InputTriangles!$D$8,$CT46&gt;=CQ$41),1,0)</f>
        <v>0</v>
      </c>
      <c r="CR46" s="33">
        <f>IF(AND($B46&gt;=InputTriangles!$D$8,$CT46&gt;=CR$41),1,0)</f>
        <v>0</v>
      </c>
      <c r="CS46" s="32">
        <f>IF(AND($B46&gt;=InputTriangles!$D$8,$CT46&gt;=CS$41),1,0)</f>
        <v>0</v>
      </c>
      <c r="CT46" s="31">
        <f>($D$9-InputTriangles!$B46)*InputTriangles!$E$4+$D$6</f>
        <v>20</v>
      </c>
    </row>
    <row r="47" spans="1:102" hidden="1" x14ac:dyDescent="0.25">
      <c r="A47" s="97">
        <v>0</v>
      </c>
      <c r="B47" s="29">
        <f t="shared" si="42"/>
        <v>2001</v>
      </c>
      <c r="C47" s="30">
        <f>IF(AND($B47&gt;=InputTriangles!$D$8,$CT47&gt;=C$41),1,0)</f>
        <v>0</v>
      </c>
      <c r="D47" s="33">
        <f>IF(AND($B47&gt;=InputTriangles!$D$8,$CT47&gt;=D$41),1,0)</f>
        <v>0</v>
      </c>
      <c r="E47" s="33">
        <f>IF(AND($B47&gt;=InputTriangles!$D$8,$CT47&gt;=E$41),1,0)</f>
        <v>0</v>
      </c>
      <c r="F47" s="33">
        <f>IF(AND($B47&gt;=InputTriangles!$D$8,$CT47&gt;=F$41),1,0)</f>
        <v>0</v>
      </c>
      <c r="G47" s="33">
        <f>IF(AND($B47&gt;=InputTriangles!$D$8,$CT47&gt;=G$41),1,0)</f>
        <v>0</v>
      </c>
      <c r="H47" s="33">
        <f>IF(AND($B47&gt;=InputTriangles!$D$8,$CT47&gt;=H$41),1,0)</f>
        <v>0</v>
      </c>
      <c r="I47" s="33">
        <f>IF(AND($B47&gt;=InputTriangles!$D$8,$CT47&gt;=I$41),1,0)</f>
        <v>0</v>
      </c>
      <c r="J47" s="33">
        <f>IF(AND($B47&gt;=InputTriangles!$D$8,$CT47&gt;=J$41),1,0)</f>
        <v>0</v>
      </c>
      <c r="K47" s="33">
        <f>IF(AND($B47&gt;=InputTriangles!$D$8,$CT47&gt;=K$41),1,0)</f>
        <v>0</v>
      </c>
      <c r="L47" s="33">
        <f>IF(AND($B47&gt;=InputTriangles!$D$8,$CT47&gt;=L$41),1,0)</f>
        <v>0</v>
      </c>
      <c r="M47" s="33">
        <f>IF(AND($B47&gt;=InputTriangles!$D$8,$CT47&gt;=M$41),1,0)</f>
        <v>0</v>
      </c>
      <c r="N47" s="33">
        <f>IF(AND($B47&gt;=InputTriangles!$D$8,$CT47&gt;=N$41),1,0)</f>
        <v>0</v>
      </c>
      <c r="O47" s="33">
        <f>IF(AND($B47&gt;=InputTriangles!$D$8,$CT47&gt;=O$41),1,0)</f>
        <v>0</v>
      </c>
      <c r="P47" s="33">
        <f>IF(AND($B47&gt;=InputTriangles!$D$8,$CT47&gt;=P$41),1,0)</f>
        <v>0</v>
      </c>
      <c r="Q47" s="33">
        <f>IF(AND($B47&gt;=InputTriangles!$D$8,$CT47&gt;=Q$41),1,0)</f>
        <v>0</v>
      </c>
      <c r="R47" s="33">
        <f>IF(AND($B47&gt;=InputTriangles!$D$8,$CT47&gt;=R$41),1,0)</f>
        <v>0</v>
      </c>
      <c r="S47" s="33">
        <f>IF(AND($B47&gt;=InputTriangles!$D$8,$CT47&gt;=S$41),1,0)</f>
        <v>0</v>
      </c>
      <c r="T47" s="33">
        <f>IF(AND($B47&gt;=InputTriangles!$D$8,$CT47&gt;=T$41),1,0)</f>
        <v>0</v>
      </c>
      <c r="U47" s="33">
        <f>IF(AND($B47&gt;=InputTriangles!$D$8,$CT47&gt;=U$41),1,0)</f>
        <v>0</v>
      </c>
      <c r="V47" s="33">
        <f>IF(AND($B47&gt;=InputTriangles!$D$8,$CT47&gt;=V$41),1,0)</f>
        <v>0</v>
      </c>
      <c r="W47" s="33">
        <f>IF(AND($B47&gt;=InputTriangles!$D$8,$CT47&gt;=W$41),1,0)</f>
        <v>0</v>
      </c>
      <c r="X47" s="33">
        <f>IF(AND($B47&gt;=InputTriangles!$D$8,$CT47&gt;=X$41),1,0)</f>
        <v>0</v>
      </c>
      <c r="Y47" s="33">
        <f>IF(AND($B47&gt;=InputTriangles!$D$8,$CT47&gt;=Y$41),1,0)</f>
        <v>0</v>
      </c>
      <c r="Z47" s="33">
        <f>IF(AND($B47&gt;=InputTriangles!$D$8,$CT47&gt;=Z$41),1,0)</f>
        <v>0</v>
      </c>
      <c r="AA47" s="33">
        <f>IF(AND($B47&gt;=InputTriangles!$D$8,$CT47&gt;=AA$41),1,0)</f>
        <v>0</v>
      </c>
      <c r="AB47" s="33">
        <f>IF(AND($B47&gt;=InputTriangles!$D$8,$CT47&gt;=AB$41),1,0)</f>
        <v>0</v>
      </c>
      <c r="AC47" s="33">
        <f>IF(AND($B47&gt;=InputTriangles!$D$8,$CT47&gt;=AC$41),1,0)</f>
        <v>0</v>
      </c>
      <c r="AD47" s="33">
        <f>IF(AND($B47&gt;=InputTriangles!$D$8,$CT47&gt;=AD$41),1,0)</f>
        <v>0</v>
      </c>
      <c r="AE47" s="33">
        <f>IF(AND($B47&gt;=InputTriangles!$D$8,$CT47&gt;=AE$41),1,0)</f>
        <v>0</v>
      </c>
      <c r="AF47" s="33">
        <f>IF(AND($B47&gt;=InputTriangles!$D$8,$CT47&gt;=AF$41),1,0)</f>
        <v>0</v>
      </c>
      <c r="AG47" s="33">
        <f>IF(AND($B47&gt;=InputTriangles!$D$8,$CT47&gt;=AG$41),1,0)</f>
        <v>0</v>
      </c>
      <c r="AH47" s="33">
        <f>IF(AND($B47&gt;=InputTriangles!$D$8,$CT47&gt;=AH$41),1,0)</f>
        <v>0</v>
      </c>
      <c r="AI47" s="33">
        <f>IF(AND($B47&gt;=InputTriangles!$D$8,$CT47&gt;=AI$41),1,0)</f>
        <v>0</v>
      </c>
      <c r="AJ47" s="33">
        <f>IF(AND($B47&gt;=InputTriangles!$D$8,$CT47&gt;=AJ$41),1,0)</f>
        <v>0</v>
      </c>
      <c r="AK47" s="33">
        <f>IF(AND($B47&gt;=InputTriangles!$D$8,$CT47&gt;=AK$41),1,0)</f>
        <v>0</v>
      </c>
      <c r="AL47" s="33">
        <f>IF(AND($B47&gt;=InputTriangles!$D$8,$CT47&gt;=AL$41),1,0)</f>
        <v>0</v>
      </c>
      <c r="AM47" s="33">
        <f>IF(AND($B47&gt;=InputTriangles!$D$8,$CT47&gt;=AM$41),1,0)</f>
        <v>0</v>
      </c>
      <c r="AN47" s="33">
        <f>IF(AND($B47&gt;=InputTriangles!$D$8,$CT47&gt;=AN$41),1,0)</f>
        <v>0</v>
      </c>
      <c r="AO47" s="33">
        <f>IF(AND($B47&gt;=InputTriangles!$D$8,$CT47&gt;=AO$41),1,0)</f>
        <v>0</v>
      </c>
      <c r="AP47" s="33">
        <f>IF(AND($B47&gt;=InputTriangles!$D$8,$CT47&gt;=AP$41),1,0)</f>
        <v>0</v>
      </c>
      <c r="AQ47" s="33">
        <f>IF(AND($B47&gt;=InputTriangles!$D$8,$CT47&gt;=AQ$41),1,0)</f>
        <v>0</v>
      </c>
      <c r="AR47" s="33">
        <f>IF(AND($B47&gt;=InputTriangles!$D$8,$CT47&gt;=AR$41),1,0)</f>
        <v>0</v>
      </c>
      <c r="AS47" s="33">
        <f>IF(AND($B47&gt;=InputTriangles!$D$8,$CT47&gt;=AS$41),1,0)</f>
        <v>0</v>
      </c>
      <c r="AT47" s="33">
        <f>IF(AND($B47&gt;=InputTriangles!$D$8,$CT47&gt;=AT$41),1,0)</f>
        <v>0</v>
      </c>
      <c r="AU47" s="33">
        <f>IF(AND($B47&gt;=InputTriangles!$D$8,$CT47&gt;=AU$41),1,0)</f>
        <v>0</v>
      </c>
      <c r="AV47" s="33">
        <f>IF(AND($B47&gt;=InputTriangles!$D$8,$CT47&gt;=AV$41),1,0)</f>
        <v>0</v>
      </c>
      <c r="AW47" s="33">
        <f>IF(AND($B47&gt;=InputTriangles!$D$8,$CT47&gt;=AW$41),1,0)</f>
        <v>0</v>
      </c>
      <c r="AX47" s="33">
        <f>IF(AND($B47&gt;=InputTriangles!$D$8,$CT47&gt;=AX$41),1,0)</f>
        <v>0</v>
      </c>
      <c r="AY47" s="33">
        <f>IF(AND($B47&gt;=InputTriangles!$D$8,$CT47&gt;=AY$41),1,0)</f>
        <v>0</v>
      </c>
      <c r="AZ47" s="33">
        <f>IF(AND($B47&gt;=InputTriangles!$D$8,$CT47&gt;=AZ$41),1,0)</f>
        <v>0</v>
      </c>
      <c r="BA47" s="33">
        <f>IF(AND($B47&gt;=InputTriangles!$D$8,$CT47&gt;=BA$41),1,0)</f>
        <v>0</v>
      </c>
      <c r="BB47" s="33">
        <f>IF(AND($B47&gt;=InputTriangles!$D$8,$CT47&gt;=BB$41),1,0)</f>
        <v>0</v>
      </c>
      <c r="BC47" s="33">
        <f>IF(AND($B47&gt;=InputTriangles!$D$8,$CT47&gt;=BC$41),1,0)</f>
        <v>0</v>
      </c>
      <c r="BD47" s="33">
        <f>IF(AND($B47&gt;=InputTriangles!$D$8,$CT47&gt;=BD$41),1,0)</f>
        <v>0</v>
      </c>
      <c r="BE47" s="33">
        <f>IF(AND($B47&gt;=InputTriangles!$D$8,$CT47&gt;=BE$41),1,0)</f>
        <v>0</v>
      </c>
      <c r="BF47" s="33">
        <f>IF(AND($B47&gt;=InputTriangles!$D$8,$CT47&gt;=BF$41),1,0)</f>
        <v>0</v>
      </c>
      <c r="BG47" s="33">
        <f>IF(AND($B47&gt;=InputTriangles!$D$8,$CT47&gt;=BG$41),1,0)</f>
        <v>0</v>
      </c>
      <c r="BH47" s="33">
        <f>IF(AND($B47&gt;=InputTriangles!$D$8,$CT47&gt;=BH$41),1,0)</f>
        <v>0</v>
      </c>
      <c r="BI47" s="33">
        <f>IF(AND($B47&gt;=InputTriangles!$D$8,$CT47&gt;=BI$41),1,0)</f>
        <v>0</v>
      </c>
      <c r="BJ47" s="33">
        <f>IF(AND($B47&gt;=InputTriangles!$D$8,$CT47&gt;=BJ$41),1,0)</f>
        <v>0</v>
      </c>
      <c r="BK47" s="33">
        <f>IF(AND($B47&gt;=InputTriangles!$D$8,$CT47&gt;=BK$41),1,0)</f>
        <v>0</v>
      </c>
      <c r="BL47" s="33">
        <f>IF(AND($B47&gt;=InputTriangles!$D$8,$CT47&gt;=BL$41),1,0)</f>
        <v>0</v>
      </c>
      <c r="BM47" s="33">
        <f>IF(AND($B47&gt;=InputTriangles!$D$8,$CT47&gt;=BM$41),1,0)</f>
        <v>0</v>
      </c>
      <c r="BN47" s="33">
        <f>IF(AND($B47&gt;=InputTriangles!$D$8,$CT47&gt;=BN$41),1,0)</f>
        <v>0</v>
      </c>
      <c r="BO47" s="33">
        <f>IF(AND($B47&gt;=InputTriangles!$D$8,$CT47&gt;=BO$41),1,0)</f>
        <v>0</v>
      </c>
      <c r="BP47" s="33">
        <f>IF(AND($B47&gt;=InputTriangles!$D$8,$CT47&gt;=BP$41),1,0)</f>
        <v>0</v>
      </c>
      <c r="BQ47" s="33">
        <f>IF(AND($B47&gt;=InputTriangles!$D$8,$CT47&gt;=BQ$41),1,0)</f>
        <v>0</v>
      </c>
      <c r="BR47" s="33">
        <f>IF(AND($B47&gt;=InputTriangles!$D$8,$CT47&gt;=BR$41),1,0)</f>
        <v>0</v>
      </c>
      <c r="BS47" s="33">
        <f>IF(AND($B47&gt;=InputTriangles!$D$8,$CT47&gt;=BS$41),1,0)</f>
        <v>0</v>
      </c>
      <c r="BT47" s="33">
        <f>IF(AND($B47&gt;=InputTriangles!$D$8,$CT47&gt;=BT$41),1,0)</f>
        <v>0</v>
      </c>
      <c r="BU47" s="33">
        <f>IF(AND($B47&gt;=InputTriangles!$D$8,$CT47&gt;=BU$41),1,0)</f>
        <v>0</v>
      </c>
      <c r="BV47" s="33">
        <f>IF(AND($B47&gt;=InputTriangles!$D$8,$CT47&gt;=BV$41),1,0)</f>
        <v>0</v>
      </c>
      <c r="BW47" s="33">
        <f>IF(AND($B47&gt;=InputTriangles!$D$8,$CT47&gt;=BW$41),1,0)</f>
        <v>0</v>
      </c>
      <c r="BX47" s="33">
        <f>IF(AND($B47&gt;=InputTriangles!$D$8,$CT47&gt;=BX$41),1,0)</f>
        <v>0</v>
      </c>
      <c r="BY47" s="33">
        <f>IF(AND($B47&gt;=InputTriangles!$D$8,$CT47&gt;=BY$41),1,0)</f>
        <v>0</v>
      </c>
      <c r="BZ47" s="33">
        <f>IF(AND($B47&gt;=InputTriangles!$D$8,$CT47&gt;=BZ$41),1,0)</f>
        <v>0</v>
      </c>
      <c r="CA47" s="33">
        <f>IF(AND($B47&gt;=InputTriangles!$D$8,$CT47&gt;=CA$41),1,0)</f>
        <v>0</v>
      </c>
      <c r="CB47" s="33">
        <f>IF(AND($B47&gt;=InputTriangles!$D$8,$CT47&gt;=CB$41),1,0)</f>
        <v>0</v>
      </c>
      <c r="CC47" s="33">
        <f>IF(AND($B47&gt;=InputTriangles!$D$8,$CT47&gt;=CC$41),1,0)</f>
        <v>0</v>
      </c>
      <c r="CD47" s="33">
        <f>IF(AND($B47&gt;=InputTriangles!$D$8,$CT47&gt;=CD$41),1,0)</f>
        <v>0</v>
      </c>
      <c r="CE47" s="33">
        <f>IF(AND($B47&gt;=InputTriangles!$D$8,$CT47&gt;=CE$41),1,0)</f>
        <v>0</v>
      </c>
      <c r="CF47" s="33">
        <f>IF(AND($B47&gt;=InputTriangles!$D$8,$CT47&gt;=CF$41),1,0)</f>
        <v>0</v>
      </c>
      <c r="CG47" s="33">
        <f>IF(AND($B47&gt;=InputTriangles!$D$8,$CT47&gt;=CG$41),1,0)</f>
        <v>0</v>
      </c>
      <c r="CH47" s="33">
        <f>IF(AND($B47&gt;=InputTriangles!$D$8,$CT47&gt;=CH$41),1,0)</f>
        <v>0</v>
      </c>
      <c r="CI47" s="33">
        <f>IF(AND($B47&gt;=InputTriangles!$D$8,$CT47&gt;=CI$41),1,0)</f>
        <v>0</v>
      </c>
      <c r="CJ47" s="33">
        <f>IF(AND($B47&gt;=InputTriangles!$D$8,$CT47&gt;=CJ$41),1,0)</f>
        <v>0</v>
      </c>
      <c r="CK47" s="33">
        <f>IF(AND($B47&gt;=InputTriangles!$D$8,$CT47&gt;=CK$41),1,0)</f>
        <v>0</v>
      </c>
      <c r="CL47" s="33">
        <f>IF(AND($B47&gt;=InputTriangles!$D$8,$CT47&gt;=CL$41),1,0)</f>
        <v>0</v>
      </c>
      <c r="CM47" s="33">
        <f>IF(AND($B47&gt;=InputTriangles!$D$8,$CT47&gt;=CM$41),1,0)</f>
        <v>0</v>
      </c>
      <c r="CN47" s="33">
        <f>IF(AND($B47&gt;=InputTriangles!$D$8,$CT47&gt;=CN$41),1,0)</f>
        <v>0</v>
      </c>
      <c r="CO47" s="33">
        <f>IF(AND($B47&gt;=InputTriangles!$D$8,$CT47&gt;=CO$41),1,0)</f>
        <v>0</v>
      </c>
      <c r="CP47" s="33">
        <f>IF(AND($B47&gt;=InputTriangles!$D$8,$CT47&gt;=CP$41),1,0)</f>
        <v>0</v>
      </c>
      <c r="CQ47" s="33">
        <f>IF(AND($B47&gt;=InputTriangles!$D$8,$CT47&gt;=CQ$41),1,0)</f>
        <v>0</v>
      </c>
      <c r="CR47" s="33">
        <f>IF(AND($B47&gt;=InputTriangles!$D$8,$CT47&gt;=CR$41),1,0)</f>
        <v>0</v>
      </c>
      <c r="CS47" s="32">
        <f>IF(AND($B47&gt;=InputTriangles!$D$8,$CT47&gt;=CS$41),1,0)</f>
        <v>0</v>
      </c>
      <c r="CT47" s="31">
        <f>($D$9-InputTriangles!$B47)*InputTriangles!$E$4+$D$6</f>
        <v>19</v>
      </c>
    </row>
    <row r="48" spans="1:102" hidden="1" x14ac:dyDescent="0.25">
      <c r="A48" s="97">
        <v>0</v>
      </c>
      <c r="B48" s="29">
        <f t="shared" si="42"/>
        <v>2002</v>
      </c>
      <c r="C48" s="30">
        <f>IF(AND($B48&gt;=InputTriangles!$D$8,$CT48&gt;=C$41),1,0)</f>
        <v>0</v>
      </c>
      <c r="D48" s="33">
        <f>IF(AND($B48&gt;=InputTriangles!$D$8,$CT48&gt;=D$41),1,0)</f>
        <v>0</v>
      </c>
      <c r="E48" s="33">
        <f>IF(AND($B48&gt;=InputTriangles!$D$8,$CT48&gt;=E$41),1,0)</f>
        <v>0</v>
      </c>
      <c r="F48" s="33">
        <f>IF(AND($B48&gt;=InputTriangles!$D$8,$CT48&gt;=F$41),1,0)</f>
        <v>0</v>
      </c>
      <c r="G48" s="33">
        <f>IF(AND($B48&gt;=InputTriangles!$D$8,$CT48&gt;=G$41),1,0)</f>
        <v>0</v>
      </c>
      <c r="H48" s="33">
        <f>IF(AND($B48&gt;=InputTriangles!$D$8,$CT48&gt;=H$41),1,0)</f>
        <v>0</v>
      </c>
      <c r="I48" s="33">
        <f>IF(AND($B48&gt;=InputTriangles!$D$8,$CT48&gt;=I$41),1,0)</f>
        <v>0</v>
      </c>
      <c r="J48" s="33">
        <f>IF(AND($B48&gt;=InputTriangles!$D$8,$CT48&gt;=J$41),1,0)</f>
        <v>0</v>
      </c>
      <c r="K48" s="33">
        <f>IF(AND($B48&gt;=InputTriangles!$D$8,$CT48&gt;=K$41),1,0)</f>
        <v>0</v>
      </c>
      <c r="L48" s="33">
        <f>IF(AND($B48&gt;=InputTriangles!$D$8,$CT48&gt;=L$41),1,0)</f>
        <v>0</v>
      </c>
      <c r="M48" s="33">
        <f>IF(AND($B48&gt;=InputTriangles!$D$8,$CT48&gt;=M$41),1,0)</f>
        <v>0</v>
      </c>
      <c r="N48" s="33">
        <f>IF(AND($B48&gt;=InputTriangles!$D$8,$CT48&gt;=N$41),1,0)</f>
        <v>0</v>
      </c>
      <c r="O48" s="33">
        <f>IF(AND($B48&gt;=InputTriangles!$D$8,$CT48&gt;=O$41),1,0)</f>
        <v>0</v>
      </c>
      <c r="P48" s="33">
        <f>IF(AND($B48&gt;=InputTriangles!$D$8,$CT48&gt;=P$41),1,0)</f>
        <v>0</v>
      </c>
      <c r="Q48" s="33">
        <f>IF(AND($B48&gt;=InputTriangles!$D$8,$CT48&gt;=Q$41),1,0)</f>
        <v>0</v>
      </c>
      <c r="R48" s="33">
        <f>IF(AND($B48&gt;=InputTriangles!$D$8,$CT48&gt;=R$41),1,0)</f>
        <v>0</v>
      </c>
      <c r="S48" s="33">
        <f>IF(AND($B48&gt;=InputTriangles!$D$8,$CT48&gt;=S$41),1,0)</f>
        <v>0</v>
      </c>
      <c r="T48" s="33">
        <f>IF(AND($B48&gt;=InputTriangles!$D$8,$CT48&gt;=T$41),1,0)</f>
        <v>0</v>
      </c>
      <c r="U48" s="33">
        <f>IF(AND($B48&gt;=InputTriangles!$D$8,$CT48&gt;=U$41),1,0)</f>
        <v>0</v>
      </c>
      <c r="V48" s="33">
        <f>IF(AND($B48&gt;=InputTriangles!$D$8,$CT48&gt;=V$41),1,0)</f>
        <v>0</v>
      </c>
      <c r="W48" s="33">
        <f>IF(AND($B48&gt;=InputTriangles!$D$8,$CT48&gt;=W$41),1,0)</f>
        <v>0</v>
      </c>
      <c r="X48" s="33">
        <f>IF(AND($B48&gt;=InputTriangles!$D$8,$CT48&gt;=X$41),1,0)</f>
        <v>0</v>
      </c>
      <c r="Y48" s="33">
        <f>IF(AND($B48&gt;=InputTriangles!$D$8,$CT48&gt;=Y$41),1,0)</f>
        <v>0</v>
      </c>
      <c r="Z48" s="33">
        <f>IF(AND($B48&gt;=InputTriangles!$D$8,$CT48&gt;=Z$41),1,0)</f>
        <v>0</v>
      </c>
      <c r="AA48" s="33">
        <f>IF(AND($B48&gt;=InputTriangles!$D$8,$CT48&gt;=AA$41),1,0)</f>
        <v>0</v>
      </c>
      <c r="AB48" s="33">
        <f>IF(AND($B48&gt;=InputTriangles!$D$8,$CT48&gt;=AB$41),1,0)</f>
        <v>0</v>
      </c>
      <c r="AC48" s="33">
        <f>IF(AND($B48&gt;=InputTriangles!$D$8,$CT48&gt;=AC$41),1,0)</f>
        <v>0</v>
      </c>
      <c r="AD48" s="33">
        <f>IF(AND($B48&gt;=InputTriangles!$D$8,$CT48&gt;=AD$41),1,0)</f>
        <v>0</v>
      </c>
      <c r="AE48" s="33">
        <f>IF(AND($B48&gt;=InputTriangles!$D$8,$CT48&gt;=AE$41),1,0)</f>
        <v>0</v>
      </c>
      <c r="AF48" s="33">
        <f>IF(AND($B48&gt;=InputTriangles!$D$8,$CT48&gt;=AF$41),1,0)</f>
        <v>0</v>
      </c>
      <c r="AG48" s="33">
        <f>IF(AND($B48&gt;=InputTriangles!$D$8,$CT48&gt;=AG$41),1,0)</f>
        <v>0</v>
      </c>
      <c r="AH48" s="33">
        <f>IF(AND($B48&gt;=InputTriangles!$D$8,$CT48&gt;=AH$41),1,0)</f>
        <v>0</v>
      </c>
      <c r="AI48" s="33">
        <f>IF(AND($B48&gt;=InputTriangles!$D$8,$CT48&gt;=AI$41),1,0)</f>
        <v>0</v>
      </c>
      <c r="AJ48" s="33">
        <f>IF(AND($B48&gt;=InputTriangles!$D$8,$CT48&gt;=AJ$41),1,0)</f>
        <v>0</v>
      </c>
      <c r="AK48" s="33">
        <f>IF(AND($B48&gt;=InputTriangles!$D$8,$CT48&gt;=AK$41),1,0)</f>
        <v>0</v>
      </c>
      <c r="AL48" s="33">
        <f>IF(AND($B48&gt;=InputTriangles!$D$8,$CT48&gt;=AL$41),1,0)</f>
        <v>0</v>
      </c>
      <c r="AM48" s="33">
        <f>IF(AND($B48&gt;=InputTriangles!$D$8,$CT48&gt;=AM$41),1,0)</f>
        <v>0</v>
      </c>
      <c r="AN48" s="33">
        <f>IF(AND($B48&gt;=InputTriangles!$D$8,$CT48&gt;=AN$41),1,0)</f>
        <v>0</v>
      </c>
      <c r="AO48" s="33">
        <f>IF(AND($B48&gt;=InputTriangles!$D$8,$CT48&gt;=AO$41),1,0)</f>
        <v>0</v>
      </c>
      <c r="AP48" s="33">
        <f>IF(AND($B48&gt;=InputTriangles!$D$8,$CT48&gt;=AP$41),1,0)</f>
        <v>0</v>
      </c>
      <c r="AQ48" s="33">
        <f>IF(AND($B48&gt;=InputTriangles!$D$8,$CT48&gt;=AQ$41),1,0)</f>
        <v>0</v>
      </c>
      <c r="AR48" s="33">
        <f>IF(AND($B48&gt;=InputTriangles!$D$8,$CT48&gt;=AR$41),1,0)</f>
        <v>0</v>
      </c>
      <c r="AS48" s="33">
        <f>IF(AND($B48&gt;=InputTriangles!$D$8,$CT48&gt;=AS$41),1,0)</f>
        <v>0</v>
      </c>
      <c r="AT48" s="33">
        <f>IF(AND($B48&gt;=InputTriangles!$D$8,$CT48&gt;=AT$41),1,0)</f>
        <v>0</v>
      </c>
      <c r="AU48" s="33">
        <f>IF(AND($B48&gt;=InputTriangles!$D$8,$CT48&gt;=AU$41),1,0)</f>
        <v>0</v>
      </c>
      <c r="AV48" s="33">
        <f>IF(AND($B48&gt;=InputTriangles!$D$8,$CT48&gt;=AV$41),1,0)</f>
        <v>0</v>
      </c>
      <c r="AW48" s="33">
        <f>IF(AND($B48&gt;=InputTriangles!$D$8,$CT48&gt;=AW$41),1,0)</f>
        <v>0</v>
      </c>
      <c r="AX48" s="33">
        <f>IF(AND($B48&gt;=InputTriangles!$D$8,$CT48&gt;=AX$41),1,0)</f>
        <v>0</v>
      </c>
      <c r="AY48" s="33">
        <f>IF(AND($B48&gt;=InputTriangles!$D$8,$CT48&gt;=AY$41),1,0)</f>
        <v>0</v>
      </c>
      <c r="AZ48" s="33">
        <f>IF(AND($B48&gt;=InputTriangles!$D$8,$CT48&gt;=AZ$41),1,0)</f>
        <v>0</v>
      </c>
      <c r="BA48" s="33">
        <f>IF(AND($B48&gt;=InputTriangles!$D$8,$CT48&gt;=BA$41),1,0)</f>
        <v>0</v>
      </c>
      <c r="BB48" s="33">
        <f>IF(AND($B48&gt;=InputTriangles!$D$8,$CT48&gt;=BB$41),1,0)</f>
        <v>0</v>
      </c>
      <c r="BC48" s="33">
        <f>IF(AND($B48&gt;=InputTriangles!$D$8,$CT48&gt;=BC$41),1,0)</f>
        <v>0</v>
      </c>
      <c r="BD48" s="33">
        <f>IF(AND($B48&gt;=InputTriangles!$D$8,$CT48&gt;=BD$41),1,0)</f>
        <v>0</v>
      </c>
      <c r="BE48" s="33">
        <f>IF(AND($B48&gt;=InputTriangles!$D$8,$CT48&gt;=BE$41),1,0)</f>
        <v>0</v>
      </c>
      <c r="BF48" s="33">
        <f>IF(AND($B48&gt;=InputTriangles!$D$8,$CT48&gt;=BF$41),1,0)</f>
        <v>0</v>
      </c>
      <c r="BG48" s="33">
        <f>IF(AND($B48&gt;=InputTriangles!$D$8,$CT48&gt;=BG$41),1,0)</f>
        <v>0</v>
      </c>
      <c r="BH48" s="33">
        <f>IF(AND($B48&gt;=InputTriangles!$D$8,$CT48&gt;=BH$41),1,0)</f>
        <v>0</v>
      </c>
      <c r="BI48" s="33">
        <f>IF(AND($B48&gt;=InputTriangles!$D$8,$CT48&gt;=BI$41),1,0)</f>
        <v>0</v>
      </c>
      <c r="BJ48" s="33">
        <f>IF(AND($B48&gt;=InputTriangles!$D$8,$CT48&gt;=BJ$41),1,0)</f>
        <v>0</v>
      </c>
      <c r="BK48" s="33">
        <f>IF(AND($B48&gt;=InputTriangles!$D$8,$CT48&gt;=BK$41),1,0)</f>
        <v>0</v>
      </c>
      <c r="BL48" s="33">
        <f>IF(AND($B48&gt;=InputTriangles!$D$8,$CT48&gt;=BL$41),1,0)</f>
        <v>0</v>
      </c>
      <c r="BM48" s="33">
        <f>IF(AND($B48&gt;=InputTriangles!$D$8,$CT48&gt;=BM$41),1,0)</f>
        <v>0</v>
      </c>
      <c r="BN48" s="33">
        <f>IF(AND($B48&gt;=InputTriangles!$D$8,$CT48&gt;=BN$41),1,0)</f>
        <v>0</v>
      </c>
      <c r="BO48" s="33">
        <f>IF(AND($B48&gt;=InputTriangles!$D$8,$CT48&gt;=BO$41),1,0)</f>
        <v>0</v>
      </c>
      <c r="BP48" s="33">
        <f>IF(AND($B48&gt;=InputTriangles!$D$8,$CT48&gt;=BP$41),1,0)</f>
        <v>0</v>
      </c>
      <c r="BQ48" s="33">
        <f>IF(AND($B48&gt;=InputTriangles!$D$8,$CT48&gt;=BQ$41),1,0)</f>
        <v>0</v>
      </c>
      <c r="BR48" s="33">
        <f>IF(AND($B48&gt;=InputTriangles!$D$8,$CT48&gt;=BR$41),1,0)</f>
        <v>0</v>
      </c>
      <c r="BS48" s="33">
        <f>IF(AND($B48&gt;=InputTriangles!$D$8,$CT48&gt;=BS$41),1,0)</f>
        <v>0</v>
      </c>
      <c r="BT48" s="33">
        <f>IF(AND($B48&gt;=InputTriangles!$D$8,$CT48&gt;=BT$41),1,0)</f>
        <v>0</v>
      </c>
      <c r="BU48" s="33">
        <f>IF(AND($B48&gt;=InputTriangles!$D$8,$CT48&gt;=BU$41),1,0)</f>
        <v>0</v>
      </c>
      <c r="BV48" s="33">
        <f>IF(AND($B48&gt;=InputTriangles!$D$8,$CT48&gt;=BV$41),1,0)</f>
        <v>0</v>
      </c>
      <c r="BW48" s="33">
        <f>IF(AND($B48&gt;=InputTriangles!$D$8,$CT48&gt;=BW$41),1,0)</f>
        <v>0</v>
      </c>
      <c r="BX48" s="33">
        <f>IF(AND($B48&gt;=InputTriangles!$D$8,$CT48&gt;=BX$41),1,0)</f>
        <v>0</v>
      </c>
      <c r="BY48" s="33">
        <f>IF(AND($B48&gt;=InputTriangles!$D$8,$CT48&gt;=BY$41),1,0)</f>
        <v>0</v>
      </c>
      <c r="BZ48" s="33">
        <f>IF(AND($B48&gt;=InputTriangles!$D$8,$CT48&gt;=BZ$41),1,0)</f>
        <v>0</v>
      </c>
      <c r="CA48" s="33">
        <f>IF(AND($B48&gt;=InputTriangles!$D$8,$CT48&gt;=CA$41),1,0)</f>
        <v>0</v>
      </c>
      <c r="CB48" s="33">
        <f>IF(AND($B48&gt;=InputTriangles!$D$8,$CT48&gt;=CB$41),1,0)</f>
        <v>0</v>
      </c>
      <c r="CC48" s="33">
        <f>IF(AND($B48&gt;=InputTriangles!$D$8,$CT48&gt;=CC$41),1,0)</f>
        <v>0</v>
      </c>
      <c r="CD48" s="33">
        <f>IF(AND($B48&gt;=InputTriangles!$D$8,$CT48&gt;=CD$41),1,0)</f>
        <v>0</v>
      </c>
      <c r="CE48" s="33">
        <f>IF(AND($B48&gt;=InputTriangles!$D$8,$CT48&gt;=CE$41),1,0)</f>
        <v>0</v>
      </c>
      <c r="CF48" s="33">
        <f>IF(AND($B48&gt;=InputTriangles!$D$8,$CT48&gt;=CF$41),1,0)</f>
        <v>0</v>
      </c>
      <c r="CG48" s="33">
        <f>IF(AND($B48&gt;=InputTriangles!$D$8,$CT48&gt;=CG$41),1,0)</f>
        <v>0</v>
      </c>
      <c r="CH48" s="33">
        <f>IF(AND($B48&gt;=InputTriangles!$D$8,$CT48&gt;=CH$41),1,0)</f>
        <v>0</v>
      </c>
      <c r="CI48" s="33">
        <f>IF(AND($B48&gt;=InputTriangles!$D$8,$CT48&gt;=CI$41),1,0)</f>
        <v>0</v>
      </c>
      <c r="CJ48" s="33">
        <f>IF(AND($B48&gt;=InputTriangles!$D$8,$CT48&gt;=CJ$41),1,0)</f>
        <v>0</v>
      </c>
      <c r="CK48" s="33">
        <f>IF(AND($B48&gt;=InputTriangles!$D$8,$CT48&gt;=CK$41),1,0)</f>
        <v>0</v>
      </c>
      <c r="CL48" s="33">
        <f>IF(AND($B48&gt;=InputTriangles!$D$8,$CT48&gt;=CL$41),1,0)</f>
        <v>0</v>
      </c>
      <c r="CM48" s="33">
        <f>IF(AND($B48&gt;=InputTriangles!$D$8,$CT48&gt;=CM$41),1,0)</f>
        <v>0</v>
      </c>
      <c r="CN48" s="33">
        <f>IF(AND($B48&gt;=InputTriangles!$D$8,$CT48&gt;=CN$41),1,0)</f>
        <v>0</v>
      </c>
      <c r="CO48" s="33">
        <f>IF(AND($B48&gt;=InputTriangles!$D$8,$CT48&gt;=CO$41),1,0)</f>
        <v>0</v>
      </c>
      <c r="CP48" s="33">
        <f>IF(AND($B48&gt;=InputTriangles!$D$8,$CT48&gt;=CP$41),1,0)</f>
        <v>0</v>
      </c>
      <c r="CQ48" s="33">
        <f>IF(AND($B48&gt;=InputTriangles!$D$8,$CT48&gt;=CQ$41),1,0)</f>
        <v>0</v>
      </c>
      <c r="CR48" s="33">
        <f>IF(AND($B48&gt;=InputTriangles!$D$8,$CT48&gt;=CR$41),1,0)</f>
        <v>0</v>
      </c>
      <c r="CS48" s="32">
        <f>IF(AND($B48&gt;=InputTriangles!$D$8,$CT48&gt;=CS$41),1,0)</f>
        <v>0</v>
      </c>
      <c r="CT48" s="31">
        <f>($D$9-InputTriangles!$B48)*InputTriangles!$E$4+$D$6</f>
        <v>18</v>
      </c>
    </row>
    <row r="49" spans="1:98" hidden="1" x14ac:dyDescent="0.25">
      <c r="A49" s="97">
        <v>0</v>
      </c>
      <c r="B49" s="29">
        <f t="shared" si="42"/>
        <v>2003</v>
      </c>
      <c r="C49" s="30">
        <f>IF(AND($B49&gt;=InputTriangles!$D$8,$CT49&gt;=C$41),1,0)</f>
        <v>0</v>
      </c>
      <c r="D49" s="33">
        <f>IF(AND($B49&gt;=InputTriangles!$D$8,$CT49&gt;=D$41),1,0)</f>
        <v>0</v>
      </c>
      <c r="E49" s="33">
        <f>IF(AND($B49&gt;=InputTriangles!$D$8,$CT49&gt;=E$41),1,0)</f>
        <v>0</v>
      </c>
      <c r="F49" s="33">
        <f>IF(AND($B49&gt;=InputTriangles!$D$8,$CT49&gt;=F$41),1,0)</f>
        <v>0</v>
      </c>
      <c r="G49" s="33">
        <f>IF(AND($B49&gt;=InputTriangles!$D$8,$CT49&gt;=G$41),1,0)</f>
        <v>0</v>
      </c>
      <c r="H49" s="33">
        <f>IF(AND($B49&gt;=InputTriangles!$D$8,$CT49&gt;=H$41),1,0)</f>
        <v>0</v>
      </c>
      <c r="I49" s="33">
        <f>IF(AND($B49&gt;=InputTriangles!$D$8,$CT49&gt;=I$41),1,0)</f>
        <v>0</v>
      </c>
      <c r="J49" s="33">
        <f>IF(AND($B49&gt;=InputTriangles!$D$8,$CT49&gt;=J$41),1,0)</f>
        <v>0</v>
      </c>
      <c r="K49" s="33">
        <f>IF(AND($B49&gt;=InputTriangles!$D$8,$CT49&gt;=K$41),1,0)</f>
        <v>0</v>
      </c>
      <c r="L49" s="33">
        <f>IF(AND($B49&gt;=InputTriangles!$D$8,$CT49&gt;=L$41),1,0)</f>
        <v>0</v>
      </c>
      <c r="M49" s="33">
        <f>IF(AND($B49&gt;=InputTriangles!$D$8,$CT49&gt;=M$41),1,0)</f>
        <v>0</v>
      </c>
      <c r="N49" s="33">
        <f>IF(AND($B49&gt;=InputTriangles!$D$8,$CT49&gt;=N$41),1,0)</f>
        <v>0</v>
      </c>
      <c r="O49" s="33">
        <f>IF(AND($B49&gt;=InputTriangles!$D$8,$CT49&gt;=O$41),1,0)</f>
        <v>0</v>
      </c>
      <c r="P49" s="33">
        <f>IF(AND($B49&gt;=InputTriangles!$D$8,$CT49&gt;=P$41),1,0)</f>
        <v>0</v>
      </c>
      <c r="Q49" s="33">
        <f>IF(AND($B49&gt;=InputTriangles!$D$8,$CT49&gt;=Q$41),1,0)</f>
        <v>0</v>
      </c>
      <c r="R49" s="33">
        <f>IF(AND($B49&gt;=InputTriangles!$D$8,$CT49&gt;=R$41),1,0)</f>
        <v>0</v>
      </c>
      <c r="S49" s="33">
        <f>IF(AND($B49&gt;=InputTriangles!$D$8,$CT49&gt;=S$41),1,0)</f>
        <v>0</v>
      </c>
      <c r="T49" s="33">
        <f>IF(AND($B49&gt;=InputTriangles!$D$8,$CT49&gt;=T$41),1,0)</f>
        <v>0</v>
      </c>
      <c r="U49" s="33">
        <f>IF(AND($B49&gt;=InputTriangles!$D$8,$CT49&gt;=U$41),1,0)</f>
        <v>0</v>
      </c>
      <c r="V49" s="33">
        <f>IF(AND($B49&gt;=InputTriangles!$D$8,$CT49&gt;=V$41),1,0)</f>
        <v>0</v>
      </c>
      <c r="W49" s="33">
        <f>IF(AND($B49&gt;=InputTriangles!$D$8,$CT49&gt;=W$41),1,0)</f>
        <v>0</v>
      </c>
      <c r="X49" s="33">
        <f>IF(AND($B49&gt;=InputTriangles!$D$8,$CT49&gt;=X$41),1,0)</f>
        <v>0</v>
      </c>
      <c r="Y49" s="33">
        <f>IF(AND($B49&gt;=InputTriangles!$D$8,$CT49&gt;=Y$41),1,0)</f>
        <v>0</v>
      </c>
      <c r="Z49" s="33">
        <f>IF(AND($B49&gt;=InputTriangles!$D$8,$CT49&gt;=Z$41),1,0)</f>
        <v>0</v>
      </c>
      <c r="AA49" s="33">
        <f>IF(AND($B49&gt;=InputTriangles!$D$8,$CT49&gt;=AA$41),1,0)</f>
        <v>0</v>
      </c>
      <c r="AB49" s="33">
        <f>IF(AND($B49&gt;=InputTriangles!$D$8,$CT49&gt;=AB$41),1,0)</f>
        <v>0</v>
      </c>
      <c r="AC49" s="33">
        <f>IF(AND($B49&gt;=InputTriangles!$D$8,$CT49&gt;=AC$41),1,0)</f>
        <v>0</v>
      </c>
      <c r="AD49" s="33">
        <f>IF(AND($B49&gt;=InputTriangles!$D$8,$CT49&gt;=AD$41),1,0)</f>
        <v>0</v>
      </c>
      <c r="AE49" s="33">
        <f>IF(AND($B49&gt;=InputTriangles!$D$8,$CT49&gt;=AE$41),1,0)</f>
        <v>0</v>
      </c>
      <c r="AF49" s="33">
        <f>IF(AND($B49&gt;=InputTriangles!$D$8,$CT49&gt;=AF$41),1,0)</f>
        <v>0</v>
      </c>
      <c r="AG49" s="33">
        <f>IF(AND($B49&gt;=InputTriangles!$D$8,$CT49&gt;=AG$41),1,0)</f>
        <v>0</v>
      </c>
      <c r="AH49" s="33">
        <f>IF(AND($B49&gt;=InputTriangles!$D$8,$CT49&gt;=AH$41),1,0)</f>
        <v>0</v>
      </c>
      <c r="AI49" s="33">
        <f>IF(AND($B49&gt;=InputTriangles!$D$8,$CT49&gt;=AI$41),1,0)</f>
        <v>0</v>
      </c>
      <c r="AJ49" s="33">
        <f>IF(AND($B49&gt;=InputTriangles!$D$8,$CT49&gt;=AJ$41),1,0)</f>
        <v>0</v>
      </c>
      <c r="AK49" s="33">
        <f>IF(AND($B49&gt;=InputTriangles!$D$8,$CT49&gt;=AK$41),1,0)</f>
        <v>0</v>
      </c>
      <c r="AL49" s="33">
        <f>IF(AND($B49&gt;=InputTriangles!$D$8,$CT49&gt;=AL$41),1,0)</f>
        <v>0</v>
      </c>
      <c r="AM49" s="33">
        <f>IF(AND($B49&gt;=InputTriangles!$D$8,$CT49&gt;=AM$41),1,0)</f>
        <v>0</v>
      </c>
      <c r="AN49" s="33">
        <f>IF(AND($B49&gt;=InputTriangles!$D$8,$CT49&gt;=AN$41),1,0)</f>
        <v>0</v>
      </c>
      <c r="AO49" s="33">
        <f>IF(AND($B49&gt;=InputTriangles!$D$8,$CT49&gt;=AO$41),1,0)</f>
        <v>0</v>
      </c>
      <c r="AP49" s="33">
        <f>IF(AND($B49&gt;=InputTriangles!$D$8,$CT49&gt;=AP$41),1,0)</f>
        <v>0</v>
      </c>
      <c r="AQ49" s="33">
        <f>IF(AND($B49&gt;=InputTriangles!$D$8,$CT49&gt;=AQ$41),1,0)</f>
        <v>0</v>
      </c>
      <c r="AR49" s="33">
        <f>IF(AND($B49&gt;=InputTriangles!$D$8,$CT49&gt;=AR$41),1,0)</f>
        <v>0</v>
      </c>
      <c r="AS49" s="33">
        <f>IF(AND($B49&gt;=InputTriangles!$D$8,$CT49&gt;=AS$41),1,0)</f>
        <v>0</v>
      </c>
      <c r="AT49" s="33">
        <f>IF(AND($B49&gt;=InputTriangles!$D$8,$CT49&gt;=AT$41),1,0)</f>
        <v>0</v>
      </c>
      <c r="AU49" s="33">
        <f>IF(AND($B49&gt;=InputTriangles!$D$8,$CT49&gt;=AU$41),1,0)</f>
        <v>0</v>
      </c>
      <c r="AV49" s="33">
        <f>IF(AND($B49&gt;=InputTriangles!$D$8,$CT49&gt;=AV$41),1,0)</f>
        <v>0</v>
      </c>
      <c r="AW49" s="33">
        <f>IF(AND($B49&gt;=InputTriangles!$D$8,$CT49&gt;=AW$41),1,0)</f>
        <v>0</v>
      </c>
      <c r="AX49" s="33">
        <f>IF(AND($B49&gt;=InputTriangles!$D$8,$CT49&gt;=AX$41),1,0)</f>
        <v>0</v>
      </c>
      <c r="AY49" s="33">
        <f>IF(AND($B49&gt;=InputTriangles!$D$8,$CT49&gt;=AY$41),1,0)</f>
        <v>0</v>
      </c>
      <c r="AZ49" s="33">
        <f>IF(AND($B49&gt;=InputTriangles!$D$8,$CT49&gt;=AZ$41),1,0)</f>
        <v>0</v>
      </c>
      <c r="BA49" s="33">
        <f>IF(AND($B49&gt;=InputTriangles!$D$8,$CT49&gt;=BA$41),1,0)</f>
        <v>0</v>
      </c>
      <c r="BB49" s="33">
        <f>IF(AND($B49&gt;=InputTriangles!$D$8,$CT49&gt;=BB$41),1,0)</f>
        <v>0</v>
      </c>
      <c r="BC49" s="33">
        <f>IF(AND($B49&gt;=InputTriangles!$D$8,$CT49&gt;=BC$41),1,0)</f>
        <v>0</v>
      </c>
      <c r="BD49" s="33">
        <f>IF(AND($B49&gt;=InputTriangles!$D$8,$CT49&gt;=BD$41),1,0)</f>
        <v>0</v>
      </c>
      <c r="BE49" s="33">
        <f>IF(AND($B49&gt;=InputTriangles!$D$8,$CT49&gt;=BE$41),1,0)</f>
        <v>0</v>
      </c>
      <c r="BF49" s="33">
        <f>IF(AND($B49&gt;=InputTriangles!$D$8,$CT49&gt;=BF$41),1,0)</f>
        <v>0</v>
      </c>
      <c r="BG49" s="33">
        <f>IF(AND($B49&gt;=InputTriangles!$D$8,$CT49&gt;=BG$41),1,0)</f>
        <v>0</v>
      </c>
      <c r="BH49" s="33">
        <f>IF(AND($B49&gt;=InputTriangles!$D$8,$CT49&gt;=BH$41),1,0)</f>
        <v>0</v>
      </c>
      <c r="BI49" s="33">
        <f>IF(AND($B49&gt;=InputTriangles!$D$8,$CT49&gt;=BI$41),1,0)</f>
        <v>0</v>
      </c>
      <c r="BJ49" s="33">
        <f>IF(AND($B49&gt;=InputTriangles!$D$8,$CT49&gt;=BJ$41),1,0)</f>
        <v>0</v>
      </c>
      <c r="BK49" s="33">
        <f>IF(AND($B49&gt;=InputTriangles!$D$8,$CT49&gt;=BK$41),1,0)</f>
        <v>0</v>
      </c>
      <c r="BL49" s="33">
        <f>IF(AND($B49&gt;=InputTriangles!$D$8,$CT49&gt;=BL$41),1,0)</f>
        <v>0</v>
      </c>
      <c r="BM49" s="33">
        <f>IF(AND($B49&gt;=InputTriangles!$D$8,$CT49&gt;=BM$41),1,0)</f>
        <v>0</v>
      </c>
      <c r="BN49" s="33">
        <f>IF(AND($B49&gt;=InputTriangles!$D$8,$CT49&gt;=BN$41),1,0)</f>
        <v>0</v>
      </c>
      <c r="BO49" s="33">
        <f>IF(AND($B49&gt;=InputTriangles!$D$8,$CT49&gt;=BO$41),1,0)</f>
        <v>0</v>
      </c>
      <c r="BP49" s="33">
        <f>IF(AND($B49&gt;=InputTriangles!$D$8,$CT49&gt;=BP$41),1,0)</f>
        <v>0</v>
      </c>
      <c r="BQ49" s="33">
        <f>IF(AND($B49&gt;=InputTriangles!$D$8,$CT49&gt;=BQ$41),1,0)</f>
        <v>0</v>
      </c>
      <c r="BR49" s="33">
        <f>IF(AND($B49&gt;=InputTriangles!$D$8,$CT49&gt;=BR$41),1,0)</f>
        <v>0</v>
      </c>
      <c r="BS49" s="33">
        <f>IF(AND($B49&gt;=InputTriangles!$D$8,$CT49&gt;=BS$41),1,0)</f>
        <v>0</v>
      </c>
      <c r="BT49" s="33">
        <f>IF(AND($B49&gt;=InputTriangles!$D$8,$CT49&gt;=BT$41),1,0)</f>
        <v>0</v>
      </c>
      <c r="BU49" s="33">
        <f>IF(AND($B49&gt;=InputTriangles!$D$8,$CT49&gt;=BU$41),1,0)</f>
        <v>0</v>
      </c>
      <c r="BV49" s="33">
        <f>IF(AND($B49&gt;=InputTriangles!$D$8,$CT49&gt;=BV$41),1,0)</f>
        <v>0</v>
      </c>
      <c r="BW49" s="33">
        <f>IF(AND($B49&gt;=InputTriangles!$D$8,$CT49&gt;=BW$41),1,0)</f>
        <v>0</v>
      </c>
      <c r="BX49" s="33">
        <f>IF(AND($B49&gt;=InputTriangles!$D$8,$CT49&gt;=BX$41),1,0)</f>
        <v>0</v>
      </c>
      <c r="BY49" s="33">
        <f>IF(AND($B49&gt;=InputTriangles!$D$8,$CT49&gt;=BY$41),1,0)</f>
        <v>0</v>
      </c>
      <c r="BZ49" s="33">
        <f>IF(AND($B49&gt;=InputTriangles!$D$8,$CT49&gt;=BZ$41),1,0)</f>
        <v>0</v>
      </c>
      <c r="CA49" s="33">
        <f>IF(AND($B49&gt;=InputTriangles!$D$8,$CT49&gt;=CA$41),1,0)</f>
        <v>0</v>
      </c>
      <c r="CB49" s="33">
        <f>IF(AND($B49&gt;=InputTriangles!$D$8,$CT49&gt;=CB$41),1,0)</f>
        <v>0</v>
      </c>
      <c r="CC49" s="33">
        <f>IF(AND($B49&gt;=InputTriangles!$D$8,$CT49&gt;=CC$41),1,0)</f>
        <v>0</v>
      </c>
      <c r="CD49" s="33">
        <f>IF(AND($B49&gt;=InputTriangles!$D$8,$CT49&gt;=CD$41),1,0)</f>
        <v>0</v>
      </c>
      <c r="CE49" s="33">
        <f>IF(AND($B49&gt;=InputTriangles!$D$8,$CT49&gt;=CE$41),1,0)</f>
        <v>0</v>
      </c>
      <c r="CF49" s="33">
        <f>IF(AND($B49&gt;=InputTriangles!$D$8,$CT49&gt;=CF$41),1,0)</f>
        <v>0</v>
      </c>
      <c r="CG49" s="33">
        <f>IF(AND($B49&gt;=InputTriangles!$D$8,$CT49&gt;=CG$41),1,0)</f>
        <v>0</v>
      </c>
      <c r="CH49" s="33">
        <f>IF(AND($B49&gt;=InputTriangles!$D$8,$CT49&gt;=CH$41),1,0)</f>
        <v>0</v>
      </c>
      <c r="CI49" s="33">
        <f>IF(AND($B49&gt;=InputTriangles!$D$8,$CT49&gt;=CI$41),1,0)</f>
        <v>0</v>
      </c>
      <c r="CJ49" s="33">
        <f>IF(AND($B49&gt;=InputTriangles!$D$8,$CT49&gt;=CJ$41),1,0)</f>
        <v>0</v>
      </c>
      <c r="CK49" s="33">
        <f>IF(AND($B49&gt;=InputTriangles!$D$8,$CT49&gt;=CK$41),1,0)</f>
        <v>0</v>
      </c>
      <c r="CL49" s="33">
        <f>IF(AND($B49&gt;=InputTriangles!$D$8,$CT49&gt;=CL$41),1,0)</f>
        <v>0</v>
      </c>
      <c r="CM49" s="33">
        <f>IF(AND($B49&gt;=InputTriangles!$D$8,$CT49&gt;=CM$41),1,0)</f>
        <v>0</v>
      </c>
      <c r="CN49" s="33">
        <f>IF(AND($B49&gt;=InputTriangles!$D$8,$CT49&gt;=CN$41),1,0)</f>
        <v>0</v>
      </c>
      <c r="CO49" s="33">
        <f>IF(AND($B49&gt;=InputTriangles!$D$8,$CT49&gt;=CO$41),1,0)</f>
        <v>0</v>
      </c>
      <c r="CP49" s="33">
        <f>IF(AND($B49&gt;=InputTriangles!$D$8,$CT49&gt;=CP$41),1,0)</f>
        <v>0</v>
      </c>
      <c r="CQ49" s="33">
        <f>IF(AND($B49&gt;=InputTriangles!$D$8,$CT49&gt;=CQ$41),1,0)</f>
        <v>0</v>
      </c>
      <c r="CR49" s="33">
        <f>IF(AND($B49&gt;=InputTriangles!$D$8,$CT49&gt;=CR$41),1,0)</f>
        <v>0</v>
      </c>
      <c r="CS49" s="32">
        <f>IF(AND($B49&gt;=InputTriangles!$D$8,$CT49&gt;=CS$41),1,0)</f>
        <v>0</v>
      </c>
      <c r="CT49" s="31">
        <f>($D$9-InputTriangles!$B49)*InputTriangles!$E$4+$D$6</f>
        <v>17</v>
      </c>
    </row>
    <row r="50" spans="1:98" hidden="1" x14ac:dyDescent="0.25">
      <c r="A50" s="97">
        <v>0</v>
      </c>
      <c r="B50" s="29">
        <f t="shared" si="42"/>
        <v>2004</v>
      </c>
      <c r="C50" s="30">
        <f>IF(AND($B50&gt;=InputTriangles!$D$8,$CT50&gt;=C$41),1,0)</f>
        <v>0</v>
      </c>
      <c r="D50" s="33">
        <f>IF(AND($B50&gt;=InputTriangles!$D$8,$CT50&gt;=D$41),1,0)</f>
        <v>0</v>
      </c>
      <c r="E50" s="33">
        <f>IF(AND($B50&gt;=InputTriangles!$D$8,$CT50&gt;=E$41),1,0)</f>
        <v>0</v>
      </c>
      <c r="F50" s="33">
        <f>IF(AND($B50&gt;=InputTriangles!$D$8,$CT50&gt;=F$41),1,0)</f>
        <v>0</v>
      </c>
      <c r="G50" s="33">
        <f>IF(AND($B50&gt;=InputTriangles!$D$8,$CT50&gt;=G$41),1,0)</f>
        <v>0</v>
      </c>
      <c r="H50" s="33">
        <f>IF(AND($B50&gt;=InputTriangles!$D$8,$CT50&gt;=H$41),1,0)</f>
        <v>0</v>
      </c>
      <c r="I50" s="33">
        <f>IF(AND($B50&gt;=InputTriangles!$D$8,$CT50&gt;=I$41),1,0)</f>
        <v>0</v>
      </c>
      <c r="J50" s="33">
        <f>IF(AND($B50&gt;=InputTriangles!$D$8,$CT50&gt;=J$41),1,0)</f>
        <v>0</v>
      </c>
      <c r="K50" s="33">
        <f>IF(AND($B50&gt;=InputTriangles!$D$8,$CT50&gt;=K$41),1,0)</f>
        <v>0</v>
      </c>
      <c r="L50" s="33">
        <f>IF(AND($B50&gt;=InputTriangles!$D$8,$CT50&gt;=L$41),1,0)</f>
        <v>0</v>
      </c>
      <c r="M50" s="33">
        <f>IF(AND($B50&gt;=InputTriangles!$D$8,$CT50&gt;=M$41),1,0)</f>
        <v>0</v>
      </c>
      <c r="N50" s="33">
        <f>IF(AND($B50&gt;=InputTriangles!$D$8,$CT50&gt;=N$41),1,0)</f>
        <v>0</v>
      </c>
      <c r="O50" s="33">
        <f>IF(AND($B50&gt;=InputTriangles!$D$8,$CT50&gt;=O$41),1,0)</f>
        <v>0</v>
      </c>
      <c r="P50" s="33">
        <f>IF(AND($B50&gt;=InputTriangles!$D$8,$CT50&gt;=P$41),1,0)</f>
        <v>0</v>
      </c>
      <c r="Q50" s="33">
        <f>IF(AND($B50&gt;=InputTriangles!$D$8,$CT50&gt;=Q$41),1,0)</f>
        <v>0</v>
      </c>
      <c r="R50" s="33">
        <f>IF(AND($B50&gt;=InputTriangles!$D$8,$CT50&gt;=R$41),1,0)</f>
        <v>0</v>
      </c>
      <c r="S50" s="33">
        <f>IF(AND($B50&gt;=InputTriangles!$D$8,$CT50&gt;=S$41),1,0)</f>
        <v>0</v>
      </c>
      <c r="T50" s="33">
        <f>IF(AND($B50&gt;=InputTriangles!$D$8,$CT50&gt;=T$41),1,0)</f>
        <v>0</v>
      </c>
      <c r="U50" s="33">
        <f>IF(AND($B50&gt;=InputTriangles!$D$8,$CT50&gt;=U$41),1,0)</f>
        <v>0</v>
      </c>
      <c r="V50" s="33">
        <f>IF(AND($B50&gt;=InputTriangles!$D$8,$CT50&gt;=V$41),1,0)</f>
        <v>0</v>
      </c>
      <c r="W50" s="33">
        <f>IF(AND($B50&gt;=InputTriangles!$D$8,$CT50&gt;=W$41),1,0)</f>
        <v>0</v>
      </c>
      <c r="X50" s="33">
        <f>IF(AND($B50&gt;=InputTriangles!$D$8,$CT50&gt;=X$41),1,0)</f>
        <v>0</v>
      </c>
      <c r="Y50" s="33">
        <f>IF(AND($B50&gt;=InputTriangles!$D$8,$CT50&gt;=Y$41),1,0)</f>
        <v>0</v>
      </c>
      <c r="Z50" s="33">
        <f>IF(AND($B50&gt;=InputTriangles!$D$8,$CT50&gt;=Z$41),1,0)</f>
        <v>0</v>
      </c>
      <c r="AA50" s="33">
        <f>IF(AND($B50&gt;=InputTriangles!$D$8,$CT50&gt;=AA$41),1,0)</f>
        <v>0</v>
      </c>
      <c r="AB50" s="33">
        <f>IF(AND($B50&gt;=InputTriangles!$D$8,$CT50&gt;=AB$41),1,0)</f>
        <v>0</v>
      </c>
      <c r="AC50" s="33">
        <f>IF(AND($B50&gt;=InputTriangles!$D$8,$CT50&gt;=AC$41),1,0)</f>
        <v>0</v>
      </c>
      <c r="AD50" s="33">
        <f>IF(AND($B50&gt;=InputTriangles!$D$8,$CT50&gt;=AD$41),1,0)</f>
        <v>0</v>
      </c>
      <c r="AE50" s="33">
        <f>IF(AND($B50&gt;=InputTriangles!$D$8,$CT50&gt;=AE$41),1,0)</f>
        <v>0</v>
      </c>
      <c r="AF50" s="33">
        <f>IF(AND($B50&gt;=InputTriangles!$D$8,$CT50&gt;=AF$41),1,0)</f>
        <v>0</v>
      </c>
      <c r="AG50" s="33">
        <f>IF(AND($B50&gt;=InputTriangles!$D$8,$CT50&gt;=AG$41),1,0)</f>
        <v>0</v>
      </c>
      <c r="AH50" s="33">
        <f>IF(AND($B50&gt;=InputTriangles!$D$8,$CT50&gt;=AH$41),1,0)</f>
        <v>0</v>
      </c>
      <c r="AI50" s="33">
        <f>IF(AND($B50&gt;=InputTriangles!$D$8,$CT50&gt;=AI$41),1,0)</f>
        <v>0</v>
      </c>
      <c r="AJ50" s="33">
        <f>IF(AND($B50&gt;=InputTriangles!$D$8,$CT50&gt;=AJ$41),1,0)</f>
        <v>0</v>
      </c>
      <c r="AK50" s="33">
        <f>IF(AND($B50&gt;=InputTriangles!$D$8,$CT50&gt;=AK$41),1,0)</f>
        <v>0</v>
      </c>
      <c r="AL50" s="33">
        <f>IF(AND($B50&gt;=InputTriangles!$D$8,$CT50&gt;=AL$41),1,0)</f>
        <v>0</v>
      </c>
      <c r="AM50" s="33">
        <f>IF(AND($B50&gt;=InputTriangles!$D$8,$CT50&gt;=AM$41),1,0)</f>
        <v>0</v>
      </c>
      <c r="AN50" s="33">
        <f>IF(AND($B50&gt;=InputTriangles!$D$8,$CT50&gt;=AN$41),1,0)</f>
        <v>0</v>
      </c>
      <c r="AO50" s="33">
        <f>IF(AND($B50&gt;=InputTriangles!$D$8,$CT50&gt;=AO$41),1,0)</f>
        <v>0</v>
      </c>
      <c r="AP50" s="33">
        <f>IF(AND($B50&gt;=InputTriangles!$D$8,$CT50&gt;=AP$41),1,0)</f>
        <v>0</v>
      </c>
      <c r="AQ50" s="33">
        <f>IF(AND($B50&gt;=InputTriangles!$D$8,$CT50&gt;=AQ$41),1,0)</f>
        <v>0</v>
      </c>
      <c r="AR50" s="33">
        <f>IF(AND($B50&gt;=InputTriangles!$D$8,$CT50&gt;=AR$41),1,0)</f>
        <v>0</v>
      </c>
      <c r="AS50" s="33">
        <f>IF(AND($B50&gt;=InputTriangles!$D$8,$CT50&gt;=AS$41),1,0)</f>
        <v>0</v>
      </c>
      <c r="AT50" s="33">
        <f>IF(AND($B50&gt;=InputTriangles!$D$8,$CT50&gt;=AT$41),1,0)</f>
        <v>0</v>
      </c>
      <c r="AU50" s="33">
        <f>IF(AND($B50&gt;=InputTriangles!$D$8,$CT50&gt;=AU$41),1,0)</f>
        <v>0</v>
      </c>
      <c r="AV50" s="33">
        <f>IF(AND($B50&gt;=InputTriangles!$D$8,$CT50&gt;=AV$41),1,0)</f>
        <v>0</v>
      </c>
      <c r="AW50" s="33">
        <f>IF(AND($B50&gt;=InputTriangles!$D$8,$CT50&gt;=AW$41),1,0)</f>
        <v>0</v>
      </c>
      <c r="AX50" s="33">
        <f>IF(AND($B50&gt;=InputTriangles!$D$8,$CT50&gt;=AX$41),1,0)</f>
        <v>0</v>
      </c>
      <c r="AY50" s="33">
        <f>IF(AND($B50&gt;=InputTriangles!$D$8,$CT50&gt;=AY$41),1,0)</f>
        <v>0</v>
      </c>
      <c r="AZ50" s="33">
        <f>IF(AND($B50&gt;=InputTriangles!$D$8,$CT50&gt;=AZ$41),1,0)</f>
        <v>0</v>
      </c>
      <c r="BA50" s="33">
        <f>IF(AND($B50&gt;=InputTriangles!$D$8,$CT50&gt;=BA$41),1,0)</f>
        <v>0</v>
      </c>
      <c r="BB50" s="33">
        <f>IF(AND($B50&gt;=InputTriangles!$D$8,$CT50&gt;=BB$41),1,0)</f>
        <v>0</v>
      </c>
      <c r="BC50" s="33">
        <f>IF(AND($B50&gt;=InputTriangles!$D$8,$CT50&gt;=BC$41),1,0)</f>
        <v>0</v>
      </c>
      <c r="BD50" s="33">
        <f>IF(AND($B50&gt;=InputTriangles!$D$8,$CT50&gt;=BD$41),1,0)</f>
        <v>0</v>
      </c>
      <c r="BE50" s="33">
        <f>IF(AND($B50&gt;=InputTriangles!$D$8,$CT50&gt;=BE$41),1,0)</f>
        <v>0</v>
      </c>
      <c r="BF50" s="33">
        <f>IF(AND($B50&gt;=InputTriangles!$D$8,$CT50&gt;=BF$41),1,0)</f>
        <v>0</v>
      </c>
      <c r="BG50" s="33">
        <f>IF(AND($B50&gt;=InputTriangles!$D$8,$CT50&gt;=BG$41),1,0)</f>
        <v>0</v>
      </c>
      <c r="BH50" s="33">
        <f>IF(AND($B50&gt;=InputTriangles!$D$8,$CT50&gt;=BH$41),1,0)</f>
        <v>0</v>
      </c>
      <c r="BI50" s="33">
        <f>IF(AND($B50&gt;=InputTriangles!$D$8,$CT50&gt;=BI$41),1,0)</f>
        <v>0</v>
      </c>
      <c r="BJ50" s="33">
        <f>IF(AND($B50&gt;=InputTriangles!$D$8,$CT50&gt;=BJ$41),1,0)</f>
        <v>0</v>
      </c>
      <c r="BK50" s="33">
        <f>IF(AND($B50&gt;=InputTriangles!$D$8,$CT50&gt;=BK$41),1,0)</f>
        <v>0</v>
      </c>
      <c r="BL50" s="33">
        <f>IF(AND($B50&gt;=InputTriangles!$D$8,$CT50&gt;=BL$41),1,0)</f>
        <v>0</v>
      </c>
      <c r="BM50" s="33">
        <f>IF(AND($B50&gt;=InputTriangles!$D$8,$CT50&gt;=BM$41),1,0)</f>
        <v>0</v>
      </c>
      <c r="BN50" s="33">
        <f>IF(AND($B50&gt;=InputTriangles!$D$8,$CT50&gt;=BN$41),1,0)</f>
        <v>0</v>
      </c>
      <c r="BO50" s="33">
        <f>IF(AND($B50&gt;=InputTriangles!$D$8,$CT50&gt;=BO$41),1,0)</f>
        <v>0</v>
      </c>
      <c r="BP50" s="33">
        <f>IF(AND($B50&gt;=InputTriangles!$D$8,$CT50&gt;=BP$41),1,0)</f>
        <v>0</v>
      </c>
      <c r="BQ50" s="33">
        <f>IF(AND($B50&gt;=InputTriangles!$D$8,$CT50&gt;=BQ$41),1,0)</f>
        <v>0</v>
      </c>
      <c r="BR50" s="33">
        <f>IF(AND($B50&gt;=InputTriangles!$D$8,$CT50&gt;=BR$41),1,0)</f>
        <v>0</v>
      </c>
      <c r="BS50" s="33">
        <f>IF(AND($B50&gt;=InputTriangles!$D$8,$CT50&gt;=BS$41),1,0)</f>
        <v>0</v>
      </c>
      <c r="BT50" s="33">
        <f>IF(AND($B50&gt;=InputTriangles!$D$8,$CT50&gt;=BT$41),1,0)</f>
        <v>0</v>
      </c>
      <c r="BU50" s="33">
        <f>IF(AND($B50&gt;=InputTriangles!$D$8,$CT50&gt;=BU$41),1,0)</f>
        <v>0</v>
      </c>
      <c r="BV50" s="33">
        <f>IF(AND($B50&gt;=InputTriangles!$D$8,$CT50&gt;=BV$41),1,0)</f>
        <v>0</v>
      </c>
      <c r="BW50" s="33">
        <f>IF(AND($B50&gt;=InputTriangles!$D$8,$CT50&gt;=BW$41),1,0)</f>
        <v>0</v>
      </c>
      <c r="BX50" s="33">
        <f>IF(AND($B50&gt;=InputTriangles!$D$8,$CT50&gt;=BX$41),1,0)</f>
        <v>0</v>
      </c>
      <c r="BY50" s="33">
        <f>IF(AND($B50&gt;=InputTriangles!$D$8,$CT50&gt;=BY$41),1,0)</f>
        <v>0</v>
      </c>
      <c r="BZ50" s="33">
        <f>IF(AND($B50&gt;=InputTriangles!$D$8,$CT50&gt;=BZ$41),1,0)</f>
        <v>0</v>
      </c>
      <c r="CA50" s="33">
        <f>IF(AND($B50&gt;=InputTriangles!$D$8,$CT50&gt;=CA$41),1,0)</f>
        <v>0</v>
      </c>
      <c r="CB50" s="33">
        <f>IF(AND($B50&gt;=InputTriangles!$D$8,$CT50&gt;=CB$41),1,0)</f>
        <v>0</v>
      </c>
      <c r="CC50" s="33">
        <f>IF(AND($B50&gt;=InputTriangles!$D$8,$CT50&gt;=CC$41),1,0)</f>
        <v>0</v>
      </c>
      <c r="CD50" s="33">
        <f>IF(AND($B50&gt;=InputTriangles!$D$8,$CT50&gt;=CD$41),1,0)</f>
        <v>0</v>
      </c>
      <c r="CE50" s="33">
        <f>IF(AND($B50&gt;=InputTriangles!$D$8,$CT50&gt;=CE$41),1,0)</f>
        <v>0</v>
      </c>
      <c r="CF50" s="33">
        <f>IF(AND($B50&gt;=InputTriangles!$D$8,$CT50&gt;=CF$41),1,0)</f>
        <v>0</v>
      </c>
      <c r="CG50" s="33">
        <f>IF(AND($B50&gt;=InputTriangles!$D$8,$CT50&gt;=CG$41),1,0)</f>
        <v>0</v>
      </c>
      <c r="CH50" s="33">
        <f>IF(AND($B50&gt;=InputTriangles!$D$8,$CT50&gt;=CH$41),1,0)</f>
        <v>0</v>
      </c>
      <c r="CI50" s="33">
        <f>IF(AND($B50&gt;=InputTriangles!$D$8,$CT50&gt;=CI$41),1,0)</f>
        <v>0</v>
      </c>
      <c r="CJ50" s="33">
        <f>IF(AND($B50&gt;=InputTriangles!$D$8,$CT50&gt;=CJ$41),1,0)</f>
        <v>0</v>
      </c>
      <c r="CK50" s="33">
        <f>IF(AND($B50&gt;=InputTriangles!$D$8,$CT50&gt;=CK$41),1,0)</f>
        <v>0</v>
      </c>
      <c r="CL50" s="33">
        <f>IF(AND($B50&gt;=InputTriangles!$D$8,$CT50&gt;=CL$41),1,0)</f>
        <v>0</v>
      </c>
      <c r="CM50" s="33">
        <f>IF(AND($B50&gt;=InputTriangles!$D$8,$CT50&gt;=CM$41),1,0)</f>
        <v>0</v>
      </c>
      <c r="CN50" s="33">
        <f>IF(AND($B50&gt;=InputTriangles!$D$8,$CT50&gt;=CN$41),1,0)</f>
        <v>0</v>
      </c>
      <c r="CO50" s="33">
        <f>IF(AND($B50&gt;=InputTriangles!$D$8,$CT50&gt;=CO$41),1,0)</f>
        <v>0</v>
      </c>
      <c r="CP50" s="33">
        <f>IF(AND($B50&gt;=InputTriangles!$D$8,$CT50&gt;=CP$41),1,0)</f>
        <v>0</v>
      </c>
      <c r="CQ50" s="33">
        <f>IF(AND($B50&gt;=InputTriangles!$D$8,$CT50&gt;=CQ$41),1,0)</f>
        <v>0</v>
      </c>
      <c r="CR50" s="33">
        <f>IF(AND($B50&gt;=InputTriangles!$D$8,$CT50&gt;=CR$41),1,0)</f>
        <v>0</v>
      </c>
      <c r="CS50" s="32">
        <f>IF(AND($B50&gt;=InputTriangles!$D$8,$CT50&gt;=CS$41),1,0)</f>
        <v>0</v>
      </c>
      <c r="CT50" s="31">
        <f>($D$9-InputTriangles!$B50)*InputTriangles!$E$4+$D$6</f>
        <v>16</v>
      </c>
    </row>
    <row r="51" spans="1:98" hidden="1" x14ac:dyDescent="0.25">
      <c r="A51" s="97">
        <v>0</v>
      </c>
      <c r="B51" s="29">
        <f t="shared" si="42"/>
        <v>2005</v>
      </c>
      <c r="C51" s="30">
        <f>IF(AND($B51&gt;=InputTriangles!$D$8,$CT51&gt;=C$41),1,0)</f>
        <v>0</v>
      </c>
      <c r="D51" s="33">
        <f>IF(AND($B51&gt;=InputTriangles!$D$8,$CT51&gt;=D$41),1,0)</f>
        <v>0</v>
      </c>
      <c r="E51" s="33">
        <f>IF(AND($B51&gt;=InputTriangles!$D$8,$CT51&gt;=E$41),1,0)</f>
        <v>0</v>
      </c>
      <c r="F51" s="33">
        <f>IF(AND($B51&gt;=InputTriangles!$D$8,$CT51&gt;=F$41),1,0)</f>
        <v>0</v>
      </c>
      <c r="G51" s="33">
        <f>IF(AND($B51&gt;=InputTriangles!$D$8,$CT51&gt;=G$41),1,0)</f>
        <v>0</v>
      </c>
      <c r="H51" s="33">
        <f>IF(AND($B51&gt;=InputTriangles!$D$8,$CT51&gt;=H$41),1,0)</f>
        <v>0</v>
      </c>
      <c r="I51" s="33">
        <f>IF(AND($B51&gt;=InputTriangles!$D$8,$CT51&gt;=I$41),1,0)</f>
        <v>0</v>
      </c>
      <c r="J51" s="33">
        <f>IF(AND($B51&gt;=InputTriangles!$D$8,$CT51&gt;=J$41),1,0)</f>
        <v>0</v>
      </c>
      <c r="K51" s="33">
        <f>IF(AND($B51&gt;=InputTriangles!$D$8,$CT51&gt;=K$41),1,0)</f>
        <v>0</v>
      </c>
      <c r="L51" s="33">
        <f>IF(AND($B51&gt;=InputTriangles!$D$8,$CT51&gt;=L$41),1,0)</f>
        <v>0</v>
      </c>
      <c r="M51" s="33">
        <f>IF(AND($B51&gt;=InputTriangles!$D$8,$CT51&gt;=M$41),1,0)</f>
        <v>0</v>
      </c>
      <c r="N51" s="33">
        <f>IF(AND($B51&gt;=InputTriangles!$D$8,$CT51&gt;=N$41),1,0)</f>
        <v>0</v>
      </c>
      <c r="O51" s="33">
        <f>IF(AND($B51&gt;=InputTriangles!$D$8,$CT51&gt;=O$41),1,0)</f>
        <v>0</v>
      </c>
      <c r="P51" s="33">
        <f>IF(AND($B51&gt;=InputTriangles!$D$8,$CT51&gt;=P$41),1,0)</f>
        <v>0</v>
      </c>
      <c r="Q51" s="33">
        <f>IF(AND($B51&gt;=InputTriangles!$D$8,$CT51&gt;=Q$41),1,0)</f>
        <v>0</v>
      </c>
      <c r="R51" s="33">
        <f>IF(AND($B51&gt;=InputTriangles!$D$8,$CT51&gt;=R$41),1,0)</f>
        <v>0</v>
      </c>
      <c r="S51" s="33">
        <f>IF(AND($B51&gt;=InputTriangles!$D$8,$CT51&gt;=S$41),1,0)</f>
        <v>0</v>
      </c>
      <c r="T51" s="33">
        <f>IF(AND($B51&gt;=InputTriangles!$D$8,$CT51&gt;=T$41),1,0)</f>
        <v>0</v>
      </c>
      <c r="U51" s="33">
        <f>IF(AND($B51&gt;=InputTriangles!$D$8,$CT51&gt;=U$41),1,0)</f>
        <v>0</v>
      </c>
      <c r="V51" s="33">
        <f>IF(AND($B51&gt;=InputTriangles!$D$8,$CT51&gt;=V$41),1,0)</f>
        <v>0</v>
      </c>
      <c r="W51" s="33">
        <f>IF(AND($B51&gt;=InputTriangles!$D$8,$CT51&gt;=W$41),1,0)</f>
        <v>0</v>
      </c>
      <c r="X51" s="33">
        <f>IF(AND($B51&gt;=InputTriangles!$D$8,$CT51&gt;=X$41),1,0)</f>
        <v>0</v>
      </c>
      <c r="Y51" s="33">
        <f>IF(AND($B51&gt;=InputTriangles!$D$8,$CT51&gt;=Y$41),1,0)</f>
        <v>0</v>
      </c>
      <c r="Z51" s="33">
        <f>IF(AND($B51&gt;=InputTriangles!$D$8,$CT51&gt;=Z$41),1,0)</f>
        <v>0</v>
      </c>
      <c r="AA51" s="33">
        <f>IF(AND($B51&gt;=InputTriangles!$D$8,$CT51&gt;=AA$41),1,0)</f>
        <v>0</v>
      </c>
      <c r="AB51" s="33">
        <f>IF(AND($B51&gt;=InputTriangles!$D$8,$CT51&gt;=AB$41),1,0)</f>
        <v>0</v>
      </c>
      <c r="AC51" s="33">
        <f>IF(AND($B51&gt;=InputTriangles!$D$8,$CT51&gt;=AC$41),1,0)</f>
        <v>0</v>
      </c>
      <c r="AD51" s="33">
        <f>IF(AND($B51&gt;=InputTriangles!$D$8,$CT51&gt;=AD$41),1,0)</f>
        <v>0</v>
      </c>
      <c r="AE51" s="33">
        <f>IF(AND($B51&gt;=InputTriangles!$D$8,$CT51&gt;=AE$41),1,0)</f>
        <v>0</v>
      </c>
      <c r="AF51" s="33">
        <f>IF(AND($B51&gt;=InputTriangles!$D$8,$CT51&gt;=AF$41),1,0)</f>
        <v>0</v>
      </c>
      <c r="AG51" s="33">
        <f>IF(AND($B51&gt;=InputTriangles!$D$8,$CT51&gt;=AG$41),1,0)</f>
        <v>0</v>
      </c>
      <c r="AH51" s="33">
        <f>IF(AND($B51&gt;=InputTriangles!$D$8,$CT51&gt;=AH$41),1,0)</f>
        <v>0</v>
      </c>
      <c r="AI51" s="33">
        <f>IF(AND($B51&gt;=InputTriangles!$D$8,$CT51&gt;=AI$41),1,0)</f>
        <v>0</v>
      </c>
      <c r="AJ51" s="33">
        <f>IF(AND($B51&gt;=InputTriangles!$D$8,$CT51&gt;=AJ$41),1,0)</f>
        <v>0</v>
      </c>
      <c r="AK51" s="33">
        <f>IF(AND($B51&gt;=InputTriangles!$D$8,$CT51&gt;=AK$41),1,0)</f>
        <v>0</v>
      </c>
      <c r="AL51" s="33">
        <f>IF(AND($B51&gt;=InputTriangles!$D$8,$CT51&gt;=AL$41),1,0)</f>
        <v>0</v>
      </c>
      <c r="AM51" s="33">
        <f>IF(AND($B51&gt;=InputTriangles!$D$8,$CT51&gt;=AM$41),1,0)</f>
        <v>0</v>
      </c>
      <c r="AN51" s="33">
        <f>IF(AND($B51&gt;=InputTriangles!$D$8,$CT51&gt;=AN$41),1,0)</f>
        <v>0</v>
      </c>
      <c r="AO51" s="33">
        <f>IF(AND($B51&gt;=InputTriangles!$D$8,$CT51&gt;=AO$41),1,0)</f>
        <v>0</v>
      </c>
      <c r="AP51" s="33">
        <f>IF(AND($B51&gt;=InputTriangles!$D$8,$CT51&gt;=AP$41),1,0)</f>
        <v>0</v>
      </c>
      <c r="AQ51" s="33">
        <f>IF(AND($B51&gt;=InputTriangles!$D$8,$CT51&gt;=AQ$41),1,0)</f>
        <v>0</v>
      </c>
      <c r="AR51" s="33">
        <f>IF(AND($B51&gt;=InputTriangles!$D$8,$CT51&gt;=AR$41),1,0)</f>
        <v>0</v>
      </c>
      <c r="AS51" s="33">
        <f>IF(AND($B51&gt;=InputTriangles!$D$8,$CT51&gt;=AS$41),1,0)</f>
        <v>0</v>
      </c>
      <c r="AT51" s="33">
        <f>IF(AND($B51&gt;=InputTriangles!$D$8,$CT51&gt;=AT$41),1,0)</f>
        <v>0</v>
      </c>
      <c r="AU51" s="33">
        <f>IF(AND($B51&gt;=InputTriangles!$D$8,$CT51&gt;=AU$41),1,0)</f>
        <v>0</v>
      </c>
      <c r="AV51" s="33">
        <f>IF(AND($B51&gt;=InputTriangles!$D$8,$CT51&gt;=AV$41),1,0)</f>
        <v>0</v>
      </c>
      <c r="AW51" s="33">
        <f>IF(AND($B51&gt;=InputTriangles!$D$8,$CT51&gt;=AW$41),1,0)</f>
        <v>0</v>
      </c>
      <c r="AX51" s="33">
        <f>IF(AND($B51&gt;=InputTriangles!$D$8,$CT51&gt;=AX$41),1,0)</f>
        <v>0</v>
      </c>
      <c r="AY51" s="33">
        <f>IF(AND($B51&gt;=InputTriangles!$D$8,$CT51&gt;=AY$41),1,0)</f>
        <v>0</v>
      </c>
      <c r="AZ51" s="33">
        <f>IF(AND($B51&gt;=InputTriangles!$D$8,$CT51&gt;=AZ$41),1,0)</f>
        <v>0</v>
      </c>
      <c r="BA51" s="33">
        <f>IF(AND($B51&gt;=InputTriangles!$D$8,$CT51&gt;=BA$41),1,0)</f>
        <v>0</v>
      </c>
      <c r="BB51" s="33">
        <f>IF(AND($B51&gt;=InputTriangles!$D$8,$CT51&gt;=BB$41),1,0)</f>
        <v>0</v>
      </c>
      <c r="BC51" s="33">
        <f>IF(AND($B51&gt;=InputTriangles!$D$8,$CT51&gt;=BC$41),1,0)</f>
        <v>0</v>
      </c>
      <c r="BD51" s="33">
        <f>IF(AND($B51&gt;=InputTriangles!$D$8,$CT51&gt;=BD$41),1,0)</f>
        <v>0</v>
      </c>
      <c r="BE51" s="33">
        <f>IF(AND($B51&gt;=InputTriangles!$D$8,$CT51&gt;=BE$41),1,0)</f>
        <v>0</v>
      </c>
      <c r="BF51" s="33">
        <f>IF(AND($B51&gt;=InputTriangles!$D$8,$CT51&gt;=BF$41),1,0)</f>
        <v>0</v>
      </c>
      <c r="BG51" s="33">
        <f>IF(AND($B51&gt;=InputTriangles!$D$8,$CT51&gt;=BG$41),1,0)</f>
        <v>0</v>
      </c>
      <c r="BH51" s="33">
        <f>IF(AND($B51&gt;=InputTriangles!$D$8,$CT51&gt;=BH$41),1,0)</f>
        <v>0</v>
      </c>
      <c r="BI51" s="33">
        <f>IF(AND($B51&gt;=InputTriangles!$D$8,$CT51&gt;=BI$41),1,0)</f>
        <v>0</v>
      </c>
      <c r="BJ51" s="33">
        <f>IF(AND($B51&gt;=InputTriangles!$D$8,$CT51&gt;=BJ$41),1,0)</f>
        <v>0</v>
      </c>
      <c r="BK51" s="33">
        <f>IF(AND($B51&gt;=InputTriangles!$D$8,$CT51&gt;=BK$41),1,0)</f>
        <v>0</v>
      </c>
      <c r="BL51" s="33">
        <f>IF(AND($B51&gt;=InputTriangles!$D$8,$CT51&gt;=BL$41),1,0)</f>
        <v>0</v>
      </c>
      <c r="BM51" s="33">
        <f>IF(AND($B51&gt;=InputTriangles!$D$8,$CT51&gt;=BM$41),1,0)</f>
        <v>0</v>
      </c>
      <c r="BN51" s="33">
        <f>IF(AND($B51&gt;=InputTriangles!$D$8,$CT51&gt;=BN$41),1,0)</f>
        <v>0</v>
      </c>
      <c r="BO51" s="33">
        <f>IF(AND($B51&gt;=InputTriangles!$D$8,$CT51&gt;=BO$41),1,0)</f>
        <v>0</v>
      </c>
      <c r="BP51" s="33">
        <f>IF(AND($B51&gt;=InputTriangles!$D$8,$CT51&gt;=BP$41),1,0)</f>
        <v>0</v>
      </c>
      <c r="BQ51" s="33">
        <f>IF(AND($B51&gt;=InputTriangles!$D$8,$CT51&gt;=BQ$41),1,0)</f>
        <v>0</v>
      </c>
      <c r="BR51" s="33">
        <f>IF(AND($B51&gt;=InputTriangles!$D$8,$CT51&gt;=BR$41),1,0)</f>
        <v>0</v>
      </c>
      <c r="BS51" s="33">
        <f>IF(AND($B51&gt;=InputTriangles!$D$8,$CT51&gt;=BS$41),1,0)</f>
        <v>0</v>
      </c>
      <c r="BT51" s="33">
        <f>IF(AND($B51&gt;=InputTriangles!$D$8,$CT51&gt;=BT$41),1,0)</f>
        <v>0</v>
      </c>
      <c r="BU51" s="33">
        <f>IF(AND($B51&gt;=InputTriangles!$D$8,$CT51&gt;=BU$41),1,0)</f>
        <v>0</v>
      </c>
      <c r="BV51" s="33">
        <f>IF(AND($B51&gt;=InputTriangles!$D$8,$CT51&gt;=BV$41),1,0)</f>
        <v>0</v>
      </c>
      <c r="BW51" s="33">
        <f>IF(AND($B51&gt;=InputTriangles!$D$8,$CT51&gt;=BW$41),1,0)</f>
        <v>0</v>
      </c>
      <c r="BX51" s="33">
        <f>IF(AND($B51&gt;=InputTriangles!$D$8,$CT51&gt;=BX$41),1,0)</f>
        <v>0</v>
      </c>
      <c r="BY51" s="33">
        <f>IF(AND($B51&gt;=InputTriangles!$D$8,$CT51&gt;=BY$41),1,0)</f>
        <v>0</v>
      </c>
      <c r="BZ51" s="33">
        <f>IF(AND($B51&gt;=InputTriangles!$D$8,$CT51&gt;=BZ$41),1,0)</f>
        <v>0</v>
      </c>
      <c r="CA51" s="33">
        <f>IF(AND($B51&gt;=InputTriangles!$D$8,$CT51&gt;=CA$41),1,0)</f>
        <v>0</v>
      </c>
      <c r="CB51" s="33">
        <f>IF(AND($B51&gt;=InputTriangles!$D$8,$CT51&gt;=CB$41),1,0)</f>
        <v>0</v>
      </c>
      <c r="CC51" s="33">
        <f>IF(AND($B51&gt;=InputTriangles!$D$8,$CT51&gt;=CC$41),1,0)</f>
        <v>0</v>
      </c>
      <c r="CD51" s="33">
        <f>IF(AND($B51&gt;=InputTriangles!$D$8,$CT51&gt;=CD$41),1,0)</f>
        <v>0</v>
      </c>
      <c r="CE51" s="33">
        <f>IF(AND($B51&gt;=InputTriangles!$D$8,$CT51&gt;=CE$41),1,0)</f>
        <v>0</v>
      </c>
      <c r="CF51" s="33">
        <f>IF(AND($B51&gt;=InputTriangles!$D$8,$CT51&gt;=CF$41),1,0)</f>
        <v>0</v>
      </c>
      <c r="CG51" s="33">
        <f>IF(AND($B51&gt;=InputTriangles!$D$8,$CT51&gt;=CG$41),1,0)</f>
        <v>0</v>
      </c>
      <c r="CH51" s="33">
        <f>IF(AND($B51&gt;=InputTriangles!$D$8,$CT51&gt;=CH$41),1,0)</f>
        <v>0</v>
      </c>
      <c r="CI51" s="33">
        <f>IF(AND($B51&gt;=InputTriangles!$D$8,$CT51&gt;=CI$41),1,0)</f>
        <v>0</v>
      </c>
      <c r="CJ51" s="33">
        <f>IF(AND($B51&gt;=InputTriangles!$D$8,$CT51&gt;=CJ$41),1,0)</f>
        <v>0</v>
      </c>
      <c r="CK51" s="33">
        <f>IF(AND($B51&gt;=InputTriangles!$D$8,$CT51&gt;=CK$41),1,0)</f>
        <v>0</v>
      </c>
      <c r="CL51" s="33">
        <f>IF(AND($B51&gt;=InputTriangles!$D$8,$CT51&gt;=CL$41),1,0)</f>
        <v>0</v>
      </c>
      <c r="CM51" s="33">
        <f>IF(AND($B51&gt;=InputTriangles!$D$8,$CT51&gt;=CM$41),1,0)</f>
        <v>0</v>
      </c>
      <c r="CN51" s="33">
        <f>IF(AND($B51&gt;=InputTriangles!$D$8,$CT51&gt;=CN$41),1,0)</f>
        <v>0</v>
      </c>
      <c r="CO51" s="33">
        <f>IF(AND($B51&gt;=InputTriangles!$D$8,$CT51&gt;=CO$41),1,0)</f>
        <v>0</v>
      </c>
      <c r="CP51" s="33">
        <f>IF(AND($B51&gt;=InputTriangles!$D$8,$CT51&gt;=CP$41),1,0)</f>
        <v>0</v>
      </c>
      <c r="CQ51" s="33">
        <f>IF(AND($B51&gt;=InputTriangles!$D$8,$CT51&gt;=CQ$41),1,0)</f>
        <v>0</v>
      </c>
      <c r="CR51" s="33">
        <f>IF(AND($B51&gt;=InputTriangles!$D$8,$CT51&gt;=CR$41),1,0)</f>
        <v>0</v>
      </c>
      <c r="CS51" s="32">
        <f>IF(AND($B51&gt;=InputTriangles!$D$8,$CT51&gt;=CS$41),1,0)</f>
        <v>0</v>
      </c>
      <c r="CT51" s="31">
        <f>($D$9-InputTriangles!$B51)*InputTriangles!$E$4+$D$6</f>
        <v>15</v>
      </c>
    </row>
    <row r="52" spans="1:98" hidden="1" x14ac:dyDescent="0.25">
      <c r="A52" s="97">
        <v>0</v>
      </c>
      <c r="B52" s="29">
        <f t="shared" si="42"/>
        <v>2006</v>
      </c>
      <c r="C52" s="30">
        <f>IF(AND($B52&gt;=InputTriangles!$D$8,$CT52&gt;=C$41),1,0)</f>
        <v>0</v>
      </c>
      <c r="D52" s="33">
        <f>IF(AND($B52&gt;=InputTriangles!$D$8,$CT52&gt;=D$41),1,0)</f>
        <v>0</v>
      </c>
      <c r="E52" s="33">
        <f>IF(AND($B52&gt;=InputTriangles!$D$8,$CT52&gt;=E$41),1,0)</f>
        <v>0</v>
      </c>
      <c r="F52" s="33">
        <f>IF(AND($B52&gt;=InputTriangles!$D$8,$CT52&gt;=F$41),1,0)</f>
        <v>0</v>
      </c>
      <c r="G52" s="33">
        <f>IF(AND($B52&gt;=InputTriangles!$D$8,$CT52&gt;=G$41),1,0)</f>
        <v>0</v>
      </c>
      <c r="H52" s="33">
        <f>IF(AND($B52&gt;=InputTriangles!$D$8,$CT52&gt;=H$41),1,0)</f>
        <v>0</v>
      </c>
      <c r="I52" s="33">
        <f>IF(AND($B52&gt;=InputTriangles!$D$8,$CT52&gt;=I$41),1,0)</f>
        <v>0</v>
      </c>
      <c r="J52" s="33">
        <f>IF(AND($B52&gt;=InputTriangles!$D$8,$CT52&gt;=J$41),1,0)</f>
        <v>0</v>
      </c>
      <c r="K52" s="33">
        <f>IF(AND($B52&gt;=InputTriangles!$D$8,$CT52&gt;=K$41),1,0)</f>
        <v>0</v>
      </c>
      <c r="L52" s="33">
        <f>IF(AND($B52&gt;=InputTriangles!$D$8,$CT52&gt;=L$41),1,0)</f>
        <v>0</v>
      </c>
      <c r="M52" s="33">
        <f>IF(AND($B52&gt;=InputTriangles!$D$8,$CT52&gt;=M$41),1,0)</f>
        <v>0</v>
      </c>
      <c r="N52" s="33">
        <f>IF(AND($B52&gt;=InputTriangles!$D$8,$CT52&gt;=N$41),1,0)</f>
        <v>0</v>
      </c>
      <c r="O52" s="33">
        <f>IF(AND($B52&gt;=InputTriangles!$D$8,$CT52&gt;=O$41),1,0)</f>
        <v>0</v>
      </c>
      <c r="P52" s="33">
        <f>IF(AND($B52&gt;=InputTriangles!$D$8,$CT52&gt;=P$41),1,0)</f>
        <v>0</v>
      </c>
      <c r="Q52" s="33">
        <f>IF(AND($B52&gt;=InputTriangles!$D$8,$CT52&gt;=Q$41),1,0)</f>
        <v>0</v>
      </c>
      <c r="R52" s="33">
        <f>IF(AND($B52&gt;=InputTriangles!$D$8,$CT52&gt;=R$41),1,0)</f>
        <v>0</v>
      </c>
      <c r="S52" s="33">
        <f>IF(AND($B52&gt;=InputTriangles!$D$8,$CT52&gt;=S$41),1,0)</f>
        <v>0</v>
      </c>
      <c r="T52" s="33">
        <f>IF(AND($B52&gt;=InputTriangles!$D$8,$CT52&gt;=T$41),1,0)</f>
        <v>0</v>
      </c>
      <c r="U52" s="33">
        <f>IF(AND($B52&gt;=InputTriangles!$D$8,$CT52&gt;=U$41),1,0)</f>
        <v>0</v>
      </c>
      <c r="V52" s="33">
        <f>IF(AND($B52&gt;=InputTriangles!$D$8,$CT52&gt;=V$41),1,0)</f>
        <v>0</v>
      </c>
      <c r="W52" s="33">
        <f>IF(AND($B52&gt;=InputTriangles!$D$8,$CT52&gt;=W$41),1,0)</f>
        <v>0</v>
      </c>
      <c r="X52" s="33">
        <f>IF(AND($B52&gt;=InputTriangles!$D$8,$CT52&gt;=X$41),1,0)</f>
        <v>0</v>
      </c>
      <c r="Y52" s="33">
        <f>IF(AND($B52&gt;=InputTriangles!$D$8,$CT52&gt;=Y$41),1,0)</f>
        <v>0</v>
      </c>
      <c r="Z52" s="33">
        <f>IF(AND($B52&gt;=InputTriangles!$D$8,$CT52&gt;=Z$41),1,0)</f>
        <v>0</v>
      </c>
      <c r="AA52" s="33">
        <f>IF(AND($B52&gt;=InputTriangles!$D$8,$CT52&gt;=AA$41),1,0)</f>
        <v>0</v>
      </c>
      <c r="AB52" s="33">
        <f>IF(AND($B52&gt;=InputTriangles!$D$8,$CT52&gt;=AB$41),1,0)</f>
        <v>0</v>
      </c>
      <c r="AC52" s="33">
        <f>IF(AND($B52&gt;=InputTriangles!$D$8,$CT52&gt;=AC$41),1,0)</f>
        <v>0</v>
      </c>
      <c r="AD52" s="33">
        <f>IF(AND($B52&gt;=InputTriangles!$D$8,$CT52&gt;=AD$41),1,0)</f>
        <v>0</v>
      </c>
      <c r="AE52" s="33">
        <f>IF(AND($B52&gt;=InputTriangles!$D$8,$CT52&gt;=AE$41),1,0)</f>
        <v>0</v>
      </c>
      <c r="AF52" s="33">
        <f>IF(AND($B52&gt;=InputTriangles!$D$8,$CT52&gt;=AF$41),1,0)</f>
        <v>0</v>
      </c>
      <c r="AG52" s="33">
        <f>IF(AND($B52&gt;=InputTriangles!$D$8,$CT52&gt;=AG$41),1,0)</f>
        <v>0</v>
      </c>
      <c r="AH52" s="33">
        <f>IF(AND($B52&gt;=InputTriangles!$D$8,$CT52&gt;=AH$41),1,0)</f>
        <v>0</v>
      </c>
      <c r="AI52" s="33">
        <f>IF(AND($B52&gt;=InputTriangles!$D$8,$CT52&gt;=AI$41),1,0)</f>
        <v>0</v>
      </c>
      <c r="AJ52" s="33">
        <f>IF(AND($B52&gt;=InputTriangles!$D$8,$CT52&gt;=AJ$41),1,0)</f>
        <v>0</v>
      </c>
      <c r="AK52" s="33">
        <f>IF(AND($B52&gt;=InputTriangles!$D$8,$CT52&gt;=AK$41),1,0)</f>
        <v>0</v>
      </c>
      <c r="AL52" s="33">
        <f>IF(AND($B52&gt;=InputTriangles!$D$8,$CT52&gt;=AL$41),1,0)</f>
        <v>0</v>
      </c>
      <c r="AM52" s="33">
        <f>IF(AND($B52&gt;=InputTriangles!$D$8,$CT52&gt;=AM$41),1,0)</f>
        <v>0</v>
      </c>
      <c r="AN52" s="33">
        <f>IF(AND($B52&gt;=InputTriangles!$D$8,$CT52&gt;=AN$41),1,0)</f>
        <v>0</v>
      </c>
      <c r="AO52" s="33">
        <f>IF(AND($B52&gt;=InputTriangles!$D$8,$CT52&gt;=AO$41),1,0)</f>
        <v>0</v>
      </c>
      <c r="AP52" s="33">
        <f>IF(AND($B52&gt;=InputTriangles!$D$8,$CT52&gt;=AP$41),1,0)</f>
        <v>0</v>
      </c>
      <c r="AQ52" s="33">
        <f>IF(AND($B52&gt;=InputTriangles!$D$8,$CT52&gt;=AQ$41),1,0)</f>
        <v>0</v>
      </c>
      <c r="AR52" s="33">
        <f>IF(AND($B52&gt;=InputTriangles!$D$8,$CT52&gt;=AR$41),1,0)</f>
        <v>0</v>
      </c>
      <c r="AS52" s="33">
        <f>IF(AND($B52&gt;=InputTriangles!$D$8,$CT52&gt;=AS$41),1,0)</f>
        <v>0</v>
      </c>
      <c r="AT52" s="33">
        <f>IF(AND($B52&gt;=InputTriangles!$D$8,$CT52&gt;=AT$41),1,0)</f>
        <v>0</v>
      </c>
      <c r="AU52" s="33">
        <f>IF(AND($B52&gt;=InputTriangles!$D$8,$CT52&gt;=AU$41),1,0)</f>
        <v>0</v>
      </c>
      <c r="AV52" s="33">
        <f>IF(AND($B52&gt;=InputTriangles!$D$8,$CT52&gt;=AV$41),1,0)</f>
        <v>0</v>
      </c>
      <c r="AW52" s="33">
        <f>IF(AND($B52&gt;=InputTriangles!$D$8,$CT52&gt;=AW$41),1,0)</f>
        <v>0</v>
      </c>
      <c r="AX52" s="33">
        <f>IF(AND($B52&gt;=InputTriangles!$D$8,$CT52&gt;=AX$41),1,0)</f>
        <v>0</v>
      </c>
      <c r="AY52" s="33">
        <f>IF(AND($B52&gt;=InputTriangles!$D$8,$CT52&gt;=AY$41),1,0)</f>
        <v>0</v>
      </c>
      <c r="AZ52" s="33">
        <f>IF(AND($B52&gt;=InputTriangles!$D$8,$CT52&gt;=AZ$41),1,0)</f>
        <v>0</v>
      </c>
      <c r="BA52" s="33">
        <f>IF(AND($B52&gt;=InputTriangles!$D$8,$CT52&gt;=BA$41),1,0)</f>
        <v>0</v>
      </c>
      <c r="BB52" s="33">
        <f>IF(AND($B52&gt;=InputTriangles!$D$8,$CT52&gt;=BB$41),1,0)</f>
        <v>0</v>
      </c>
      <c r="BC52" s="33">
        <f>IF(AND($B52&gt;=InputTriangles!$D$8,$CT52&gt;=BC$41),1,0)</f>
        <v>0</v>
      </c>
      <c r="BD52" s="33">
        <f>IF(AND($B52&gt;=InputTriangles!$D$8,$CT52&gt;=BD$41),1,0)</f>
        <v>0</v>
      </c>
      <c r="BE52" s="33">
        <f>IF(AND($B52&gt;=InputTriangles!$D$8,$CT52&gt;=BE$41),1,0)</f>
        <v>0</v>
      </c>
      <c r="BF52" s="33">
        <f>IF(AND($B52&gt;=InputTriangles!$D$8,$CT52&gt;=BF$41),1,0)</f>
        <v>0</v>
      </c>
      <c r="BG52" s="33">
        <f>IF(AND($B52&gt;=InputTriangles!$D$8,$CT52&gt;=BG$41),1,0)</f>
        <v>0</v>
      </c>
      <c r="BH52" s="33">
        <f>IF(AND($B52&gt;=InputTriangles!$D$8,$CT52&gt;=BH$41),1,0)</f>
        <v>0</v>
      </c>
      <c r="BI52" s="33">
        <f>IF(AND($B52&gt;=InputTriangles!$D$8,$CT52&gt;=BI$41),1,0)</f>
        <v>0</v>
      </c>
      <c r="BJ52" s="33">
        <f>IF(AND($B52&gt;=InputTriangles!$D$8,$CT52&gt;=BJ$41),1,0)</f>
        <v>0</v>
      </c>
      <c r="BK52" s="33">
        <f>IF(AND($B52&gt;=InputTriangles!$D$8,$CT52&gt;=BK$41),1,0)</f>
        <v>0</v>
      </c>
      <c r="BL52" s="33">
        <f>IF(AND($B52&gt;=InputTriangles!$D$8,$CT52&gt;=BL$41),1,0)</f>
        <v>0</v>
      </c>
      <c r="BM52" s="33">
        <f>IF(AND($B52&gt;=InputTriangles!$D$8,$CT52&gt;=BM$41),1,0)</f>
        <v>0</v>
      </c>
      <c r="BN52" s="33">
        <f>IF(AND($B52&gt;=InputTriangles!$D$8,$CT52&gt;=BN$41),1,0)</f>
        <v>0</v>
      </c>
      <c r="BO52" s="33">
        <f>IF(AND($B52&gt;=InputTriangles!$D$8,$CT52&gt;=BO$41),1,0)</f>
        <v>0</v>
      </c>
      <c r="BP52" s="33">
        <f>IF(AND($B52&gt;=InputTriangles!$D$8,$CT52&gt;=BP$41),1,0)</f>
        <v>0</v>
      </c>
      <c r="BQ52" s="33">
        <f>IF(AND($B52&gt;=InputTriangles!$D$8,$CT52&gt;=BQ$41),1,0)</f>
        <v>0</v>
      </c>
      <c r="BR52" s="33">
        <f>IF(AND($B52&gt;=InputTriangles!$D$8,$CT52&gt;=BR$41),1,0)</f>
        <v>0</v>
      </c>
      <c r="BS52" s="33">
        <f>IF(AND($B52&gt;=InputTriangles!$D$8,$CT52&gt;=BS$41),1,0)</f>
        <v>0</v>
      </c>
      <c r="BT52" s="33">
        <f>IF(AND($B52&gt;=InputTriangles!$D$8,$CT52&gt;=BT$41),1,0)</f>
        <v>0</v>
      </c>
      <c r="BU52" s="33">
        <f>IF(AND($B52&gt;=InputTriangles!$D$8,$CT52&gt;=BU$41),1,0)</f>
        <v>0</v>
      </c>
      <c r="BV52" s="33">
        <f>IF(AND($B52&gt;=InputTriangles!$D$8,$CT52&gt;=BV$41),1,0)</f>
        <v>0</v>
      </c>
      <c r="BW52" s="33">
        <f>IF(AND($B52&gt;=InputTriangles!$D$8,$CT52&gt;=BW$41),1,0)</f>
        <v>0</v>
      </c>
      <c r="BX52" s="33">
        <f>IF(AND($B52&gt;=InputTriangles!$D$8,$CT52&gt;=BX$41),1,0)</f>
        <v>0</v>
      </c>
      <c r="BY52" s="33">
        <f>IF(AND($B52&gt;=InputTriangles!$D$8,$CT52&gt;=BY$41),1,0)</f>
        <v>0</v>
      </c>
      <c r="BZ52" s="33">
        <f>IF(AND($B52&gt;=InputTriangles!$D$8,$CT52&gt;=BZ$41),1,0)</f>
        <v>0</v>
      </c>
      <c r="CA52" s="33">
        <f>IF(AND($B52&gt;=InputTriangles!$D$8,$CT52&gt;=CA$41),1,0)</f>
        <v>0</v>
      </c>
      <c r="CB52" s="33">
        <f>IF(AND($B52&gt;=InputTriangles!$D$8,$CT52&gt;=CB$41),1,0)</f>
        <v>0</v>
      </c>
      <c r="CC52" s="33">
        <f>IF(AND($B52&gt;=InputTriangles!$D$8,$CT52&gt;=CC$41),1,0)</f>
        <v>0</v>
      </c>
      <c r="CD52" s="33">
        <f>IF(AND($B52&gt;=InputTriangles!$D$8,$CT52&gt;=CD$41),1,0)</f>
        <v>0</v>
      </c>
      <c r="CE52" s="33">
        <f>IF(AND($B52&gt;=InputTriangles!$D$8,$CT52&gt;=CE$41),1,0)</f>
        <v>0</v>
      </c>
      <c r="CF52" s="33">
        <f>IF(AND($B52&gt;=InputTriangles!$D$8,$CT52&gt;=CF$41),1,0)</f>
        <v>0</v>
      </c>
      <c r="CG52" s="33">
        <f>IF(AND($B52&gt;=InputTriangles!$D$8,$CT52&gt;=CG$41),1,0)</f>
        <v>0</v>
      </c>
      <c r="CH52" s="33">
        <f>IF(AND($B52&gt;=InputTriangles!$D$8,$CT52&gt;=CH$41),1,0)</f>
        <v>0</v>
      </c>
      <c r="CI52" s="33">
        <f>IF(AND($B52&gt;=InputTriangles!$D$8,$CT52&gt;=CI$41),1,0)</f>
        <v>0</v>
      </c>
      <c r="CJ52" s="33">
        <f>IF(AND($B52&gt;=InputTriangles!$D$8,$CT52&gt;=CJ$41),1,0)</f>
        <v>0</v>
      </c>
      <c r="CK52" s="33">
        <f>IF(AND($B52&gt;=InputTriangles!$D$8,$CT52&gt;=CK$41),1,0)</f>
        <v>0</v>
      </c>
      <c r="CL52" s="33">
        <f>IF(AND($B52&gt;=InputTriangles!$D$8,$CT52&gt;=CL$41),1,0)</f>
        <v>0</v>
      </c>
      <c r="CM52" s="33">
        <f>IF(AND($B52&gt;=InputTriangles!$D$8,$CT52&gt;=CM$41),1,0)</f>
        <v>0</v>
      </c>
      <c r="CN52" s="33">
        <f>IF(AND($B52&gt;=InputTriangles!$D$8,$CT52&gt;=CN$41),1,0)</f>
        <v>0</v>
      </c>
      <c r="CO52" s="33">
        <f>IF(AND($B52&gt;=InputTriangles!$D$8,$CT52&gt;=CO$41),1,0)</f>
        <v>0</v>
      </c>
      <c r="CP52" s="33">
        <f>IF(AND($B52&gt;=InputTriangles!$D$8,$CT52&gt;=CP$41),1,0)</f>
        <v>0</v>
      </c>
      <c r="CQ52" s="33">
        <f>IF(AND($B52&gt;=InputTriangles!$D$8,$CT52&gt;=CQ$41),1,0)</f>
        <v>0</v>
      </c>
      <c r="CR52" s="33">
        <f>IF(AND($B52&gt;=InputTriangles!$D$8,$CT52&gt;=CR$41),1,0)</f>
        <v>0</v>
      </c>
      <c r="CS52" s="32">
        <f>IF(AND($B52&gt;=InputTriangles!$D$8,$CT52&gt;=CS$41),1,0)</f>
        <v>0</v>
      </c>
      <c r="CT52" s="31">
        <f>($D$9-InputTriangles!$B52)*InputTriangles!$E$4+$D$6</f>
        <v>14</v>
      </c>
    </row>
    <row r="53" spans="1:98" hidden="1" x14ac:dyDescent="0.25">
      <c r="A53" s="97">
        <v>0</v>
      </c>
      <c r="B53" s="29">
        <f t="shared" si="42"/>
        <v>2007</v>
      </c>
      <c r="C53" s="30">
        <f>IF(AND($B53&gt;=InputTriangles!$D$8,$CT53&gt;=C$41),1,0)</f>
        <v>0</v>
      </c>
      <c r="D53" s="33">
        <f>IF(AND($B53&gt;=InputTriangles!$D$8,$CT53&gt;=D$41),1,0)</f>
        <v>0</v>
      </c>
      <c r="E53" s="33">
        <f>IF(AND($B53&gt;=InputTriangles!$D$8,$CT53&gt;=E$41),1,0)</f>
        <v>0</v>
      </c>
      <c r="F53" s="33">
        <f>IF(AND($B53&gt;=InputTriangles!$D$8,$CT53&gt;=F$41),1,0)</f>
        <v>0</v>
      </c>
      <c r="G53" s="33">
        <f>IF(AND($B53&gt;=InputTriangles!$D$8,$CT53&gt;=G$41),1,0)</f>
        <v>0</v>
      </c>
      <c r="H53" s="33">
        <f>IF(AND($B53&gt;=InputTriangles!$D$8,$CT53&gt;=H$41),1,0)</f>
        <v>0</v>
      </c>
      <c r="I53" s="33">
        <f>IF(AND($B53&gt;=InputTriangles!$D$8,$CT53&gt;=I$41),1,0)</f>
        <v>0</v>
      </c>
      <c r="J53" s="33">
        <f>IF(AND($B53&gt;=InputTriangles!$D$8,$CT53&gt;=J$41),1,0)</f>
        <v>0</v>
      </c>
      <c r="K53" s="33">
        <f>IF(AND($B53&gt;=InputTriangles!$D$8,$CT53&gt;=K$41),1,0)</f>
        <v>0</v>
      </c>
      <c r="L53" s="33">
        <f>IF(AND($B53&gt;=InputTriangles!$D$8,$CT53&gt;=L$41),1,0)</f>
        <v>0</v>
      </c>
      <c r="M53" s="33">
        <f>IF(AND($B53&gt;=InputTriangles!$D$8,$CT53&gt;=M$41),1,0)</f>
        <v>0</v>
      </c>
      <c r="N53" s="33">
        <f>IF(AND($B53&gt;=InputTriangles!$D$8,$CT53&gt;=N$41),1,0)</f>
        <v>0</v>
      </c>
      <c r="O53" s="33">
        <f>IF(AND($B53&gt;=InputTriangles!$D$8,$CT53&gt;=O$41),1,0)</f>
        <v>0</v>
      </c>
      <c r="P53" s="33">
        <f>IF(AND($B53&gt;=InputTriangles!$D$8,$CT53&gt;=P$41),1,0)</f>
        <v>0</v>
      </c>
      <c r="Q53" s="33">
        <f>IF(AND($B53&gt;=InputTriangles!$D$8,$CT53&gt;=Q$41),1,0)</f>
        <v>0</v>
      </c>
      <c r="R53" s="33">
        <f>IF(AND($B53&gt;=InputTriangles!$D$8,$CT53&gt;=R$41),1,0)</f>
        <v>0</v>
      </c>
      <c r="S53" s="33">
        <f>IF(AND($B53&gt;=InputTriangles!$D$8,$CT53&gt;=S$41),1,0)</f>
        <v>0</v>
      </c>
      <c r="T53" s="33">
        <f>IF(AND($B53&gt;=InputTriangles!$D$8,$CT53&gt;=T$41),1,0)</f>
        <v>0</v>
      </c>
      <c r="U53" s="33">
        <f>IF(AND($B53&gt;=InputTriangles!$D$8,$CT53&gt;=U$41),1,0)</f>
        <v>0</v>
      </c>
      <c r="V53" s="33">
        <f>IF(AND($B53&gt;=InputTriangles!$D$8,$CT53&gt;=V$41),1,0)</f>
        <v>0</v>
      </c>
      <c r="W53" s="33">
        <f>IF(AND($B53&gt;=InputTriangles!$D$8,$CT53&gt;=W$41),1,0)</f>
        <v>0</v>
      </c>
      <c r="X53" s="33">
        <f>IF(AND($B53&gt;=InputTriangles!$D$8,$CT53&gt;=X$41),1,0)</f>
        <v>0</v>
      </c>
      <c r="Y53" s="33">
        <f>IF(AND($B53&gt;=InputTriangles!$D$8,$CT53&gt;=Y$41),1,0)</f>
        <v>0</v>
      </c>
      <c r="Z53" s="33">
        <f>IF(AND($B53&gt;=InputTriangles!$D$8,$CT53&gt;=Z$41),1,0)</f>
        <v>0</v>
      </c>
      <c r="AA53" s="33">
        <f>IF(AND($B53&gt;=InputTriangles!$D$8,$CT53&gt;=AA$41),1,0)</f>
        <v>0</v>
      </c>
      <c r="AB53" s="33">
        <f>IF(AND($B53&gt;=InputTriangles!$D$8,$CT53&gt;=AB$41),1,0)</f>
        <v>0</v>
      </c>
      <c r="AC53" s="33">
        <f>IF(AND($B53&gt;=InputTriangles!$D$8,$CT53&gt;=AC$41),1,0)</f>
        <v>0</v>
      </c>
      <c r="AD53" s="33">
        <f>IF(AND($B53&gt;=InputTriangles!$D$8,$CT53&gt;=AD$41),1,0)</f>
        <v>0</v>
      </c>
      <c r="AE53" s="33">
        <f>IF(AND($B53&gt;=InputTriangles!$D$8,$CT53&gt;=AE$41),1,0)</f>
        <v>0</v>
      </c>
      <c r="AF53" s="33">
        <f>IF(AND($B53&gt;=InputTriangles!$D$8,$CT53&gt;=AF$41),1,0)</f>
        <v>0</v>
      </c>
      <c r="AG53" s="33">
        <f>IF(AND($B53&gt;=InputTriangles!$D$8,$CT53&gt;=AG$41),1,0)</f>
        <v>0</v>
      </c>
      <c r="AH53" s="33">
        <f>IF(AND($B53&gt;=InputTriangles!$D$8,$CT53&gt;=AH$41),1,0)</f>
        <v>0</v>
      </c>
      <c r="AI53" s="33">
        <f>IF(AND($B53&gt;=InputTriangles!$D$8,$CT53&gt;=AI$41),1,0)</f>
        <v>0</v>
      </c>
      <c r="AJ53" s="33">
        <f>IF(AND($B53&gt;=InputTriangles!$D$8,$CT53&gt;=AJ$41),1,0)</f>
        <v>0</v>
      </c>
      <c r="AK53" s="33">
        <f>IF(AND($B53&gt;=InputTriangles!$D$8,$CT53&gt;=AK$41),1,0)</f>
        <v>0</v>
      </c>
      <c r="AL53" s="33">
        <f>IF(AND($B53&gt;=InputTriangles!$D$8,$CT53&gt;=AL$41),1,0)</f>
        <v>0</v>
      </c>
      <c r="AM53" s="33">
        <f>IF(AND($B53&gt;=InputTriangles!$D$8,$CT53&gt;=AM$41),1,0)</f>
        <v>0</v>
      </c>
      <c r="AN53" s="33">
        <f>IF(AND($B53&gt;=InputTriangles!$D$8,$CT53&gt;=AN$41),1,0)</f>
        <v>0</v>
      </c>
      <c r="AO53" s="33">
        <f>IF(AND($B53&gt;=InputTriangles!$D$8,$CT53&gt;=AO$41),1,0)</f>
        <v>0</v>
      </c>
      <c r="AP53" s="33">
        <f>IF(AND($B53&gt;=InputTriangles!$D$8,$CT53&gt;=AP$41),1,0)</f>
        <v>0</v>
      </c>
      <c r="AQ53" s="33">
        <f>IF(AND($B53&gt;=InputTriangles!$D$8,$CT53&gt;=AQ$41),1,0)</f>
        <v>0</v>
      </c>
      <c r="AR53" s="33">
        <f>IF(AND($B53&gt;=InputTriangles!$D$8,$CT53&gt;=AR$41),1,0)</f>
        <v>0</v>
      </c>
      <c r="AS53" s="33">
        <f>IF(AND($B53&gt;=InputTriangles!$D$8,$CT53&gt;=AS$41),1,0)</f>
        <v>0</v>
      </c>
      <c r="AT53" s="33">
        <f>IF(AND($B53&gt;=InputTriangles!$D$8,$CT53&gt;=AT$41),1,0)</f>
        <v>0</v>
      </c>
      <c r="AU53" s="33">
        <f>IF(AND($B53&gt;=InputTriangles!$D$8,$CT53&gt;=AU$41),1,0)</f>
        <v>0</v>
      </c>
      <c r="AV53" s="33">
        <f>IF(AND($B53&gt;=InputTriangles!$D$8,$CT53&gt;=AV$41),1,0)</f>
        <v>0</v>
      </c>
      <c r="AW53" s="33">
        <f>IF(AND($B53&gt;=InputTriangles!$D$8,$CT53&gt;=AW$41),1,0)</f>
        <v>0</v>
      </c>
      <c r="AX53" s="33">
        <f>IF(AND($B53&gt;=InputTriangles!$D$8,$CT53&gt;=AX$41),1,0)</f>
        <v>0</v>
      </c>
      <c r="AY53" s="33">
        <f>IF(AND($B53&gt;=InputTriangles!$D$8,$CT53&gt;=AY$41),1,0)</f>
        <v>0</v>
      </c>
      <c r="AZ53" s="33">
        <f>IF(AND($B53&gt;=InputTriangles!$D$8,$CT53&gt;=AZ$41),1,0)</f>
        <v>0</v>
      </c>
      <c r="BA53" s="33">
        <f>IF(AND($B53&gt;=InputTriangles!$D$8,$CT53&gt;=BA$41),1,0)</f>
        <v>0</v>
      </c>
      <c r="BB53" s="33">
        <f>IF(AND($B53&gt;=InputTriangles!$D$8,$CT53&gt;=BB$41),1,0)</f>
        <v>0</v>
      </c>
      <c r="BC53" s="33">
        <f>IF(AND($B53&gt;=InputTriangles!$D$8,$CT53&gt;=BC$41),1,0)</f>
        <v>0</v>
      </c>
      <c r="BD53" s="33">
        <f>IF(AND($B53&gt;=InputTriangles!$D$8,$CT53&gt;=BD$41),1,0)</f>
        <v>0</v>
      </c>
      <c r="BE53" s="33">
        <f>IF(AND($B53&gt;=InputTriangles!$D$8,$CT53&gt;=BE$41),1,0)</f>
        <v>0</v>
      </c>
      <c r="BF53" s="33">
        <f>IF(AND($B53&gt;=InputTriangles!$D$8,$CT53&gt;=BF$41),1,0)</f>
        <v>0</v>
      </c>
      <c r="BG53" s="33">
        <f>IF(AND($B53&gt;=InputTriangles!$D$8,$CT53&gt;=BG$41),1,0)</f>
        <v>0</v>
      </c>
      <c r="BH53" s="33">
        <f>IF(AND($B53&gt;=InputTriangles!$D$8,$CT53&gt;=BH$41),1,0)</f>
        <v>0</v>
      </c>
      <c r="BI53" s="33">
        <f>IF(AND($B53&gt;=InputTriangles!$D$8,$CT53&gt;=BI$41),1,0)</f>
        <v>0</v>
      </c>
      <c r="BJ53" s="33">
        <f>IF(AND($B53&gt;=InputTriangles!$D$8,$CT53&gt;=BJ$41),1,0)</f>
        <v>0</v>
      </c>
      <c r="BK53" s="33">
        <f>IF(AND($B53&gt;=InputTriangles!$D$8,$CT53&gt;=BK$41),1,0)</f>
        <v>0</v>
      </c>
      <c r="BL53" s="33">
        <f>IF(AND($B53&gt;=InputTriangles!$D$8,$CT53&gt;=BL$41),1,0)</f>
        <v>0</v>
      </c>
      <c r="BM53" s="33">
        <f>IF(AND($B53&gt;=InputTriangles!$D$8,$CT53&gt;=BM$41),1,0)</f>
        <v>0</v>
      </c>
      <c r="BN53" s="33">
        <f>IF(AND($B53&gt;=InputTriangles!$D$8,$CT53&gt;=BN$41),1,0)</f>
        <v>0</v>
      </c>
      <c r="BO53" s="33">
        <f>IF(AND($B53&gt;=InputTriangles!$D$8,$CT53&gt;=BO$41),1,0)</f>
        <v>0</v>
      </c>
      <c r="BP53" s="33">
        <f>IF(AND($B53&gt;=InputTriangles!$D$8,$CT53&gt;=BP$41),1,0)</f>
        <v>0</v>
      </c>
      <c r="BQ53" s="33">
        <f>IF(AND($B53&gt;=InputTriangles!$D$8,$CT53&gt;=BQ$41),1,0)</f>
        <v>0</v>
      </c>
      <c r="BR53" s="33">
        <f>IF(AND($B53&gt;=InputTriangles!$D$8,$CT53&gt;=BR$41),1,0)</f>
        <v>0</v>
      </c>
      <c r="BS53" s="33">
        <f>IF(AND($B53&gt;=InputTriangles!$D$8,$CT53&gt;=BS$41),1,0)</f>
        <v>0</v>
      </c>
      <c r="BT53" s="33">
        <f>IF(AND($B53&gt;=InputTriangles!$D$8,$CT53&gt;=BT$41),1,0)</f>
        <v>0</v>
      </c>
      <c r="BU53" s="33">
        <f>IF(AND($B53&gt;=InputTriangles!$D$8,$CT53&gt;=BU$41),1,0)</f>
        <v>0</v>
      </c>
      <c r="BV53" s="33">
        <f>IF(AND($B53&gt;=InputTriangles!$D$8,$CT53&gt;=BV$41),1,0)</f>
        <v>0</v>
      </c>
      <c r="BW53" s="33">
        <f>IF(AND($B53&gt;=InputTriangles!$D$8,$CT53&gt;=BW$41),1,0)</f>
        <v>0</v>
      </c>
      <c r="BX53" s="33">
        <f>IF(AND($B53&gt;=InputTriangles!$D$8,$CT53&gt;=BX$41),1,0)</f>
        <v>0</v>
      </c>
      <c r="BY53" s="33">
        <f>IF(AND($B53&gt;=InputTriangles!$D$8,$CT53&gt;=BY$41),1,0)</f>
        <v>0</v>
      </c>
      <c r="BZ53" s="33">
        <f>IF(AND($B53&gt;=InputTriangles!$D$8,$CT53&gt;=BZ$41),1,0)</f>
        <v>0</v>
      </c>
      <c r="CA53" s="33">
        <f>IF(AND($B53&gt;=InputTriangles!$D$8,$CT53&gt;=CA$41),1,0)</f>
        <v>0</v>
      </c>
      <c r="CB53" s="33">
        <f>IF(AND($B53&gt;=InputTriangles!$D$8,$CT53&gt;=CB$41),1,0)</f>
        <v>0</v>
      </c>
      <c r="CC53" s="33">
        <f>IF(AND($B53&gt;=InputTriangles!$D$8,$CT53&gt;=CC$41),1,0)</f>
        <v>0</v>
      </c>
      <c r="CD53" s="33">
        <f>IF(AND($B53&gt;=InputTriangles!$D$8,$CT53&gt;=CD$41),1,0)</f>
        <v>0</v>
      </c>
      <c r="CE53" s="33">
        <f>IF(AND($B53&gt;=InputTriangles!$D$8,$CT53&gt;=CE$41),1,0)</f>
        <v>0</v>
      </c>
      <c r="CF53" s="33">
        <f>IF(AND($B53&gt;=InputTriangles!$D$8,$CT53&gt;=CF$41),1,0)</f>
        <v>0</v>
      </c>
      <c r="CG53" s="33">
        <f>IF(AND($B53&gt;=InputTriangles!$D$8,$CT53&gt;=CG$41),1,0)</f>
        <v>0</v>
      </c>
      <c r="CH53" s="33">
        <f>IF(AND($B53&gt;=InputTriangles!$D$8,$CT53&gt;=CH$41),1,0)</f>
        <v>0</v>
      </c>
      <c r="CI53" s="33">
        <f>IF(AND($B53&gt;=InputTriangles!$D$8,$CT53&gt;=CI$41),1,0)</f>
        <v>0</v>
      </c>
      <c r="CJ53" s="33">
        <f>IF(AND($B53&gt;=InputTriangles!$D$8,$CT53&gt;=CJ$41),1,0)</f>
        <v>0</v>
      </c>
      <c r="CK53" s="33">
        <f>IF(AND($B53&gt;=InputTriangles!$D$8,$CT53&gt;=CK$41),1,0)</f>
        <v>0</v>
      </c>
      <c r="CL53" s="33">
        <f>IF(AND($B53&gt;=InputTriangles!$D$8,$CT53&gt;=CL$41),1,0)</f>
        <v>0</v>
      </c>
      <c r="CM53" s="33">
        <f>IF(AND($B53&gt;=InputTriangles!$D$8,$CT53&gt;=CM$41),1,0)</f>
        <v>0</v>
      </c>
      <c r="CN53" s="33">
        <f>IF(AND($B53&gt;=InputTriangles!$D$8,$CT53&gt;=CN$41),1,0)</f>
        <v>0</v>
      </c>
      <c r="CO53" s="33">
        <f>IF(AND($B53&gt;=InputTriangles!$D$8,$CT53&gt;=CO$41),1,0)</f>
        <v>0</v>
      </c>
      <c r="CP53" s="33">
        <f>IF(AND($B53&gt;=InputTriangles!$D$8,$CT53&gt;=CP$41),1,0)</f>
        <v>0</v>
      </c>
      <c r="CQ53" s="33">
        <f>IF(AND($B53&gt;=InputTriangles!$D$8,$CT53&gt;=CQ$41),1,0)</f>
        <v>0</v>
      </c>
      <c r="CR53" s="33">
        <f>IF(AND($B53&gt;=InputTriangles!$D$8,$CT53&gt;=CR$41),1,0)</f>
        <v>0</v>
      </c>
      <c r="CS53" s="32">
        <f>IF(AND($B53&gt;=InputTriangles!$D$8,$CT53&gt;=CS$41),1,0)</f>
        <v>0</v>
      </c>
      <c r="CT53" s="31">
        <f>($D$9-InputTriangles!$B53)*InputTriangles!$E$4+$D$6</f>
        <v>13</v>
      </c>
    </row>
    <row r="54" spans="1:98" hidden="1" x14ac:dyDescent="0.25">
      <c r="A54" s="97">
        <v>0</v>
      </c>
      <c r="B54" s="29">
        <f t="shared" si="42"/>
        <v>2008</v>
      </c>
      <c r="C54" s="30">
        <f>IF(AND($B54&gt;=InputTriangles!$D$8,$CT54&gt;=C$41),1,0)</f>
        <v>0</v>
      </c>
      <c r="D54" s="33">
        <f>IF(AND($B54&gt;=InputTriangles!$D$8,$CT54&gt;=D$41),1,0)</f>
        <v>0</v>
      </c>
      <c r="E54" s="33">
        <f>IF(AND($B54&gt;=InputTriangles!$D$8,$CT54&gt;=E$41),1,0)</f>
        <v>0</v>
      </c>
      <c r="F54" s="33">
        <f>IF(AND($B54&gt;=InputTriangles!$D$8,$CT54&gt;=F$41),1,0)</f>
        <v>0</v>
      </c>
      <c r="G54" s="33">
        <f>IF(AND($B54&gt;=InputTriangles!$D$8,$CT54&gt;=G$41),1,0)</f>
        <v>0</v>
      </c>
      <c r="H54" s="33">
        <f>IF(AND($B54&gt;=InputTriangles!$D$8,$CT54&gt;=H$41),1,0)</f>
        <v>0</v>
      </c>
      <c r="I54" s="33">
        <f>IF(AND($B54&gt;=InputTriangles!$D$8,$CT54&gt;=I$41),1,0)</f>
        <v>0</v>
      </c>
      <c r="J54" s="33">
        <f>IF(AND($B54&gt;=InputTriangles!$D$8,$CT54&gt;=J$41),1,0)</f>
        <v>0</v>
      </c>
      <c r="K54" s="33">
        <f>IF(AND($B54&gt;=InputTriangles!$D$8,$CT54&gt;=K$41),1,0)</f>
        <v>0</v>
      </c>
      <c r="L54" s="33">
        <f>IF(AND($B54&gt;=InputTriangles!$D$8,$CT54&gt;=L$41),1,0)</f>
        <v>0</v>
      </c>
      <c r="M54" s="33">
        <f>IF(AND($B54&gt;=InputTriangles!$D$8,$CT54&gt;=M$41),1,0)</f>
        <v>0</v>
      </c>
      <c r="N54" s="33">
        <f>IF(AND($B54&gt;=InputTriangles!$D$8,$CT54&gt;=N$41),1,0)</f>
        <v>0</v>
      </c>
      <c r="O54" s="33">
        <f>IF(AND($B54&gt;=InputTriangles!$D$8,$CT54&gt;=O$41),1,0)</f>
        <v>0</v>
      </c>
      <c r="P54" s="33">
        <f>IF(AND($B54&gt;=InputTriangles!$D$8,$CT54&gt;=P$41),1,0)</f>
        <v>0</v>
      </c>
      <c r="Q54" s="33">
        <f>IF(AND($B54&gt;=InputTriangles!$D$8,$CT54&gt;=Q$41),1,0)</f>
        <v>0</v>
      </c>
      <c r="R54" s="33">
        <f>IF(AND($B54&gt;=InputTriangles!$D$8,$CT54&gt;=R$41),1,0)</f>
        <v>0</v>
      </c>
      <c r="S54" s="33">
        <f>IF(AND($B54&gt;=InputTriangles!$D$8,$CT54&gt;=S$41),1,0)</f>
        <v>0</v>
      </c>
      <c r="T54" s="33">
        <f>IF(AND($B54&gt;=InputTriangles!$D$8,$CT54&gt;=T$41),1,0)</f>
        <v>0</v>
      </c>
      <c r="U54" s="33">
        <f>IF(AND($B54&gt;=InputTriangles!$D$8,$CT54&gt;=U$41),1,0)</f>
        <v>0</v>
      </c>
      <c r="V54" s="33">
        <f>IF(AND($B54&gt;=InputTriangles!$D$8,$CT54&gt;=V$41),1,0)</f>
        <v>0</v>
      </c>
      <c r="W54" s="33">
        <f>IF(AND($B54&gt;=InputTriangles!$D$8,$CT54&gt;=W$41),1,0)</f>
        <v>0</v>
      </c>
      <c r="X54" s="33">
        <f>IF(AND($B54&gt;=InputTriangles!$D$8,$CT54&gt;=X$41),1,0)</f>
        <v>0</v>
      </c>
      <c r="Y54" s="33">
        <f>IF(AND($B54&gt;=InputTriangles!$D$8,$CT54&gt;=Y$41),1,0)</f>
        <v>0</v>
      </c>
      <c r="Z54" s="33">
        <f>IF(AND($B54&gt;=InputTriangles!$D$8,$CT54&gt;=Z$41),1,0)</f>
        <v>0</v>
      </c>
      <c r="AA54" s="33">
        <f>IF(AND($B54&gt;=InputTriangles!$D$8,$CT54&gt;=AA$41),1,0)</f>
        <v>0</v>
      </c>
      <c r="AB54" s="33">
        <f>IF(AND($B54&gt;=InputTriangles!$D$8,$CT54&gt;=AB$41),1,0)</f>
        <v>0</v>
      </c>
      <c r="AC54" s="33">
        <f>IF(AND($B54&gt;=InputTriangles!$D$8,$CT54&gt;=AC$41),1,0)</f>
        <v>0</v>
      </c>
      <c r="AD54" s="33">
        <f>IF(AND($B54&gt;=InputTriangles!$D$8,$CT54&gt;=AD$41),1,0)</f>
        <v>0</v>
      </c>
      <c r="AE54" s="33">
        <f>IF(AND($B54&gt;=InputTriangles!$D$8,$CT54&gt;=AE$41),1,0)</f>
        <v>0</v>
      </c>
      <c r="AF54" s="33">
        <f>IF(AND($B54&gt;=InputTriangles!$D$8,$CT54&gt;=AF$41),1,0)</f>
        <v>0</v>
      </c>
      <c r="AG54" s="33">
        <f>IF(AND($B54&gt;=InputTriangles!$D$8,$CT54&gt;=AG$41),1,0)</f>
        <v>0</v>
      </c>
      <c r="AH54" s="33">
        <f>IF(AND($B54&gt;=InputTriangles!$D$8,$CT54&gt;=AH$41),1,0)</f>
        <v>0</v>
      </c>
      <c r="AI54" s="33">
        <f>IF(AND($B54&gt;=InputTriangles!$D$8,$CT54&gt;=AI$41),1,0)</f>
        <v>0</v>
      </c>
      <c r="AJ54" s="33">
        <f>IF(AND($B54&gt;=InputTriangles!$D$8,$CT54&gt;=AJ$41),1,0)</f>
        <v>0</v>
      </c>
      <c r="AK54" s="33">
        <f>IF(AND($B54&gt;=InputTriangles!$D$8,$CT54&gt;=AK$41),1,0)</f>
        <v>0</v>
      </c>
      <c r="AL54" s="33">
        <f>IF(AND($B54&gt;=InputTriangles!$D$8,$CT54&gt;=AL$41),1,0)</f>
        <v>0</v>
      </c>
      <c r="AM54" s="33">
        <f>IF(AND($B54&gt;=InputTriangles!$D$8,$CT54&gt;=AM$41),1,0)</f>
        <v>0</v>
      </c>
      <c r="AN54" s="33">
        <f>IF(AND($B54&gt;=InputTriangles!$D$8,$CT54&gt;=AN$41),1,0)</f>
        <v>0</v>
      </c>
      <c r="AO54" s="33">
        <f>IF(AND($B54&gt;=InputTriangles!$D$8,$CT54&gt;=AO$41),1,0)</f>
        <v>0</v>
      </c>
      <c r="AP54" s="33">
        <f>IF(AND($B54&gt;=InputTriangles!$D$8,$CT54&gt;=AP$41),1,0)</f>
        <v>0</v>
      </c>
      <c r="AQ54" s="33">
        <f>IF(AND($B54&gt;=InputTriangles!$D$8,$CT54&gt;=AQ$41),1,0)</f>
        <v>0</v>
      </c>
      <c r="AR54" s="33">
        <f>IF(AND($B54&gt;=InputTriangles!$D$8,$CT54&gt;=AR$41),1,0)</f>
        <v>0</v>
      </c>
      <c r="AS54" s="33">
        <f>IF(AND($B54&gt;=InputTriangles!$D$8,$CT54&gt;=AS$41),1,0)</f>
        <v>0</v>
      </c>
      <c r="AT54" s="33">
        <f>IF(AND($B54&gt;=InputTriangles!$D$8,$CT54&gt;=AT$41),1,0)</f>
        <v>0</v>
      </c>
      <c r="AU54" s="33">
        <f>IF(AND($B54&gt;=InputTriangles!$D$8,$CT54&gt;=AU$41),1,0)</f>
        <v>0</v>
      </c>
      <c r="AV54" s="33">
        <f>IF(AND($B54&gt;=InputTriangles!$D$8,$CT54&gt;=AV$41),1,0)</f>
        <v>0</v>
      </c>
      <c r="AW54" s="33">
        <f>IF(AND($B54&gt;=InputTriangles!$D$8,$CT54&gt;=AW$41),1,0)</f>
        <v>0</v>
      </c>
      <c r="AX54" s="33">
        <f>IF(AND($B54&gt;=InputTriangles!$D$8,$CT54&gt;=AX$41),1,0)</f>
        <v>0</v>
      </c>
      <c r="AY54" s="33">
        <f>IF(AND($B54&gt;=InputTriangles!$D$8,$CT54&gt;=AY$41),1,0)</f>
        <v>0</v>
      </c>
      <c r="AZ54" s="33">
        <f>IF(AND($B54&gt;=InputTriangles!$D$8,$CT54&gt;=AZ$41),1,0)</f>
        <v>0</v>
      </c>
      <c r="BA54" s="33">
        <f>IF(AND($B54&gt;=InputTriangles!$D$8,$CT54&gt;=BA$41),1,0)</f>
        <v>0</v>
      </c>
      <c r="BB54" s="33">
        <f>IF(AND($B54&gt;=InputTriangles!$D$8,$CT54&gt;=BB$41),1,0)</f>
        <v>0</v>
      </c>
      <c r="BC54" s="33">
        <f>IF(AND($B54&gt;=InputTriangles!$D$8,$CT54&gt;=BC$41),1,0)</f>
        <v>0</v>
      </c>
      <c r="BD54" s="33">
        <f>IF(AND($B54&gt;=InputTriangles!$D$8,$CT54&gt;=BD$41),1,0)</f>
        <v>0</v>
      </c>
      <c r="BE54" s="33">
        <f>IF(AND($B54&gt;=InputTriangles!$D$8,$CT54&gt;=BE$41),1,0)</f>
        <v>0</v>
      </c>
      <c r="BF54" s="33">
        <f>IF(AND($B54&gt;=InputTriangles!$D$8,$CT54&gt;=BF$41),1,0)</f>
        <v>0</v>
      </c>
      <c r="BG54" s="33">
        <f>IF(AND($B54&gt;=InputTriangles!$D$8,$CT54&gt;=BG$41),1,0)</f>
        <v>0</v>
      </c>
      <c r="BH54" s="33">
        <f>IF(AND($B54&gt;=InputTriangles!$D$8,$CT54&gt;=BH$41),1,0)</f>
        <v>0</v>
      </c>
      <c r="BI54" s="33">
        <f>IF(AND($B54&gt;=InputTriangles!$D$8,$CT54&gt;=BI$41),1,0)</f>
        <v>0</v>
      </c>
      <c r="BJ54" s="33">
        <f>IF(AND($B54&gt;=InputTriangles!$D$8,$CT54&gt;=BJ$41),1,0)</f>
        <v>0</v>
      </c>
      <c r="BK54" s="33">
        <f>IF(AND($B54&gt;=InputTriangles!$D$8,$CT54&gt;=BK$41),1,0)</f>
        <v>0</v>
      </c>
      <c r="BL54" s="33">
        <f>IF(AND($B54&gt;=InputTriangles!$D$8,$CT54&gt;=BL$41),1,0)</f>
        <v>0</v>
      </c>
      <c r="BM54" s="33">
        <f>IF(AND($B54&gt;=InputTriangles!$D$8,$CT54&gt;=BM$41),1,0)</f>
        <v>0</v>
      </c>
      <c r="BN54" s="33">
        <f>IF(AND($B54&gt;=InputTriangles!$D$8,$CT54&gt;=BN$41),1,0)</f>
        <v>0</v>
      </c>
      <c r="BO54" s="33">
        <f>IF(AND($B54&gt;=InputTriangles!$D$8,$CT54&gt;=BO$41),1,0)</f>
        <v>0</v>
      </c>
      <c r="BP54" s="33">
        <f>IF(AND($B54&gt;=InputTriangles!$D$8,$CT54&gt;=BP$41),1,0)</f>
        <v>0</v>
      </c>
      <c r="BQ54" s="33">
        <f>IF(AND($B54&gt;=InputTriangles!$D$8,$CT54&gt;=BQ$41),1,0)</f>
        <v>0</v>
      </c>
      <c r="BR54" s="33">
        <f>IF(AND($B54&gt;=InputTriangles!$D$8,$CT54&gt;=BR$41),1,0)</f>
        <v>0</v>
      </c>
      <c r="BS54" s="33">
        <f>IF(AND($B54&gt;=InputTriangles!$D$8,$CT54&gt;=BS$41),1,0)</f>
        <v>0</v>
      </c>
      <c r="BT54" s="33">
        <f>IF(AND($B54&gt;=InputTriangles!$D$8,$CT54&gt;=BT$41),1,0)</f>
        <v>0</v>
      </c>
      <c r="BU54" s="33">
        <f>IF(AND($B54&gt;=InputTriangles!$D$8,$CT54&gt;=BU$41),1,0)</f>
        <v>0</v>
      </c>
      <c r="BV54" s="33">
        <f>IF(AND($B54&gt;=InputTriangles!$D$8,$CT54&gt;=BV$41),1,0)</f>
        <v>0</v>
      </c>
      <c r="BW54" s="33">
        <f>IF(AND($B54&gt;=InputTriangles!$D$8,$CT54&gt;=BW$41),1,0)</f>
        <v>0</v>
      </c>
      <c r="BX54" s="33">
        <f>IF(AND($B54&gt;=InputTriangles!$D$8,$CT54&gt;=BX$41),1,0)</f>
        <v>0</v>
      </c>
      <c r="BY54" s="33">
        <f>IF(AND($B54&gt;=InputTriangles!$D$8,$CT54&gt;=BY$41),1,0)</f>
        <v>0</v>
      </c>
      <c r="BZ54" s="33">
        <f>IF(AND($B54&gt;=InputTriangles!$D$8,$CT54&gt;=BZ$41),1,0)</f>
        <v>0</v>
      </c>
      <c r="CA54" s="33">
        <f>IF(AND($B54&gt;=InputTriangles!$D$8,$CT54&gt;=CA$41),1,0)</f>
        <v>0</v>
      </c>
      <c r="CB54" s="33">
        <f>IF(AND($B54&gt;=InputTriangles!$D$8,$CT54&gt;=CB$41),1,0)</f>
        <v>0</v>
      </c>
      <c r="CC54" s="33">
        <f>IF(AND($B54&gt;=InputTriangles!$D$8,$CT54&gt;=CC$41),1,0)</f>
        <v>0</v>
      </c>
      <c r="CD54" s="33">
        <f>IF(AND($B54&gt;=InputTriangles!$D$8,$CT54&gt;=CD$41),1,0)</f>
        <v>0</v>
      </c>
      <c r="CE54" s="33">
        <f>IF(AND($B54&gt;=InputTriangles!$D$8,$CT54&gt;=CE$41),1,0)</f>
        <v>0</v>
      </c>
      <c r="CF54" s="33">
        <f>IF(AND($B54&gt;=InputTriangles!$D$8,$CT54&gt;=CF$41),1,0)</f>
        <v>0</v>
      </c>
      <c r="CG54" s="33">
        <f>IF(AND($B54&gt;=InputTriangles!$D$8,$CT54&gt;=CG$41),1,0)</f>
        <v>0</v>
      </c>
      <c r="CH54" s="33">
        <f>IF(AND($B54&gt;=InputTriangles!$D$8,$CT54&gt;=CH$41),1,0)</f>
        <v>0</v>
      </c>
      <c r="CI54" s="33">
        <f>IF(AND($B54&gt;=InputTriangles!$D$8,$CT54&gt;=CI$41),1,0)</f>
        <v>0</v>
      </c>
      <c r="CJ54" s="33">
        <f>IF(AND($B54&gt;=InputTriangles!$D$8,$CT54&gt;=CJ$41),1,0)</f>
        <v>0</v>
      </c>
      <c r="CK54" s="33">
        <f>IF(AND($B54&gt;=InputTriangles!$D$8,$CT54&gt;=CK$41),1,0)</f>
        <v>0</v>
      </c>
      <c r="CL54" s="33">
        <f>IF(AND($B54&gt;=InputTriangles!$D$8,$CT54&gt;=CL$41),1,0)</f>
        <v>0</v>
      </c>
      <c r="CM54" s="33">
        <f>IF(AND($B54&gt;=InputTriangles!$D$8,$CT54&gt;=CM$41),1,0)</f>
        <v>0</v>
      </c>
      <c r="CN54" s="33">
        <f>IF(AND($B54&gt;=InputTriangles!$D$8,$CT54&gt;=CN$41),1,0)</f>
        <v>0</v>
      </c>
      <c r="CO54" s="33">
        <f>IF(AND($B54&gt;=InputTriangles!$D$8,$CT54&gt;=CO$41),1,0)</f>
        <v>0</v>
      </c>
      <c r="CP54" s="33">
        <f>IF(AND($B54&gt;=InputTriangles!$D$8,$CT54&gt;=CP$41),1,0)</f>
        <v>0</v>
      </c>
      <c r="CQ54" s="33">
        <f>IF(AND($B54&gt;=InputTriangles!$D$8,$CT54&gt;=CQ$41),1,0)</f>
        <v>0</v>
      </c>
      <c r="CR54" s="33">
        <f>IF(AND($B54&gt;=InputTriangles!$D$8,$CT54&gt;=CR$41),1,0)</f>
        <v>0</v>
      </c>
      <c r="CS54" s="32">
        <f>IF(AND($B54&gt;=InputTriangles!$D$8,$CT54&gt;=CS$41),1,0)</f>
        <v>0</v>
      </c>
      <c r="CT54" s="31">
        <f>($D$9-InputTriangles!$B54)*InputTriangles!$E$4+$D$6</f>
        <v>12</v>
      </c>
    </row>
    <row r="55" spans="1:98" hidden="1" x14ac:dyDescent="0.25">
      <c r="A55" s="97">
        <v>0</v>
      </c>
      <c r="B55" s="29">
        <f t="shared" si="42"/>
        <v>2009</v>
      </c>
      <c r="C55" s="30">
        <f>IF(AND($B55&gt;=InputTriangles!$D$8,$CT55&gt;=C$41),1,0)</f>
        <v>0</v>
      </c>
      <c r="D55" s="33">
        <f>IF(AND($B55&gt;=InputTriangles!$D$8,$CT55&gt;=D$41),1,0)</f>
        <v>0</v>
      </c>
      <c r="E55" s="33">
        <f>IF(AND($B55&gt;=InputTriangles!$D$8,$CT55&gt;=E$41),1,0)</f>
        <v>0</v>
      </c>
      <c r="F55" s="33">
        <f>IF(AND($B55&gt;=InputTriangles!$D$8,$CT55&gt;=F$41),1,0)</f>
        <v>0</v>
      </c>
      <c r="G55" s="33">
        <f>IF(AND($B55&gt;=InputTriangles!$D$8,$CT55&gt;=G$41),1,0)</f>
        <v>0</v>
      </c>
      <c r="H55" s="33">
        <f>IF(AND($B55&gt;=InputTriangles!$D$8,$CT55&gt;=H$41),1,0)</f>
        <v>0</v>
      </c>
      <c r="I55" s="33">
        <f>IF(AND($B55&gt;=InputTriangles!$D$8,$CT55&gt;=I$41),1,0)</f>
        <v>0</v>
      </c>
      <c r="J55" s="33">
        <f>IF(AND($B55&gt;=InputTriangles!$D$8,$CT55&gt;=J$41),1,0)</f>
        <v>0</v>
      </c>
      <c r="K55" s="33">
        <f>IF(AND($B55&gt;=InputTriangles!$D$8,$CT55&gt;=K$41),1,0)</f>
        <v>0</v>
      </c>
      <c r="L55" s="33">
        <f>IF(AND($B55&gt;=InputTriangles!$D$8,$CT55&gt;=L$41),1,0)</f>
        <v>0</v>
      </c>
      <c r="M55" s="33">
        <f>IF(AND($B55&gt;=InputTriangles!$D$8,$CT55&gt;=M$41),1,0)</f>
        <v>0</v>
      </c>
      <c r="N55" s="33">
        <f>IF(AND($B55&gt;=InputTriangles!$D$8,$CT55&gt;=N$41),1,0)</f>
        <v>0</v>
      </c>
      <c r="O55" s="33">
        <f>IF(AND($B55&gt;=InputTriangles!$D$8,$CT55&gt;=O$41),1,0)</f>
        <v>0</v>
      </c>
      <c r="P55" s="33">
        <f>IF(AND($B55&gt;=InputTriangles!$D$8,$CT55&gt;=P$41),1,0)</f>
        <v>0</v>
      </c>
      <c r="Q55" s="33">
        <f>IF(AND($B55&gt;=InputTriangles!$D$8,$CT55&gt;=Q$41),1,0)</f>
        <v>0</v>
      </c>
      <c r="R55" s="33">
        <f>IF(AND($B55&gt;=InputTriangles!$D$8,$CT55&gt;=R$41),1,0)</f>
        <v>0</v>
      </c>
      <c r="S55" s="33">
        <f>IF(AND($B55&gt;=InputTriangles!$D$8,$CT55&gt;=S$41),1,0)</f>
        <v>0</v>
      </c>
      <c r="T55" s="33">
        <f>IF(AND($B55&gt;=InputTriangles!$D$8,$CT55&gt;=T$41),1,0)</f>
        <v>0</v>
      </c>
      <c r="U55" s="33">
        <f>IF(AND($B55&gt;=InputTriangles!$D$8,$CT55&gt;=U$41),1,0)</f>
        <v>0</v>
      </c>
      <c r="V55" s="33">
        <f>IF(AND($B55&gt;=InputTriangles!$D$8,$CT55&gt;=V$41),1,0)</f>
        <v>0</v>
      </c>
      <c r="W55" s="33">
        <f>IF(AND($B55&gt;=InputTriangles!$D$8,$CT55&gt;=W$41),1,0)</f>
        <v>0</v>
      </c>
      <c r="X55" s="33">
        <f>IF(AND($B55&gt;=InputTriangles!$D$8,$CT55&gt;=X$41),1,0)</f>
        <v>0</v>
      </c>
      <c r="Y55" s="33">
        <f>IF(AND($B55&gt;=InputTriangles!$D$8,$CT55&gt;=Y$41),1,0)</f>
        <v>0</v>
      </c>
      <c r="Z55" s="33">
        <f>IF(AND($B55&gt;=InputTriangles!$D$8,$CT55&gt;=Z$41),1,0)</f>
        <v>0</v>
      </c>
      <c r="AA55" s="33">
        <f>IF(AND($B55&gt;=InputTriangles!$D$8,$CT55&gt;=AA$41),1,0)</f>
        <v>0</v>
      </c>
      <c r="AB55" s="33">
        <f>IF(AND($B55&gt;=InputTriangles!$D$8,$CT55&gt;=AB$41),1,0)</f>
        <v>0</v>
      </c>
      <c r="AC55" s="33">
        <f>IF(AND($B55&gt;=InputTriangles!$D$8,$CT55&gt;=AC$41),1,0)</f>
        <v>0</v>
      </c>
      <c r="AD55" s="33">
        <f>IF(AND($B55&gt;=InputTriangles!$D$8,$CT55&gt;=AD$41),1,0)</f>
        <v>0</v>
      </c>
      <c r="AE55" s="33">
        <f>IF(AND($B55&gt;=InputTriangles!$D$8,$CT55&gt;=AE$41),1,0)</f>
        <v>0</v>
      </c>
      <c r="AF55" s="33">
        <f>IF(AND($B55&gt;=InputTriangles!$D$8,$CT55&gt;=AF$41),1,0)</f>
        <v>0</v>
      </c>
      <c r="AG55" s="33">
        <f>IF(AND($B55&gt;=InputTriangles!$D$8,$CT55&gt;=AG$41),1,0)</f>
        <v>0</v>
      </c>
      <c r="AH55" s="33">
        <f>IF(AND($B55&gt;=InputTriangles!$D$8,$CT55&gt;=AH$41),1,0)</f>
        <v>0</v>
      </c>
      <c r="AI55" s="33">
        <f>IF(AND($B55&gt;=InputTriangles!$D$8,$CT55&gt;=AI$41),1,0)</f>
        <v>0</v>
      </c>
      <c r="AJ55" s="33">
        <f>IF(AND($B55&gt;=InputTriangles!$D$8,$CT55&gt;=AJ$41),1,0)</f>
        <v>0</v>
      </c>
      <c r="AK55" s="33">
        <f>IF(AND($B55&gt;=InputTriangles!$D$8,$CT55&gt;=AK$41),1,0)</f>
        <v>0</v>
      </c>
      <c r="AL55" s="33">
        <f>IF(AND($B55&gt;=InputTriangles!$D$8,$CT55&gt;=AL$41),1,0)</f>
        <v>0</v>
      </c>
      <c r="AM55" s="33">
        <f>IF(AND($B55&gt;=InputTriangles!$D$8,$CT55&gt;=AM$41),1,0)</f>
        <v>0</v>
      </c>
      <c r="AN55" s="33">
        <f>IF(AND($B55&gt;=InputTriangles!$D$8,$CT55&gt;=AN$41),1,0)</f>
        <v>0</v>
      </c>
      <c r="AO55" s="33">
        <f>IF(AND($B55&gt;=InputTriangles!$D$8,$CT55&gt;=AO$41),1,0)</f>
        <v>0</v>
      </c>
      <c r="AP55" s="33">
        <f>IF(AND($B55&gt;=InputTriangles!$D$8,$CT55&gt;=AP$41),1,0)</f>
        <v>0</v>
      </c>
      <c r="AQ55" s="33">
        <f>IF(AND($B55&gt;=InputTriangles!$D$8,$CT55&gt;=AQ$41),1,0)</f>
        <v>0</v>
      </c>
      <c r="AR55" s="33">
        <f>IF(AND($B55&gt;=InputTriangles!$D$8,$CT55&gt;=AR$41),1,0)</f>
        <v>0</v>
      </c>
      <c r="AS55" s="33">
        <f>IF(AND($B55&gt;=InputTriangles!$D$8,$CT55&gt;=AS$41),1,0)</f>
        <v>0</v>
      </c>
      <c r="AT55" s="33">
        <f>IF(AND($B55&gt;=InputTriangles!$D$8,$CT55&gt;=AT$41),1,0)</f>
        <v>0</v>
      </c>
      <c r="AU55" s="33">
        <f>IF(AND($B55&gt;=InputTriangles!$D$8,$CT55&gt;=AU$41),1,0)</f>
        <v>0</v>
      </c>
      <c r="AV55" s="33">
        <f>IF(AND($B55&gt;=InputTriangles!$D$8,$CT55&gt;=AV$41),1,0)</f>
        <v>0</v>
      </c>
      <c r="AW55" s="33">
        <f>IF(AND($B55&gt;=InputTriangles!$D$8,$CT55&gt;=AW$41),1,0)</f>
        <v>0</v>
      </c>
      <c r="AX55" s="33">
        <f>IF(AND($B55&gt;=InputTriangles!$D$8,$CT55&gt;=AX$41),1,0)</f>
        <v>0</v>
      </c>
      <c r="AY55" s="33">
        <f>IF(AND($B55&gt;=InputTriangles!$D$8,$CT55&gt;=AY$41),1,0)</f>
        <v>0</v>
      </c>
      <c r="AZ55" s="33">
        <f>IF(AND($B55&gt;=InputTriangles!$D$8,$CT55&gt;=AZ$41),1,0)</f>
        <v>0</v>
      </c>
      <c r="BA55" s="33">
        <f>IF(AND($B55&gt;=InputTriangles!$D$8,$CT55&gt;=BA$41),1,0)</f>
        <v>0</v>
      </c>
      <c r="BB55" s="33">
        <f>IF(AND($B55&gt;=InputTriangles!$D$8,$CT55&gt;=BB$41),1,0)</f>
        <v>0</v>
      </c>
      <c r="BC55" s="33">
        <f>IF(AND($B55&gt;=InputTriangles!$D$8,$CT55&gt;=BC$41),1,0)</f>
        <v>0</v>
      </c>
      <c r="BD55" s="33">
        <f>IF(AND($B55&gt;=InputTriangles!$D$8,$CT55&gt;=BD$41),1,0)</f>
        <v>0</v>
      </c>
      <c r="BE55" s="33">
        <f>IF(AND($B55&gt;=InputTriangles!$D$8,$CT55&gt;=BE$41),1,0)</f>
        <v>0</v>
      </c>
      <c r="BF55" s="33">
        <f>IF(AND($B55&gt;=InputTriangles!$D$8,$CT55&gt;=BF$41),1,0)</f>
        <v>0</v>
      </c>
      <c r="BG55" s="33">
        <f>IF(AND($B55&gt;=InputTriangles!$D$8,$CT55&gt;=BG$41),1,0)</f>
        <v>0</v>
      </c>
      <c r="BH55" s="33">
        <f>IF(AND($B55&gt;=InputTriangles!$D$8,$CT55&gt;=BH$41),1,0)</f>
        <v>0</v>
      </c>
      <c r="BI55" s="33">
        <f>IF(AND($B55&gt;=InputTriangles!$D$8,$CT55&gt;=BI$41),1,0)</f>
        <v>0</v>
      </c>
      <c r="BJ55" s="33">
        <f>IF(AND($B55&gt;=InputTriangles!$D$8,$CT55&gt;=BJ$41),1,0)</f>
        <v>0</v>
      </c>
      <c r="BK55" s="33">
        <f>IF(AND($B55&gt;=InputTriangles!$D$8,$CT55&gt;=BK$41),1,0)</f>
        <v>0</v>
      </c>
      <c r="BL55" s="33">
        <f>IF(AND($B55&gt;=InputTriangles!$D$8,$CT55&gt;=BL$41),1,0)</f>
        <v>0</v>
      </c>
      <c r="BM55" s="33">
        <f>IF(AND($B55&gt;=InputTriangles!$D$8,$CT55&gt;=BM$41),1,0)</f>
        <v>0</v>
      </c>
      <c r="BN55" s="33">
        <f>IF(AND($B55&gt;=InputTriangles!$D$8,$CT55&gt;=BN$41),1,0)</f>
        <v>0</v>
      </c>
      <c r="BO55" s="33">
        <f>IF(AND($B55&gt;=InputTriangles!$D$8,$CT55&gt;=BO$41),1,0)</f>
        <v>0</v>
      </c>
      <c r="BP55" s="33">
        <f>IF(AND($B55&gt;=InputTriangles!$D$8,$CT55&gt;=BP$41),1,0)</f>
        <v>0</v>
      </c>
      <c r="BQ55" s="33">
        <f>IF(AND($B55&gt;=InputTriangles!$D$8,$CT55&gt;=BQ$41),1,0)</f>
        <v>0</v>
      </c>
      <c r="BR55" s="33">
        <f>IF(AND($B55&gt;=InputTriangles!$D$8,$CT55&gt;=BR$41),1,0)</f>
        <v>0</v>
      </c>
      <c r="BS55" s="33">
        <f>IF(AND($B55&gt;=InputTriangles!$D$8,$CT55&gt;=BS$41),1,0)</f>
        <v>0</v>
      </c>
      <c r="BT55" s="33">
        <f>IF(AND($B55&gt;=InputTriangles!$D$8,$CT55&gt;=BT$41),1,0)</f>
        <v>0</v>
      </c>
      <c r="BU55" s="33">
        <f>IF(AND($B55&gt;=InputTriangles!$D$8,$CT55&gt;=BU$41),1,0)</f>
        <v>0</v>
      </c>
      <c r="BV55" s="33">
        <f>IF(AND($B55&gt;=InputTriangles!$D$8,$CT55&gt;=BV$41),1,0)</f>
        <v>0</v>
      </c>
      <c r="BW55" s="33">
        <f>IF(AND($B55&gt;=InputTriangles!$D$8,$CT55&gt;=BW$41),1,0)</f>
        <v>0</v>
      </c>
      <c r="BX55" s="33">
        <f>IF(AND($B55&gt;=InputTriangles!$D$8,$CT55&gt;=BX$41),1,0)</f>
        <v>0</v>
      </c>
      <c r="BY55" s="33">
        <f>IF(AND($B55&gt;=InputTriangles!$D$8,$CT55&gt;=BY$41),1,0)</f>
        <v>0</v>
      </c>
      <c r="BZ55" s="33">
        <f>IF(AND($B55&gt;=InputTriangles!$D$8,$CT55&gt;=BZ$41),1,0)</f>
        <v>0</v>
      </c>
      <c r="CA55" s="33">
        <f>IF(AND($B55&gt;=InputTriangles!$D$8,$CT55&gt;=CA$41),1,0)</f>
        <v>0</v>
      </c>
      <c r="CB55" s="33">
        <f>IF(AND($B55&gt;=InputTriangles!$D$8,$CT55&gt;=CB$41),1,0)</f>
        <v>0</v>
      </c>
      <c r="CC55" s="33">
        <f>IF(AND($B55&gt;=InputTriangles!$D$8,$CT55&gt;=CC$41),1,0)</f>
        <v>0</v>
      </c>
      <c r="CD55" s="33">
        <f>IF(AND($B55&gt;=InputTriangles!$D$8,$CT55&gt;=CD$41),1,0)</f>
        <v>0</v>
      </c>
      <c r="CE55" s="33">
        <f>IF(AND($B55&gt;=InputTriangles!$D$8,$CT55&gt;=CE$41),1,0)</f>
        <v>0</v>
      </c>
      <c r="CF55" s="33">
        <f>IF(AND($B55&gt;=InputTriangles!$D$8,$CT55&gt;=CF$41),1,0)</f>
        <v>0</v>
      </c>
      <c r="CG55" s="33">
        <f>IF(AND($B55&gt;=InputTriangles!$D$8,$CT55&gt;=CG$41),1,0)</f>
        <v>0</v>
      </c>
      <c r="CH55" s="33">
        <f>IF(AND($B55&gt;=InputTriangles!$D$8,$CT55&gt;=CH$41),1,0)</f>
        <v>0</v>
      </c>
      <c r="CI55" s="33">
        <f>IF(AND($B55&gt;=InputTriangles!$D$8,$CT55&gt;=CI$41),1,0)</f>
        <v>0</v>
      </c>
      <c r="CJ55" s="33">
        <f>IF(AND($B55&gt;=InputTriangles!$D$8,$CT55&gt;=CJ$41),1,0)</f>
        <v>0</v>
      </c>
      <c r="CK55" s="33">
        <f>IF(AND($B55&gt;=InputTriangles!$D$8,$CT55&gt;=CK$41),1,0)</f>
        <v>0</v>
      </c>
      <c r="CL55" s="33">
        <f>IF(AND($B55&gt;=InputTriangles!$D$8,$CT55&gt;=CL$41),1,0)</f>
        <v>0</v>
      </c>
      <c r="CM55" s="33">
        <f>IF(AND($B55&gt;=InputTriangles!$D$8,$CT55&gt;=CM$41),1,0)</f>
        <v>0</v>
      </c>
      <c r="CN55" s="33">
        <f>IF(AND($B55&gt;=InputTriangles!$D$8,$CT55&gt;=CN$41),1,0)</f>
        <v>0</v>
      </c>
      <c r="CO55" s="33">
        <f>IF(AND($B55&gt;=InputTriangles!$D$8,$CT55&gt;=CO$41),1,0)</f>
        <v>0</v>
      </c>
      <c r="CP55" s="33">
        <f>IF(AND($B55&gt;=InputTriangles!$D$8,$CT55&gt;=CP$41),1,0)</f>
        <v>0</v>
      </c>
      <c r="CQ55" s="33">
        <f>IF(AND($B55&gt;=InputTriangles!$D$8,$CT55&gt;=CQ$41),1,0)</f>
        <v>0</v>
      </c>
      <c r="CR55" s="33">
        <f>IF(AND($B55&gt;=InputTriangles!$D$8,$CT55&gt;=CR$41),1,0)</f>
        <v>0</v>
      </c>
      <c r="CS55" s="32">
        <f>IF(AND($B55&gt;=InputTriangles!$D$8,$CT55&gt;=CS$41),1,0)</f>
        <v>0</v>
      </c>
      <c r="CT55" s="31">
        <f>($D$9-InputTriangles!$B55)*InputTriangles!$E$4+$D$6</f>
        <v>11</v>
      </c>
    </row>
    <row r="56" spans="1:98" hidden="1" x14ac:dyDescent="0.25">
      <c r="A56" s="97">
        <v>0</v>
      </c>
      <c r="B56" s="29">
        <f t="shared" si="42"/>
        <v>2010</v>
      </c>
      <c r="C56" s="30">
        <f>IF(AND($B56&gt;=InputTriangles!$D$8,$CT56&gt;=C$41),1,0)</f>
        <v>1</v>
      </c>
      <c r="D56" s="33">
        <f>IF(AND($B56&gt;=InputTriangles!$D$8,$CT56&gt;=D$41),1,0)</f>
        <v>1</v>
      </c>
      <c r="E56" s="33">
        <f>IF(AND($B56&gt;=InputTriangles!$D$8,$CT56&gt;=E$41),1,0)</f>
        <v>1</v>
      </c>
      <c r="F56" s="33">
        <f>IF(AND($B56&gt;=InputTriangles!$D$8,$CT56&gt;=F$41),1,0)</f>
        <v>1</v>
      </c>
      <c r="G56" s="33">
        <f>IF(AND($B56&gt;=InputTriangles!$D$8,$CT56&gt;=G$41),1,0)</f>
        <v>1</v>
      </c>
      <c r="H56" s="33">
        <f>IF(AND($B56&gt;=InputTriangles!$D$8,$CT56&gt;=H$41),1,0)</f>
        <v>1</v>
      </c>
      <c r="I56" s="33">
        <f>IF(AND($B56&gt;=InputTriangles!$D$8,$CT56&gt;=I$41),1,0)</f>
        <v>1</v>
      </c>
      <c r="J56" s="33">
        <f>IF(AND($B56&gt;=InputTriangles!$D$8,$CT56&gt;=J$41),1,0)</f>
        <v>1</v>
      </c>
      <c r="K56" s="33">
        <f>IF(AND($B56&gt;=InputTriangles!$D$8,$CT56&gt;=K$41),1,0)</f>
        <v>1</v>
      </c>
      <c r="L56" s="33">
        <f>IF(AND($B56&gt;=InputTriangles!$D$8,$CT56&gt;=L$41),1,0)</f>
        <v>1</v>
      </c>
      <c r="M56" s="33">
        <f>IF(AND($B56&gt;=InputTriangles!$D$8,$CT56&gt;=M$41),1,0)</f>
        <v>0</v>
      </c>
      <c r="N56" s="33">
        <f>IF(AND($B56&gt;=InputTriangles!$D$8,$CT56&gt;=N$41),1,0)</f>
        <v>0</v>
      </c>
      <c r="O56" s="33">
        <f>IF(AND($B56&gt;=InputTriangles!$D$8,$CT56&gt;=O$41),1,0)</f>
        <v>0</v>
      </c>
      <c r="P56" s="33">
        <f>IF(AND($B56&gt;=InputTriangles!$D$8,$CT56&gt;=P$41),1,0)</f>
        <v>0</v>
      </c>
      <c r="Q56" s="33">
        <f>IF(AND($B56&gt;=InputTriangles!$D$8,$CT56&gt;=Q$41),1,0)</f>
        <v>0</v>
      </c>
      <c r="R56" s="33">
        <f>IF(AND($B56&gt;=InputTriangles!$D$8,$CT56&gt;=R$41),1,0)</f>
        <v>0</v>
      </c>
      <c r="S56" s="33">
        <f>IF(AND($B56&gt;=InputTriangles!$D$8,$CT56&gt;=S$41),1,0)</f>
        <v>0</v>
      </c>
      <c r="T56" s="33">
        <f>IF(AND($B56&gt;=InputTriangles!$D$8,$CT56&gt;=T$41),1,0)</f>
        <v>0</v>
      </c>
      <c r="U56" s="33">
        <f>IF(AND($B56&gt;=InputTriangles!$D$8,$CT56&gt;=U$41),1,0)</f>
        <v>0</v>
      </c>
      <c r="V56" s="33">
        <f>IF(AND($B56&gt;=InputTriangles!$D$8,$CT56&gt;=V$41),1,0)</f>
        <v>0</v>
      </c>
      <c r="W56" s="33">
        <f>IF(AND($B56&gt;=InputTriangles!$D$8,$CT56&gt;=W$41),1,0)</f>
        <v>0</v>
      </c>
      <c r="X56" s="33">
        <f>IF(AND($B56&gt;=InputTriangles!$D$8,$CT56&gt;=X$41),1,0)</f>
        <v>0</v>
      </c>
      <c r="Y56" s="33">
        <f>IF(AND($B56&gt;=InputTriangles!$D$8,$CT56&gt;=Y$41),1,0)</f>
        <v>0</v>
      </c>
      <c r="Z56" s="33">
        <f>IF(AND($B56&gt;=InputTriangles!$D$8,$CT56&gt;=Z$41),1,0)</f>
        <v>0</v>
      </c>
      <c r="AA56" s="33">
        <f>IF(AND($B56&gt;=InputTriangles!$D$8,$CT56&gt;=AA$41),1,0)</f>
        <v>0</v>
      </c>
      <c r="AB56" s="33">
        <f>IF(AND($B56&gt;=InputTriangles!$D$8,$CT56&gt;=AB$41),1,0)</f>
        <v>0</v>
      </c>
      <c r="AC56" s="33">
        <f>IF(AND($B56&gt;=InputTriangles!$D$8,$CT56&gt;=AC$41),1,0)</f>
        <v>0</v>
      </c>
      <c r="AD56" s="33">
        <f>IF(AND($B56&gt;=InputTriangles!$D$8,$CT56&gt;=AD$41),1,0)</f>
        <v>0</v>
      </c>
      <c r="AE56" s="33">
        <f>IF(AND($B56&gt;=InputTriangles!$D$8,$CT56&gt;=AE$41),1,0)</f>
        <v>0</v>
      </c>
      <c r="AF56" s="33">
        <f>IF(AND($B56&gt;=InputTriangles!$D$8,$CT56&gt;=AF$41),1,0)</f>
        <v>0</v>
      </c>
      <c r="AG56" s="33">
        <f>IF(AND($B56&gt;=InputTriangles!$D$8,$CT56&gt;=AG$41),1,0)</f>
        <v>0</v>
      </c>
      <c r="AH56" s="33">
        <f>IF(AND($B56&gt;=InputTriangles!$D$8,$CT56&gt;=AH$41),1,0)</f>
        <v>0</v>
      </c>
      <c r="AI56" s="33">
        <f>IF(AND($B56&gt;=InputTriangles!$D$8,$CT56&gt;=AI$41),1,0)</f>
        <v>0</v>
      </c>
      <c r="AJ56" s="33">
        <f>IF(AND($B56&gt;=InputTriangles!$D$8,$CT56&gt;=AJ$41),1,0)</f>
        <v>0</v>
      </c>
      <c r="AK56" s="33">
        <f>IF(AND($B56&gt;=InputTriangles!$D$8,$CT56&gt;=AK$41),1,0)</f>
        <v>0</v>
      </c>
      <c r="AL56" s="33">
        <f>IF(AND($B56&gt;=InputTriangles!$D$8,$CT56&gt;=AL$41),1,0)</f>
        <v>0</v>
      </c>
      <c r="AM56" s="33">
        <f>IF(AND($B56&gt;=InputTriangles!$D$8,$CT56&gt;=AM$41),1,0)</f>
        <v>0</v>
      </c>
      <c r="AN56" s="33">
        <f>IF(AND($B56&gt;=InputTriangles!$D$8,$CT56&gt;=AN$41),1,0)</f>
        <v>0</v>
      </c>
      <c r="AO56" s="33">
        <f>IF(AND($B56&gt;=InputTriangles!$D$8,$CT56&gt;=AO$41),1,0)</f>
        <v>0</v>
      </c>
      <c r="AP56" s="33">
        <f>IF(AND($B56&gt;=InputTriangles!$D$8,$CT56&gt;=AP$41),1,0)</f>
        <v>0</v>
      </c>
      <c r="AQ56" s="33">
        <f>IF(AND($B56&gt;=InputTriangles!$D$8,$CT56&gt;=AQ$41),1,0)</f>
        <v>0</v>
      </c>
      <c r="AR56" s="33">
        <f>IF(AND($B56&gt;=InputTriangles!$D$8,$CT56&gt;=AR$41),1,0)</f>
        <v>0</v>
      </c>
      <c r="AS56" s="33">
        <f>IF(AND($B56&gt;=InputTriangles!$D$8,$CT56&gt;=AS$41),1,0)</f>
        <v>0</v>
      </c>
      <c r="AT56" s="33">
        <f>IF(AND($B56&gt;=InputTriangles!$D$8,$CT56&gt;=AT$41),1,0)</f>
        <v>0</v>
      </c>
      <c r="AU56" s="33">
        <f>IF(AND($B56&gt;=InputTriangles!$D$8,$CT56&gt;=AU$41),1,0)</f>
        <v>0</v>
      </c>
      <c r="AV56" s="33">
        <f>IF(AND($B56&gt;=InputTriangles!$D$8,$CT56&gt;=AV$41),1,0)</f>
        <v>0</v>
      </c>
      <c r="AW56" s="33">
        <f>IF(AND($B56&gt;=InputTriangles!$D$8,$CT56&gt;=AW$41),1,0)</f>
        <v>0</v>
      </c>
      <c r="AX56" s="33">
        <f>IF(AND($B56&gt;=InputTriangles!$D$8,$CT56&gt;=AX$41),1,0)</f>
        <v>0</v>
      </c>
      <c r="AY56" s="33">
        <f>IF(AND($B56&gt;=InputTriangles!$D$8,$CT56&gt;=AY$41),1,0)</f>
        <v>0</v>
      </c>
      <c r="AZ56" s="33">
        <f>IF(AND($B56&gt;=InputTriangles!$D$8,$CT56&gt;=AZ$41),1,0)</f>
        <v>0</v>
      </c>
      <c r="BA56" s="33">
        <f>IF(AND($B56&gt;=InputTriangles!$D$8,$CT56&gt;=BA$41),1,0)</f>
        <v>0</v>
      </c>
      <c r="BB56" s="33">
        <f>IF(AND($B56&gt;=InputTriangles!$D$8,$CT56&gt;=BB$41),1,0)</f>
        <v>0</v>
      </c>
      <c r="BC56" s="33">
        <f>IF(AND($B56&gt;=InputTriangles!$D$8,$CT56&gt;=BC$41),1,0)</f>
        <v>0</v>
      </c>
      <c r="BD56" s="33">
        <f>IF(AND($B56&gt;=InputTriangles!$D$8,$CT56&gt;=BD$41),1,0)</f>
        <v>0</v>
      </c>
      <c r="BE56" s="33">
        <f>IF(AND($B56&gt;=InputTriangles!$D$8,$CT56&gt;=BE$41),1,0)</f>
        <v>0</v>
      </c>
      <c r="BF56" s="33">
        <f>IF(AND($B56&gt;=InputTriangles!$D$8,$CT56&gt;=BF$41),1,0)</f>
        <v>0</v>
      </c>
      <c r="BG56" s="33">
        <f>IF(AND($B56&gt;=InputTriangles!$D$8,$CT56&gt;=BG$41),1,0)</f>
        <v>0</v>
      </c>
      <c r="BH56" s="33">
        <f>IF(AND($B56&gt;=InputTriangles!$D$8,$CT56&gt;=BH$41),1,0)</f>
        <v>0</v>
      </c>
      <c r="BI56" s="33">
        <f>IF(AND($B56&gt;=InputTriangles!$D$8,$CT56&gt;=BI$41),1,0)</f>
        <v>0</v>
      </c>
      <c r="BJ56" s="33">
        <f>IF(AND($B56&gt;=InputTriangles!$D$8,$CT56&gt;=BJ$41),1,0)</f>
        <v>0</v>
      </c>
      <c r="BK56" s="33">
        <f>IF(AND($B56&gt;=InputTriangles!$D$8,$CT56&gt;=BK$41),1,0)</f>
        <v>0</v>
      </c>
      <c r="BL56" s="33">
        <f>IF(AND($B56&gt;=InputTriangles!$D$8,$CT56&gt;=BL$41),1,0)</f>
        <v>0</v>
      </c>
      <c r="BM56" s="33">
        <f>IF(AND($B56&gt;=InputTriangles!$D$8,$CT56&gt;=BM$41),1,0)</f>
        <v>0</v>
      </c>
      <c r="BN56" s="33">
        <f>IF(AND($B56&gt;=InputTriangles!$D$8,$CT56&gt;=BN$41),1,0)</f>
        <v>0</v>
      </c>
      <c r="BO56" s="33">
        <f>IF(AND($B56&gt;=InputTriangles!$D$8,$CT56&gt;=BO$41),1,0)</f>
        <v>0</v>
      </c>
      <c r="BP56" s="33">
        <f>IF(AND($B56&gt;=InputTriangles!$D$8,$CT56&gt;=BP$41),1,0)</f>
        <v>0</v>
      </c>
      <c r="BQ56" s="33">
        <f>IF(AND($B56&gt;=InputTriangles!$D$8,$CT56&gt;=BQ$41),1,0)</f>
        <v>0</v>
      </c>
      <c r="BR56" s="33">
        <f>IF(AND($B56&gt;=InputTriangles!$D$8,$CT56&gt;=BR$41),1,0)</f>
        <v>0</v>
      </c>
      <c r="BS56" s="33">
        <f>IF(AND($B56&gt;=InputTriangles!$D$8,$CT56&gt;=BS$41),1,0)</f>
        <v>0</v>
      </c>
      <c r="BT56" s="33">
        <f>IF(AND($B56&gt;=InputTriangles!$D$8,$CT56&gt;=BT$41),1,0)</f>
        <v>0</v>
      </c>
      <c r="BU56" s="33">
        <f>IF(AND($B56&gt;=InputTriangles!$D$8,$CT56&gt;=BU$41),1,0)</f>
        <v>0</v>
      </c>
      <c r="BV56" s="33">
        <f>IF(AND($B56&gt;=InputTriangles!$D$8,$CT56&gt;=BV$41),1,0)</f>
        <v>0</v>
      </c>
      <c r="BW56" s="33">
        <f>IF(AND($B56&gt;=InputTriangles!$D$8,$CT56&gt;=BW$41),1,0)</f>
        <v>0</v>
      </c>
      <c r="BX56" s="33">
        <f>IF(AND($B56&gt;=InputTriangles!$D$8,$CT56&gt;=BX$41),1,0)</f>
        <v>0</v>
      </c>
      <c r="BY56" s="33">
        <f>IF(AND($B56&gt;=InputTriangles!$D$8,$CT56&gt;=BY$41),1,0)</f>
        <v>0</v>
      </c>
      <c r="BZ56" s="33">
        <f>IF(AND($B56&gt;=InputTriangles!$D$8,$CT56&gt;=BZ$41),1,0)</f>
        <v>0</v>
      </c>
      <c r="CA56" s="33">
        <f>IF(AND($B56&gt;=InputTriangles!$D$8,$CT56&gt;=CA$41),1,0)</f>
        <v>0</v>
      </c>
      <c r="CB56" s="33">
        <f>IF(AND($B56&gt;=InputTriangles!$D$8,$CT56&gt;=CB$41),1,0)</f>
        <v>0</v>
      </c>
      <c r="CC56" s="33">
        <f>IF(AND($B56&gt;=InputTriangles!$D$8,$CT56&gt;=CC$41),1,0)</f>
        <v>0</v>
      </c>
      <c r="CD56" s="33">
        <f>IF(AND($B56&gt;=InputTriangles!$D$8,$CT56&gt;=CD$41),1,0)</f>
        <v>0</v>
      </c>
      <c r="CE56" s="33">
        <f>IF(AND($B56&gt;=InputTriangles!$D$8,$CT56&gt;=CE$41),1,0)</f>
        <v>0</v>
      </c>
      <c r="CF56" s="33">
        <f>IF(AND($B56&gt;=InputTriangles!$D$8,$CT56&gt;=CF$41),1,0)</f>
        <v>0</v>
      </c>
      <c r="CG56" s="33">
        <f>IF(AND($B56&gt;=InputTriangles!$D$8,$CT56&gt;=CG$41),1,0)</f>
        <v>0</v>
      </c>
      <c r="CH56" s="33">
        <f>IF(AND($B56&gt;=InputTriangles!$D$8,$CT56&gt;=CH$41),1,0)</f>
        <v>0</v>
      </c>
      <c r="CI56" s="33">
        <f>IF(AND($B56&gt;=InputTriangles!$D$8,$CT56&gt;=CI$41),1,0)</f>
        <v>0</v>
      </c>
      <c r="CJ56" s="33">
        <f>IF(AND($B56&gt;=InputTriangles!$D$8,$CT56&gt;=CJ$41),1,0)</f>
        <v>0</v>
      </c>
      <c r="CK56" s="33">
        <f>IF(AND($B56&gt;=InputTriangles!$D$8,$CT56&gt;=CK$41),1,0)</f>
        <v>0</v>
      </c>
      <c r="CL56" s="33">
        <f>IF(AND($B56&gt;=InputTriangles!$D$8,$CT56&gt;=CL$41),1,0)</f>
        <v>0</v>
      </c>
      <c r="CM56" s="33">
        <f>IF(AND($B56&gt;=InputTriangles!$D$8,$CT56&gt;=CM$41),1,0)</f>
        <v>0</v>
      </c>
      <c r="CN56" s="33">
        <f>IF(AND($B56&gt;=InputTriangles!$D$8,$CT56&gt;=CN$41),1,0)</f>
        <v>0</v>
      </c>
      <c r="CO56" s="33">
        <f>IF(AND($B56&gt;=InputTriangles!$D$8,$CT56&gt;=CO$41),1,0)</f>
        <v>0</v>
      </c>
      <c r="CP56" s="33">
        <f>IF(AND($B56&gt;=InputTriangles!$D$8,$CT56&gt;=CP$41),1,0)</f>
        <v>0</v>
      </c>
      <c r="CQ56" s="33">
        <f>IF(AND($B56&gt;=InputTriangles!$D$8,$CT56&gt;=CQ$41),1,0)</f>
        <v>0</v>
      </c>
      <c r="CR56" s="33">
        <f>IF(AND($B56&gt;=InputTriangles!$D$8,$CT56&gt;=CR$41),1,0)</f>
        <v>0</v>
      </c>
      <c r="CS56" s="32">
        <f>IF(AND($B56&gt;=InputTriangles!$D$8,$CT56&gt;=CS$41),1,0)</f>
        <v>0</v>
      </c>
      <c r="CT56" s="31">
        <f>($D$9-InputTriangles!$B56)*InputTriangles!$E$4+$D$6</f>
        <v>10</v>
      </c>
    </row>
    <row r="57" spans="1:98" hidden="1" x14ac:dyDescent="0.25">
      <c r="A57" s="97">
        <v>0</v>
      </c>
      <c r="B57" s="29">
        <f t="shared" si="42"/>
        <v>2011</v>
      </c>
      <c r="C57" s="30">
        <f>IF(AND($B57&gt;=InputTriangles!$D$8,$CT57&gt;=C$41),1,0)</f>
        <v>1</v>
      </c>
      <c r="D57" s="33">
        <f>IF(AND($B57&gt;=InputTriangles!$D$8,$CT57&gt;=D$41),1,0)</f>
        <v>1</v>
      </c>
      <c r="E57" s="33">
        <f>IF(AND($B57&gt;=InputTriangles!$D$8,$CT57&gt;=E$41),1,0)</f>
        <v>1</v>
      </c>
      <c r="F57" s="33">
        <f>IF(AND($B57&gt;=InputTriangles!$D$8,$CT57&gt;=F$41),1,0)</f>
        <v>1</v>
      </c>
      <c r="G57" s="33">
        <f>IF(AND($B57&gt;=InputTriangles!$D$8,$CT57&gt;=G$41),1,0)</f>
        <v>1</v>
      </c>
      <c r="H57" s="33">
        <f>IF(AND($B57&gt;=InputTriangles!$D$8,$CT57&gt;=H$41),1,0)</f>
        <v>1</v>
      </c>
      <c r="I57" s="33">
        <f>IF(AND($B57&gt;=InputTriangles!$D$8,$CT57&gt;=I$41),1,0)</f>
        <v>1</v>
      </c>
      <c r="J57" s="33">
        <f>IF(AND($B57&gt;=InputTriangles!$D$8,$CT57&gt;=J$41),1,0)</f>
        <v>1</v>
      </c>
      <c r="K57" s="33">
        <f>IF(AND($B57&gt;=InputTriangles!$D$8,$CT57&gt;=K$41),1,0)</f>
        <v>1</v>
      </c>
      <c r="L57" s="33">
        <f>IF(AND($B57&gt;=InputTriangles!$D$8,$CT57&gt;=L$41),1,0)</f>
        <v>0</v>
      </c>
      <c r="M57" s="33">
        <f>IF(AND($B57&gt;=InputTriangles!$D$8,$CT57&gt;=M$41),1,0)</f>
        <v>0</v>
      </c>
      <c r="N57" s="33">
        <f>IF(AND($B57&gt;=InputTriangles!$D$8,$CT57&gt;=N$41),1,0)</f>
        <v>0</v>
      </c>
      <c r="O57" s="33">
        <f>IF(AND($B57&gt;=InputTriangles!$D$8,$CT57&gt;=O$41),1,0)</f>
        <v>0</v>
      </c>
      <c r="P57" s="33">
        <f>IF(AND($B57&gt;=InputTriangles!$D$8,$CT57&gt;=P$41),1,0)</f>
        <v>0</v>
      </c>
      <c r="Q57" s="33">
        <f>IF(AND($B57&gt;=InputTriangles!$D$8,$CT57&gt;=Q$41),1,0)</f>
        <v>0</v>
      </c>
      <c r="R57" s="33">
        <f>IF(AND($B57&gt;=InputTriangles!$D$8,$CT57&gt;=R$41),1,0)</f>
        <v>0</v>
      </c>
      <c r="S57" s="33">
        <f>IF(AND($B57&gt;=InputTriangles!$D$8,$CT57&gt;=S$41),1,0)</f>
        <v>0</v>
      </c>
      <c r="T57" s="33">
        <f>IF(AND($B57&gt;=InputTriangles!$D$8,$CT57&gt;=T$41),1,0)</f>
        <v>0</v>
      </c>
      <c r="U57" s="33">
        <f>IF(AND($B57&gt;=InputTriangles!$D$8,$CT57&gt;=U$41),1,0)</f>
        <v>0</v>
      </c>
      <c r="V57" s="33">
        <f>IF(AND($B57&gt;=InputTriangles!$D$8,$CT57&gt;=V$41),1,0)</f>
        <v>0</v>
      </c>
      <c r="W57" s="33">
        <f>IF(AND($B57&gt;=InputTriangles!$D$8,$CT57&gt;=W$41),1,0)</f>
        <v>0</v>
      </c>
      <c r="X57" s="33">
        <f>IF(AND($B57&gt;=InputTriangles!$D$8,$CT57&gt;=X$41),1,0)</f>
        <v>0</v>
      </c>
      <c r="Y57" s="33">
        <f>IF(AND($B57&gt;=InputTriangles!$D$8,$CT57&gt;=Y$41),1,0)</f>
        <v>0</v>
      </c>
      <c r="Z57" s="33">
        <f>IF(AND($B57&gt;=InputTriangles!$D$8,$CT57&gt;=Z$41),1,0)</f>
        <v>0</v>
      </c>
      <c r="AA57" s="33">
        <f>IF(AND($B57&gt;=InputTriangles!$D$8,$CT57&gt;=AA$41),1,0)</f>
        <v>0</v>
      </c>
      <c r="AB57" s="33">
        <f>IF(AND($B57&gt;=InputTriangles!$D$8,$CT57&gt;=AB$41),1,0)</f>
        <v>0</v>
      </c>
      <c r="AC57" s="33">
        <f>IF(AND($B57&gt;=InputTriangles!$D$8,$CT57&gt;=AC$41),1,0)</f>
        <v>0</v>
      </c>
      <c r="AD57" s="33">
        <f>IF(AND($B57&gt;=InputTriangles!$D$8,$CT57&gt;=AD$41),1,0)</f>
        <v>0</v>
      </c>
      <c r="AE57" s="33">
        <f>IF(AND($B57&gt;=InputTriangles!$D$8,$CT57&gt;=AE$41),1,0)</f>
        <v>0</v>
      </c>
      <c r="AF57" s="33">
        <f>IF(AND($B57&gt;=InputTriangles!$D$8,$CT57&gt;=AF$41),1,0)</f>
        <v>0</v>
      </c>
      <c r="AG57" s="33">
        <f>IF(AND($B57&gt;=InputTriangles!$D$8,$CT57&gt;=AG$41),1,0)</f>
        <v>0</v>
      </c>
      <c r="AH57" s="33">
        <f>IF(AND($B57&gt;=InputTriangles!$D$8,$CT57&gt;=AH$41),1,0)</f>
        <v>0</v>
      </c>
      <c r="AI57" s="33">
        <f>IF(AND($B57&gt;=InputTriangles!$D$8,$CT57&gt;=AI$41),1,0)</f>
        <v>0</v>
      </c>
      <c r="AJ57" s="33">
        <f>IF(AND($B57&gt;=InputTriangles!$D$8,$CT57&gt;=AJ$41),1,0)</f>
        <v>0</v>
      </c>
      <c r="AK57" s="33">
        <f>IF(AND($B57&gt;=InputTriangles!$D$8,$CT57&gt;=AK$41),1,0)</f>
        <v>0</v>
      </c>
      <c r="AL57" s="33">
        <f>IF(AND($B57&gt;=InputTriangles!$D$8,$CT57&gt;=AL$41),1,0)</f>
        <v>0</v>
      </c>
      <c r="AM57" s="33">
        <f>IF(AND($B57&gt;=InputTriangles!$D$8,$CT57&gt;=AM$41),1,0)</f>
        <v>0</v>
      </c>
      <c r="AN57" s="33">
        <f>IF(AND($B57&gt;=InputTriangles!$D$8,$CT57&gt;=AN$41),1,0)</f>
        <v>0</v>
      </c>
      <c r="AO57" s="33">
        <f>IF(AND($B57&gt;=InputTriangles!$D$8,$CT57&gt;=AO$41),1,0)</f>
        <v>0</v>
      </c>
      <c r="AP57" s="33">
        <f>IF(AND($B57&gt;=InputTriangles!$D$8,$CT57&gt;=AP$41),1,0)</f>
        <v>0</v>
      </c>
      <c r="AQ57" s="33">
        <f>IF(AND($B57&gt;=InputTriangles!$D$8,$CT57&gt;=AQ$41),1,0)</f>
        <v>0</v>
      </c>
      <c r="AR57" s="33">
        <f>IF(AND($B57&gt;=InputTriangles!$D$8,$CT57&gt;=AR$41),1,0)</f>
        <v>0</v>
      </c>
      <c r="AS57" s="33">
        <f>IF(AND($B57&gt;=InputTriangles!$D$8,$CT57&gt;=AS$41),1,0)</f>
        <v>0</v>
      </c>
      <c r="AT57" s="33">
        <f>IF(AND($B57&gt;=InputTriangles!$D$8,$CT57&gt;=AT$41),1,0)</f>
        <v>0</v>
      </c>
      <c r="AU57" s="33">
        <f>IF(AND($B57&gt;=InputTriangles!$D$8,$CT57&gt;=AU$41),1,0)</f>
        <v>0</v>
      </c>
      <c r="AV57" s="33">
        <f>IF(AND($B57&gt;=InputTriangles!$D$8,$CT57&gt;=AV$41),1,0)</f>
        <v>0</v>
      </c>
      <c r="AW57" s="33">
        <f>IF(AND($B57&gt;=InputTriangles!$D$8,$CT57&gt;=AW$41),1,0)</f>
        <v>0</v>
      </c>
      <c r="AX57" s="33">
        <f>IF(AND($B57&gt;=InputTriangles!$D$8,$CT57&gt;=AX$41),1,0)</f>
        <v>0</v>
      </c>
      <c r="AY57" s="33">
        <f>IF(AND($B57&gt;=InputTriangles!$D$8,$CT57&gt;=AY$41),1,0)</f>
        <v>0</v>
      </c>
      <c r="AZ57" s="33">
        <f>IF(AND($B57&gt;=InputTriangles!$D$8,$CT57&gt;=AZ$41),1,0)</f>
        <v>0</v>
      </c>
      <c r="BA57" s="33">
        <f>IF(AND($B57&gt;=InputTriangles!$D$8,$CT57&gt;=BA$41),1,0)</f>
        <v>0</v>
      </c>
      <c r="BB57" s="33">
        <f>IF(AND($B57&gt;=InputTriangles!$D$8,$CT57&gt;=BB$41),1,0)</f>
        <v>0</v>
      </c>
      <c r="BC57" s="33">
        <f>IF(AND($B57&gt;=InputTriangles!$D$8,$CT57&gt;=BC$41),1,0)</f>
        <v>0</v>
      </c>
      <c r="BD57" s="33">
        <f>IF(AND($B57&gt;=InputTriangles!$D$8,$CT57&gt;=BD$41),1,0)</f>
        <v>0</v>
      </c>
      <c r="BE57" s="33">
        <f>IF(AND($B57&gt;=InputTriangles!$D$8,$CT57&gt;=BE$41),1,0)</f>
        <v>0</v>
      </c>
      <c r="BF57" s="33">
        <f>IF(AND($B57&gt;=InputTriangles!$D$8,$CT57&gt;=BF$41),1,0)</f>
        <v>0</v>
      </c>
      <c r="BG57" s="33">
        <f>IF(AND($B57&gt;=InputTriangles!$D$8,$CT57&gt;=BG$41),1,0)</f>
        <v>0</v>
      </c>
      <c r="BH57" s="33">
        <f>IF(AND($B57&gt;=InputTriangles!$D$8,$CT57&gt;=BH$41),1,0)</f>
        <v>0</v>
      </c>
      <c r="BI57" s="33">
        <f>IF(AND($B57&gt;=InputTriangles!$D$8,$CT57&gt;=BI$41),1,0)</f>
        <v>0</v>
      </c>
      <c r="BJ57" s="33">
        <f>IF(AND($B57&gt;=InputTriangles!$D$8,$CT57&gt;=BJ$41),1,0)</f>
        <v>0</v>
      </c>
      <c r="BK57" s="33">
        <f>IF(AND($B57&gt;=InputTriangles!$D$8,$CT57&gt;=BK$41),1,0)</f>
        <v>0</v>
      </c>
      <c r="BL57" s="33">
        <f>IF(AND($B57&gt;=InputTriangles!$D$8,$CT57&gt;=BL$41),1,0)</f>
        <v>0</v>
      </c>
      <c r="BM57" s="33">
        <f>IF(AND($B57&gt;=InputTriangles!$D$8,$CT57&gt;=BM$41),1,0)</f>
        <v>0</v>
      </c>
      <c r="BN57" s="33">
        <f>IF(AND($B57&gt;=InputTriangles!$D$8,$CT57&gt;=BN$41),1,0)</f>
        <v>0</v>
      </c>
      <c r="BO57" s="33">
        <f>IF(AND($B57&gt;=InputTriangles!$D$8,$CT57&gt;=BO$41),1,0)</f>
        <v>0</v>
      </c>
      <c r="BP57" s="33">
        <f>IF(AND($B57&gt;=InputTriangles!$D$8,$CT57&gt;=BP$41),1,0)</f>
        <v>0</v>
      </c>
      <c r="BQ57" s="33">
        <f>IF(AND($B57&gt;=InputTriangles!$D$8,$CT57&gt;=BQ$41),1,0)</f>
        <v>0</v>
      </c>
      <c r="BR57" s="33">
        <f>IF(AND($B57&gt;=InputTriangles!$D$8,$CT57&gt;=BR$41),1,0)</f>
        <v>0</v>
      </c>
      <c r="BS57" s="33">
        <f>IF(AND($B57&gt;=InputTriangles!$D$8,$CT57&gt;=BS$41),1,0)</f>
        <v>0</v>
      </c>
      <c r="BT57" s="33">
        <f>IF(AND($B57&gt;=InputTriangles!$D$8,$CT57&gt;=BT$41),1,0)</f>
        <v>0</v>
      </c>
      <c r="BU57" s="33">
        <f>IF(AND($B57&gt;=InputTriangles!$D$8,$CT57&gt;=BU$41),1,0)</f>
        <v>0</v>
      </c>
      <c r="BV57" s="33">
        <f>IF(AND($B57&gt;=InputTriangles!$D$8,$CT57&gt;=BV$41),1,0)</f>
        <v>0</v>
      </c>
      <c r="BW57" s="33">
        <f>IF(AND($B57&gt;=InputTriangles!$D$8,$CT57&gt;=BW$41),1,0)</f>
        <v>0</v>
      </c>
      <c r="BX57" s="33">
        <f>IF(AND($B57&gt;=InputTriangles!$D$8,$CT57&gt;=BX$41),1,0)</f>
        <v>0</v>
      </c>
      <c r="BY57" s="33">
        <f>IF(AND($B57&gt;=InputTriangles!$D$8,$CT57&gt;=BY$41),1,0)</f>
        <v>0</v>
      </c>
      <c r="BZ57" s="33">
        <f>IF(AND($B57&gt;=InputTriangles!$D$8,$CT57&gt;=BZ$41),1,0)</f>
        <v>0</v>
      </c>
      <c r="CA57" s="33">
        <f>IF(AND($B57&gt;=InputTriangles!$D$8,$CT57&gt;=CA$41),1,0)</f>
        <v>0</v>
      </c>
      <c r="CB57" s="33">
        <f>IF(AND($B57&gt;=InputTriangles!$D$8,$CT57&gt;=CB$41),1,0)</f>
        <v>0</v>
      </c>
      <c r="CC57" s="33">
        <f>IF(AND($B57&gt;=InputTriangles!$D$8,$CT57&gt;=CC$41),1,0)</f>
        <v>0</v>
      </c>
      <c r="CD57" s="33">
        <f>IF(AND($B57&gt;=InputTriangles!$D$8,$CT57&gt;=CD$41),1,0)</f>
        <v>0</v>
      </c>
      <c r="CE57" s="33">
        <f>IF(AND($B57&gt;=InputTriangles!$D$8,$CT57&gt;=CE$41),1,0)</f>
        <v>0</v>
      </c>
      <c r="CF57" s="33">
        <f>IF(AND($B57&gt;=InputTriangles!$D$8,$CT57&gt;=CF$41),1,0)</f>
        <v>0</v>
      </c>
      <c r="CG57" s="33">
        <f>IF(AND($B57&gt;=InputTriangles!$D$8,$CT57&gt;=CG$41),1,0)</f>
        <v>0</v>
      </c>
      <c r="CH57" s="33">
        <f>IF(AND($B57&gt;=InputTriangles!$D$8,$CT57&gt;=CH$41),1,0)</f>
        <v>0</v>
      </c>
      <c r="CI57" s="33">
        <f>IF(AND($B57&gt;=InputTriangles!$D$8,$CT57&gt;=CI$41),1,0)</f>
        <v>0</v>
      </c>
      <c r="CJ57" s="33">
        <f>IF(AND($B57&gt;=InputTriangles!$D$8,$CT57&gt;=CJ$41),1,0)</f>
        <v>0</v>
      </c>
      <c r="CK57" s="33">
        <f>IF(AND($B57&gt;=InputTriangles!$D$8,$CT57&gt;=CK$41),1,0)</f>
        <v>0</v>
      </c>
      <c r="CL57" s="33">
        <f>IF(AND($B57&gt;=InputTriangles!$D$8,$CT57&gt;=CL$41),1,0)</f>
        <v>0</v>
      </c>
      <c r="CM57" s="33">
        <f>IF(AND($B57&gt;=InputTriangles!$D$8,$CT57&gt;=CM$41),1,0)</f>
        <v>0</v>
      </c>
      <c r="CN57" s="33">
        <f>IF(AND($B57&gt;=InputTriangles!$D$8,$CT57&gt;=CN$41),1,0)</f>
        <v>0</v>
      </c>
      <c r="CO57" s="33">
        <f>IF(AND($B57&gt;=InputTriangles!$D$8,$CT57&gt;=CO$41),1,0)</f>
        <v>0</v>
      </c>
      <c r="CP57" s="33">
        <f>IF(AND($B57&gt;=InputTriangles!$D$8,$CT57&gt;=CP$41),1,0)</f>
        <v>0</v>
      </c>
      <c r="CQ57" s="33">
        <f>IF(AND($B57&gt;=InputTriangles!$D$8,$CT57&gt;=CQ$41),1,0)</f>
        <v>0</v>
      </c>
      <c r="CR57" s="33">
        <f>IF(AND($B57&gt;=InputTriangles!$D$8,$CT57&gt;=CR$41),1,0)</f>
        <v>0</v>
      </c>
      <c r="CS57" s="32">
        <f>IF(AND($B57&gt;=InputTriangles!$D$8,$CT57&gt;=CS$41),1,0)</f>
        <v>0</v>
      </c>
      <c r="CT57" s="31">
        <f>($D$9-InputTriangles!$B57)*InputTriangles!$E$4+$D$6</f>
        <v>9</v>
      </c>
    </row>
    <row r="58" spans="1:98" hidden="1" x14ac:dyDescent="0.25">
      <c r="A58" s="97">
        <v>0</v>
      </c>
      <c r="B58" s="29">
        <f t="shared" si="42"/>
        <v>2012</v>
      </c>
      <c r="C58" s="30">
        <f>IF(AND($B58&gt;=InputTriangles!$D$8,$CT58&gt;=C$41),1,0)</f>
        <v>1</v>
      </c>
      <c r="D58" s="33">
        <f>IF(AND($B58&gt;=InputTriangles!$D$8,$CT58&gt;=D$41),1,0)</f>
        <v>1</v>
      </c>
      <c r="E58" s="33">
        <f>IF(AND($B58&gt;=InputTriangles!$D$8,$CT58&gt;=E$41),1,0)</f>
        <v>1</v>
      </c>
      <c r="F58" s="33">
        <f>IF(AND($B58&gt;=InputTriangles!$D$8,$CT58&gt;=F$41),1,0)</f>
        <v>1</v>
      </c>
      <c r="G58" s="33">
        <f>IF(AND($B58&gt;=InputTriangles!$D$8,$CT58&gt;=G$41),1,0)</f>
        <v>1</v>
      </c>
      <c r="H58" s="33">
        <f>IF(AND($B58&gt;=InputTriangles!$D$8,$CT58&gt;=H$41),1,0)</f>
        <v>1</v>
      </c>
      <c r="I58" s="33">
        <f>IF(AND($B58&gt;=InputTriangles!$D$8,$CT58&gt;=I$41),1,0)</f>
        <v>1</v>
      </c>
      <c r="J58" s="33">
        <f>IF(AND($B58&gt;=InputTriangles!$D$8,$CT58&gt;=J$41),1,0)</f>
        <v>1</v>
      </c>
      <c r="K58" s="33">
        <f>IF(AND($B58&gt;=InputTriangles!$D$8,$CT58&gt;=K$41),1,0)</f>
        <v>0</v>
      </c>
      <c r="L58" s="33">
        <f>IF(AND($B58&gt;=InputTriangles!$D$8,$CT58&gt;=L$41),1,0)</f>
        <v>0</v>
      </c>
      <c r="M58" s="33">
        <f>IF(AND($B58&gt;=InputTriangles!$D$8,$CT58&gt;=M$41),1,0)</f>
        <v>0</v>
      </c>
      <c r="N58" s="33">
        <f>IF(AND($B58&gt;=InputTriangles!$D$8,$CT58&gt;=N$41),1,0)</f>
        <v>0</v>
      </c>
      <c r="O58" s="33">
        <f>IF(AND($B58&gt;=InputTriangles!$D$8,$CT58&gt;=O$41),1,0)</f>
        <v>0</v>
      </c>
      <c r="P58" s="33">
        <f>IF(AND($B58&gt;=InputTriangles!$D$8,$CT58&gt;=P$41),1,0)</f>
        <v>0</v>
      </c>
      <c r="Q58" s="33">
        <f>IF(AND($B58&gt;=InputTriangles!$D$8,$CT58&gt;=Q$41),1,0)</f>
        <v>0</v>
      </c>
      <c r="R58" s="33">
        <f>IF(AND($B58&gt;=InputTriangles!$D$8,$CT58&gt;=R$41),1,0)</f>
        <v>0</v>
      </c>
      <c r="S58" s="33">
        <f>IF(AND($B58&gt;=InputTriangles!$D$8,$CT58&gt;=S$41),1,0)</f>
        <v>0</v>
      </c>
      <c r="T58" s="33">
        <f>IF(AND($B58&gt;=InputTriangles!$D$8,$CT58&gt;=T$41),1,0)</f>
        <v>0</v>
      </c>
      <c r="U58" s="33">
        <f>IF(AND($B58&gt;=InputTriangles!$D$8,$CT58&gt;=U$41),1,0)</f>
        <v>0</v>
      </c>
      <c r="V58" s="33">
        <f>IF(AND($B58&gt;=InputTriangles!$D$8,$CT58&gt;=V$41),1,0)</f>
        <v>0</v>
      </c>
      <c r="W58" s="33">
        <f>IF(AND($B58&gt;=InputTriangles!$D$8,$CT58&gt;=W$41),1,0)</f>
        <v>0</v>
      </c>
      <c r="X58" s="33">
        <f>IF(AND($B58&gt;=InputTriangles!$D$8,$CT58&gt;=X$41),1,0)</f>
        <v>0</v>
      </c>
      <c r="Y58" s="33">
        <f>IF(AND($B58&gt;=InputTriangles!$D$8,$CT58&gt;=Y$41),1,0)</f>
        <v>0</v>
      </c>
      <c r="Z58" s="33">
        <f>IF(AND($B58&gt;=InputTriangles!$D$8,$CT58&gt;=Z$41),1,0)</f>
        <v>0</v>
      </c>
      <c r="AA58" s="33">
        <f>IF(AND($B58&gt;=InputTriangles!$D$8,$CT58&gt;=AA$41),1,0)</f>
        <v>0</v>
      </c>
      <c r="AB58" s="33">
        <f>IF(AND($B58&gt;=InputTriangles!$D$8,$CT58&gt;=AB$41),1,0)</f>
        <v>0</v>
      </c>
      <c r="AC58" s="33">
        <f>IF(AND($B58&gt;=InputTriangles!$D$8,$CT58&gt;=AC$41),1,0)</f>
        <v>0</v>
      </c>
      <c r="AD58" s="33">
        <f>IF(AND($B58&gt;=InputTriangles!$D$8,$CT58&gt;=AD$41),1,0)</f>
        <v>0</v>
      </c>
      <c r="AE58" s="33">
        <f>IF(AND($B58&gt;=InputTriangles!$D$8,$CT58&gt;=AE$41),1,0)</f>
        <v>0</v>
      </c>
      <c r="AF58" s="33">
        <f>IF(AND($B58&gt;=InputTriangles!$D$8,$CT58&gt;=AF$41),1,0)</f>
        <v>0</v>
      </c>
      <c r="AG58" s="33">
        <f>IF(AND($B58&gt;=InputTriangles!$D$8,$CT58&gt;=AG$41),1,0)</f>
        <v>0</v>
      </c>
      <c r="AH58" s="33">
        <f>IF(AND($B58&gt;=InputTriangles!$D$8,$CT58&gt;=AH$41),1,0)</f>
        <v>0</v>
      </c>
      <c r="AI58" s="33">
        <f>IF(AND($B58&gt;=InputTriangles!$D$8,$CT58&gt;=AI$41),1,0)</f>
        <v>0</v>
      </c>
      <c r="AJ58" s="33">
        <f>IF(AND($B58&gt;=InputTriangles!$D$8,$CT58&gt;=AJ$41),1,0)</f>
        <v>0</v>
      </c>
      <c r="AK58" s="33">
        <f>IF(AND($B58&gt;=InputTriangles!$D$8,$CT58&gt;=AK$41),1,0)</f>
        <v>0</v>
      </c>
      <c r="AL58" s="33">
        <f>IF(AND($B58&gt;=InputTriangles!$D$8,$CT58&gt;=AL$41),1,0)</f>
        <v>0</v>
      </c>
      <c r="AM58" s="33">
        <f>IF(AND($B58&gt;=InputTriangles!$D$8,$CT58&gt;=AM$41),1,0)</f>
        <v>0</v>
      </c>
      <c r="AN58" s="33">
        <f>IF(AND($B58&gt;=InputTriangles!$D$8,$CT58&gt;=AN$41),1,0)</f>
        <v>0</v>
      </c>
      <c r="AO58" s="33">
        <f>IF(AND($B58&gt;=InputTriangles!$D$8,$CT58&gt;=AO$41),1,0)</f>
        <v>0</v>
      </c>
      <c r="AP58" s="33">
        <f>IF(AND($B58&gt;=InputTriangles!$D$8,$CT58&gt;=AP$41),1,0)</f>
        <v>0</v>
      </c>
      <c r="AQ58" s="33">
        <f>IF(AND($B58&gt;=InputTriangles!$D$8,$CT58&gt;=AQ$41),1,0)</f>
        <v>0</v>
      </c>
      <c r="AR58" s="33">
        <f>IF(AND($B58&gt;=InputTriangles!$D$8,$CT58&gt;=AR$41),1,0)</f>
        <v>0</v>
      </c>
      <c r="AS58" s="33">
        <f>IF(AND($B58&gt;=InputTriangles!$D$8,$CT58&gt;=AS$41),1,0)</f>
        <v>0</v>
      </c>
      <c r="AT58" s="33">
        <f>IF(AND($B58&gt;=InputTriangles!$D$8,$CT58&gt;=AT$41),1,0)</f>
        <v>0</v>
      </c>
      <c r="AU58" s="33">
        <f>IF(AND($B58&gt;=InputTriangles!$D$8,$CT58&gt;=AU$41),1,0)</f>
        <v>0</v>
      </c>
      <c r="AV58" s="33">
        <f>IF(AND($B58&gt;=InputTriangles!$D$8,$CT58&gt;=AV$41),1,0)</f>
        <v>0</v>
      </c>
      <c r="AW58" s="33">
        <f>IF(AND($B58&gt;=InputTriangles!$D$8,$CT58&gt;=AW$41),1,0)</f>
        <v>0</v>
      </c>
      <c r="AX58" s="33">
        <f>IF(AND($B58&gt;=InputTriangles!$D$8,$CT58&gt;=AX$41),1,0)</f>
        <v>0</v>
      </c>
      <c r="AY58" s="33">
        <f>IF(AND($B58&gt;=InputTriangles!$D$8,$CT58&gt;=AY$41),1,0)</f>
        <v>0</v>
      </c>
      <c r="AZ58" s="33">
        <f>IF(AND($B58&gt;=InputTriangles!$D$8,$CT58&gt;=AZ$41),1,0)</f>
        <v>0</v>
      </c>
      <c r="BA58" s="33">
        <f>IF(AND($B58&gt;=InputTriangles!$D$8,$CT58&gt;=BA$41),1,0)</f>
        <v>0</v>
      </c>
      <c r="BB58" s="33">
        <f>IF(AND($B58&gt;=InputTriangles!$D$8,$CT58&gt;=BB$41),1,0)</f>
        <v>0</v>
      </c>
      <c r="BC58" s="33">
        <f>IF(AND($B58&gt;=InputTriangles!$D$8,$CT58&gt;=BC$41),1,0)</f>
        <v>0</v>
      </c>
      <c r="BD58" s="33">
        <f>IF(AND($B58&gt;=InputTriangles!$D$8,$CT58&gt;=BD$41),1,0)</f>
        <v>0</v>
      </c>
      <c r="BE58" s="33">
        <f>IF(AND($B58&gt;=InputTriangles!$D$8,$CT58&gt;=BE$41),1,0)</f>
        <v>0</v>
      </c>
      <c r="BF58" s="33">
        <f>IF(AND($B58&gt;=InputTriangles!$D$8,$CT58&gt;=BF$41),1,0)</f>
        <v>0</v>
      </c>
      <c r="BG58" s="33">
        <f>IF(AND($B58&gt;=InputTriangles!$D$8,$CT58&gt;=BG$41),1,0)</f>
        <v>0</v>
      </c>
      <c r="BH58" s="33">
        <f>IF(AND($B58&gt;=InputTriangles!$D$8,$CT58&gt;=BH$41),1,0)</f>
        <v>0</v>
      </c>
      <c r="BI58" s="33">
        <f>IF(AND($B58&gt;=InputTriangles!$D$8,$CT58&gt;=BI$41),1,0)</f>
        <v>0</v>
      </c>
      <c r="BJ58" s="33">
        <f>IF(AND($B58&gt;=InputTriangles!$D$8,$CT58&gt;=BJ$41),1,0)</f>
        <v>0</v>
      </c>
      <c r="BK58" s="33">
        <f>IF(AND($B58&gt;=InputTriangles!$D$8,$CT58&gt;=BK$41),1,0)</f>
        <v>0</v>
      </c>
      <c r="BL58" s="33">
        <f>IF(AND($B58&gt;=InputTriangles!$D$8,$CT58&gt;=BL$41),1,0)</f>
        <v>0</v>
      </c>
      <c r="BM58" s="33">
        <f>IF(AND($B58&gt;=InputTriangles!$D$8,$CT58&gt;=BM$41),1,0)</f>
        <v>0</v>
      </c>
      <c r="BN58" s="33">
        <f>IF(AND($B58&gt;=InputTriangles!$D$8,$CT58&gt;=BN$41),1,0)</f>
        <v>0</v>
      </c>
      <c r="BO58" s="33">
        <f>IF(AND($B58&gt;=InputTriangles!$D$8,$CT58&gt;=BO$41),1,0)</f>
        <v>0</v>
      </c>
      <c r="BP58" s="33">
        <f>IF(AND($B58&gt;=InputTriangles!$D$8,$CT58&gt;=BP$41),1,0)</f>
        <v>0</v>
      </c>
      <c r="BQ58" s="33">
        <f>IF(AND($B58&gt;=InputTriangles!$D$8,$CT58&gt;=BQ$41),1,0)</f>
        <v>0</v>
      </c>
      <c r="BR58" s="33">
        <f>IF(AND($B58&gt;=InputTriangles!$D$8,$CT58&gt;=BR$41),1,0)</f>
        <v>0</v>
      </c>
      <c r="BS58" s="33">
        <f>IF(AND($B58&gt;=InputTriangles!$D$8,$CT58&gt;=BS$41),1,0)</f>
        <v>0</v>
      </c>
      <c r="BT58" s="33">
        <f>IF(AND($B58&gt;=InputTriangles!$D$8,$CT58&gt;=BT$41),1,0)</f>
        <v>0</v>
      </c>
      <c r="BU58" s="33">
        <f>IF(AND($B58&gt;=InputTriangles!$D$8,$CT58&gt;=BU$41),1,0)</f>
        <v>0</v>
      </c>
      <c r="BV58" s="33">
        <f>IF(AND($B58&gt;=InputTriangles!$D$8,$CT58&gt;=BV$41),1,0)</f>
        <v>0</v>
      </c>
      <c r="BW58" s="33">
        <f>IF(AND($B58&gt;=InputTriangles!$D$8,$CT58&gt;=BW$41),1,0)</f>
        <v>0</v>
      </c>
      <c r="BX58" s="33">
        <f>IF(AND($B58&gt;=InputTriangles!$D$8,$CT58&gt;=BX$41),1,0)</f>
        <v>0</v>
      </c>
      <c r="BY58" s="33">
        <f>IF(AND($B58&gt;=InputTriangles!$D$8,$CT58&gt;=BY$41),1,0)</f>
        <v>0</v>
      </c>
      <c r="BZ58" s="33">
        <f>IF(AND($B58&gt;=InputTriangles!$D$8,$CT58&gt;=BZ$41),1,0)</f>
        <v>0</v>
      </c>
      <c r="CA58" s="33">
        <f>IF(AND($B58&gt;=InputTriangles!$D$8,$CT58&gt;=CA$41),1,0)</f>
        <v>0</v>
      </c>
      <c r="CB58" s="33">
        <f>IF(AND($B58&gt;=InputTriangles!$D$8,$CT58&gt;=CB$41),1,0)</f>
        <v>0</v>
      </c>
      <c r="CC58" s="33">
        <f>IF(AND($B58&gt;=InputTriangles!$D$8,$CT58&gt;=CC$41),1,0)</f>
        <v>0</v>
      </c>
      <c r="CD58" s="33">
        <f>IF(AND($B58&gt;=InputTriangles!$D$8,$CT58&gt;=CD$41),1,0)</f>
        <v>0</v>
      </c>
      <c r="CE58" s="33">
        <f>IF(AND($B58&gt;=InputTriangles!$D$8,$CT58&gt;=CE$41),1,0)</f>
        <v>0</v>
      </c>
      <c r="CF58" s="33">
        <f>IF(AND($B58&gt;=InputTriangles!$D$8,$CT58&gt;=CF$41),1,0)</f>
        <v>0</v>
      </c>
      <c r="CG58" s="33">
        <f>IF(AND($B58&gt;=InputTriangles!$D$8,$CT58&gt;=CG$41),1,0)</f>
        <v>0</v>
      </c>
      <c r="CH58" s="33">
        <f>IF(AND($B58&gt;=InputTriangles!$D$8,$CT58&gt;=CH$41),1,0)</f>
        <v>0</v>
      </c>
      <c r="CI58" s="33">
        <f>IF(AND($B58&gt;=InputTriangles!$D$8,$CT58&gt;=CI$41),1,0)</f>
        <v>0</v>
      </c>
      <c r="CJ58" s="33">
        <f>IF(AND($B58&gt;=InputTriangles!$D$8,$CT58&gt;=CJ$41),1,0)</f>
        <v>0</v>
      </c>
      <c r="CK58" s="33">
        <f>IF(AND($B58&gt;=InputTriangles!$D$8,$CT58&gt;=CK$41),1,0)</f>
        <v>0</v>
      </c>
      <c r="CL58" s="33">
        <f>IF(AND($B58&gt;=InputTriangles!$D$8,$CT58&gt;=CL$41),1,0)</f>
        <v>0</v>
      </c>
      <c r="CM58" s="33">
        <f>IF(AND($B58&gt;=InputTriangles!$D$8,$CT58&gt;=CM$41),1,0)</f>
        <v>0</v>
      </c>
      <c r="CN58" s="33">
        <f>IF(AND($B58&gt;=InputTriangles!$D$8,$CT58&gt;=CN$41),1,0)</f>
        <v>0</v>
      </c>
      <c r="CO58" s="33">
        <f>IF(AND($B58&gt;=InputTriangles!$D$8,$CT58&gt;=CO$41),1,0)</f>
        <v>0</v>
      </c>
      <c r="CP58" s="33">
        <f>IF(AND($B58&gt;=InputTriangles!$D$8,$CT58&gt;=CP$41),1,0)</f>
        <v>0</v>
      </c>
      <c r="CQ58" s="33">
        <f>IF(AND($B58&gt;=InputTriangles!$D$8,$CT58&gt;=CQ$41),1,0)</f>
        <v>0</v>
      </c>
      <c r="CR58" s="33">
        <f>IF(AND($B58&gt;=InputTriangles!$D$8,$CT58&gt;=CR$41),1,0)</f>
        <v>0</v>
      </c>
      <c r="CS58" s="32">
        <f>IF(AND($B58&gt;=InputTriangles!$D$8,$CT58&gt;=CS$41),1,0)</f>
        <v>0</v>
      </c>
      <c r="CT58" s="31">
        <f>($D$9-InputTriangles!$B58)*InputTriangles!$E$4+$D$6</f>
        <v>8</v>
      </c>
    </row>
    <row r="59" spans="1:98" hidden="1" x14ac:dyDescent="0.25">
      <c r="A59" s="97">
        <v>0</v>
      </c>
      <c r="B59" s="29">
        <f t="shared" si="42"/>
        <v>2013</v>
      </c>
      <c r="C59" s="30">
        <f>IF(AND($B59&gt;=InputTriangles!$D$8,$CT59&gt;=C$41),1,0)</f>
        <v>1</v>
      </c>
      <c r="D59" s="33">
        <f>IF(AND($B59&gt;=InputTriangles!$D$8,$CT59&gt;=D$41),1,0)</f>
        <v>1</v>
      </c>
      <c r="E59" s="33">
        <f>IF(AND($B59&gt;=InputTriangles!$D$8,$CT59&gt;=E$41),1,0)</f>
        <v>1</v>
      </c>
      <c r="F59" s="33">
        <f>IF(AND($B59&gt;=InputTriangles!$D$8,$CT59&gt;=F$41),1,0)</f>
        <v>1</v>
      </c>
      <c r="G59" s="33">
        <f>IF(AND($B59&gt;=InputTriangles!$D$8,$CT59&gt;=G$41),1,0)</f>
        <v>1</v>
      </c>
      <c r="H59" s="33">
        <f>IF(AND($B59&gt;=InputTriangles!$D$8,$CT59&gt;=H$41),1,0)</f>
        <v>1</v>
      </c>
      <c r="I59" s="33">
        <f>IF(AND($B59&gt;=InputTriangles!$D$8,$CT59&gt;=I$41),1,0)</f>
        <v>1</v>
      </c>
      <c r="J59" s="33">
        <f>IF(AND($B59&gt;=InputTriangles!$D$8,$CT59&gt;=J$41),1,0)</f>
        <v>0</v>
      </c>
      <c r="K59" s="33">
        <f>IF(AND($B59&gt;=InputTriangles!$D$8,$CT59&gt;=K$41),1,0)</f>
        <v>0</v>
      </c>
      <c r="L59" s="33">
        <f>IF(AND($B59&gt;=InputTriangles!$D$8,$CT59&gt;=L$41),1,0)</f>
        <v>0</v>
      </c>
      <c r="M59" s="33">
        <f>IF(AND($B59&gt;=InputTriangles!$D$8,$CT59&gt;=M$41),1,0)</f>
        <v>0</v>
      </c>
      <c r="N59" s="33">
        <f>IF(AND($B59&gt;=InputTriangles!$D$8,$CT59&gt;=N$41),1,0)</f>
        <v>0</v>
      </c>
      <c r="O59" s="33">
        <f>IF(AND($B59&gt;=InputTriangles!$D$8,$CT59&gt;=O$41),1,0)</f>
        <v>0</v>
      </c>
      <c r="P59" s="33">
        <f>IF(AND($B59&gt;=InputTriangles!$D$8,$CT59&gt;=P$41),1,0)</f>
        <v>0</v>
      </c>
      <c r="Q59" s="33">
        <f>IF(AND($B59&gt;=InputTriangles!$D$8,$CT59&gt;=Q$41),1,0)</f>
        <v>0</v>
      </c>
      <c r="R59" s="33">
        <f>IF(AND($B59&gt;=InputTriangles!$D$8,$CT59&gt;=R$41),1,0)</f>
        <v>0</v>
      </c>
      <c r="S59" s="33">
        <f>IF(AND($B59&gt;=InputTriangles!$D$8,$CT59&gt;=S$41),1,0)</f>
        <v>0</v>
      </c>
      <c r="T59" s="33">
        <f>IF(AND($B59&gt;=InputTriangles!$D$8,$CT59&gt;=T$41),1,0)</f>
        <v>0</v>
      </c>
      <c r="U59" s="33">
        <f>IF(AND($B59&gt;=InputTriangles!$D$8,$CT59&gt;=U$41),1,0)</f>
        <v>0</v>
      </c>
      <c r="V59" s="33">
        <f>IF(AND($B59&gt;=InputTriangles!$D$8,$CT59&gt;=V$41),1,0)</f>
        <v>0</v>
      </c>
      <c r="W59" s="33">
        <f>IF(AND($B59&gt;=InputTriangles!$D$8,$CT59&gt;=W$41),1,0)</f>
        <v>0</v>
      </c>
      <c r="X59" s="33">
        <f>IF(AND($B59&gt;=InputTriangles!$D$8,$CT59&gt;=X$41),1,0)</f>
        <v>0</v>
      </c>
      <c r="Y59" s="33">
        <f>IF(AND($B59&gt;=InputTriangles!$D$8,$CT59&gt;=Y$41),1,0)</f>
        <v>0</v>
      </c>
      <c r="Z59" s="33">
        <f>IF(AND($B59&gt;=InputTriangles!$D$8,$CT59&gt;=Z$41),1,0)</f>
        <v>0</v>
      </c>
      <c r="AA59" s="33">
        <f>IF(AND($B59&gt;=InputTriangles!$D$8,$CT59&gt;=AA$41),1,0)</f>
        <v>0</v>
      </c>
      <c r="AB59" s="33">
        <f>IF(AND($B59&gt;=InputTriangles!$D$8,$CT59&gt;=AB$41),1,0)</f>
        <v>0</v>
      </c>
      <c r="AC59" s="33">
        <f>IF(AND($B59&gt;=InputTriangles!$D$8,$CT59&gt;=AC$41),1,0)</f>
        <v>0</v>
      </c>
      <c r="AD59" s="33">
        <f>IF(AND($B59&gt;=InputTriangles!$D$8,$CT59&gt;=AD$41),1,0)</f>
        <v>0</v>
      </c>
      <c r="AE59" s="33">
        <f>IF(AND($B59&gt;=InputTriangles!$D$8,$CT59&gt;=AE$41),1,0)</f>
        <v>0</v>
      </c>
      <c r="AF59" s="33">
        <f>IF(AND($B59&gt;=InputTriangles!$D$8,$CT59&gt;=AF$41),1,0)</f>
        <v>0</v>
      </c>
      <c r="AG59" s="33">
        <f>IF(AND($B59&gt;=InputTriangles!$D$8,$CT59&gt;=AG$41),1,0)</f>
        <v>0</v>
      </c>
      <c r="AH59" s="33">
        <f>IF(AND($B59&gt;=InputTriangles!$D$8,$CT59&gt;=AH$41),1,0)</f>
        <v>0</v>
      </c>
      <c r="AI59" s="33">
        <f>IF(AND($B59&gt;=InputTriangles!$D$8,$CT59&gt;=AI$41),1,0)</f>
        <v>0</v>
      </c>
      <c r="AJ59" s="33">
        <f>IF(AND($B59&gt;=InputTriangles!$D$8,$CT59&gt;=AJ$41),1,0)</f>
        <v>0</v>
      </c>
      <c r="AK59" s="33">
        <f>IF(AND($B59&gt;=InputTriangles!$D$8,$CT59&gt;=AK$41),1,0)</f>
        <v>0</v>
      </c>
      <c r="AL59" s="33">
        <f>IF(AND($B59&gt;=InputTriangles!$D$8,$CT59&gt;=AL$41),1,0)</f>
        <v>0</v>
      </c>
      <c r="AM59" s="33">
        <f>IF(AND($B59&gt;=InputTriangles!$D$8,$CT59&gt;=AM$41),1,0)</f>
        <v>0</v>
      </c>
      <c r="AN59" s="33">
        <f>IF(AND($B59&gt;=InputTriangles!$D$8,$CT59&gt;=AN$41),1,0)</f>
        <v>0</v>
      </c>
      <c r="AO59" s="33">
        <f>IF(AND($B59&gt;=InputTriangles!$D$8,$CT59&gt;=AO$41),1,0)</f>
        <v>0</v>
      </c>
      <c r="AP59" s="33">
        <f>IF(AND($B59&gt;=InputTriangles!$D$8,$CT59&gt;=AP$41),1,0)</f>
        <v>0</v>
      </c>
      <c r="AQ59" s="33">
        <f>IF(AND($B59&gt;=InputTriangles!$D$8,$CT59&gt;=AQ$41),1,0)</f>
        <v>0</v>
      </c>
      <c r="AR59" s="33">
        <f>IF(AND($B59&gt;=InputTriangles!$D$8,$CT59&gt;=AR$41),1,0)</f>
        <v>0</v>
      </c>
      <c r="AS59" s="33">
        <f>IF(AND($B59&gt;=InputTriangles!$D$8,$CT59&gt;=AS$41),1,0)</f>
        <v>0</v>
      </c>
      <c r="AT59" s="33">
        <f>IF(AND($B59&gt;=InputTriangles!$D$8,$CT59&gt;=AT$41),1,0)</f>
        <v>0</v>
      </c>
      <c r="AU59" s="33">
        <f>IF(AND($B59&gt;=InputTriangles!$D$8,$CT59&gt;=AU$41),1,0)</f>
        <v>0</v>
      </c>
      <c r="AV59" s="33">
        <f>IF(AND($B59&gt;=InputTriangles!$D$8,$CT59&gt;=AV$41),1,0)</f>
        <v>0</v>
      </c>
      <c r="AW59" s="33">
        <f>IF(AND($B59&gt;=InputTriangles!$D$8,$CT59&gt;=AW$41),1,0)</f>
        <v>0</v>
      </c>
      <c r="AX59" s="33">
        <f>IF(AND($B59&gt;=InputTriangles!$D$8,$CT59&gt;=AX$41),1,0)</f>
        <v>0</v>
      </c>
      <c r="AY59" s="33">
        <f>IF(AND($B59&gt;=InputTriangles!$D$8,$CT59&gt;=AY$41),1,0)</f>
        <v>0</v>
      </c>
      <c r="AZ59" s="33">
        <f>IF(AND($B59&gt;=InputTriangles!$D$8,$CT59&gt;=AZ$41),1,0)</f>
        <v>0</v>
      </c>
      <c r="BA59" s="33">
        <f>IF(AND($B59&gt;=InputTriangles!$D$8,$CT59&gt;=BA$41),1,0)</f>
        <v>0</v>
      </c>
      <c r="BB59" s="33">
        <f>IF(AND($B59&gt;=InputTriangles!$D$8,$CT59&gt;=BB$41),1,0)</f>
        <v>0</v>
      </c>
      <c r="BC59" s="33">
        <f>IF(AND($B59&gt;=InputTriangles!$D$8,$CT59&gt;=BC$41),1,0)</f>
        <v>0</v>
      </c>
      <c r="BD59" s="33">
        <f>IF(AND($B59&gt;=InputTriangles!$D$8,$CT59&gt;=BD$41),1,0)</f>
        <v>0</v>
      </c>
      <c r="BE59" s="33">
        <f>IF(AND($B59&gt;=InputTriangles!$D$8,$CT59&gt;=BE$41),1,0)</f>
        <v>0</v>
      </c>
      <c r="BF59" s="33">
        <f>IF(AND($B59&gt;=InputTriangles!$D$8,$CT59&gt;=BF$41),1,0)</f>
        <v>0</v>
      </c>
      <c r="BG59" s="33">
        <f>IF(AND($B59&gt;=InputTriangles!$D$8,$CT59&gt;=BG$41),1,0)</f>
        <v>0</v>
      </c>
      <c r="BH59" s="33">
        <f>IF(AND($B59&gt;=InputTriangles!$D$8,$CT59&gt;=BH$41),1,0)</f>
        <v>0</v>
      </c>
      <c r="BI59" s="33">
        <f>IF(AND($B59&gt;=InputTriangles!$D$8,$CT59&gt;=BI$41),1,0)</f>
        <v>0</v>
      </c>
      <c r="BJ59" s="33">
        <f>IF(AND($B59&gt;=InputTriangles!$D$8,$CT59&gt;=BJ$41),1,0)</f>
        <v>0</v>
      </c>
      <c r="BK59" s="33">
        <f>IF(AND($B59&gt;=InputTriangles!$D$8,$CT59&gt;=BK$41),1,0)</f>
        <v>0</v>
      </c>
      <c r="BL59" s="33">
        <f>IF(AND($B59&gt;=InputTriangles!$D$8,$CT59&gt;=BL$41),1,0)</f>
        <v>0</v>
      </c>
      <c r="BM59" s="33">
        <f>IF(AND($B59&gt;=InputTriangles!$D$8,$CT59&gt;=BM$41),1,0)</f>
        <v>0</v>
      </c>
      <c r="BN59" s="33">
        <f>IF(AND($B59&gt;=InputTriangles!$D$8,$CT59&gt;=BN$41),1,0)</f>
        <v>0</v>
      </c>
      <c r="BO59" s="33">
        <f>IF(AND($B59&gt;=InputTriangles!$D$8,$CT59&gt;=BO$41),1,0)</f>
        <v>0</v>
      </c>
      <c r="BP59" s="33">
        <f>IF(AND($B59&gt;=InputTriangles!$D$8,$CT59&gt;=BP$41),1,0)</f>
        <v>0</v>
      </c>
      <c r="BQ59" s="33">
        <f>IF(AND($B59&gt;=InputTriangles!$D$8,$CT59&gt;=BQ$41),1,0)</f>
        <v>0</v>
      </c>
      <c r="BR59" s="33">
        <f>IF(AND($B59&gt;=InputTriangles!$D$8,$CT59&gt;=BR$41),1,0)</f>
        <v>0</v>
      </c>
      <c r="BS59" s="33">
        <f>IF(AND($B59&gt;=InputTriangles!$D$8,$CT59&gt;=BS$41),1,0)</f>
        <v>0</v>
      </c>
      <c r="BT59" s="33">
        <f>IF(AND($B59&gt;=InputTriangles!$D$8,$CT59&gt;=BT$41),1,0)</f>
        <v>0</v>
      </c>
      <c r="BU59" s="33">
        <f>IF(AND($B59&gt;=InputTriangles!$D$8,$CT59&gt;=BU$41),1,0)</f>
        <v>0</v>
      </c>
      <c r="BV59" s="33">
        <f>IF(AND($B59&gt;=InputTriangles!$D$8,$CT59&gt;=BV$41),1,0)</f>
        <v>0</v>
      </c>
      <c r="BW59" s="33">
        <f>IF(AND($B59&gt;=InputTriangles!$D$8,$CT59&gt;=BW$41),1,0)</f>
        <v>0</v>
      </c>
      <c r="BX59" s="33">
        <f>IF(AND($B59&gt;=InputTriangles!$D$8,$CT59&gt;=BX$41),1,0)</f>
        <v>0</v>
      </c>
      <c r="BY59" s="33">
        <f>IF(AND($B59&gt;=InputTriangles!$D$8,$CT59&gt;=BY$41),1,0)</f>
        <v>0</v>
      </c>
      <c r="BZ59" s="33">
        <f>IF(AND($B59&gt;=InputTriangles!$D$8,$CT59&gt;=BZ$41),1,0)</f>
        <v>0</v>
      </c>
      <c r="CA59" s="33">
        <f>IF(AND($B59&gt;=InputTriangles!$D$8,$CT59&gt;=CA$41),1,0)</f>
        <v>0</v>
      </c>
      <c r="CB59" s="33">
        <f>IF(AND($B59&gt;=InputTriangles!$D$8,$CT59&gt;=CB$41),1,0)</f>
        <v>0</v>
      </c>
      <c r="CC59" s="33">
        <f>IF(AND($B59&gt;=InputTriangles!$D$8,$CT59&gt;=CC$41),1,0)</f>
        <v>0</v>
      </c>
      <c r="CD59" s="33">
        <f>IF(AND($B59&gt;=InputTriangles!$D$8,$CT59&gt;=CD$41),1,0)</f>
        <v>0</v>
      </c>
      <c r="CE59" s="33">
        <f>IF(AND($B59&gt;=InputTriangles!$D$8,$CT59&gt;=CE$41),1,0)</f>
        <v>0</v>
      </c>
      <c r="CF59" s="33">
        <f>IF(AND($B59&gt;=InputTriangles!$D$8,$CT59&gt;=CF$41),1,0)</f>
        <v>0</v>
      </c>
      <c r="CG59" s="33">
        <f>IF(AND($B59&gt;=InputTriangles!$D$8,$CT59&gt;=CG$41),1,0)</f>
        <v>0</v>
      </c>
      <c r="CH59" s="33">
        <f>IF(AND($B59&gt;=InputTriangles!$D$8,$CT59&gt;=CH$41),1,0)</f>
        <v>0</v>
      </c>
      <c r="CI59" s="33">
        <f>IF(AND($B59&gt;=InputTriangles!$D$8,$CT59&gt;=CI$41),1,0)</f>
        <v>0</v>
      </c>
      <c r="CJ59" s="33">
        <f>IF(AND($B59&gt;=InputTriangles!$D$8,$CT59&gt;=CJ$41),1,0)</f>
        <v>0</v>
      </c>
      <c r="CK59" s="33">
        <f>IF(AND($B59&gt;=InputTriangles!$D$8,$CT59&gt;=CK$41),1,0)</f>
        <v>0</v>
      </c>
      <c r="CL59" s="33">
        <f>IF(AND($B59&gt;=InputTriangles!$D$8,$CT59&gt;=CL$41),1,0)</f>
        <v>0</v>
      </c>
      <c r="CM59" s="33">
        <f>IF(AND($B59&gt;=InputTriangles!$D$8,$CT59&gt;=CM$41),1,0)</f>
        <v>0</v>
      </c>
      <c r="CN59" s="33">
        <f>IF(AND($B59&gt;=InputTriangles!$D$8,$CT59&gt;=CN$41),1,0)</f>
        <v>0</v>
      </c>
      <c r="CO59" s="33">
        <f>IF(AND($B59&gt;=InputTriangles!$D$8,$CT59&gt;=CO$41),1,0)</f>
        <v>0</v>
      </c>
      <c r="CP59" s="33">
        <f>IF(AND($B59&gt;=InputTriangles!$D$8,$CT59&gt;=CP$41),1,0)</f>
        <v>0</v>
      </c>
      <c r="CQ59" s="33">
        <f>IF(AND($B59&gt;=InputTriangles!$D$8,$CT59&gt;=CQ$41),1,0)</f>
        <v>0</v>
      </c>
      <c r="CR59" s="33">
        <f>IF(AND($B59&gt;=InputTriangles!$D$8,$CT59&gt;=CR$41),1,0)</f>
        <v>0</v>
      </c>
      <c r="CS59" s="32">
        <f>IF(AND($B59&gt;=InputTriangles!$D$8,$CT59&gt;=CS$41),1,0)</f>
        <v>0</v>
      </c>
      <c r="CT59" s="31">
        <f>($D$9-InputTriangles!$B59)*InputTriangles!$E$4+$D$6</f>
        <v>7</v>
      </c>
    </row>
    <row r="60" spans="1:98" hidden="1" x14ac:dyDescent="0.25">
      <c r="A60" s="97">
        <v>0</v>
      </c>
      <c r="B60" s="29">
        <f t="shared" si="42"/>
        <v>2014</v>
      </c>
      <c r="C60" s="30">
        <f>IF(AND($B60&gt;=InputTriangles!$D$8,$CT60&gt;=C$41),1,0)</f>
        <v>1</v>
      </c>
      <c r="D60" s="33">
        <f>IF(AND($B60&gt;=InputTriangles!$D$8,$CT60&gt;=D$41),1,0)</f>
        <v>1</v>
      </c>
      <c r="E60" s="33">
        <f>IF(AND($B60&gt;=InputTriangles!$D$8,$CT60&gt;=E$41),1,0)</f>
        <v>1</v>
      </c>
      <c r="F60" s="33">
        <f>IF(AND($B60&gt;=InputTriangles!$D$8,$CT60&gt;=F$41),1,0)</f>
        <v>1</v>
      </c>
      <c r="G60" s="33">
        <f>IF(AND($B60&gt;=InputTriangles!$D$8,$CT60&gt;=G$41),1,0)</f>
        <v>1</v>
      </c>
      <c r="H60" s="33">
        <f>IF(AND($B60&gt;=InputTriangles!$D$8,$CT60&gt;=H$41),1,0)</f>
        <v>1</v>
      </c>
      <c r="I60" s="33">
        <f>IF(AND($B60&gt;=InputTriangles!$D$8,$CT60&gt;=I$41),1,0)</f>
        <v>0</v>
      </c>
      <c r="J60" s="33">
        <f>IF(AND($B60&gt;=InputTriangles!$D$8,$CT60&gt;=J$41),1,0)</f>
        <v>0</v>
      </c>
      <c r="K60" s="33">
        <f>IF(AND($B60&gt;=InputTriangles!$D$8,$CT60&gt;=K$41),1,0)</f>
        <v>0</v>
      </c>
      <c r="L60" s="33">
        <f>IF(AND($B60&gt;=InputTriangles!$D$8,$CT60&gt;=L$41),1,0)</f>
        <v>0</v>
      </c>
      <c r="M60" s="33">
        <f>IF(AND($B60&gt;=InputTriangles!$D$8,$CT60&gt;=M$41),1,0)</f>
        <v>0</v>
      </c>
      <c r="N60" s="33">
        <f>IF(AND($B60&gt;=InputTriangles!$D$8,$CT60&gt;=N$41),1,0)</f>
        <v>0</v>
      </c>
      <c r="O60" s="33">
        <f>IF(AND($B60&gt;=InputTriangles!$D$8,$CT60&gt;=O$41),1,0)</f>
        <v>0</v>
      </c>
      <c r="P60" s="33">
        <f>IF(AND($B60&gt;=InputTriangles!$D$8,$CT60&gt;=P$41),1,0)</f>
        <v>0</v>
      </c>
      <c r="Q60" s="33">
        <f>IF(AND($B60&gt;=InputTriangles!$D$8,$CT60&gt;=Q$41),1,0)</f>
        <v>0</v>
      </c>
      <c r="R60" s="33">
        <f>IF(AND($B60&gt;=InputTriangles!$D$8,$CT60&gt;=R$41),1,0)</f>
        <v>0</v>
      </c>
      <c r="S60" s="33">
        <f>IF(AND($B60&gt;=InputTriangles!$D$8,$CT60&gt;=S$41),1,0)</f>
        <v>0</v>
      </c>
      <c r="T60" s="33">
        <f>IF(AND($B60&gt;=InputTriangles!$D$8,$CT60&gt;=T$41),1,0)</f>
        <v>0</v>
      </c>
      <c r="U60" s="33">
        <f>IF(AND($B60&gt;=InputTriangles!$D$8,$CT60&gt;=U$41),1,0)</f>
        <v>0</v>
      </c>
      <c r="V60" s="33">
        <f>IF(AND($B60&gt;=InputTriangles!$D$8,$CT60&gt;=V$41),1,0)</f>
        <v>0</v>
      </c>
      <c r="W60" s="33">
        <f>IF(AND($B60&gt;=InputTriangles!$D$8,$CT60&gt;=W$41),1,0)</f>
        <v>0</v>
      </c>
      <c r="X60" s="33">
        <f>IF(AND($B60&gt;=InputTriangles!$D$8,$CT60&gt;=X$41),1,0)</f>
        <v>0</v>
      </c>
      <c r="Y60" s="33">
        <f>IF(AND($B60&gt;=InputTriangles!$D$8,$CT60&gt;=Y$41),1,0)</f>
        <v>0</v>
      </c>
      <c r="Z60" s="33">
        <f>IF(AND($B60&gt;=InputTriangles!$D$8,$CT60&gt;=Z$41),1,0)</f>
        <v>0</v>
      </c>
      <c r="AA60" s="33">
        <f>IF(AND($B60&gt;=InputTriangles!$D$8,$CT60&gt;=AA$41),1,0)</f>
        <v>0</v>
      </c>
      <c r="AB60" s="33">
        <f>IF(AND($B60&gt;=InputTriangles!$D$8,$CT60&gt;=AB$41),1,0)</f>
        <v>0</v>
      </c>
      <c r="AC60" s="33">
        <f>IF(AND($B60&gt;=InputTriangles!$D$8,$CT60&gt;=AC$41),1,0)</f>
        <v>0</v>
      </c>
      <c r="AD60" s="33">
        <f>IF(AND($B60&gt;=InputTriangles!$D$8,$CT60&gt;=AD$41),1,0)</f>
        <v>0</v>
      </c>
      <c r="AE60" s="33">
        <f>IF(AND($B60&gt;=InputTriangles!$D$8,$CT60&gt;=AE$41),1,0)</f>
        <v>0</v>
      </c>
      <c r="AF60" s="33">
        <f>IF(AND($B60&gt;=InputTriangles!$D$8,$CT60&gt;=AF$41),1,0)</f>
        <v>0</v>
      </c>
      <c r="AG60" s="33">
        <f>IF(AND($B60&gt;=InputTriangles!$D$8,$CT60&gt;=AG$41),1,0)</f>
        <v>0</v>
      </c>
      <c r="AH60" s="33">
        <f>IF(AND($B60&gt;=InputTriangles!$D$8,$CT60&gt;=AH$41),1,0)</f>
        <v>0</v>
      </c>
      <c r="AI60" s="33">
        <f>IF(AND($B60&gt;=InputTriangles!$D$8,$CT60&gt;=AI$41),1,0)</f>
        <v>0</v>
      </c>
      <c r="AJ60" s="33">
        <f>IF(AND($B60&gt;=InputTriangles!$D$8,$CT60&gt;=AJ$41),1,0)</f>
        <v>0</v>
      </c>
      <c r="AK60" s="33">
        <f>IF(AND($B60&gt;=InputTriangles!$D$8,$CT60&gt;=AK$41),1,0)</f>
        <v>0</v>
      </c>
      <c r="AL60" s="33">
        <f>IF(AND($B60&gt;=InputTriangles!$D$8,$CT60&gt;=AL$41),1,0)</f>
        <v>0</v>
      </c>
      <c r="AM60" s="33">
        <f>IF(AND($B60&gt;=InputTriangles!$D$8,$CT60&gt;=AM$41),1,0)</f>
        <v>0</v>
      </c>
      <c r="AN60" s="33">
        <f>IF(AND($B60&gt;=InputTriangles!$D$8,$CT60&gt;=AN$41),1,0)</f>
        <v>0</v>
      </c>
      <c r="AO60" s="33">
        <f>IF(AND($B60&gt;=InputTriangles!$D$8,$CT60&gt;=AO$41),1,0)</f>
        <v>0</v>
      </c>
      <c r="AP60" s="33">
        <f>IF(AND($B60&gt;=InputTriangles!$D$8,$CT60&gt;=AP$41),1,0)</f>
        <v>0</v>
      </c>
      <c r="AQ60" s="33">
        <f>IF(AND($B60&gt;=InputTriangles!$D$8,$CT60&gt;=AQ$41),1,0)</f>
        <v>0</v>
      </c>
      <c r="AR60" s="33">
        <f>IF(AND($B60&gt;=InputTriangles!$D$8,$CT60&gt;=AR$41),1,0)</f>
        <v>0</v>
      </c>
      <c r="AS60" s="33">
        <f>IF(AND($B60&gt;=InputTriangles!$D$8,$CT60&gt;=AS$41),1,0)</f>
        <v>0</v>
      </c>
      <c r="AT60" s="33">
        <f>IF(AND($B60&gt;=InputTriangles!$D$8,$CT60&gt;=AT$41),1,0)</f>
        <v>0</v>
      </c>
      <c r="AU60" s="33">
        <f>IF(AND($B60&gt;=InputTriangles!$D$8,$CT60&gt;=AU$41),1,0)</f>
        <v>0</v>
      </c>
      <c r="AV60" s="33">
        <f>IF(AND($B60&gt;=InputTriangles!$D$8,$CT60&gt;=AV$41),1,0)</f>
        <v>0</v>
      </c>
      <c r="AW60" s="33">
        <f>IF(AND($B60&gt;=InputTriangles!$D$8,$CT60&gt;=AW$41),1,0)</f>
        <v>0</v>
      </c>
      <c r="AX60" s="33">
        <f>IF(AND($B60&gt;=InputTriangles!$D$8,$CT60&gt;=AX$41),1,0)</f>
        <v>0</v>
      </c>
      <c r="AY60" s="33">
        <f>IF(AND($B60&gt;=InputTriangles!$D$8,$CT60&gt;=AY$41),1,0)</f>
        <v>0</v>
      </c>
      <c r="AZ60" s="33">
        <f>IF(AND($B60&gt;=InputTriangles!$D$8,$CT60&gt;=AZ$41),1,0)</f>
        <v>0</v>
      </c>
      <c r="BA60" s="33">
        <f>IF(AND($B60&gt;=InputTriangles!$D$8,$CT60&gt;=BA$41),1,0)</f>
        <v>0</v>
      </c>
      <c r="BB60" s="33">
        <f>IF(AND($B60&gt;=InputTriangles!$D$8,$CT60&gt;=BB$41),1,0)</f>
        <v>0</v>
      </c>
      <c r="BC60" s="33">
        <f>IF(AND($B60&gt;=InputTriangles!$D$8,$CT60&gt;=BC$41),1,0)</f>
        <v>0</v>
      </c>
      <c r="BD60" s="33">
        <f>IF(AND($B60&gt;=InputTriangles!$D$8,$CT60&gt;=BD$41),1,0)</f>
        <v>0</v>
      </c>
      <c r="BE60" s="33">
        <f>IF(AND($B60&gt;=InputTriangles!$D$8,$CT60&gt;=BE$41),1,0)</f>
        <v>0</v>
      </c>
      <c r="BF60" s="33">
        <f>IF(AND($B60&gt;=InputTriangles!$D$8,$CT60&gt;=BF$41),1,0)</f>
        <v>0</v>
      </c>
      <c r="BG60" s="33">
        <f>IF(AND($B60&gt;=InputTriangles!$D$8,$CT60&gt;=BG$41),1,0)</f>
        <v>0</v>
      </c>
      <c r="BH60" s="33">
        <f>IF(AND($B60&gt;=InputTriangles!$D$8,$CT60&gt;=BH$41),1,0)</f>
        <v>0</v>
      </c>
      <c r="BI60" s="33">
        <f>IF(AND($B60&gt;=InputTriangles!$D$8,$CT60&gt;=BI$41),1,0)</f>
        <v>0</v>
      </c>
      <c r="BJ60" s="33">
        <f>IF(AND($B60&gt;=InputTriangles!$D$8,$CT60&gt;=BJ$41),1,0)</f>
        <v>0</v>
      </c>
      <c r="BK60" s="33">
        <f>IF(AND($B60&gt;=InputTriangles!$D$8,$CT60&gt;=BK$41),1,0)</f>
        <v>0</v>
      </c>
      <c r="BL60" s="33">
        <f>IF(AND($B60&gt;=InputTriangles!$D$8,$CT60&gt;=BL$41),1,0)</f>
        <v>0</v>
      </c>
      <c r="BM60" s="33">
        <f>IF(AND($B60&gt;=InputTriangles!$D$8,$CT60&gt;=BM$41),1,0)</f>
        <v>0</v>
      </c>
      <c r="BN60" s="33">
        <f>IF(AND($B60&gt;=InputTriangles!$D$8,$CT60&gt;=BN$41),1,0)</f>
        <v>0</v>
      </c>
      <c r="BO60" s="33">
        <f>IF(AND($B60&gt;=InputTriangles!$D$8,$CT60&gt;=BO$41),1,0)</f>
        <v>0</v>
      </c>
      <c r="BP60" s="33">
        <f>IF(AND($B60&gt;=InputTriangles!$D$8,$CT60&gt;=BP$41),1,0)</f>
        <v>0</v>
      </c>
      <c r="BQ60" s="33">
        <f>IF(AND($B60&gt;=InputTriangles!$D$8,$CT60&gt;=BQ$41),1,0)</f>
        <v>0</v>
      </c>
      <c r="BR60" s="33">
        <f>IF(AND($B60&gt;=InputTriangles!$D$8,$CT60&gt;=BR$41),1,0)</f>
        <v>0</v>
      </c>
      <c r="BS60" s="33">
        <f>IF(AND($B60&gt;=InputTriangles!$D$8,$CT60&gt;=BS$41),1,0)</f>
        <v>0</v>
      </c>
      <c r="BT60" s="33">
        <f>IF(AND($B60&gt;=InputTriangles!$D$8,$CT60&gt;=BT$41),1,0)</f>
        <v>0</v>
      </c>
      <c r="BU60" s="33">
        <f>IF(AND($B60&gt;=InputTriangles!$D$8,$CT60&gt;=BU$41),1,0)</f>
        <v>0</v>
      </c>
      <c r="BV60" s="33">
        <f>IF(AND($B60&gt;=InputTriangles!$D$8,$CT60&gt;=BV$41),1,0)</f>
        <v>0</v>
      </c>
      <c r="BW60" s="33">
        <f>IF(AND($B60&gt;=InputTriangles!$D$8,$CT60&gt;=BW$41),1,0)</f>
        <v>0</v>
      </c>
      <c r="BX60" s="33">
        <f>IF(AND($B60&gt;=InputTriangles!$D$8,$CT60&gt;=BX$41),1,0)</f>
        <v>0</v>
      </c>
      <c r="BY60" s="33">
        <f>IF(AND($B60&gt;=InputTriangles!$D$8,$CT60&gt;=BY$41),1,0)</f>
        <v>0</v>
      </c>
      <c r="BZ60" s="33">
        <f>IF(AND($B60&gt;=InputTriangles!$D$8,$CT60&gt;=BZ$41),1,0)</f>
        <v>0</v>
      </c>
      <c r="CA60" s="33">
        <f>IF(AND($B60&gt;=InputTriangles!$D$8,$CT60&gt;=CA$41),1,0)</f>
        <v>0</v>
      </c>
      <c r="CB60" s="33">
        <f>IF(AND($B60&gt;=InputTriangles!$D$8,$CT60&gt;=CB$41),1,0)</f>
        <v>0</v>
      </c>
      <c r="CC60" s="33">
        <f>IF(AND($B60&gt;=InputTriangles!$D$8,$CT60&gt;=CC$41),1,0)</f>
        <v>0</v>
      </c>
      <c r="CD60" s="33">
        <f>IF(AND($B60&gt;=InputTriangles!$D$8,$CT60&gt;=CD$41),1,0)</f>
        <v>0</v>
      </c>
      <c r="CE60" s="33">
        <f>IF(AND($B60&gt;=InputTriangles!$D$8,$CT60&gt;=CE$41),1,0)</f>
        <v>0</v>
      </c>
      <c r="CF60" s="33">
        <f>IF(AND($B60&gt;=InputTriangles!$D$8,$CT60&gt;=CF$41),1,0)</f>
        <v>0</v>
      </c>
      <c r="CG60" s="33">
        <f>IF(AND($B60&gt;=InputTriangles!$D$8,$CT60&gt;=CG$41),1,0)</f>
        <v>0</v>
      </c>
      <c r="CH60" s="33">
        <f>IF(AND($B60&gt;=InputTriangles!$D$8,$CT60&gt;=CH$41),1,0)</f>
        <v>0</v>
      </c>
      <c r="CI60" s="33">
        <f>IF(AND($B60&gt;=InputTriangles!$D$8,$CT60&gt;=CI$41),1,0)</f>
        <v>0</v>
      </c>
      <c r="CJ60" s="33">
        <f>IF(AND($B60&gt;=InputTriangles!$D$8,$CT60&gt;=CJ$41),1,0)</f>
        <v>0</v>
      </c>
      <c r="CK60" s="33">
        <f>IF(AND($B60&gt;=InputTriangles!$D$8,$CT60&gt;=CK$41),1,0)</f>
        <v>0</v>
      </c>
      <c r="CL60" s="33">
        <f>IF(AND($B60&gt;=InputTriangles!$D$8,$CT60&gt;=CL$41),1,0)</f>
        <v>0</v>
      </c>
      <c r="CM60" s="33">
        <f>IF(AND($B60&gt;=InputTriangles!$D$8,$CT60&gt;=CM$41),1,0)</f>
        <v>0</v>
      </c>
      <c r="CN60" s="33">
        <f>IF(AND($B60&gt;=InputTriangles!$D$8,$CT60&gt;=CN$41),1,0)</f>
        <v>0</v>
      </c>
      <c r="CO60" s="33">
        <f>IF(AND($B60&gt;=InputTriangles!$D$8,$CT60&gt;=CO$41),1,0)</f>
        <v>0</v>
      </c>
      <c r="CP60" s="33">
        <f>IF(AND($B60&gt;=InputTriangles!$D$8,$CT60&gt;=CP$41),1,0)</f>
        <v>0</v>
      </c>
      <c r="CQ60" s="33">
        <f>IF(AND($B60&gt;=InputTriangles!$D$8,$CT60&gt;=CQ$41),1,0)</f>
        <v>0</v>
      </c>
      <c r="CR60" s="33">
        <f>IF(AND($B60&gt;=InputTriangles!$D$8,$CT60&gt;=CR$41),1,0)</f>
        <v>0</v>
      </c>
      <c r="CS60" s="32">
        <f>IF(AND($B60&gt;=InputTriangles!$D$8,$CT60&gt;=CS$41),1,0)</f>
        <v>0</v>
      </c>
      <c r="CT60" s="31">
        <f>($D$9-InputTriangles!$B60)*InputTriangles!$E$4+$D$6</f>
        <v>6</v>
      </c>
    </row>
    <row r="61" spans="1:98" hidden="1" x14ac:dyDescent="0.25">
      <c r="A61" s="97">
        <v>0</v>
      </c>
      <c r="B61" s="29">
        <f t="shared" si="42"/>
        <v>2015</v>
      </c>
      <c r="C61" s="30">
        <f>IF(AND($B61&gt;=InputTriangles!$D$8,$CT61&gt;=C$41),1,0)</f>
        <v>1</v>
      </c>
      <c r="D61" s="33">
        <f>IF(AND($B61&gt;=InputTriangles!$D$8,$CT61&gt;=D$41),1,0)</f>
        <v>1</v>
      </c>
      <c r="E61" s="33">
        <f>IF(AND($B61&gt;=InputTriangles!$D$8,$CT61&gt;=E$41),1,0)</f>
        <v>1</v>
      </c>
      <c r="F61" s="33">
        <f>IF(AND($B61&gt;=InputTriangles!$D$8,$CT61&gt;=F$41),1,0)</f>
        <v>1</v>
      </c>
      <c r="G61" s="33">
        <f>IF(AND($B61&gt;=InputTriangles!$D$8,$CT61&gt;=G$41),1,0)</f>
        <v>1</v>
      </c>
      <c r="H61" s="33">
        <f>IF(AND($B61&gt;=InputTriangles!$D$8,$CT61&gt;=H$41),1,0)</f>
        <v>0</v>
      </c>
      <c r="I61" s="33">
        <f>IF(AND($B61&gt;=InputTriangles!$D$8,$CT61&gt;=I$41),1,0)</f>
        <v>0</v>
      </c>
      <c r="J61" s="33">
        <f>IF(AND($B61&gt;=InputTriangles!$D$8,$CT61&gt;=J$41),1,0)</f>
        <v>0</v>
      </c>
      <c r="K61" s="33">
        <f>IF(AND($B61&gt;=InputTriangles!$D$8,$CT61&gt;=K$41),1,0)</f>
        <v>0</v>
      </c>
      <c r="L61" s="33">
        <f>IF(AND($B61&gt;=InputTriangles!$D$8,$CT61&gt;=L$41),1,0)</f>
        <v>0</v>
      </c>
      <c r="M61" s="33">
        <f>IF(AND($B61&gt;=InputTriangles!$D$8,$CT61&gt;=M$41),1,0)</f>
        <v>0</v>
      </c>
      <c r="N61" s="33">
        <f>IF(AND($B61&gt;=InputTriangles!$D$8,$CT61&gt;=N$41),1,0)</f>
        <v>0</v>
      </c>
      <c r="O61" s="33">
        <f>IF(AND($B61&gt;=InputTriangles!$D$8,$CT61&gt;=O$41),1,0)</f>
        <v>0</v>
      </c>
      <c r="P61" s="33">
        <f>IF(AND($B61&gt;=InputTriangles!$D$8,$CT61&gt;=P$41),1,0)</f>
        <v>0</v>
      </c>
      <c r="Q61" s="33">
        <f>IF(AND($B61&gt;=InputTriangles!$D$8,$CT61&gt;=Q$41),1,0)</f>
        <v>0</v>
      </c>
      <c r="R61" s="33">
        <f>IF(AND($B61&gt;=InputTriangles!$D$8,$CT61&gt;=R$41),1,0)</f>
        <v>0</v>
      </c>
      <c r="S61" s="33">
        <f>IF(AND($B61&gt;=InputTriangles!$D$8,$CT61&gt;=S$41),1,0)</f>
        <v>0</v>
      </c>
      <c r="T61" s="33">
        <f>IF(AND($B61&gt;=InputTriangles!$D$8,$CT61&gt;=T$41),1,0)</f>
        <v>0</v>
      </c>
      <c r="U61" s="33">
        <f>IF(AND($B61&gt;=InputTriangles!$D$8,$CT61&gt;=U$41),1,0)</f>
        <v>0</v>
      </c>
      <c r="V61" s="33">
        <f>IF(AND($B61&gt;=InputTriangles!$D$8,$CT61&gt;=V$41),1,0)</f>
        <v>0</v>
      </c>
      <c r="W61" s="33">
        <f>IF(AND($B61&gt;=InputTriangles!$D$8,$CT61&gt;=W$41),1,0)</f>
        <v>0</v>
      </c>
      <c r="X61" s="33">
        <f>IF(AND($B61&gt;=InputTriangles!$D$8,$CT61&gt;=X$41),1,0)</f>
        <v>0</v>
      </c>
      <c r="Y61" s="33">
        <f>IF(AND($B61&gt;=InputTriangles!$D$8,$CT61&gt;=Y$41),1,0)</f>
        <v>0</v>
      </c>
      <c r="Z61" s="33">
        <f>IF(AND($B61&gt;=InputTriangles!$D$8,$CT61&gt;=Z$41),1,0)</f>
        <v>0</v>
      </c>
      <c r="AA61" s="33">
        <f>IF(AND($B61&gt;=InputTriangles!$D$8,$CT61&gt;=AA$41),1,0)</f>
        <v>0</v>
      </c>
      <c r="AB61" s="33">
        <f>IF(AND($B61&gt;=InputTriangles!$D$8,$CT61&gt;=AB$41),1,0)</f>
        <v>0</v>
      </c>
      <c r="AC61" s="33">
        <f>IF(AND($B61&gt;=InputTriangles!$D$8,$CT61&gt;=AC$41),1,0)</f>
        <v>0</v>
      </c>
      <c r="AD61" s="33">
        <f>IF(AND($B61&gt;=InputTriangles!$D$8,$CT61&gt;=AD$41),1,0)</f>
        <v>0</v>
      </c>
      <c r="AE61" s="33">
        <f>IF(AND($B61&gt;=InputTriangles!$D$8,$CT61&gt;=AE$41),1,0)</f>
        <v>0</v>
      </c>
      <c r="AF61" s="33">
        <f>IF(AND($B61&gt;=InputTriangles!$D$8,$CT61&gt;=AF$41),1,0)</f>
        <v>0</v>
      </c>
      <c r="AG61" s="33">
        <f>IF(AND($B61&gt;=InputTriangles!$D$8,$CT61&gt;=AG$41),1,0)</f>
        <v>0</v>
      </c>
      <c r="AH61" s="33">
        <f>IF(AND($B61&gt;=InputTriangles!$D$8,$CT61&gt;=AH$41),1,0)</f>
        <v>0</v>
      </c>
      <c r="AI61" s="33">
        <f>IF(AND($B61&gt;=InputTriangles!$D$8,$CT61&gt;=AI$41),1,0)</f>
        <v>0</v>
      </c>
      <c r="AJ61" s="33">
        <f>IF(AND($B61&gt;=InputTriangles!$D$8,$CT61&gt;=AJ$41),1,0)</f>
        <v>0</v>
      </c>
      <c r="AK61" s="33">
        <f>IF(AND($B61&gt;=InputTriangles!$D$8,$CT61&gt;=AK$41),1,0)</f>
        <v>0</v>
      </c>
      <c r="AL61" s="33">
        <f>IF(AND($B61&gt;=InputTriangles!$D$8,$CT61&gt;=AL$41),1,0)</f>
        <v>0</v>
      </c>
      <c r="AM61" s="33">
        <f>IF(AND($B61&gt;=InputTriangles!$D$8,$CT61&gt;=AM$41),1,0)</f>
        <v>0</v>
      </c>
      <c r="AN61" s="33">
        <f>IF(AND($B61&gt;=InputTriangles!$D$8,$CT61&gt;=AN$41),1,0)</f>
        <v>0</v>
      </c>
      <c r="AO61" s="33">
        <f>IF(AND($B61&gt;=InputTriangles!$D$8,$CT61&gt;=AO$41),1,0)</f>
        <v>0</v>
      </c>
      <c r="AP61" s="33">
        <f>IF(AND($B61&gt;=InputTriangles!$D$8,$CT61&gt;=AP$41),1,0)</f>
        <v>0</v>
      </c>
      <c r="AQ61" s="33">
        <f>IF(AND($B61&gt;=InputTriangles!$D$8,$CT61&gt;=AQ$41),1,0)</f>
        <v>0</v>
      </c>
      <c r="AR61" s="33">
        <f>IF(AND($B61&gt;=InputTriangles!$D$8,$CT61&gt;=AR$41),1,0)</f>
        <v>0</v>
      </c>
      <c r="AS61" s="33">
        <f>IF(AND($B61&gt;=InputTriangles!$D$8,$CT61&gt;=AS$41),1,0)</f>
        <v>0</v>
      </c>
      <c r="AT61" s="33">
        <f>IF(AND($B61&gt;=InputTriangles!$D$8,$CT61&gt;=AT$41),1,0)</f>
        <v>0</v>
      </c>
      <c r="AU61" s="33">
        <f>IF(AND($B61&gt;=InputTriangles!$D$8,$CT61&gt;=AU$41),1,0)</f>
        <v>0</v>
      </c>
      <c r="AV61" s="33">
        <f>IF(AND($B61&gt;=InputTriangles!$D$8,$CT61&gt;=AV$41),1,0)</f>
        <v>0</v>
      </c>
      <c r="AW61" s="33">
        <f>IF(AND($B61&gt;=InputTriangles!$D$8,$CT61&gt;=AW$41),1,0)</f>
        <v>0</v>
      </c>
      <c r="AX61" s="33">
        <f>IF(AND($B61&gt;=InputTriangles!$D$8,$CT61&gt;=AX$41),1,0)</f>
        <v>0</v>
      </c>
      <c r="AY61" s="33">
        <f>IF(AND($B61&gt;=InputTriangles!$D$8,$CT61&gt;=AY$41),1,0)</f>
        <v>0</v>
      </c>
      <c r="AZ61" s="33">
        <f>IF(AND($B61&gt;=InputTriangles!$D$8,$CT61&gt;=AZ$41),1,0)</f>
        <v>0</v>
      </c>
      <c r="BA61" s="33">
        <f>IF(AND($B61&gt;=InputTriangles!$D$8,$CT61&gt;=BA$41),1,0)</f>
        <v>0</v>
      </c>
      <c r="BB61" s="33">
        <f>IF(AND($B61&gt;=InputTriangles!$D$8,$CT61&gt;=BB$41),1,0)</f>
        <v>0</v>
      </c>
      <c r="BC61" s="33">
        <f>IF(AND($B61&gt;=InputTriangles!$D$8,$CT61&gt;=BC$41),1,0)</f>
        <v>0</v>
      </c>
      <c r="BD61" s="33">
        <f>IF(AND($B61&gt;=InputTriangles!$D$8,$CT61&gt;=BD$41),1,0)</f>
        <v>0</v>
      </c>
      <c r="BE61" s="33">
        <f>IF(AND($B61&gt;=InputTriangles!$D$8,$CT61&gt;=BE$41),1,0)</f>
        <v>0</v>
      </c>
      <c r="BF61" s="33">
        <f>IF(AND($B61&gt;=InputTriangles!$D$8,$CT61&gt;=BF$41),1,0)</f>
        <v>0</v>
      </c>
      <c r="BG61" s="33">
        <f>IF(AND($B61&gt;=InputTriangles!$D$8,$CT61&gt;=BG$41),1,0)</f>
        <v>0</v>
      </c>
      <c r="BH61" s="33">
        <f>IF(AND($B61&gt;=InputTriangles!$D$8,$CT61&gt;=BH$41),1,0)</f>
        <v>0</v>
      </c>
      <c r="BI61" s="33">
        <f>IF(AND($B61&gt;=InputTriangles!$D$8,$CT61&gt;=BI$41),1,0)</f>
        <v>0</v>
      </c>
      <c r="BJ61" s="33">
        <f>IF(AND($B61&gt;=InputTriangles!$D$8,$CT61&gt;=BJ$41),1,0)</f>
        <v>0</v>
      </c>
      <c r="BK61" s="33">
        <f>IF(AND($B61&gt;=InputTriangles!$D$8,$CT61&gt;=BK$41),1,0)</f>
        <v>0</v>
      </c>
      <c r="BL61" s="33">
        <f>IF(AND($B61&gt;=InputTriangles!$D$8,$CT61&gt;=BL$41),1,0)</f>
        <v>0</v>
      </c>
      <c r="BM61" s="33">
        <f>IF(AND($B61&gt;=InputTriangles!$D$8,$CT61&gt;=BM$41),1,0)</f>
        <v>0</v>
      </c>
      <c r="BN61" s="33">
        <f>IF(AND($B61&gt;=InputTriangles!$D$8,$CT61&gt;=BN$41),1,0)</f>
        <v>0</v>
      </c>
      <c r="BO61" s="33">
        <f>IF(AND($B61&gt;=InputTriangles!$D$8,$CT61&gt;=BO$41),1,0)</f>
        <v>0</v>
      </c>
      <c r="BP61" s="33">
        <f>IF(AND($B61&gt;=InputTriangles!$D$8,$CT61&gt;=BP$41),1,0)</f>
        <v>0</v>
      </c>
      <c r="BQ61" s="33">
        <f>IF(AND($B61&gt;=InputTriangles!$D$8,$CT61&gt;=BQ$41),1,0)</f>
        <v>0</v>
      </c>
      <c r="BR61" s="33">
        <f>IF(AND($B61&gt;=InputTriangles!$D$8,$CT61&gt;=BR$41),1,0)</f>
        <v>0</v>
      </c>
      <c r="BS61" s="33">
        <f>IF(AND($B61&gt;=InputTriangles!$D$8,$CT61&gt;=BS$41),1,0)</f>
        <v>0</v>
      </c>
      <c r="BT61" s="33">
        <f>IF(AND($B61&gt;=InputTriangles!$D$8,$CT61&gt;=BT$41),1,0)</f>
        <v>0</v>
      </c>
      <c r="BU61" s="33">
        <f>IF(AND($B61&gt;=InputTriangles!$D$8,$CT61&gt;=BU$41),1,0)</f>
        <v>0</v>
      </c>
      <c r="BV61" s="33">
        <f>IF(AND($B61&gt;=InputTriangles!$D$8,$CT61&gt;=BV$41),1,0)</f>
        <v>0</v>
      </c>
      <c r="BW61" s="33">
        <f>IF(AND($B61&gt;=InputTriangles!$D$8,$CT61&gt;=BW$41),1,0)</f>
        <v>0</v>
      </c>
      <c r="BX61" s="33">
        <f>IF(AND($B61&gt;=InputTriangles!$D$8,$CT61&gt;=BX$41),1,0)</f>
        <v>0</v>
      </c>
      <c r="BY61" s="33">
        <f>IF(AND($B61&gt;=InputTriangles!$D$8,$CT61&gt;=BY$41),1,0)</f>
        <v>0</v>
      </c>
      <c r="BZ61" s="33">
        <f>IF(AND($B61&gt;=InputTriangles!$D$8,$CT61&gt;=BZ$41),1,0)</f>
        <v>0</v>
      </c>
      <c r="CA61" s="33">
        <f>IF(AND($B61&gt;=InputTriangles!$D$8,$CT61&gt;=CA$41),1,0)</f>
        <v>0</v>
      </c>
      <c r="CB61" s="33">
        <f>IF(AND($B61&gt;=InputTriangles!$D$8,$CT61&gt;=CB$41),1,0)</f>
        <v>0</v>
      </c>
      <c r="CC61" s="33">
        <f>IF(AND($B61&gt;=InputTriangles!$D$8,$CT61&gt;=CC$41),1,0)</f>
        <v>0</v>
      </c>
      <c r="CD61" s="33">
        <f>IF(AND($B61&gt;=InputTriangles!$D$8,$CT61&gt;=CD$41),1,0)</f>
        <v>0</v>
      </c>
      <c r="CE61" s="33">
        <f>IF(AND($B61&gt;=InputTriangles!$D$8,$CT61&gt;=CE$41),1,0)</f>
        <v>0</v>
      </c>
      <c r="CF61" s="33">
        <f>IF(AND($B61&gt;=InputTriangles!$D$8,$CT61&gt;=CF$41),1,0)</f>
        <v>0</v>
      </c>
      <c r="CG61" s="33">
        <f>IF(AND($B61&gt;=InputTriangles!$D$8,$CT61&gt;=CG$41),1,0)</f>
        <v>0</v>
      </c>
      <c r="CH61" s="33">
        <f>IF(AND($B61&gt;=InputTriangles!$D$8,$CT61&gt;=CH$41),1,0)</f>
        <v>0</v>
      </c>
      <c r="CI61" s="33">
        <f>IF(AND($B61&gt;=InputTriangles!$D$8,$CT61&gt;=CI$41),1,0)</f>
        <v>0</v>
      </c>
      <c r="CJ61" s="33">
        <f>IF(AND($B61&gt;=InputTriangles!$D$8,$CT61&gt;=CJ$41),1,0)</f>
        <v>0</v>
      </c>
      <c r="CK61" s="33">
        <f>IF(AND($B61&gt;=InputTriangles!$D$8,$CT61&gt;=CK$41),1,0)</f>
        <v>0</v>
      </c>
      <c r="CL61" s="33">
        <f>IF(AND($B61&gt;=InputTriangles!$D$8,$CT61&gt;=CL$41),1,0)</f>
        <v>0</v>
      </c>
      <c r="CM61" s="33">
        <f>IF(AND($B61&gt;=InputTriangles!$D$8,$CT61&gt;=CM$41),1,0)</f>
        <v>0</v>
      </c>
      <c r="CN61" s="33">
        <f>IF(AND($B61&gt;=InputTriangles!$D$8,$CT61&gt;=CN$41),1,0)</f>
        <v>0</v>
      </c>
      <c r="CO61" s="33">
        <f>IF(AND($B61&gt;=InputTriangles!$D$8,$CT61&gt;=CO$41),1,0)</f>
        <v>0</v>
      </c>
      <c r="CP61" s="33">
        <f>IF(AND($B61&gt;=InputTriangles!$D$8,$CT61&gt;=CP$41),1,0)</f>
        <v>0</v>
      </c>
      <c r="CQ61" s="33">
        <f>IF(AND($B61&gt;=InputTriangles!$D$8,$CT61&gt;=CQ$41),1,0)</f>
        <v>0</v>
      </c>
      <c r="CR61" s="33">
        <f>IF(AND($B61&gt;=InputTriangles!$D$8,$CT61&gt;=CR$41),1,0)</f>
        <v>0</v>
      </c>
      <c r="CS61" s="32">
        <f>IF(AND($B61&gt;=InputTriangles!$D$8,$CT61&gt;=CS$41),1,0)</f>
        <v>0</v>
      </c>
      <c r="CT61" s="31">
        <f>($D$9-InputTriangles!$B61)*InputTriangles!$E$4+$D$6</f>
        <v>5</v>
      </c>
    </row>
    <row r="62" spans="1:98" hidden="1" x14ac:dyDescent="0.25">
      <c r="A62" s="97">
        <v>0</v>
      </c>
      <c r="B62" s="29">
        <f t="shared" si="42"/>
        <v>2016</v>
      </c>
      <c r="C62" s="30">
        <f>IF(AND($B62&gt;=InputTriangles!$D$8,$CT62&gt;=C$41),1,0)</f>
        <v>1</v>
      </c>
      <c r="D62" s="33">
        <f>IF(AND($B62&gt;=InputTriangles!$D$8,$CT62&gt;=D$41),1,0)</f>
        <v>1</v>
      </c>
      <c r="E62" s="33">
        <f>IF(AND($B62&gt;=InputTriangles!$D$8,$CT62&gt;=E$41),1,0)</f>
        <v>1</v>
      </c>
      <c r="F62" s="33">
        <f>IF(AND($B62&gt;=InputTriangles!$D$8,$CT62&gt;=F$41),1,0)</f>
        <v>1</v>
      </c>
      <c r="G62" s="33">
        <f>IF(AND($B62&gt;=InputTriangles!$D$8,$CT62&gt;=G$41),1,0)</f>
        <v>0</v>
      </c>
      <c r="H62" s="33">
        <f>IF(AND($B62&gt;=InputTriangles!$D$8,$CT62&gt;=H$41),1,0)</f>
        <v>0</v>
      </c>
      <c r="I62" s="33">
        <f>IF(AND($B62&gt;=InputTriangles!$D$8,$CT62&gt;=I$41),1,0)</f>
        <v>0</v>
      </c>
      <c r="J62" s="33">
        <f>IF(AND($B62&gt;=InputTriangles!$D$8,$CT62&gt;=J$41),1,0)</f>
        <v>0</v>
      </c>
      <c r="K62" s="33">
        <f>IF(AND($B62&gt;=InputTriangles!$D$8,$CT62&gt;=K$41),1,0)</f>
        <v>0</v>
      </c>
      <c r="L62" s="33">
        <f>IF(AND($B62&gt;=InputTriangles!$D$8,$CT62&gt;=L$41),1,0)</f>
        <v>0</v>
      </c>
      <c r="M62" s="33">
        <f>IF(AND($B62&gt;=InputTriangles!$D$8,$CT62&gt;=M$41),1,0)</f>
        <v>0</v>
      </c>
      <c r="N62" s="33">
        <f>IF(AND($B62&gt;=InputTriangles!$D$8,$CT62&gt;=N$41),1,0)</f>
        <v>0</v>
      </c>
      <c r="O62" s="33">
        <f>IF(AND($B62&gt;=InputTriangles!$D$8,$CT62&gt;=O$41),1,0)</f>
        <v>0</v>
      </c>
      <c r="P62" s="33">
        <f>IF(AND($B62&gt;=InputTriangles!$D$8,$CT62&gt;=P$41),1,0)</f>
        <v>0</v>
      </c>
      <c r="Q62" s="33">
        <f>IF(AND($B62&gt;=InputTriangles!$D$8,$CT62&gt;=Q$41),1,0)</f>
        <v>0</v>
      </c>
      <c r="R62" s="33">
        <f>IF(AND($B62&gt;=InputTriangles!$D$8,$CT62&gt;=R$41),1,0)</f>
        <v>0</v>
      </c>
      <c r="S62" s="33">
        <f>IF(AND($B62&gt;=InputTriangles!$D$8,$CT62&gt;=S$41),1,0)</f>
        <v>0</v>
      </c>
      <c r="T62" s="33">
        <f>IF(AND($B62&gt;=InputTriangles!$D$8,$CT62&gt;=T$41),1,0)</f>
        <v>0</v>
      </c>
      <c r="U62" s="33">
        <f>IF(AND($B62&gt;=InputTriangles!$D$8,$CT62&gt;=U$41),1,0)</f>
        <v>0</v>
      </c>
      <c r="V62" s="33">
        <f>IF(AND($B62&gt;=InputTriangles!$D$8,$CT62&gt;=V$41),1,0)</f>
        <v>0</v>
      </c>
      <c r="W62" s="33">
        <f>IF(AND($B62&gt;=InputTriangles!$D$8,$CT62&gt;=W$41),1,0)</f>
        <v>0</v>
      </c>
      <c r="X62" s="33">
        <f>IF(AND($B62&gt;=InputTriangles!$D$8,$CT62&gt;=X$41),1,0)</f>
        <v>0</v>
      </c>
      <c r="Y62" s="33">
        <f>IF(AND($B62&gt;=InputTriangles!$D$8,$CT62&gt;=Y$41),1,0)</f>
        <v>0</v>
      </c>
      <c r="Z62" s="33">
        <f>IF(AND($B62&gt;=InputTriangles!$D$8,$CT62&gt;=Z$41),1,0)</f>
        <v>0</v>
      </c>
      <c r="AA62" s="33">
        <f>IF(AND($B62&gt;=InputTriangles!$D$8,$CT62&gt;=AA$41),1,0)</f>
        <v>0</v>
      </c>
      <c r="AB62" s="33">
        <f>IF(AND($B62&gt;=InputTriangles!$D$8,$CT62&gt;=AB$41),1,0)</f>
        <v>0</v>
      </c>
      <c r="AC62" s="33">
        <f>IF(AND($B62&gt;=InputTriangles!$D$8,$CT62&gt;=AC$41),1,0)</f>
        <v>0</v>
      </c>
      <c r="AD62" s="33">
        <f>IF(AND($B62&gt;=InputTriangles!$D$8,$CT62&gt;=AD$41),1,0)</f>
        <v>0</v>
      </c>
      <c r="AE62" s="33">
        <f>IF(AND($B62&gt;=InputTriangles!$D$8,$CT62&gt;=AE$41),1,0)</f>
        <v>0</v>
      </c>
      <c r="AF62" s="33">
        <f>IF(AND($B62&gt;=InputTriangles!$D$8,$CT62&gt;=AF$41),1,0)</f>
        <v>0</v>
      </c>
      <c r="AG62" s="33">
        <f>IF(AND($B62&gt;=InputTriangles!$D$8,$CT62&gt;=AG$41),1,0)</f>
        <v>0</v>
      </c>
      <c r="AH62" s="33">
        <f>IF(AND($B62&gt;=InputTriangles!$D$8,$CT62&gt;=AH$41),1,0)</f>
        <v>0</v>
      </c>
      <c r="AI62" s="33">
        <f>IF(AND($B62&gt;=InputTriangles!$D$8,$CT62&gt;=AI$41),1,0)</f>
        <v>0</v>
      </c>
      <c r="AJ62" s="33">
        <f>IF(AND($B62&gt;=InputTriangles!$D$8,$CT62&gt;=AJ$41),1,0)</f>
        <v>0</v>
      </c>
      <c r="AK62" s="33">
        <f>IF(AND($B62&gt;=InputTriangles!$D$8,$CT62&gt;=AK$41),1,0)</f>
        <v>0</v>
      </c>
      <c r="AL62" s="33">
        <f>IF(AND($B62&gt;=InputTriangles!$D$8,$CT62&gt;=AL$41),1,0)</f>
        <v>0</v>
      </c>
      <c r="AM62" s="33">
        <f>IF(AND($B62&gt;=InputTriangles!$D$8,$CT62&gt;=AM$41),1,0)</f>
        <v>0</v>
      </c>
      <c r="AN62" s="33">
        <f>IF(AND($B62&gt;=InputTriangles!$D$8,$CT62&gt;=AN$41),1,0)</f>
        <v>0</v>
      </c>
      <c r="AO62" s="33">
        <f>IF(AND($B62&gt;=InputTriangles!$D$8,$CT62&gt;=AO$41),1,0)</f>
        <v>0</v>
      </c>
      <c r="AP62" s="33">
        <f>IF(AND($B62&gt;=InputTriangles!$D$8,$CT62&gt;=AP$41),1,0)</f>
        <v>0</v>
      </c>
      <c r="AQ62" s="33">
        <f>IF(AND($B62&gt;=InputTriangles!$D$8,$CT62&gt;=AQ$41),1,0)</f>
        <v>0</v>
      </c>
      <c r="AR62" s="33">
        <f>IF(AND($B62&gt;=InputTriangles!$D$8,$CT62&gt;=AR$41),1,0)</f>
        <v>0</v>
      </c>
      <c r="AS62" s="33">
        <f>IF(AND($B62&gt;=InputTriangles!$D$8,$CT62&gt;=AS$41),1,0)</f>
        <v>0</v>
      </c>
      <c r="AT62" s="33">
        <f>IF(AND($B62&gt;=InputTriangles!$D$8,$CT62&gt;=AT$41),1,0)</f>
        <v>0</v>
      </c>
      <c r="AU62" s="33">
        <f>IF(AND($B62&gt;=InputTriangles!$D$8,$CT62&gt;=AU$41),1,0)</f>
        <v>0</v>
      </c>
      <c r="AV62" s="33">
        <f>IF(AND($B62&gt;=InputTriangles!$D$8,$CT62&gt;=AV$41),1,0)</f>
        <v>0</v>
      </c>
      <c r="AW62" s="33">
        <f>IF(AND($B62&gt;=InputTriangles!$D$8,$CT62&gt;=AW$41),1,0)</f>
        <v>0</v>
      </c>
      <c r="AX62" s="33">
        <f>IF(AND($B62&gt;=InputTriangles!$D$8,$CT62&gt;=AX$41),1,0)</f>
        <v>0</v>
      </c>
      <c r="AY62" s="33">
        <f>IF(AND($B62&gt;=InputTriangles!$D$8,$CT62&gt;=AY$41),1,0)</f>
        <v>0</v>
      </c>
      <c r="AZ62" s="33">
        <f>IF(AND($B62&gt;=InputTriangles!$D$8,$CT62&gt;=AZ$41),1,0)</f>
        <v>0</v>
      </c>
      <c r="BA62" s="33">
        <f>IF(AND($B62&gt;=InputTriangles!$D$8,$CT62&gt;=BA$41),1,0)</f>
        <v>0</v>
      </c>
      <c r="BB62" s="33">
        <f>IF(AND($B62&gt;=InputTriangles!$D$8,$CT62&gt;=BB$41),1,0)</f>
        <v>0</v>
      </c>
      <c r="BC62" s="33">
        <f>IF(AND($B62&gt;=InputTriangles!$D$8,$CT62&gt;=BC$41),1,0)</f>
        <v>0</v>
      </c>
      <c r="BD62" s="33">
        <f>IF(AND($B62&gt;=InputTriangles!$D$8,$CT62&gt;=BD$41),1,0)</f>
        <v>0</v>
      </c>
      <c r="BE62" s="33">
        <f>IF(AND($B62&gt;=InputTriangles!$D$8,$CT62&gt;=BE$41),1,0)</f>
        <v>0</v>
      </c>
      <c r="BF62" s="33">
        <f>IF(AND($B62&gt;=InputTriangles!$D$8,$CT62&gt;=BF$41),1,0)</f>
        <v>0</v>
      </c>
      <c r="BG62" s="33">
        <f>IF(AND($B62&gt;=InputTriangles!$D$8,$CT62&gt;=BG$41),1,0)</f>
        <v>0</v>
      </c>
      <c r="BH62" s="33">
        <f>IF(AND($B62&gt;=InputTriangles!$D$8,$CT62&gt;=BH$41),1,0)</f>
        <v>0</v>
      </c>
      <c r="BI62" s="33">
        <f>IF(AND($B62&gt;=InputTriangles!$D$8,$CT62&gt;=BI$41),1,0)</f>
        <v>0</v>
      </c>
      <c r="BJ62" s="33">
        <f>IF(AND($B62&gt;=InputTriangles!$D$8,$CT62&gt;=BJ$41),1,0)</f>
        <v>0</v>
      </c>
      <c r="BK62" s="33">
        <f>IF(AND($B62&gt;=InputTriangles!$D$8,$CT62&gt;=BK$41),1,0)</f>
        <v>0</v>
      </c>
      <c r="BL62" s="33">
        <f>IF(AND($B62&gt;=InputTriangles!$D$8,$CT62&gt;=BL$41),1,0)</f>
        <v>0</v>
      </c>
      <c r="BM62" s="33">
        <f>IF(AND($B62&gt;=InputTriangles!$D$8,$CT62&gt;=BM$41),1,0)</f>
        <v>0</v>
      </c>
      <c r="BN62" s="33">
        <f>IF(AND($B62&gt;=InputTriangles!$D$8,$CT62&gt;=BN$41),1,0)</f>
        <v>0</v>
      </c>
      <c r="BO62" s="33">
        <f>IF(AND($B62&gt;=InputTriangles!$D$8,$CT62&gt;=BO$41),1,0)</f>
        <v>0</v>
      </c>
      <c r="BP62" s="33">
        <f>IF(AND($B62&gt;=InputTriangles!$D$8,$CT62&gt;=BP$41),1,0)</f>
        <v>0</v>
      </c>
      <c r="BQ62" s="33">
        <f>IF(AND($B62&gt;=InputTriangles!$D$8,$CT62&gt;=BQ$41),1,0)</f>
        <v>0</v>
      </c>
      <c r="BR62" s="33">
        <f>IF(AND($B62&gt;=InputTriangles!$D$8,$CT62&gt;=BR$41),1,0)</f>
        <v>0</v>
      </c>
      <c r="BS62" s="33">
        <f>IF(AND($B62&gt;=InputTriangles!$D$8,$CT62&gt;=BS$41),1,0)</f>
        <v>0</v>
      </c>
      <c r="BT62" s="33">
        <f>IF(AND($B62&gt;=InputTriangles!$D$8,$CT62&gt;=BT$41),1,0)</f>
        <v>0</v>
      </c>
      <c r="BU62" s="33">
        <f>IF(AND($B62&gt;=InputTriangles!$D$8,$CT62&gt;=BU$41),1,0)</f>
        <v>0</v>
      </c>
      <c r="BV62" s="33">
        <f>IF(AND($B62&gt;=InputTriangles!$D$8,$CT62&gt;=BV$41),1,0)</f>
        <v>0</v>
      </c>
      <c r="BW62" s="33">
        <f>IF(AND($B62&gt;=InputTriangles!$D$8,$CT62&gt;=BW$41),1,0)</f>
        <v>0</v>
      </c>
      <c r="BX62" s="33">
        <f>IF(AND($B62&gt;=InputTriangles!$D$8,$CT62&gt;=BX$41),1,0)</f>
        <v>0</v>
      </c>
      <c r="BY62" s="33">
        <f>IF(AND($B62&gt;=InputTriangles!$D$8,$CT62&gt;=BY$41),1,0)</f>
        <v>0</v>
      </c>
      <c r="BZ62" s="33">
        <f>IF(AND($B62&gt;=InputTriangles!$D$8,$CT62&gt;=BZ$41),1,0)</f>
        <v>0</v>
      </c>
      <c r="CA62" s="33">
        <f>IF(AND($B62&gt;=InputTriangles!$D$8,$CT62&gt;=CA$41),1,0)</f>
        <v>0</v>
      </c>
      <c r="CB62" s="33">
        <f>IF(AND($B62&gt;=InputTriangles!$D$8,$CT62&gt;=CB$41),1,0)</f>
        <v>0</v>
      </c>
      <c r="CC62" s="33">
        <f>IF(AND($B62&gt;=InputTriangles!$D$8,$CT62&gt;=CC$41),1,0)</f>
        <v>0</v>
      </c>
      <c r="CD62" s="33">
        <f>IF(AND($B62&gt;=InputTriangles!$D$8,$CT62&gt;=CD$41),1,0)</f>
        <v>0</v>
      </c>
      <c r="CE62" s="33">
        <f>IF(AND($B62&gt;=InputTriangles!$D$8,$CT62&gt;=CE$41),1,0)</f>
        <v>0</v>
      </c>
      <c r="CF62" s="33">
        <f>IF(AND($B62&gt;=InputTriangles!$D$8,$CT62&gt;=CF$41),1,0)</f>
        <v>0</v>
      </c>
      <c r="CG62" s="33">
        <f>IF(AND($B62&gt;=InputTriangles!$D$8,$CT62&gt;=CG$41),1,0)</f>
        <v>0</v>
      </c>
      <c r="CH62" s="33">
        <f>IF(AND($B62&gt;=InputTriangles!$D$8,$CT62&gt;=CH$41),1,0)</f>
        <v>0</v>
      </c>
      <c r="CI62" s="33">
        <f>IF(AND($B62&gt;=InputTriangles!$D$8,$CT62&gt;=CI$41),1,0)</f>
        <v>0</v>
      </c>
      <c r="CJ62" s="33">
        <f>IF(AND($B62&gt;=InputTriangles!$D$8,$CT62&gt;=CJ$41),1,0)</f>
        <v>0</v>
      </c>
      <c r="CK62" s="33">
        <f>IF(AND($B62&gt;=InputTriangles!$D$8,$CT62&gt;=CK$41),1,0)</f>
        <v>0</v>
      </c>
      <c r="CL62" s="33">
        <f>IF(AND($B62&gt;=InputTriangles!$D$8,$CT62&gt;=CL$41),1,0)</f>
        <v>0</v>
      </c>
      <c r="CM62" s="33">
        <f>IF(AND($B62&gt;=InputTriangles!$D$8,$CT62&gt;=CM$41),1,0)</f>
        <v>0</v>
      </c>
      <c r="CN62" s="33">
        <f>IF(AND($B62&gt;=InputTriangles!$D$8,$CT62&gt;=CN$41),1,0)</f>
        <v>0</v>
      </c>
      <c r="CO62" s="33">
        <f>IF(AND($B62&gt;=InputTriangles!$D$8,$CT62&gt;=CO$41),1,0)</f>
        <v>0</v>
      </c>
      <c r="CP62" s="33">
        <f>IF(AND($B62&gt;=InputTriangles!$D$8,$CT62&gt;=CP$41),1,0)</f>
        <v>0</v>
      </c>
      <c r="CQ62" s="33">
        <f>IF(AND($B62&gt;=InputTriangles!$D$8,$CT62&gt;=CQ$41),1,0)</f>
        <v>0</v>
      </c>
      <c r="CR62" s="33">
        <f>IF(AND($B62&gt;=InputTriangles!$D$8,$CT62&gt;=CR$41),1,0)</f>
        <v>0</v>
      </c>
      <c r="CS62" s="32">
        <f>IF(AND($B62&gt;=InputTriangles!$D$8,$CT62&gt;=CS$41),1,0)</f>
        <v>0</v>
      </c>
      <c r="CT62" s="31">
        <f>($D$9-InputTriangles!$B62)*InputTriangles!$E$4+$D$6</f>
        <v>4</v>
      </c>
    </row>
    <row r="63" spans="1:98" hidden="1" x14ac:dyDescent="0.25">
      <c r="A63" s="97">
        <v>0</v>
      </c>
      <c r="B63" s="31">
        <f>B64-1</f>
        <v>2017</v>
      </c>
      <c r="C63" s="30">
        <f>IF(AND($B63&gt;=InputTriangles!$D$8,$CT63&gt;=C$41),1,0)</f>
        <v>1</v>
      </c>
      <c r="D63" s="33">
        <f>IF(AND($B63&gt;=InputTriangles!$D$8,$CT63&gt;=D$41),1,0)</f>
        <v>1</v>
      </c>
      <c r="E63" s="33">
        <f>IF(AND($B63&gt;=InputTriangles!$D$8,$CT63&gt;=E$41),1,0)</f>
        <v>1</v>
      </c>
      <c r="F63" s="33">
        <f>IF(AND($B63&gt;=InputTriangles!$D$8,$CT63&gt;=F$41),1,0)</f>
        <v>0</v>
      </c>
      <c r="G63" s="33">
        <f>IF(AND($B63&gt;=InputTriangles!$D$8,$CT63&gt;=G$41),1,0)</f>
        <v>0</v>
      </c>
      <c r="H63" s="33">
        <f>IF(AND($B63&gt;=InputTriangles!$D$8,$CT63&gt;=H$41),1,0)</f>
        <v>0</v>
      </c>
      <c r="I63" s="33">
        <f>IF(AND($B63&gt;=InputTriangles!$D$8,$CT63&gt;=I$41),1,0)</f>
        <v>0</v>
      </c>
      <c r="J63" s="33">
        <f>IF(AND($B63&gt;=InputTriangles!$D$8,$CT63&gt;=J$41),1,0)</f>
        <v>0</v>
      </c>
      <c r="K63" s="33">
        <f>IF(AND($B63&gt;=InputTriangles!$D$8,$CT63&gt;=K$41),1,0)</f>
        <v>0</v>
      </c>
      <c r="L63" s="33">
        <f>IF(AND($B63&gt;=InputTriangles!$D$8,$CT63&gt;=L$41),1,0)</f>
        <v>0</v>
      </c>
      <c r="M63" s="33">
        <f>IF(AND($B63&gt;=InputTriangles!$D$8,$CT63&gt;=M$41),1,0)</f>
        <v>0</v>
      </c>
      <c r="N63" s="33">
        <f>IF(AND($B63&gt;=InputTriangles!$D$8,$CT63&gt;=N$41),1,0)</f>
        <v>0</v>
      </c>
      <c r="O63" s="33">
        <f>IF(AND($B63&gt;=InputTriangles!$D$8,$CT63&gt;=O$41),1,0)</f>
        <v>0</v>
      </c>
      <c r="P63" s="33">
        <f>IF(AND($B63&gt;=InputTriangles!$D$8,$CT63&gt;=P$41),1,0)</f>
        <v>0</v>
      </c>
      <c r="Q63" s="33">
        <f>IF(AND($B63&gt;=InputTriangles!$D$8,$CT63&gt;=Q$41),1,0)</f>
        <v>0</v>
      </c>
      <c r="R63" s="33">
        <f>IF(AND($B63&gt;=InputTriangles!$D$8,$CT63&gt;=R$41),1,0)</f>
        <v>0</v>
      </c>
      <c r="S63" s="33">
        <f>IF(AND($B63&gt;=InputTriangles!$D$8,$CT63&gt;=S$41),1,0)</f>
        <v>0</v>
      </c>
      <c r="T63" s="33">
        <f>IF(AND($B63&gt;=InputTriangles!$D$8,$CT63&gt;=T$41),1,0)</f>
        <v>0</v>
      </c>
      <c r="U63" s="33">
        <f>IF(AND($B63&gt;=InputTriangles!$D$8,$CT63&gt;=U$41),1,0)</f>
        <v>0</v>
      </c>
      <c r="V63" s="33">
        <f>IF(AND($B63&gt;=InputTriangles!$D$8,$CT63&gt;=V$41),1,0)</f>
        <v>0</v>
      </c>
      <c r="W63" s="33">
        <f>IF(AND($B63&gt;=InputTriangles!$D$8,$CT63&gt;=W$41),1,0)</f>
        <v>0</v>
      </c>
      <c r="X63" s="33">
        <f>IF(AND($B63&gt;=InputTriangles!$D$8,$CT63&gt;=X$41),1,0)</f>
        <v>0</v>
      </c>
      <c r="Y63" s="33">
        <f>IF(AND($B63&gt;=InputTriangles!$D$8,$CT63&gt;=Y$41),1,0)</f>
        <v>0</v>
      </c>
      <c r="Z63" s="33">
        <f>IF(AND($B63&gt;=InputTriangles!$D$8,$CT63&gt;=Z$41),1,0)</f>
        <v>0</v>
      </c>
      <c r="AA63" s="33">
        <f>IF(AND($B63&gt;=InputTriangles!$D$8,$CT63&gt;=AA$41),1,0)</f>
        <v>0</v>
      </c>
      <c r="AB63" s="33">
        <f>IF(AND($B63&gt;=InputTriangles!$D$8,$CT63&gt;=AB$41),1,0)</f>
        <v>0</v>
      </c>
      <c r="AC63" s="33">
        <f>IF(AND($B63&gt;=InputTriangles!$D$8,$CT63&gt;=AC$41),1,0)</f>
        <v>0</v>
      </c>
      <c r="AD63" s="33">
        <f>IF(AND($B63&gt;=InputTriangles!$D$8,$CT63&gt;=AD$41),1,0)</f>
        <v>0</v>
      </c>
      <c r="AE63" s="33">
        <f>IF(AND($B63&gt;=InputTriangles!$D$8,$CT63&gt;=AE$41),1,0)</f>
        <v>0</v>
      </c>
      <c r="AF63" s="33">
        <f>IF(AND($B63&gt;=InputTriangles!$D$8,$CT63&gt;=AF$41),1,0)</f>
        <v>0</v>
      </c>
      <c r="AG63" s="33">
        <f>IF(AND($B63&gt;=InputTriangles!$D$8,$CT63&gt;=AG$41),1,0)</f>
        <v>0</v>
      </c>
      <c r="AH63" s="33">
        <f>IF(AND($B63&gt;=InputTriangles!$D$8,$CT63&gt;=AH$41),1,0)</f>
        <v>0</v>
      </c>
      <c r="AI63" s="33">
        <f>IF(AND($B63&gt;=InputTriangles!$D$8,$CT63&gt;=AI$41),1,0)</f>
        <v>0</v>
      </c>
      <c r="AJ63" s="33">
        <f>IF(AND($B63&gt;=InputTriangles!$D$8,$CT63&gt;=AJ$41),1,0)</f>
        <v>0</v>
      </c>
      <c r="AK63" s="33">
        <f>IF(AND($B63&gt;=InputTriangles!$D$8,$CT63&gt;=AK$41),1,0)</f>
        <v>0</v>
      </c>
      <c r="AL63" s="33">
        <f>IF(AND($B63&gt;=InputTriangles!$D$8,$CT63&gt;=AL$41),1,0)</f>
        <v>0</v>
      </c>
      <c r="AM63" s="33">
        <f>IF(AND($B63&gt;=InputTriangles!$D$8,$CT63&gt;=AM$41),1,0)</f>
        <v>0</v>
      </c>
      <c r="AN63" s="33">
        <f>IF(AND($B63&gt;=InputTriangles!$D$8,$CT63&gt;=AN$41),1,0)</f>
        <v>0</v>
      </c>
      <c r="AO63" s="33">
        <f>IF(AND($B63&gt;=InputTriangles!$D$8,$CT63&gt;=AO$41),1,0)</f>
        <v>0</v>
      </c>
      <c r="AP63" s="33">
        <f>IF(AND($B63&gt;=InputTriangles!$D$8,$CT63&gt;=AP$41),1,0)</f>
        <v>0</v>
      </c>
      <c r="AQ63" s="33">
        <f>IF(AND($B63&gt;=InputTriangles!$D$8,$CT63&gt;=AQ$41),1,0)</f>
        <v>0</v>
      </c>
      <c r="AR63" s="33">
        <f>IF(AND($B63&gt;=InputTriangles!$D$8,$CT63&gt;=AR$41),1,0)</f>
        <v>0</v>
      </c>
      <c r="AS63" s="33">
        <f>IF(AND($B63&gt;=InputTriangles!$D$8,$CT63&gt;=AS$41),1,0)</f>
        <v>0</v>
      </c>
      <c r="AT63" s="33">
        <f>IF(AND($B63&gt;=InputTriangles!$D$8,$CT63&gt;=AT$41),1,0)</f>
        <v>0</v>
      </c>
      <c r="AU63" s="33">
        <f>IF(AND($B63&gt;=InputTriangles!$D$8,$CT63&gt;=AU$41),1,0)</f>
        <v>0</v>
      </c>
      <c r="AV63" s="33">
        <f>IF(AND($B63&gt;=InputTriangles!$D$8,$CT63&gt;=AV$41),1,0)</f>
        <v>0</v>
      </c>
      <c r="AW63" s="33">
        <f>IF(AND($B63&gt;=InputTriangles!$D$8,$CT63&gt;=AW$41),1,0)</f>
        <v>0</v>
      </c>
      <c r="AX63" s="33">
        <f>IF(AND($B63&gt;=InputTriangles!$D$8,$CT63&gt;=AX$41),1,0)</f>
        <v>0</v>
      </c>
      <c r="AY63" s="33">
        <f>IF(AND($B63&gt;=InputTriangles!$D$8,$CT63&gt;=AY$41),1,0)</f>
        <v>0</v>
      </c>
      <c r="AZ63" s="33">
        <f>IF(AND($B63&gt;=InputTriangles!$D$8,$CT63&gt;=AZ$41),1,0)</f>
        <v>0</v>
      </c>
      <c r="BA63" s="33">
        <f>IF(AND($B63&gt;=InputTriangles!$D$8,$CT63&gt;=BA$41),1,0)</f>
        <v>0</v>
      </c>
      <c r="BB63" s="33">
        <f>IF(AND($B63&gt;=InputTriangles!$D$8,$CT63&gt;=BB$41),1,0)</f>
        <v>0</v>
      </c>
      <c r="BC63" s="33">
        <f>IF(AND($B63&gt;=InputTriangles!$D$8,$CT63&gt;=BC$41),1,0)</f>
        <v>0</v>
      </c>
      <c r="BD63" s="33">
        <f>IF(AND($B63&gt;=InputTriangles!$D$8,$CT63&gt;=BD$41),1,0)</f>
        <v>0</v>
      </c>
      <c r="BE63" s="33">
        <f>IF(AND($B63&gt;=InputTriangles!$D$8,$CT63&gt;=BE$41),1,0)</f>
        <v>0</v>
      </c>
      <c r="BF63" s="33">
        <f>IF(AND($B63&gt;=InputTriangles!$D$8,$CT63&gt;=BF$41),1,0)</f>
        <v>0</v>
      </c>
      <c r="BG63" s="33">
        <f>IF(AND($B63&gt;=InputTriangles!$D$8,$CT63&gt;=BG$41),1,0)</f>
        <v>0</v>
      </c>
      <c r="BH63" s="33">
        <f>IF(AND($B63&gt;=InputTriangles!$D$8,$CT63&gt;=BH$41),1,0)</f>
        <v>0</v>
      </c>
      <c r="BI63" s="33">
        <f>IF(AND($B63&gt;=InputTriangles!$D$8,$CT63&gt;=BI$41),1,0)</f>
        <v>0</v>
      </c>
      <c r="BJ63" s="33">
        <f>IF(AND($B63&gt;=InputTriangles!$D$8,$CT63&gt;=BJ$41),1,0)</f>
        <v>0</v>
      </c>
      <c r="BK63" s="33">
        <f>IF(AND($B63&gt;=InputTriangles!$D$8,$CT63&gt;=BK$41),1,0)</f>
        <v>0</v>
      </c>
      <c r="BL63" s="33">
        <f>IF(AND($B63&gt;=InputTriangles!$D$8,$CT63&gt;=BL$41),1,0)</f>
        <v>0</v>
      </c>
      <c r="BM63" s="33">
        <f>IF(AND($B63&gt;=InputTriangles!$D$8,$CT63&gt;=BM$41),1,0)</f>
        <v>0</v>
      </c>
      <c r="BN63" s="33">
        <f>IF(AND($B63&gt;=InputTriangles!$D$8,$CT63&gt;=BN$41),1,0)</f>
        <v>0</v>
      </c>
      <c r="BO63" s="33">
        <f>IF(AND($B63&gt;=InputTriangles!$D$8,$CT63&gt;=BO$41),1,0)</f>
        <v>0</v>
      </c>
      <c r="BP63" s="33">
        <f>IF(AND($B63&gt;=InputTriangles!$D$8,$CT63&gt;=BP$41),1,0)</f>
        <v>0</v>
      </c>
      <c r="BQ63" s="33">
        <f>IF(AND($B63&gt;=InputTriangles!$D$8,$CT63&gt;=BQ$41),1,0)</f>
        <v>0</v>
      </c>
      <c r="BR63" s="33">
        <f>IF(AND($B63&gt;=InputTriangles!$D$8,$CT63&gt;=BR$41),1,0)</f>
        <v>0</v>
      </c>
      <c r="BS63" s="33">
        <f>IF(AND($B63&gt;=InputTriangles!$D$8,$CT63&gt;=BS$41),1,0)</f>
        <v>0</v>
      </c>
      <c r="BT63" s="33">
        <f>IF(AND($B63&gt;=InputTriangles!$D$8,$CT63&gt;=BT$41),1,0)</f>
        <v>0</v>
      </c>
      <c r="BU63" s="33">
        <f>IF(AND($B63&gt;=InputTriangles!$D$8,$CT63&gt;=BU$41),1,0)</f>
        <v>0</v>
      </c>
      <c r="BV63" s="33">
        <f>IF(AND($B63&gt;=InputTriangles!$D$8,$CT63&gt;=BV$41),1,0)</f>
        <v>0</v>
      </c>
      <c r="BW63" s="33">
        <f>IF(AND($B63&gt;=InputTriangles!$D$8,$CT63&gt;=BW$41),1,0)</f>
        <v>0</v>
      </c>
      <c r="BX63" s="33">
        <f>IF(AND($B63&gt;=InputTriangles!$D$8,$CT63&gt;=BX$41),1,0)</f>
        <v>0</v>
      </c>
      <c r="BY63" s="33">
        <f>IF(AND($B63&gt;=InputTriangles!$D$8,$CT63&gt;=BY$41),1,0)</f>
        <v>0</v>
      </c>
      <c r="BZ63" s="33">
        <f>IF(AND($B63&gt;=InputTriangles!$D$8,$CT63&gt;=BZ$41),1,0)</f>
        <v>0</v>
      </c>
      <c r="CA63" s="33">
        <f>IF(AND($B63&gt;=InputTriangles!$D$8,$CT63&gt;=CA$41),1,0)</f>
        <v>0</v>
      </c>
      <c r="CB63" s="33">
        <f>IF(AND($B63&gt;=InputTriangles!$D$8,$CT63&gt;=CB$41),1,0)</f>
        <v>0</v>
      </c>
      <c r="CC63" s="33">
        <f>IF(AND($B63&gt;=InputTriangles!$D$8,$CT63&gt;=CC$41),1,0)</f>
        <v>0</v>
      </c>
      <c r="CD63" s="33">
        <f>IF(AND($B63&gt;=InputTriangles!$D$8,$CT63&gt;=CD$41),1,0)</f>
        <v>0</v>
      </c>
      <c r="CE63" s="33">
        <f>IF(AND($B63&gt;=InputTriangles!$D$8,$CT63&gt;=CE$41),1,0)</f>
        <v>0</v>
      </c>
      <c r="CF63" s="33">
        <f>IF(AND($B63&gt;=InputTriangles!$D$8,$CT63&gt;=CF$41),1,0)</f>
        <v>0</v>
      </c>
      <c r="CG63" s="33">
        <f>IF(AND($B63&gt;=InputTriangles!$D$8,$CT63&gt;=CG$41),1,0)</f>
        <v>0</v>
      </c>
      <c r="CH63" s="33">
        <f>IF(AND($B63&gt;=InputTriangles!$D$8,$CT63&gt;=CH$41),1,0)</f>
        <v>0</v>
      </c>
      <c r="CI63" s="33">
        <f>IF(AND($B63&gt;=InputTriangles!$D$8,$CT63&gt;=CI$41),1,0)</f>
        <v>0</v>
      </c>
      <c r="CJ63" s="33">
        <f>IF(AND($B63&gt;=InputTriangles!$D$8,$CT63&gt;=CJ$41),1,0)</f>
        <v>0</v>
      </c>
      <c r="CK63" s="33">
        <f>IF(AND($B63&gt;=InputTriangles!$D$8,$CT63&gt;=CK$41),1,0)</f>
        <v>0</v>
      </c>
      <c r="CL63" s="33">
        <f>IF(AND($B63&gt;=InputTriangles!$D$8,$CT63&gt;=CL$41),1,0)</f>
        <v>0</v>
      </c>
      <c r="CM63" s="33">
        <f>IF(AND($B63&gt;=InputTriangles!$D$8,$CT63&gt;=CM$41),1,0)</f>
        <v>0</v>
      </c>
      <c r="CN63" s="33">
        <f>IF(AND($B63&gt;=InputTriangles!$D$8,$CT63&gt;=CN$41),1,0)</f>
        <v>0</v>
      </c>
      <c r="CO63" s="33">
        <f>IF(AND($B63&gt;=InputTriangles!$D$8,$CT63&gt;=CO$41),1,0)</f>
        <v>0</v>
      </c>
      <c r="CP63" s="33">
        <f>IF(AND($B63&gt;=InputTriangles!$D$8,$CT63&gt;=CP$41),1,0)</f>
        <v>0</v>
      </c>
      <c r="CQ63" s="33">
        <f>IF(AND($B63&gt;=InputTriangles!$D$8,$CT63&gt;=CQ$41),1,0)</f>
        <v>0</v>
      </c>
      <c r="CR63" s="33">
        <f>IF(AND($B63&gt;=InputTriangles!$D$8,$CT63&gt;=CR$41),1,0)</f>
        <v>0</v>
      </c>
      <c r="CS63" s="32">
        <f>IF(AND($B63&gt;=InputTriangles!$D$8,$CT63&gt;=CS$41),1,0)</f>
        <v>0</v>
      </c>
      <c r="CT63" s="31">
        <f>($D$9-InputTriangles!$B63)*InputTriangles!$E$4+$D$6</f>
        <v>3</v>
      </c>
    </row>
    <row r="64" spans="1:98" hidden="1" x14ac:dyDescent="0.25">
      <c r="A64" s="97">
        <v>0</v>
      </c>
      <c r="B64" s="31">
        <f>B65-1</f>
        <v>2018</v>
      </c>
      <c r="C64" s="30">
        <f>IF(AND($B64&gt;=InputTriangles!$D$8,$CT64&gt;=C$41),1,0)</f>
        <v>1</v>
      </c>
      <c r="D64" s="33">
        <f>IF(AND($B64&gt;=InputTriangles!$D$8,$CT64&gt;=D$41),1,0)</f>
        <v>1</v>
      </c>
      <c r="E64" s="33">
        <f>IF(AND($B64&gt;=InputTriangles!$D$8,$CT64&gt;=E$41),1,0)</f>
        <v>0</v>
      </c>
      <c r="F64" s="33">
        <f>IF(AND($B64&gt;=InputTriangles!$D$8,$CT64&gt;=F$41),1,0)</f>
        <v>0</v>
      </c>
      <c r="G64" s="33">
        <f>IF(AND($B64&gt;=InputTriangles!$D$8,$CT64&gt;=G$41),1,0)</f>
        <v>0</v>
      </c>
      <c r="H64" s="33">
        <f>IF(AND($B64&gt;=InputTriangles!$D$8,$CT64&gt;=H$41),1,0)</f>
        <v>0</v>
      </c>
      <c r="I64" s="33">
        <f>IF(AND($B64&gt;=InputTriangles!$D$8,$CT64&gt;=I$41),1,0)</f>
        <v>0</v>
      </c>
      <c r="J64" s="33">
        <f>IF(AND($B64&gt;=InputTriangles!$D$8,$CT64&gt;=J$41),1,0)</f>
        <v>0</v>
      </c>
      <c r="K64" s="33">
        <f>IF(AND($B64&gt;=InputTriangles!$D$8,$CT64&gt;=K$41),1,0)</f>
        <v>0</v>
      </c>
      <c r="L64" s="33">
        <f>IF(AND($B64&gt;=InputTriangles!$D$8,$CT64&gt;=L$41),1,0)</f>
        <v>0</v>
      </c>
      <c r="M64" s="33">
        <f>IF(AND($B64&gt;=InputTriangles!$D$8,$CT64&gt;=M$41),1,0)</f>
        <v>0</v>
      </c>
      <c r="N64" s="33">
        <f>IF(AND($B64&gt;=InputTriangles!$D$8,$CT64&gt;=N$41),1,0)</f>
        <v>0</v>
      </c>
      <c r="O64" s="33">
        <f>IF(AND($B64&gt;=InputTriangles!$D$8,$CT64&gt;=O$41),1,0)</f>
        <v>0</v>
      </c>
      <c r="P64" s="33">
        <f>IF(AND($B64&gt;=InputTriangles!$D$8,$CT64&gt;=P$41),1,0)</f>
        <v>0</v>
      </c>
      <c r="Q64" s="33">
        <f>IF(AND($B64&gt;=InputTriangles!$D$8,$CT64&gt;=Q$41),1,0)</f>
        <v>0</v>
      </c>
      <c r="R64" s="33">
        <f>IF(AND($B64&gt;=InputTriangles!$D$8,$CT64&gt;=R$41),1,0)</f>
        <v>0</v>
      </c>
      <c r="S64" s="33">
        <f>IF(AND($B64&gt;=InputTriangles!$D$8,$CT64&gt;=S$41),1,0)</f>
        <v>0</v>
      </c>
      <c r="T64" s="33">
        <f>IF(AND($B64&gt;=InputTriangles!$D$8,$CT64&gt;=T$41),1,0)</f>
        <v>0</v>
      </c>
      <c r="U64" s="33">
        <f>IF(AND($B64&gt;=InputTriangles!$D$8,$CT64&gt;=U$41),1,0)</f>
        <v>0</v>
      </c>
      <c r="V64" s="33">
        <f>IF(AND($B64&gt;=InputTriangles!$D$8,$CT64&gt;=V$41),1,0)</f>
        <v>0</v>
      </c>
      <c r="W64" s="33">
        <f>IF(AND($B64&gt;=InputTriangles!$D$8,$CT64&gt;=W$41),1,0)</f>
        <v>0</v>
      </c>
      <c r="X64" s="33">
        <f>IF(AND($B64&gt;=InputTriangles!$D$8,$CT64&gt;=X$41),1,0)</f>
        <v>0</v>
      </c>
      <c r="Y64" s="33">
        <f>IF(AND($B64&gt;=InputTriangles!$D$8,$CT64&gt;=Y$41),1,0)</f>
        <v>0</v>
      </c>
      <c r="Z64" s="33">
        <f>IF(AND($B64&gt;=InputTriangles!$D$8,$CT64&gt;=Z$41),1,0)</f>
        <v>0</v>
      </c>
      <c r="AA64" s="33">
        <f>IF(AND($B64&gt;=InputTriangles!$D$8,$CT64&gt;=AA$41),1,0)</f>
        <v>0</v>
      </c>
      <c r="AB64" s="33">
        <f>IF(AND($B64&gt;=InputTriangles!$D$8,$CT64&gt;=AB$41),1,0)</f>
        <v>0</v>
      </c>
      <c r="AC64" s="33">
        <f>IF(AND($B64&gt;=InputTriangles!$D$8,$CT64&gt;=AC$41),1,0)</f>
        <v>0</v>
      </c>
      <c r="AD64" s="33">
        <f>IF(AND($B64&gt;=InputTriangles!$D$8,$CT64&gt;=AD$41),1,0)</f>
        <v>0</v>
      </c>
      <c r="AE64" s="33">
        <f>IF(AND($B64&gt;=InputTriangles!$D$8,$CT64&gt;=AE$41),1,0)</f>
        <v>0</v>
      </c>
      <c r="AF64" s="33">
        <f>IF(AND($B64&gt;=InputTriangles!$D$8,$CT64&gt;=AF$41),1,0)</f>
        <v>0</v>
      </c>
      <c r="AG64" s="33">
        <f>IF(AND($B64&gt;=InputTriangles!$D$8,$CT64&gt;=AG$41),1,0)</f>
        <v>0</v>
      </c>
      <c r="AH64" s="33">
        <f>IF(AND($B64&gt;=InputTriangles!$D$8,$CT64&gt;=AH$41),1,0)</f>
        <v>0</v>
      </c>
      <c r="AI64" s="33">
        <f>IF(AND($B64&gt;=InputTriangles!$D$8,$CT64&gt;=AI$41),1,0)</f>
        <v>0</v>
      </c>
      <c r="AJ64" s="33">
        <f>IF(AND($B64&gt;=InputTriangles!$D$8,$CT64&gt;=AJ$41),1,0)</f>
        <v>0</v>
      </c>
      <c r="AK64" s="33">
        <f>IF(AND($B64&gt;=InputTriangles!$D$8,$CT64&gt;=AK$41),1,0)</f>
        <v>0</v>
      </c>
      <c r="AL64" s="33">
        <f>IF(AND($B64&gt;=InputTriangles!$D$8,$CT64&gt;=AL$41),1,0)</f>
        <v>0</v>
      </c>
      <c r="AM64" s="33">
        <f>IF(AND($B64&gt;=InputTriangles!$D$8,$CT64&gt;=AM$41),1,0)</f>
        <v>0</v>
      </c>
      <c r="AN64" s="33">
        <f>IF(AND($B64&gt;=InputTriangles!$D$8,$CT64&gt;=AN$41),1,0)</f>
        <v>0</v>
      </c>
      <c r="AO64" s="33">
        <f>IF(AND($B64&gt;=InputTriangles!$D$8,$CT64&gt;=AO$41),1,0)</f>
        <v>0</v>
      </c>
      <c r="AP64" s="33">
        <f>IF(AND($B64&gt;=InputTriangles!$D$8,$CT64&gt;=AP$41),1,0)</f>
        <v>0</v>
      </c>
      <c r="AQ64" s="33">
        <f>IF(AND($B64&gt;=InputTriangles!$D$8,$CT64&gt;=AQ$41),1,0)</f>
        <v>0</v>
      </c>
      <c r="AR64" s="33">
        <f>IF(AND($B64&gt;=InputTriangles!$D$8,$CT64&gt;=AR$41),1,0)</f>
        <v>0</v>
      </c>
      <c r="AS64" s="33">
        <f>IF(AND($B64&gt;=InputTriangles!$D$8,$CT64&gt;=AS$41),1,0)</f>
        <v>0</v>
      </c>
      <c r="AT64" s="33">
        <f>IF(AND($B64&gt;=InputTriangles!$D$8,$CT64&gt;=AT$41),1,0)</f>
        <v>0</v>
      </c>
      <c r="AU64" s="33">
        <f>IF(AND($B64&gt;=InputTriangles!$D$8,$CT64&gt;=AU$41),1,0)</f>
        <v>0</v>
      </c>
      <c r="AV64" s="33">
        <f>IF(AND($B64&gt;=InputTriangles!$D$8,$CT64&gt;=AV$41),1,0)</f>
        <v>0</v>
      </c>
      <c r="AW64" s="33">
        <f>IF(AND($B64&gt;=InputTriangles!$D$8,$CT64&gt;=AW$41),1,0)</f>
        <v>0</v>
      </c>
      <c r="AX64" s="33">
        <f>IF(AND($B64&gt;=InputTriangles!$D$8,$CT64&gt;=AX$41),1,0)</f>
        <v>0</v>
      </c>
      <c r="AY64" s="33">
        <f>IF(AND($B64&gt;=InputTriangles!$D$8,$CT64&gt;=AY$41),1,0)</f>
        <v>0</v>
      </c>
      <c r="AZ64" s="33">
        <f>IF(AND($B64&gt;=InputTriangles!$D$8,$CT64&gt;=AZ$41),1,0)</f>
        <v>0</v>
      </c>
      <c r="BA64" s="33">
        <f>IF(AND($B64&gt;=InputTriangles!$D$8,$CT64&gt;=BA$41),1,0)</f>
        <v>0</v>
      </c>
      <c r="BB64" s="33">
        <f>IF(AND($B64&gt;=InputTriangles!$D$8,$CT64&gt;=BB$41),1,0)</f>
        <v>0</v>
      </c>
      <c r="BC64" s="33">
        <f>IF(AND($B64&gt;=InputTriangles!$D$8,$CT64&gt;=BC$41),1,0)</f>
        <v>0</v>
      </c>
      <c r="BD64" s="33">
        <f>IF(AND($B64&gt;=InputTriangles!$D$8,$CT64&gt;=BD$41),1,0)</f>
        <v>0</v>
      </c>
      <c r="BE64" s="33">
        <f>IF(AND($B64&gt;=InputTriangles!$D$8,$CT64&gt;=BE$41),1,0)</f>
        <v>0</v>
      </c>
      <c r="BF64" s="33">
        <f>IF(AND($B64&gt;=InputTriangles!$D$8,$CT64&gt;=BF$41),1,0)</f>
        <v>0</v>
      </c>
      <c r="BG64" s="33">
        <f>IF(AND($B64&gt;=InputTriangles!$D$8,$CT64&gt;=BG$41),1,0)</f>
        <v>0</v>
      </c>
      <c r="BH64" s="33">
        <f>IF(AND($B64&gt;=InputTriangles!$D$8,$CT64&gt;=BH$41),1,0)</f>
        <v>0</v>
      </c>
      <c r="BI64" s="33">
        <f>IF(AND($B64&gt;=InputTriangles!$D$8,$CT64&gt;=BI$41),1,0)</f>
        <v>0</v>
      </c>
      <c r="BJ64" s="33">
        <f>IF(AND($B64&gt;=InputTriangles!$D$8,$CT64&gt;=BJ$41),1,0)</f>
        <v>0</v>
      </c>
      <c r="BK64" s="33">
        <f>IF(AND($B64&gt;=InputTriangles!$D$8,$CT64&gt;=BK$41),1,0)</f>
        <v>0</v>
      </c>
      <c r="BL64" s="33">
        <f>IF(AND($B64&gt;=InputTriangles!$D$8,$CT64&gt;=BL$41),1,0)</f>
        <v>0</v>
      </c>
      <c r="BM64" s="33">
        <f>IF(AND($B64&gt;=InputTriangles!$D$8,$CT64&gt;=BM$41),1,0)</f>
        <v>0</v>
      </c>
      <c r="BN64" s="33">
        <f>IF(AND($B64&gt;=InputTriangles!$D$8,$CT64&gt;=BN$41),1,0)</f>
        <v>0</v>
      </c>
      <c r="BO64" s="33">
        <f>IF(AND($B64&gt;=InputTriangles!$D$8,$CT64&gt;=BO$41),1,0)</f>
        <v>0</v>
      </c>
      <c r="BP64" s="33">
        <f>IF(AND($B64&gt;=InputTriangles!$D$8,$CT64&gt;=BP$41),1,0)</f>
        <v>0</v>
      </c>
      <c r="BQ64" s="33">
        <f>IF(AND($B64&gt;=InputTriangles!$D$8,$CT64&gt;=BQ$41),1,0)</f>
        <v>0</v>
      </c>
      <c r="BR64" s="33">
        <f>IF(AND($B64&gt;=InputTriangles!$D$8,$CT64&gt;=BR$41),1,0)</f>
        <v>0</v>
      </c>
      <c r="BS64" s="33">
        <f>IF(AND($B64&gt;=InputTriangles!$D$8,$CT64&gt;=BS$41),1,0)</f>
        <v>0</v>
      </c>
      <c r="BT64" s="33">
        <f>IF(AND($B64&gt;=InputTriangles!$D$8,$CT64&gt;=BT$41),1,0)</f>
        <v>0</v>
      </c>
      <c r="BU64" s="33">
        <f>IF(AND($B64&gt;=InputTriangles!$D$8,$CT64&gt;=BU$41),1,0)</f>
        <v>0</v>
      </c>
      <c r="BV64" s="33">
        <f>IF(AND($B64&gt;=InputTriangles!$D$8,$CT64&gt;=BV$41),1,0)</f>
        <v>0</v>
      </c>
      <c r="BW64" s="33">
        <f>IF(AND($B64&gt;=InputTriangles!$D$8,$CT64&gt;=BW$41),1,0)</f>
        <v>0</v>
      </c>
      <c r="BX64" s="33">
        <f>IF(AND($B64&gt;=InputTriangles!$D$8,$CT64&gt;=BX$41),1,0)</f>
        <v>0</v>
      </c>
      <c r="BY64" s="33">
        <f>IF(AND($B64&gt;=InputTriangles!$D$8,$CT64&gt;=BY$41),1,0)</f>
        <v>0</v>
      </c>
      <c r="BZ64" s="33">
        <f>IF(AND($B64&gt;=InputTriangles!$D$8,$CT64&gt;=BZ$41),1,0)</f>
        <v>0</v>
      </c>
      <c r="CA64" s="33">
        <f>IF(AND($B64&gt;=InputTriangles!$D$8,$CT64&gt;=CA$41),1,0)</f>
        <v>0</v>
      </c>
      <c r="CB64" s="33">
        <f>IF(AND($B64&gt;=InputTriangles!$D$8,$CT64&gt;=CB$41),1,0)</f>
        <v>0</v>
      </c>
      <c r="CC64" s="33">
        <f>IF(AND($B64&gt;=InputTriangles!$D$8,$CT64&gt;=CC$41),1,0)</f>
        <v>0</v>
      </c>
      <c r="CD64" s="33">
        <f>IF(AND($B64&gt;=InputTriangles!$D$8,$CT64&gt;=CD$41),1,0)</f>
        <v>0</v>
      </c>
      <c r="CE64" s="33">
        <f>IF(AND($B64&gt;=InputTriangles!$D$8,$CT64&gt;=CE$41),1,0)</f>
        <v>0</v>
      </c>
      <c r="CF64" s="33">
        <f>IF(AND($B64&gt;=InputTriangles!$D$8,$CT64&gt;=CF$41),1,0)</f>
        <v>0</v>
      </c>
      <c r="CG64" s="33">
        <f>IF(AND($B64&gt;=InputTriangles!$D$8,$CT64&gt;=CG$41),1,0)</f>
        <v>0</v>
      </c>
      <c r="CH64" s="33">
        <f>IF(AND($B64&gt;=InputTriangles!$D$8,$CT64&gt;=CH$41),1,0)</f>
        <v>0</v>
      </c>
      <c r="CI64" s="33">
        <f>IF(AND($B64&gt;=InputTriangles!$D$8,$CT64&gt;=CI$41),1,0)</f>
        <v>0</v>
      </c>
      <c r="CJ64" s="33">
        <f>IF(AND($B64&gt;=InputTriangles!$D$8,$CT64&gt;=CJ$41),1,0)</f>
        <v>0</v>
      </c>
      <c r="CK64" s="33">
        <f>IF(AND($B64&gt;=InputTriangles!$D$8,$CT64&gt;=CK$41),1,0)</f>
        <v>0</v>
      </c>
      <c r="CL64" s="33">
        <f>IF(AND($B64&gt;=InputTriangles!$D$8,$CT64&gt;=CL$41),1,0)</f>
        <v>0</v>
      </c>
      <c r="CM64" s="33">
        <f>IF(AND($B64&gt;=InputTriangles!$D$8,$CT64&gt;=CM$41),1,0)</f>
        <v>0</v>
      </c>
      <c r="CN64" s="33">
        <f>IF(AND($B64&gt;=InputTriangles!$D$8,$CT64&gt;=CN$41),1,0)</f>
        <v>0</v>
      </c>
      <c r="CO64" s="33">
        <f>IF(AND($B64&gt;=InputTriangles!$D$8,$CT64&gt;=CO$41),1,0)</f>
        <v>0</v>
      </c>
      <c r="CP64" s="33">
        <f>IF(AND($B64&gt;=InputTriangles!$D$8,$CT64&gt;=CP$41),1,0)</f>
        <v>0</v>
      </c>
      <c r="CQ64" s="33">
        <f>IF(AND($B64&gt;=InputTriangles!$D$8,$CT64&gt;=CQ$41),1,0)</f>
        <v>0</v>
      </c>
      <c r="CR64" s="33">
        <f>IF(AND($B64&gt;=InputTriangles!$D$8,$CT64&gt;=CR$41),1,0)</f>
        <v>0</v>
      </c>
      <c r="CS64" s="32">
        <f>IF(AND($B64&gt;=InputTriangles!$D$8,$CT64&gt;=CS$41),1,0)</f>
        <v>0</v>
      </c>
      <c r="CT64" s="31">
        <f>($D$9-InputTriangles!$B64)*InputTriangles!$E$4+$D$6</f>
        <v>2</v>
      </c>
    </row>
    <row r="65" spans="1:103" hidden="1" x14ac:dyDescent="0.25">
      <c r="A65" s="97">
        <v>0</v>
      </c>
      <c r="B65" s="34">
        <f>D9</f>
        <v>2019</v>
      </c>
      <c r="C65" s="35">
        <f>IF(AND($B65&gt;=InputTriangles!$D$8,$CT65&gt;=C$41),1,0)</f>
        <v>1</v>
      </c>
      <c r="D65" s="36">
        <f>IF(AND($B65&gt;=InputTriangles!$D$8,$CT65&gt;=D$41),1,0)</f>
        <v>0</v>
      </c>
      <c r="E65" s="36">
        <f>IF(AND($B65&gt;=InputTriangles!$D$8,$CT65&gt;=E$41),1,0)</f>
        <v>0</v>
      </c>
      <c r="F65" s="36">
        <f>IF(AND($B65&gt;=InputTriangles!$D$8,$CT65&gt;=F$41),1,0)</f>
        <v>0</v>
      </c>
      <c r="G65" s="36">
        <f>IF(AND($B65&gt;=InputTriangles!$D$8,$CT65&gt;=G$41),1,0)</f>
        <v>0</v>
      </c>
      <c r="H65" s="36">
        <f>IF(AND($B65&gt;=InputTriangles!$D$8,$CT65&gt;=H$41),1,0)</f>
        <v>0</v>
      </c>
      <c r="I65" s="36">
        <f>IF(AND($B65&gt;=InputTriangles!$D$8,$CT65&gt;=I$41),1,0)</f>
        <v>0</v>
      </c>
      <c r="J65" s="36">
        <f>IF(AND($B65&gt;=InputTriangles!$D$8,$CT65&gt;=J$41),1,0)</f>
        <v>0</v>
      </c>
      <c r="K65" s="36">
        <f>IF(AND($B65&gt;=InputTriangles!$D$8,$CT65&gt;=K$41),1,0)</f>
        <v>0</v>
      </c>
      <c r="L65" s="36">
        <f>IF(AND($B65&gt;=InputTriangles!$D$8,$CT65&gt;=L$41),1,0)</f>
        <v>0</v>
      </c>
      <c r="M65" s="36">
        <f>IF(AND($B65&gt;=InputTriangles!$D$8,$CT65&gt;=M$41),1,0)</f>
        <v>0</v>
      </c>
      <c r="N65" s="36">
        <f>IF(AND($B65&gt;=InputTriangles!$D$8,$CT65&gt;=N$41),1,0)</f>
        <v>0</v>
      </c>
      <c r="O65" s="36">
        <f>IF(AND($B65&gt;=InputTriangles!$D$8,$CT65&gt;=O$41),1,0)</f>
        <v>0</v>
      </c>
      <c r="P65" s="36">
        <f>IF(AND($B65&gt;=InputTriangles!$D$8,$CT65&gt;=P$41),1,0)</f>
        <v>0</v>
      </c>
      <c r="Q65" s="36">
        <f>IF(AND($B65&gt;=InputTriangles!$D$8,$CT65&gt;=Q$41),1,0)</f>
        <v>0</v>
      </c>
      <c r="R65" s="36">
        <f>IF(AND($B65&gt;=InputTriangles!$D$8,$CT65&gt;=R$41),1,0)</f>
        <v>0</v>
      </c>
      <c r="S65" s="36">
        <f>IF(AND($B65&gt;=InputTriangles!$D$8,$CT65&gt;=S$41),1,0)</f>
        <v>0</v>
      </c>
      <c r="T65" s="36">
        <f>IF(AND($B65&gt;=InputTriangles!$D$8,$CT65&gt;=T$41),1,0)</f>
        <v>0</v>
      </c>
      <c r="U65" s="36">
        <f>IF(AND($B65&gt;=InputTriangles!$D$8,$CT65&gt;=U$41),1,0)</f>
        <v>0</v>
      </c>
      <c r="V65" s="36">
        <f>IF(AND($B65&gt;=InputTriangles!$D$8,$CT65&gt;=V$41),1,0)</f>
        <v>0</v>
      </c>
      <c r="W65" s="36">
        <f>IF(AND($B65&gt;=InputTriangles!$D$8,$CT65&gt;=W$41),1,0)</f>
        <v>0</v>
      </c>
      <c r="X65" s="36">
        <f>IF(AND($B65&gt;=InputTriangles!$D$8,$CT65&gt;=X$41),1,0)</f>
        <v>0</v>
      </c>
      <c r="Y65" s="36">
        <f>IF(AND($B65&gt;=InputTriangles!$D$8,$CT65&gt;=Y$41),1,0)</f>
        <v>0</v>
      </c>
      <c r="Z65" s="36">
        <f>IF(AND($B65&gt;=InputTriangles!$D$8,$CT65&gt;=Z$41),1,0)</f>
        <v>0</v>
      </c>
      <c r="AA65" s="36">
        <f>IF(AND($B65&gt;=InputTriangles!$D$8,$CT65&gt;=AA$41),1,0)</f>
        <v>0</v>
      </c>
      <c r="AB65" s="36">
        <f>IF(AND($B65&gt;=InputTriangles!$D$8,$CT65&gt;=AB$41),1,0)</f>
        <v>0</v>
      </c>
      <c r="AC65" s="36">
        <f>IF(AND($B65&gt;=InputTriangles!$D$8,$CT65&gt;=AC$41),1,0)</f>
        <v>0</v>
      </c>
      <c r="AD65" s="36">
        <f>IF(AND($B65&gt;=InputTriangles!$D$8,$CT65&gt;=AD$41),1,0)</f>
        <v>0</v>
      </c>
      <c r="AE65" s="36">
        <f>IF(AND($B65&gt;=InputTriangles!$D$8,$CT65&gt;=AE$41),1,0)</f>
        <v>0</v>
      </c>
      <c r="AF65" s="36">
        <f>IF(AND($B65&gt;=InputTriangles!$D$8,$CT65&gt;=AF$41),1,0)</f>
        <v>0</v>
      </c>
      <c r="AG65" s="36">
        <f>IF(AND($B65&gt;=InputTriangles!$D$8,$CT65&gt;=AG$41),1,0)</f>
        <v>0</v>
      </c>
      <c r="AH65" s="36">
        <f>IF(AND($B65&gt;=InputTriangles!$D$8,$CT65&gt;=AH$41),1,0)</f>
        <v>0</v>
      </c>
      <c r="AI65" s="36">
        <f>IF(AND($B65&gt;=InputTriangles!$D$8,$CT65&gt;=AI$41),1,0)</f>
        <v>0</v>
      </c>
      <c r="AJ65" s="36">
        <f>IF(AND($B65&gt;=InputTriangles!$D$8,$CT65&gt;=AJ$41),1,0)</f>
        <v>0</v>
      </c>
      <c r="AK65" s="36">
        <f>IF(AND($B65&gt;=InputTriangles!$D$8,$CT65&gt;=AK$41),1,0)</f>
        <v>0</v>
      </c>
      <c r="AL65" s="36">
        <f>IF(AND($B65&gt;=InputTriangles!$D$8,$CT65&gt;=AL$41),1,0)</f>
        <v>0</v>
      </c>
      <c r="AM65" s="36">
        <f>IF(AND($B65&gt;=InputTriangles!$D$8,$CT65&gt;=AM$41),1,0)</f>
        <v>0</v>
      </c>
      <c r="AN65" s="36">
        <f>IF(AND($B65&gt;=InputTriangles!$D$8,$CT65&gt;=AN$41),1,0)</f>
        <v>0</v>
      </c>
      <c r="AO65" s="36">
        <f>IF(AND($B65&gt;=InputTriangles!$D$8,$CT65&gt;=AO$41),1,0)</f>
        <v>0</v>
      </c>
      <c r="AP65" s="36">
        <f>IF(AND($B65&gt;=InputTriangles!$D$8,$CT65&gt;=AP$41),1,0)</f>
        <v>0</v>
      </c>
      <c r="AQ65" s="36">
        <f>IF(AND($B65&gt;=InputTriangles!$D$8,$CT65&gt;=AQ$41),1,0)</f>
        <v>0</v>
      </c>
      <c r="AR65" s="36">
        <f>IF(AND($B65&gt;=InputTriangles!$D$8,$CT65&gt;=AR$41),1,0)</f>
        <v>0</v>
      </c>
      <c r="AS65" s="36">
        <f>IF(AND($B65&gt;=InputTriangles!$D$8,$CT65&gt;=AS$41),1,0)</f>
        <v>0</v>
      </c>
      <c r="AT65" s="36">
        <f>IF(AND($B65&gt;=InputTriangles!$D$8,$CT65&gt;=AT$41),1,0)</f>
        <v>0</v>
      </c>
      <c r="AU65" s="36">
        <f>IF(AND($B65&gt;=InputTriangles!$D$8,$CT65&gt;=AU$41),1,0)</f>
        <v>0</v>
      </c>
      <c r="AV65" s="36">
        <f>IF(AND($B65&gt;=InputTriangles!$D$8,$CT65&gt;=AV$41),1,0)</f>
        <v>0</v>
      </c>
      <c r="AW65" s="36">
        <f>IF(AND($B65&gt;=InputTriangles!$D$8,$CT65&gt;=AW$41),1,0)</f>
        <v>0</v>
      </c>
      <c r="AX65" s="36">
        <f>IF(AND($B65&gt;=InputTriangles!$D$8,$CT65&gt;=AX$41),1,0)</f>
        <v>0</v>
      </c>
      <c r="AY65" s="36">
        <f>IF(AND($B65&gt;=InputTriangles!$D$8,$CT65&gt;=AY$41),1,0)</f>
        <v>0</v>
      </c>
      <c r="AZ65" s="36">
        <f>IF(AND($B65&gt;=InputTriangles!$D$8,$CT65&gt;=AZ$41),1,0)</f>
        <v>0</v>
      </c>
      <c r="BA65" s="36">
        <f>IF(AND($B65&gt;=InputTriangles!$D$8,$CT65&gt;=BA$41),1,0)</f>
        <v>0</v>
      </c>
      <c r="BB65" s="36">
        <f>IF(AND($B65&gt;=InputTriangles!$D$8,$CT65&gt;=BB$41),1,0)</f>
        <v>0</v>
      </c>
      <c r="BC65" s="36">
        <f>IF(AND($B65&gt;=InputTriangles!$D$8,$CT65&gt;=BC$41),1,0)</f>
        <v>0</v>
      </c>
      <c r="BD65" s="36">
        <f>IF(AND($B65&gt;=InputTriangles!$D$8,$CT65&gt;=BD$41),1,0)</f>
        <v>0</v>
      </c>
      <c r="BE65" s="36">
        <f>IF(AND($B65&gt;=InputTriangles!$D$8,$CT65&gt;=BE$41),1,0)</f>
        <v>0</v>
      </c>
      <c r="BF65" s="36">
        <f>IF(AND($B65&gt;=InputTriangles!$D$8,$CT65&gt;=BF$41),1,0)</f>
        <v>0</v>
      </c>
      <c r="BG65" s="36">
        <f>IF(AND($B65&gt;=InputTriangles!$D$8,$CT65&gt;=BG$41),1,0)</f>
        <v>0</v>
      </c>
      <c r="BH65" s="36">
        <f>IF(AND($B65&gt;=InputTriangles!$D$8,$CT65&gt;=BH$41),1,0)</f>
        <v>0</v>
      </c>
      <c r="BI65" s="36">
        <f>IF(AND($B65&gt;=InputTriangles!$D$8,$CT65&gt;=BI$41),1,0)</f>
        <v>0</v>
      </c>
      <c r="BJ65" s="36">
        <f>IF(AND($B65&gt;=InputTriangles!$D$8,$CT65&gt;=BJ$41),1,0)</f>
        <v>0</v>
      </c>
      <c r="BK65" s="36">
        <f>IF(AND($B65&gt;=InputTriangles!$D$8,$CT65&gt;=BK$41),1,0)</f>
        <v>0</v>
      </c>
      <c r="BL65" s="36">
        <f>IF(AND($B65&gt;=InputTriangles!$D$8,$CT65&gt;=BL$41),1,0)</f>
        <v>0</v>
      </c>
      <c r="BM65" s="36">
        <f>IF(AND($B65&gt;=InputTriangles!$D$8,$CT65&gt;=BM$41),1,0)</f>
        <v>0</v>
      </c>
      <c r="BN65" s="36">
        <f>IF(AND($B65&gt;=InputTriangles!$D$8,$CT65&gt;=BN$41),1,0)</f>
        <v>0</v>
      </c>
      <c r="BO65" s="36">
        <f>IF(AND($B65&gt;=InputTriangles!$D$8,$CT65&gt;=BO$41),1,0)</f>
        <v>0</v>
      </c>
      <c r="BP65" s="36">
        <f>IF(AND($B65&gt;=InputTriangles!$D$8,$CT65&gt;=BP$41),1,0)</f>
        <v>0</v>
      </c>
      <c r="BQ65" s="36">
        <f>IF(AND($B65&gt;=InputTriangles!$D$8,$CT65&gt;=BQ$41),1,0)</f>
        <v>0</v>
      </c>
      <c r="BR65" s="36">
        <f>IF(AND($B65&gt;=InputTriangles!$D$8,$CT65&gt;=BR$41),1,0)</f>
        <v>0</v>
      </c>
      <c r="BS65" s="36">
        <f>IF(AND($B65&gt;=InputTriangles!$D$8,$CT65&gt;=BS$41),1,0)</f>
        <v>0</v>
      </c>
      <c r="BT65" s="36">
        <f>IF(AND($B65&gt;=InputTriangles!$D$8,$CT65&gt;=BT$41),1,0)</f>
        <v>0</v>
      </c>
      <c r="BU65" s="36">
        <f>IF(AND($B65&gt;=InputTriangles!$D$8,$CT65&gt;=BU$41),1,0)</f>
        <v>0</v>
      </c>
      <c r="BV65" s="36">
        <f>IF(AND($B65&gt;=InputTriangles!$D$8,$CT65&gt;=BV$41),1,0)</f>
        <v>0</v>
      </c>
      <c r="BW65" s="36">
        <f>IF(AND($B65&gt;=InputTriangles!$D$8,$CT65&gt;=BW$41),1,0)</f>
        <v>0</v>
      </c>
      <c r="BX65" s="36">
        <f>IF(AND($B65&gt;=InputTriangles!$D$8,$CT65&gt;=BX$41),1,0)</f>
        <v>0</v>
      </c>
      <c r="BY65" s="36">
        <f>IF(AND($B65&gt;=InputTriangles!$D$8,$CT65&gt;=BY$41),1,0)</f>
        <v>0</v>
      </c>
      <c r="BZ65" s="36">
        <f>IF(AND($B65&gt;=InputTriangles!$D$8,$CT65&gt;=BZ$41),1,0)</f>
        <v>0</v>
      </c>
      <c r="CA65" s="36">
        <f>IF(AND($B65&gt;=InputTriangles!$D$8,$CT65&gt;=CA$41),1,0)</f>
        <v>0</v>
      </c>
      <c r="CB65" s="36">
        <f>IF(AND($B65&gt;=InputTriangles!$D$8,$CT65&gt;=CB$41),1,0)</f>
        <v>0</v>
      </c>
      <c r="CC65" s="36">
        <f>IF(AND($B65&gt;=InputTriangles!$D$8,$CT65&gt;=CC$41),1,0)</f>
        <v>0</v>
      </c>
      <c r="CD65" s="36">
        <f>IF(AND($B65&gt;=InputTriangles!$D$8,$CT65&gt;=CD$41),1,0)</f>
        <v>0</v>
      </c>
      <c r="CE65" s="36">
        <f>IF(AND($B65&gt;=InputTriangles!$D$8,$CT65&gt;=CE$41),1,0)</f>
        <v>0</v>
      </c>
      <c r="CF65" s="36">
        <f>IF(AND($B65&gt;=InputTriangles!$D$8,$CT65&gt;=CF$41),1,0)</f>
        <v>0</v>
      </c>
      <c r="CG65" s="36">
        <f>IF(AND($B65&gt;=InputTriangles!$D$8,$CT65&gt;=CG$41),1,0)</f>
        <v>0</v>
      </c>
      <c r="CH65" s="36">
        <f>IF(AND($B65&gt;=InputTriangles!$D$8,$CT65&gt;=CH$41),1,0)</f>
        <v>0</v>
      </c>
      <c r="CI65" s="36">
        <f>IF(AND($B65&gt;=InputTriangles!$D$8,$CT65&gt;=CI$41),1,0)</f>
        <v>0</v>
      </c>
      <c r="CJ65" s="36">
        <f>IF(AND($B65&gt;=InputTriangles!$D$8,$CT65&gt;=CJ$41),1,0)</f>
        <v>0</v>
      </c>
      <c r="CK65" s="36">
        <f>IF(AND($B65&gt;=InputTriangles!$D$8,$CT65&gt;=CK$41),1,0)</f>
        <v>0</v>
      </c>
      <c r="CL65" s="36">
        <f>IF(AND($B65&gt;=InputTriangles!$D$8,$CT65&gt;=CL$41),1,0)</f>
        <v>0</v>
      </c>
      <c r="CM65" s="36">
        <f>IF(AND($B65&gt;=InputTriangles!$D$8,$CT65&gt;=CM$41),1,0)</f>
        <v>0</v>
      </c>
      <c r="CN65" s="36">
        <f>IF(AND($B65&gt;=InputTriangles!$D$8,$CT65&gt;=CN$41),1,0)</f>
        <v>0</v>
      </c>
      <c r="CO65" s="36">
        <f>IF(AND($B65&gt;=InputTriangles!$D$8,$CT65&gt;=CO$41),1,0)</f>
        <v>0</v>
      </c>
      <c r="CP65" s="36">
        <f>IF(AND($B65&gt;=InputTriangles!$D$8,$CT65&gt;=CP$41),1,0)</f>
        <v>0</v>
      </c>
      <c r="CQ65" s="36">
        <f>IF(AND($B65&gt;=InputTriangles!$D$8,$CT65&gt;=CQ$41),1,0)</f>
        <v>0</v>
      </c>
      <c r="CR65" s="36">
        <f>IF(AND($B65&gt;=InputTriangles!$D$8,$CT65&gt;=CR$41),1,0)</f>
        <v>0</v>
      </c>
      <c r="CS65" s="37">
        <f>IF(AND($B65&gt;=InputTriangles!$D$8,$CT65&gt;=CS$41),1,0)</f>
        <v>0</v>
      </c>
      <c r="CT65" s="80">
        <f>($D$9-InputTriangles!$B65)*InputTriangles!$E$4+$D$6</f>
        <v>1</v>
      </c>
    </row>
    <row r="66" spans="1:103" hidden="1" x14ac:dyDescent="0.25">
      <c r="A66" s="97">
        <v>0</v>
      </c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</row>
    <row r="67" spans="1:103" ht="18.75" x14ac:dyDescent="0.3">
      <c r="A67" s="182">
        <v>1</v>
      </c>
      <c r="B67" s="184" t="s">
        <v>1</v>
      </c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83"/>
      <c r="BG67" s="183"/>
      <c r="BH67" s="183"/>
      <c r="BI67" s="183"/>
      <c r="BJ67" s="183"/>
      <c r="BK67" s="183"/>
      <c r="BL67" s="183"/>
      <c r="BM67" s="183"/>
      <c r="BN67" s="183"/>
      <c r="BO67" s="183"/>
      <c r="BP67" s="183"/>
      <c r="BQ67" s="183"/>
      <c r="BR67" s="183"/>
      <c r="BS67" s="183"/>
      <c r="BT67" s="183"/>
      <c r="BU67" s="183"/>
      <c r="BV67" s="183"/>
      <c r="BW67" s="183"/>
      <c r="BX67" s="183"/>
      <c r="BY67" s="183"/>
      <c r="BZ67" s="183"/>
      <c r="CA67" s="183"/>
      <c r="CB67" s="183"/>
      <c r="CC67" s="183"/>
      <c r="CD67" s="183"/>
      <c r="CE67" s="183"/>
      <c r="CF67" s="183"/>
      <c r="CG67" s="183"/>
      <c r="CH67" s="183"/>
      <c r="CI67" s="183"/>
      <c r="CJ67" s="183"/>
      <c r="CK67" s="183"/>
      <c r="CL67" s="183"/>
      <c r="CM67" s="183"/>
      <c r="CN67" s="183"/>
      <c r="CO67" s="183"/>
      <c r="CP67" s="183"/>
      <c r="CQ67" s="183"/>
      <c r="CR67" s="183"/>
      <c r="CS67" s="183"/>
      <c r="CT67" s="183"/>
      <c r="CU67" s="183"/>
      <c r="CV67" s="183"/>
      <c r="CW67" s="183"/>
    </row>
    <row r="68" spans="1:103" x14ac:dyDescent="0.25">
      <c r="A68" s="97">
        <v>1</v>
      </c>
      <c r="B68" s="89" t="s">
        <v>2</v>
      </c>
      <c r="C68" s="156"/>
      <c r="D68" s="157" t="str">
        <f t="shared" ref="D68:AI68" si="43">D13&amp;" / "&amp;C13</f>
        <v>2 / 1</v>
      </c>
      <c r="E68" s="157" t="str">
        <f t="shared" si="43"/>
        <v>3 / 2</v>
      </c>
      <c r="F68" s="157" t="str">
        <f t="shared" si="43"/>
        <v>4 / 3</v>
      </c>
      <c r="G68" s="157" t="str">
        <f t="shared" si="43"/>
        <v>5 / 4</v>
      </c>
      <c r="H68" s="157" t="str">
        <f t="shared" si="43"/>
        <v>6 / 5</v>
      </c>
      <c r="I68" s="157" t="str">
        <f t="shared" si="43"/>
        <v>7 / 6</v>
      </c>
      <c r="J68" s="157" t="str">
        <f t="shared" si="43"/>
        <v>8 / 7</v>
      </c>
      <c r="K68" s="157" t="str">
        <f t="shared" si="43"/>
        <v>9 / 8</v>
      </c>
      <c r="L68" s="157" t="str">
        <f t="shared" si="43"/>
        <v>10 / 9</v>
      </c>
      <c r="M68" s="157" t="str">
        <f t="shared" si="43"/>
        <v>11 / 10</v>
      </c>
      <c r="N68" s="157" t="str">
        <f t="shared" si="43"/>
        <v>12 / 11</v>
      </c>
      <c r="O68" s="157" t="str">
        <f t="shared" si="43"/>
        <v>13 / 12</v>
      </c>
      <c r="P68" s="157" t="str">
        <f t="shared" si="43"/>
        <v>14 / 13</v>
      </c>
      <c r="Q68" s="157" t="str">
        <f t="shared" si="43"/>
        <v>15 / 14</v>
      </c>
      <c r="R68" s="157" t="str">
        <f t="shared" si="43"/>
        <v>16 / 15</v>
      </c>
      <c r="S68" s="157" t="str">
        <f t="shared" si="43"/>
        <v>17 / 16</v>
      </c>
      <c r="T68" s="157" t="str">
        <f t="shared" si="43"/>
        <v>18 / 17</v>
      </c>
      <c r="U68" s="157" t="str">
        <f t="shared" si="43"/>
        <v>19 / 18</v>
      </c>
      <c r="V68" s="157" t="str">
        <f t="shared" si="43"/>
        <v>20 / 19</v>
      </c>
      <c r="W68" s="157" t="str">
        <f t="shared" si="43"/>
        <v>21 / 20</v>
      </c>
      <c r="X68" s="157" t="str">
        <f t="shared" si="43"/>
        <v>22 / 21</v>
      </c>
      <c r="Y68" s="157" t="str">
        <f t="shared" si="43"/>
        <v>23 / 22</v>
      </c>
      <c r="Z68" s="157" t="str">
        <f t="shared" si="43"/>
        <v>24 / 23</v>
      </c>
      <c r="AA68" s="157" t="str">
        <f t="shared" si="43"/>
        <v>25 / 24</v>
      </c>
      <c r="AB68" s="157" t="str">
        <f t="shared" si="43"/>
        <v>26 / 25</v>
      </c>
      <c r="AC68" s="157" t="str">
        <f t="shared" si="43"/>
        <v>27 / 26</v>
      </c>
      <c r="AD68" s="157" t="str">
        <f t="shared" si="43"/>
        <v>28 / 27</v>
      </c>
      <c r="AE68" s="157" t="str">
        <f t="shared" si="43"/>
        <v>29 / 28</v>
      </c>
      <c r="AF68" s="157" t="str">
        <f t="shared" si="43"/>
        <v>30 / 29</v>
      </c>
      <c r="AG68" s="157" t="str">
        <f t="shared" si="43"/>
        <v>31 / 30</v>
      </c>
      <c r="AH68" s="157" t="str">
        <f t="shared" si="43"/>
        <v>32 / 31</v>
      </c>
      <c r="AI68" s="157" t="str">
        <f t="shared" si="43"/>
        <v>33 / 32</v>
      </c>
      <c r="AJ68" s="157" t="str">
        <f t="shared" ref="AJ68:BO68" si="44">AJ13&amp;" / "&amp;AI13</f>
        <v>34 / 33</v>
      </c>
      <c r="AK68" s="157" t="str">
        <f t="shared" si="44"/>
        <v>35 / 34</v>
      </c>
      <c r="AL68" s="157" t="str">
        <f t="shared" si="44"/>
        <v>36 / 35</v>
      </c>
      <c r="AM68" s="157" t="str">
        <f t="shared" si="44"/>
        <v>37 / 36</v>
      </c>
      <c r="AN68" s="157" t="str">
        <f t="shared" si="44"/>
        <v>38 / 37</v>
      </c>
      <c r="AO68" s="157" t="str">
        <f t="shared" si="44"/>
        <v>39 / 38</v>
      </c>
      <c r="AP68" s="157" t="str">
        <f t="shared" si="44"/>
        <v>40 / 39</v>
      </c>
      <c r="AQ68" s="157" t="str">
        <f t="shared" si="44"/>
        <v>41 / 40</v>
      </c>
      <c r="AR68" s="157" t="str">
        <f t="shared" si="44"/>
        <v>42 / 41</v>
      </c>
      <c r="AS68" s="157" t="str">
        <f t="shared" si="44"/>
        <v>43 / 42</v>
      </c>
      <c r="AT68" s="157" t="str">
        <f t="shared" si="44"/>
        <v>44 / 43</v>
      </c>
      <c r="AU68" s="157" t="str">
        <f t="shared" si="44"/>
        <v>45 / 44</v>
      </c>
      <c r="AV68" s="157" t="str">
        <f t="shared" si="44"/>
        <v>46 / 45</v>
      </c>
      <c r="AW68" s="157" t="str">
        <f t="shared" si="44"/>
        <v>47 / 46</v>
      </c>
      <c r="AX68" s="157" t="str">
        <f t="shared" si="44"/>
        <v>48 / 47</v>
      </c>
      <c r="AY68" s="157" t="str">
        <f t="shared" si="44"/>
        <v>49 / 48</v>
      </c>
      <c r="AZ68" s="157" t="str">
        <f t="shared" si="44"/>
        <v>50 / 49</v>
      </c>
      <c r="BA68" s="157" t="str">
        <f t="shared" si="44"/>
        <v>51 / 50</v>
      </c>
      <c r="BB68" s="157" t="str">
        <f t="shared" si="44"/>
        <v>52 / 51</v>
      </c>
      <c r="BC68" s="157" t="str">
        <f t="shared" si="44"/>
        <v>53 / 52</v>
      </c>
      <c r="BD68" s="157" t="str">
        <f t="shared" si="44"/>
        <v>54 / 53</v>
      </c>
      <c r="BE68" s="157" t="str">
        <f t="shared" si="44"/>
        <v>55 / 54</v>
      </c>
      <c r="BF68" s="157" t="str">
        <f t="shared" si="44"/>
        <v>56 / 55</v>
      </c>
      <c r="BG68" s="157" t="str">
        <f t="shared" si="44"/>
        <v>57 / 56</v>
      </c>
      <c r="BH68" s="157" t="str">
        <f t="shared" si="44"/>
        <v>58 / 57</v>
      </c>
      <c r="BI68" s="157" t="str">
        <f t="shared" si="44"/>
        <v>59 / 58</v>
      </c>
      <c r="BJ68" s="157" t="str">
        <f t="shared" si="44"/>
        <v>60 / 59</v>
      </c>
      <c r="BK68" s="157" t="str">
        <f t="shared" si="44"/>
        <v>61 / 60</v>
      </c>
      <c r="BL68" s="157" t="str">
        <f t="shared" si="44"/>
        <v>62 / 61</v>
      </c>
      <c r="BM68" s="157" t="str">
        <f t="shared" si="44"/>
        <v>63 / 62</v>
      </c>
      <c r="BN68" s="157" t="str">
        <f t="shared" si="44"/>
        <v>64 / 63</v>
      </c>
      <c r="BO68" s="157" t="str">
        <f t="shared" si="44"/>
        <v>65 / 64</v>
      </c>
      <c r="BP68" s="157" t="str">
        <f t="shared" ref="BP68:CS68" si="45">BP13&amp;" / "&amp;BO13</f>
        <v>66 / 65</v>
      </c>
      <c r="BQ68" s="157" t="str">
        <f t="shared" si="45"/>
        <v>67 / 66</v>
      </c>
      <c r="BR68" s="157" t="str">
        <f t="shared" si="45"/>
        <v>68 / 67</v>
      </c>
      <c r="BS68" s="157" t="str">
        <f t="shared" si="45"/>
        <v>69 / 68</v>
      </c>
      <c r="BT68" s="157" t="str">
        <f t="shared" si="45"/>
        <v>70 / 69</v>
      </c>
      <c r="BU68" s="157" t="str">
        <f t="shared" si="45"/>
        <v>71 / 70</v>
      </c>
      <c r="BV68" s="157" t="str">
        <f t="shared" si="45"/>
        <v>72 / 71</v>
      </c>
      <c r="BW68" s="157" t="str">
        <f t="shared" si="45"/>
        <v>73 / 72</v>
      </c>
      <c r="BX68" s="157" t="str">
        <f t="shared" si="45"/>
        <v>74 / 73</v>
      </c>
      <c r="BY68" s="157" t="str">
        <f t="shared" si="45"/>
        <v>75 / 74</v>
      </c>
      <c r="BZ68" s="157" t="str">
        <f t="shared" si="45"/>
        <v>76 / 75</v>
      </c>
      <c r="CA68" s="157" t="str">
        <f t="shared" si="45"/>
        <v>77 / 76</v>
      </c>
      <c r="CB68" s="157" t="str">
        <f t="shared" si="45"/>
        <v>78 / 77</v>
      </c>
      <c r="CC68" s="157" t="str">
        <f t="shared" si="45"/>
        <v>79 / 78</v>
      </c>
      <c r="CD68" s="157" t="str">
        <f t="shared" si="45"/>
        <v>80 / 79</v>
      </c>
      <c r="CE68" s="157" t="str">
        <f t="shared" si="45"/>
        <v>81 / 80</v>
      </c>
      <c r="CF68" s="157" t="str">
        <f t="shared" si="45"/>
        <v>82 / 81</v>
      </c>
      <c r="CG68" s="157" t="str">
        <f t="shared" si="45"/>
        <v>83 / 82</v>
      </c>
      <c r="CH68" s="157" t="str">
        <f t="shared" si="45"/>
        <v>84 / 83</v>
      </c>
      <c r="CI68" s="157" t="str">
        <f t="shared" si="45"/>
        <v>85 / 84</v>
      </c>
      <c r="CJ68" s="157" t="str">
        <f t="shared" si="45"/>
        <v>86 / 85</v>
      </c>
      <c r="CK68" s="157" t="str">
        <f t="shared" si="45"/>
        <v>87 / 86</v>
      </c>
      <c r="CL68" s="157" t="str">
        <f t="shared" si="45"/>
        <v>88 / 87</v>
      </c>
      <c r="CM68" s="157" t="str">
        <f t="shared" si="45"/>
        <v>89 / 88</v>
      </c>
      <c r="CN68" s="157" t="str">
        <f t="shared" si="45"/>
        <v>90 / 89</v>
      </c>
      <c r="CO68" s="157" t="str">
        <f t="shared" si="45"/>
        <v>91 / 90</v>
      </c>
      <c r="CP68" s="157" t="str">
        <f t="shared" si="45"/>
        <v>92 / 91</v>
      </c>
      <c r="CQ68" s="157" t="str">
        <f t="shared" si="45"/>
        <v>93 / 92</v>
      </c>
      <c r="CR68" s="157" t="str">
        <f t="shared" si="45"/>
        <v>94 / 93</v>
      </c>
      <c r="CS68" s="157" t="str">
        <f t="shared" si="45"/>
        <v>95 / 94</v>
      </c>
      <c r="CT68" s="224" t="s">
        <v>54</v>
      </c>
      <c r="CU68" s="82"/>
      <c r="CV68" s="82"/>
      <c r="CW68" s="12"/>
    </row>
    <row r="69" spans="1:103" hidden="1" x14ac:dyDescent="0.25">
      <c r="A69" s="97">
        <f>A14</f>
        <v>0</v>
      </c>
      <c r="B69" s="31">
        <f>B14</f>
        <v>1996</v>
      </c>
      <c r="C69" s="158"/>
      <c r="D69" s="159" t="str">
        <f t="shared" ref="D69:BO69" si="46">IFERROR(IF(D42=1,D14/C14,""),"")</f>
        <v/>
      </c>
      <c r="E69" s="159" t="str">
        <f t="shared" si="46"/>
        <v/>
      </c>
      <c r="F69" s="159" t="str">
        <f t="shared" si="46"/>
        <v/>
      </c>
      <c r="G69" s="159" t="str">
        <f t="shared" si="46"/>
        <v/>
      </c>
      <c r="H69" s="159" t="str">
        <f t="shared" si="46"/>
        <v/>
      </c>
      <c r="I69" s="159" t="str">
        <f t="shared" si="46"/>
        <v/>
      </c>
      <c r="J69" s="159" t="str">
        <f t="shared" si="46"/>
        <v/>
      </c>
      <c r="K69" s="159" t="str">
        <f t="shared" si="46"/>
        <v/>
      </c>
      <c r="L69" s="159" t="str">
        <f t="shared" si="46"/>
        <v/>
      </c>
      <c r="M69" s="159" t="str">
        <f t="shared" si="46"/>
        <v/>
      </c>
      <c r="N69" s="159" t="str">
        <f t="shared" si="46"/>
        <v/>
      </c>
      <c r="O69" s="159" t="str">
        <f t="shared" si="46"/>
        <v/>
      </c>
      <c r="P69" s="159" t="str">
        <f t="shared" si="46"/>
        <v/>
      </c>
      <c r="Q69" s="159" t="str">
        <f t="shared" si="46"/>
        <v/>
      </c>
      <c r="R69" s="159" t="str">
        <f t="shared" si="46"/>
        <v/>
      </c>
      <c r="S69" s="159" t="str">
        <f t="shared" si="46"/>
        <v/>
      </c>
      <c r="T69" s="159" t="str">
        <f t="shared" si="46"/>
        <v/>
      </c>
      <c r="U69" s="159" t="str">
        <f t="shared" si="46"/>
        <v/>
      </c>
      <c r="V69" s="159" t="str">
        <f t="shared" si="46"/>
        <v/>
      </c>
      <c r="W69" s="159" t="str">
        <f t="shared" si="46"/>
        <v/>
      </c>
      <c r="X69" s="159" t="str">
        <f t="shared" si="46"/>
        <v/>
      </c>
      <c r="Y69" s="159" t="str">
        <f t="shared" si="46"/>
        <v/>
      </c>
      <c r="Z69" s="159" t="str">
        <f t="shared" si="46"/>
        <v/>
      </c>
      <c r="AA69" s="159" t="str">
        <f t="shared" si="46"/>
        <v/>
      </c>
      <c r="AB69" s="159" t="str">
        <f t="shared" si="46"/>
        <v/>
      </c>
      <c r="AC69" s="159" t="str">
        <f t="shared" si="46"/>
        <v/>
      </c>
      <c r="AD69" s="159" t="str">
        <f t="shared" si="46"/>
        <v/>
      </c>
      <c r="AE69" s="159" t="str">
        <f t="shared" si="46"/>
        <v/>
      </c>
      <c r="AF69" s="159" t="str">
        <f t="shared" si="46"/>
        <v/>
      </c>
      <c r="AG69" s="159" t="str">
        <f t="shared" si="46"/>
        <v/>
      </c>
      <c r="AH69" s="159" t="str">
        <f t="shared" si="46"/>
        <v/>
      </c>
      <c r="AI69" s="159" t="str">
        <f t="shared" si="46"/>
        <v/>
      </c>
      <c r="AJ69" s="159" t="str">
        <f t="shared" si="46"/>
        <v/>
      </c>
      <c r="AK69" s="159" t="str">
        <f t="shared" si="46"/>
        <v/>
      </c>
      <c r="AL69" s="159" t="str">
        <f t="shared" si="46"/>
        <v/>
      </c>
      <c r="AM69" s="159" t="str">
        <f t="shared" si="46"/>
        <v/>
      </c>
      <c r="AN69" s="159" t="str">
        <f t="shared" si="46"/>
        <v/>
      </c>
      <c r="AO69" s="159" t="str">
        <f t="shared" si="46"/>
        <v/>
      </c>
      <c r="AP69" s="159" t="str">
        <f t="shared" si="46"/>
        <v/>
      </c>
      <c r="AQ69" s="159" t="str">
        <f t="shared" si="46"/>
        <v/>
      </c>
      <c r="AR69" s="159" t="str">
        <f t="shared" si="46"/>
        <v/>
      </c>
      <c r="AS69" s="159" t="str">
        <f t="shared" si="46"/>
        <v/>
      </c>
      <c r="AT69" s="159" t="str">
        <f t="shared" si="46"/>
        <v/>
      </c>
      <c r="AU69" s="159" t="str">
        <f t="shared" si="46"/>
        <v/>
      </c>
      <c r="AV69" s="159" t="str">
        <f t="shared" si="46"/>
        <v/>
      </c>
      <c r="AW69" s="159" t="str">
        <f t="shared" si="46"/>
        <v/>
      </c>
      <c r="AX69" s="159" t="str">
        <f t="shared" si="46"/>
        <v/>
      </c>
      <c r="AY69" s="159" t="str">
        <f t="shared" si="46"/>
        <v/>
      </c>
      <c r="AZ69" s="159" t="str">
        <f t="shared" si="46"/>
        <v/>
      </c>
      <c r="BA69" s="159" t="str">
        <f t="shared" si="46"/>
        <v/>
      </c>
      <c r="BB69" s="159" t="str">
        <f t="shared" si="46"/>
        <v/>
      </c>
      <c r="BC69" s="159" t="str">
        <f t="shared" si="46"/>
        <v/>
      </c>
      <c r="BD69" s="159" t="str">
        <f t="shared" si="46"/>
        <v/>
      </c>
      <c r="BE69" s="159" t="str">
        <f t="shared" si="46"/>
        <v/>
      </c>
      <c r="BF69" s="159" t="str">
        <f t="shared" si="46"/>
        <v/>
      </c>
      <c r="BG69" s="159" t="str">
        <f t="shared" si="46"/>
        <v/>
      </c>
      <c r="BH69" s="159" t="str">
        <f t="shared" si="46"/>
        <v/>
      </c>
      <c r="BI69" s="159" t="str">
        <f t="shared" si="46"/>
        <v/>
      </c>
      <c r="BJ69" s="159" t="str">
        <f t="shared" si="46"/>
        <v/>
      </c>
      <c r="BK69" s="159" t="str">
        <f t="shared" si="46"/>
        <v/>
      </c>
      <c r="BL69" s="159" t="str">
        <f t="shared" si="46"/>
        <v/>
      </c>
      <c r="BM69" s="159" t="str">
        <f t="shared" si="46"/>
        <v/>
      </c>
      <c r="BN69" s="159" t="str">
        <f t="shared" si="46"/>
        <v/>
      </c>
      <c r="BO69" s="159" t="str">
        <f t="shared" si="46"/>
        <v/>
      </c>
      <c r="BP69" s="159" t="str">
        <f t="shared" ref="BP69:CS69" si="47">IFERROR(IF(BP42=1,BP14/BO14,""),"")</f>
        <v/>
      </c>
      <c r="BQ69" s="159" t="str">
        <f t="shared" si="47"/>
        <v/>
      </c>
      <c r="BR69" s="159" t="str">
        <f t="shared" si="47"/>
        <v/>
      </c>
      <c r="BS69" s="159" t="str">
        <f t="shared" si="47"/>
        <v/>
      </c>
      <c r="BT69" s="159" t="str">
        <f t="shared" si="47"/>
        <v/>
      </c>
      <c r="BU69" s="159" t="str">
        <f t="shared" si="47"/>
        <v/>
      </c>
      <c r="BV69" s="159" t="str">
        <f t="shared" si="47"/>
        <v/>
      </c>
      <c r="BW69" s="159" t="str">
        <f t="shared" si="47"/>
        <v/>
      </c>
      <c r="BX69" s="159" t="str">
        <f t="shared" si="47"/>
        <v/>
      </c>
      <c r="BY69" s="159" t="str">
        <f t="shared" si="47"/>
        <v/>
      </c>
      <c r="BZ69" s="159" t="str">
        <f t="shared" si="47"/>
        <v/>
      </c>
      <c r="CA69" s="159" t="str">
        <f t="shared" si="47"/>
        <v/>
      </c>
      <c r="CB69" s="159" t="str">
        <f t="shared" si="47"/>
        <v/>
      </c>
      <c r="CC69" s="159" t="str">
        <f t="shared" si="47"/>
        <v/>
      </c>
      <c r="CD69" s="159" t="str">
        <f t="shared" si="47"/>
        <v/>
      </c>
      <c r="CE69" s="159" t="str">
        <f t="shared" si="47"/>
        <v/>
      </c>
      <c r="CF69" s="159" t="str">
        <f t="shared" si="47"/>
        <v/>
      </c>
      <c r="CG69" s="159" t="str">
        <f t="shared" si="47"/>
        <v/>
      </c>
      <c r="CH69" s="159" t="str">
        <f t="shared" si="47"/>
        <v/>
      </c>
      <c r="CI69" s="159" t="str">
        <f t="shared" si="47"/>
        <v/>
      </c>
      <c r="CJ69" s="159" t="str">
        <f t="shared" si="47"/>
        <v/>
      </c>
      <c r="CK69" s="159" t="str">
        <f t="shared" si="47"/>
        <v/>
      </c>
      <c r="CL69" s="159" t="str">
        <f t="shared" si="47"/>
        <v/>
      </c>
      <c r="CM69" s="159" t="str">
        <f t="shared" si="47"/>
        <v/>
      </c>
      <c r="CN69" s="159" t="str">
        <f t="shared" si="47"/>
        <v/>
      </c>
      <c r="CO69" s="159" t="str">
        <f t="shared" si="47"/>
        <v/>
      </c>
      <c r="CP69" s="159" t="str">
        <f t="shared" si="47"/>
        <v/>
      </c>
      <c r="CQ69" s="159" t="str">
        <f t="shared" si="47"/>
        <v/>
      </c>
      <c r="CR69" s="159" t="str">
        <f t="shared" si="47"/>
        <v/>
      </c>
      <c r="CS69" s="159" t="str">
        <f t="shared" si="47"/>
        <v/>
      </c>
      <c r="CT69" s="225" t="s">
        <v>54</v>
      </c>
      <c r="CU69" s="83"/>
      <c r="CV69" s="83"/>
      <c r="CW69" s="12"/>
    </row>
    <row r="70" spans="1:103" hidden="1" x14ac:dyDescent="0.25">
      <c r="A70" s="97">
        <f t="shared" ref="A70:A92" si="48">A15</f>
        <v>0</v>
      </c>
      <c r="B70" s="31">
        <f t="shared" ref="B70:B92" si="49">B15</f>
        <v>1997</v>
      </c>
      <c r="C70" s="158"/>
      <c r="D70" s="159" t="str">
        <f t="shared" ref="D70:BO70" si="50">IFERROR(IF(D43=1,D15/C15,""),"")</f>
        <v/>
      </c>
      <c r="E70" s="159" t="str">
        <f t="shared" si="50"/>
        <v/>
      </c>
      <c r="F70" s="159" t="str">
        <f t="shared" si="50"/>
        <v/>
      </c>
      <c r="G70" s="159" t="str">
        <f t="shared" si="50"/>
        <v/>
      </c>
      <c r="H70" s="159" t="str">
        <f t="shared" si="50"/>
        <v/>
      </c>
      <c r="I70" s="159" t="str">
        <f t="shared" si="50"/>
        <v/>
      </c>
      <c r="J70" s="159" t="str">
        <f t="shared" si="50"/>
        <v/>
      </c>
      <c r="K70" s="159" t="str">
        <f t="shared" si="50"/>
        <v/>
      </c>
      <c r="L70" s="159" t="str">
        <f t="shared" si="50"/>
        <v/>
      </c>
      <c r="M70" s="159" t="str">
        <f t="shared" si="50"/>
        <v/>
      </c>
      <c r="N70" s="159" t="str">
        <f t="shared" si="50"/>
        <v/>
      </c>
      <c r="O70" s="159" t="str">
        <f t="shared" si="50"/>
        <v/>
      </c>
      <c r="P70" s="159" t="str">
        <f t="shared" si="50"/>
        <v/>
      </c>
      <c r="Q70" s="159" t="str">
        <f t="shared" si="50"/>
        <v/>
      </c>
      <c r="R70" s="159" t="str">
        <f t="shared" si="50"/>
        <v/>
      </c>
      <c r="S70" s="159" t="str">
        <f t="shared" si="50"/>
        <v/>
      </c>
      <c r="T70" s="159" t="str">
        <f t="shared" si="50"/>
        <v/>
      </c>
      <c r="U70" s="159" t="str">
        <f t="shared" si="50"/>
        <v/>
      </c>
      <c r="V70" s="159" t="str">
        <f t="shared" si="50"/>
        <v/>
      </c>
      <c r="W70" s="159" t="str">
        <f t="shared" si="50"/>
        <v/>
      </c>
      <c r="X70" s="159" t="str">
        <f t="shared" si="50"/>
        <v/>
      </c>
      <c r="Y70" s="159" t="str">
        <f t="shared" si="50"/>
        <v/>
      </c>
      <c r="Z70" s="159" t="str">
        <f t="shared" si="50"/>
        <v/>
      </c>
      <c r="AA70" s="159" t="str">
        <f t="shared" si="50"/>
        <v/>
      </c>
      <c r="AB70" s="159" t="str">
        <f t="shared" si="50"/>
        <v/>
      </c>
      <c r="AC70" s="159" t="str">
        <f t="shared" si="50"/>
        <v/>
      </c>
      <c r="AD70" s="159" t="str">
        <f t="shared" si="50"/>
        <v/>
      </c>
      <c r="AE70" s="159" t="str">
        <f t="shared" si="50"/>
        <v/>
      </c>
      <c r="AF70" s="159" t="str">
        <f t="shared" si="50"/>
        <v/>
      </c>
      <c r="AG70" s="159" t="str">
        <f t="shared" si="50"/>
        <v/>
      </c>
      <c r="AH70" s="159" t="str">
        <f t="shared" si="50"/>
        <v/>
      </c>
      <c r="AI70" s="159" t="str">
        <f t="shared" si="50"/>
        <v/>
      </c>
      <c r="AJ70" s="159" t="str">
        <f t="shared" si="50"/>
        <v/>
      </c>
      <c r="AK70" s="159" t="str">
        <f t="shared" si="50"/>
        <v/>
      </c>
      <c r="AL70" s="159" t="str">
        <f t="shared" si="50"/>
        <v/>
      </c>
      <c r="AM70" s="159" t="str">
        <f t="shared" si="50"/>
        <v/>
      </c>
      <c r="AN70" s="159" t="str">
        <f t="shared" si="50"/>
        <v/>
      </c>
      <c r="AO70" s="159" t="str">
        <f t="shared" si="50"/>
        <v/>
      </c>
      <c r="AP70" s="159" t="str">
        <f t="shared" si="50"/>
        <v/>
      </c>
      <c r="AQ70" s="159" t="str">
        <f t="shared" si="50"/>
        <v/>
      </c>
      <c r="AR70" s="159" t="str">
        <f t="shared" si="50"/>
        <v/>
      </c>
      <c r="AS70" s="159" t="str">
        <f t="shared" si="50"/>
        <v/>
      </c>
      <c r="AT70" s="159" t="str">
        <f t="shared" si="50"/>
        <v/>
      </c>
      <c r="AU70" s="159" t="str">
        <f t="shared" si="50"/>
        <v/>
      </c>
      <c r="AV70" s="159" t="str">
        <f t="shared" si="50"/>
        <v/>
      </c>
      <c r="AW70" s="159" t="str">
        <f t="shared" si="50"/>
        <v/>
      </c>
      <c r="AX70" s="159" t="str">
        <f t="shared" si="50"/>
        <v/>
      </c>
      <c r="AY70" s="159" t="str">
        <f t="shared" si="50"/>
        <v/>
      </c>
      <c r="AZ70" s="159" t="str">
        <f t="shared" si="50"/>
        <v/>
      </c>
      <c r="BA70" s="159" t="str">
        <f t="shared" si="50"/>
        <v/>
      </c>
      <c r="BB70" s="159" t="str">
        <f t="shared" si="50"/>
        <v/>
      </c>
      <c r="BC70" s="159" t="str">
        <f t="shared" si="50"/>
        <v/>
      </c>
      <c r="BD70" s="159" t="str">
        <f t="shared" si="50"/>
        <v/>
      </c>
      <c r="BE70" s="159" t="str">
        <f t="shared" si="50"/>
        <v/>
      </c>
      <c r="BF70" s="159" t="str">
        <f t="shared" si="50"/>
        <v/>
      </c>
      <c r="BG70" s="159" t="str">
        <f t="shared" si="50"/>
        <v/>
      </c>
      <c r="BH70" s="159" t="str">
        <f t="shared" si="50"/>
        <v/>
      </c>
      <c r="BI70" s="159" t="str">
        <f t="shared" si="50"/>
        <v/>
      </c>
      <c r="BJ70" s="159" t="str">
        <f t="shared" si="50"/>
        <v/>
      </c>
      <c r="BK70" s="159" t="str">
        <f t="shared" si="50"/>
        <v/>
      </c>
      <c r="BL70" s="159" t="str">
        <f t="shared" si="50"/>
        <v/>
      </c>
      <c r="BM70" s="159" t="str">
        <f t="shared" si="50"/>
        <v/>
      </c>
      <c r="BN70" s="159" t="str">
        <f t="shared" si="50"/>
        <v/>
      </c>
      <c r="BO70" s="159" t="str">
        <f t="shared" si="50"/>
        <v/>
      </c>
      <c r="BP70" s="159" t="str">
        <f t="shared" ref="BP70:CS70" si="51">IFERROR(IF(BP43=1,BP15/BO15,""),"")</f>
        <v/>
      </c>
      <c r="BQ70" s="159" t="str">
        <f t="shared" si="51"/>
        <v/>
      </c>
      <c r="BR70" s="159" t="str">
        <f t="shared" si="51"/>
        <v/>
      </c>
      <c r="BS70" s="159" t="str">
        <f t="shared" si="51"/>
        <v/>
      </c>
      <c r="BT70" s="159" t="str">
        <f t="shared" si="51"/>
        <v/>
      </c>
      <c r="BU70" s="159" t="str">
        <f t="shared" si="51"/>
        <v/>
      </c>
      <c r="BV70" s="159" t="str">
        <f t="shared" si="51"/>
        <v/>
      </c>
      <c r="BW70" s="159" t="str">
        <f t="shared" si="51"/>
        <v/>
      </c>
      <c r="BX70" s="159" t="str">
        <f t="shared" si="51"/>
        <v/>
      </c>
      <c r="BY70" s="159" t="str">
        <f t="shared" si="51"/>
        <v/>
      </c>
      <c r="BZ70" s="159" t="str">
        <f t="shared" si="51"/>
        <v/>
      </c>
      <c r="CA70" s="159" t="str">
        <f t="shared" si="51"/>
        <v/>
      </c>
      <c r="CB70" s="159" t="str">
        <f t="shared" si="51"/>
        <v/>
      </c>
      <c r="CC70" s="159" t="str">
        <f t="shared" si="51"/>
        <v/>
      </c>
      <c r="CD70" s="159" t="str">
        <f t="shared" si="51"/>
        <v/>
      </c>
      <c r="CE70" s="159" t="str">
        <f t="shared" si="51"/>
        <v/>
      </c>
      <c r="CF70" s="159" t="str">
        <f t="shared" si="51"/>
        <v/>
      </c>
      <c r="CG70" s="159" t="str">
        <f t="shared" si="51"/>
        <v/>
      </c>
      <c r="CH70" s="159" t="str">
        <f t="shared" si="51"/>
        <v/>
      </c>
      <c r="CI70" s="159" t="str">
        <f t="shared" si="51"/>
        <v/>
      </c>
      <c r="CJ70" s="159" t="str">
        <f t="shared" si="51"/>
        <v/>
      </c>
      <c r="CK70" s="159" t="str">
        <f t="shared" si="51"/>
        <v/>
      </c>
      <c r="CL70" s="159" t="str">
        <f t="shared" si="51"/>
        <v/>
      </c>
      <c r="CM70" s="159" t="str">
        <f t="shared" si="51"/>
        <v/>
      </c>
      <c r="CN70" s="159" t="str">
        <f t="shared" si="51"/>
        <v/>
      </c>
      <c r="CO70" s="159" t="str">
        <f t="shared" si="51"/>
        <v/>
      </c>
      <c r="CP70" s="159" t="str">
        <f t="shared" si="51"/>
        <v/>
      </c>
      <c r="CQ70" s="159" t="str">
        <f t="shared" si="51"/>
        <v/>
      </c>
      <c r="CR70" s="159" t="str">
        <f t="shared" si="51"/>
        <v/>
      </c>
      <c r="CS70" s="159" t="str">
        <f t="shared" si="51"/>
        <v/>
      </c>
      <c r="CT70" s="225" t="s">
        <v>54</v>
      </c>
      <c r="CU70" s="83"/>
      <c r="CV70" s="83"/>
      <c r="CW70" s="12"/>
    </row>
    <row r="71" spans="1:103" hidden="1" x14ac:dyDescent="0.25">
      <c r="A71" s="97">
        <f t="shared" si="48"/>
        <v>0</v>
      </c>
      <c r="B71" s="31">
        <f t="shared" si="49"/>
        <v>1998</v>
      </c>
      <c r="C71" s="158"/>
      <c r="D71" s="159" t="str">
        <f t="shared" ref="D71:BO71" si="52">IFERROR(IF(D44=1,D16/C16,""),"")</f>
        <v/>
      </c>
      <c r="E71" s="159" t="str">
        <f t="shared" si="52"/>
        <v/>
      </c>
      <c r="F71" s="159" t="str">
        <f t="shared" si="52"/>
        <v/>
      </c>
      <c r="G71" s="159" t="str">
        <f t="shared" si="52"/>
        <v/>
      </c>
      <c r="H71" s="159" t="str">
        <f t="shared" si="52"/>
        <v/>
      </c>
      <c r="I71" s="159" t="str">
        <f t="shared" si="52"/>
        <v/>
      </c>
      <c r="J71" s="159" t="str">
        <f t="shared" si="52"/>
        <v/>
      </c>
      <c r="K71" s="159" t="str">
        <f t="shared" si="52"/>
        <v/>
      </c>
      <c r="L71" s="159" t="str">
        <f t="shared" si="52"/>
        <v/>
      </c>
      <c r="M71" s="159" t="str">
        <f t="shared" si="52"/>
        <v/>
      </c>
      <c r="N71" s="159" t="str">
        <f t="shared" si="52"/>
        <v/>
      </c>
      <c r="O71" s="159" t="str">
        <f t="shared" si="52"/>
        <v/>
      </c>
      <c r="P71" s="159" t="str">
        <f t="shared" si="52"/>
        <v/>
      </c>
      <c r="Q71" s="159" t="str">
        <f t="shared" si="52"/>
        <v/>
      </c>
      <c r="R71" s="159" t="str">
        <f t="shared" si="52"/>
        <v/>
      </c>
      <c r="S71" s="159" t="str">
        <f t="shared" si="52"/>
        <v/>
      </c>
      <c r="T71" s="159" t="str">
        <f t="shared" si="52"/>
        <v/>
      </c>
      <c r="U71" s="159" t="str">
        <f t="shared" si="52"/>
        <v/>
      </c>
      <c r="V71" s="159" t="str">
        <f t="shared" si="52"/>
        <v/>
      </c>
      <c r="W71" s="159" t="str">
        <f t="shared" si="52"/>
        <v/>
      </c>
      <c r="X71" s="159" t="str">
        <f t="shared" si="52"/>
        <v/>
      </c>
      <c r="Y71" s="159" t="str">
        <f t="shared" si="52"/>
        <v/>
      </c>
      <c r="Z71" s="159" t="str">
        <f t="shared" si="52"/>
        <v/>
      </c>
      <c r="AA71" s="159" t="str">
        <f t="shared" si="52"/>
        <v/>
      </c>
      <c r="AB71" s="159" t="str">
        <f t="shared" si="52"/>
        <v/>
      </c>
      <c r="AC71" s="159" t="str">
        <f t="shared" si="52"/>
        <v/>
      </c>
      <c r="AD71" s="159" t="str">
        <f t="shared" si="52"/>
        <v/>
      </c>
      <c r="AE71" s="159" t="str">
        <f t="shared" si="52"/>
        <v/>
      </c>
      <c r="AF71" s="159" t="str">
        <f t="shared" si="52"/>
        <v/>
      </c>
      <c r="AG71" s="159" t="str">
        <f t="shared" si="52"/>
        <v/>
      </c>
      <c r="AH71" s="159" t="str">
        <f t="shared" si="52"/>
        <v/>
      </c>
      <c r="AI71" s="159" t="str">
        <f t="shared" si="52"/>
        <v/>
      </c>
      <c r="AJ71" s="159" t="str">
        <f t="shared" si="52"/>
        <v/>
      </c>
      <c r="AK71" s="159" t="str">
        <f t="shared" si="52"/>
        <v/>
      </c>
      <c r="AL71" s="159" t="str">
        <f t="shared" si="52"/>
        <v/>
      </c>
      <c r="AM71" s="159" t="str">
        <f t="shared" si="52"/>
        <v/>
      </c>
      <c r="AN71" s="159" t="str">
        <f t="shared" si="52"/>
        <v/>
      </c>
      <c r="AO71" s="159" t="str">
        <f t="shared" si="52"/>
        <v/>
      </c>
      <c r="AP71" s="159" t="str">
        <f t="shared" si="52"/>
        <v/>
      </c>
      <c r="AQ71" s="159" t="str">
        <f t="shared" si="52"/>
        <v/>
      </c>
      <c r="AR71" s="159" t="str">
        <f t="shared" si="52"/>
        <v/>
      </c>
      <c r="AS71" s="159" t="str">
        <f t="shared" si="52"/>
        <v/>
      </c>
      <c r="AT71" s="159" t="str">
        <f t="shared" si="52"/>
        <v/>
      </c>
      <c r="AU71" s="159" t="str">
        <f t="shared" si="52"/>
        <v/>
      </c>
      <c r="AV71" s="159" t="str">
        <f t="shared" si="52"/>
        <v/>
      </c>
      <c r="AW71" s="159" t="str">
        <f t="shared" si="52"/>
        <v/>
      </c>
      <c r="AX71" s="159" t="str">
        <f t="shared" si="52"/>
        <v/>
      </c>
      <c r="AY71" s="159" t="str">
        <f t="shared" si="52"/>
        <v/>
      </c>
      <c r="AZ71" s="159" t="str">
        <f t="shared" si="52"/>
        <v/>
      </c>
      <c r="BA71" s="159" t="str">
        <f t="shared" si="52"/>
        <v/>
      </c>
      <c r="BB71" s="159" t="str">
        <f t="shared" si="52"/>
        <v/>
      </c>
      <c r="BC71" s="159" t="str">
        <f t="shared" si="52"/>
        <v/>
      </c>
      <c r="BD71" s="159" t="str">
        <f t="shared" si="52"/>
        <v/>
      </c>
      <c r="BE71" s="159" t="str">
        <f t="shared" si="52"/>
        <v/>
      </c>
      <c r="BF71" s="159" t="str">
        <f t="shared" si="52"/>
        <v/>
      </c>
      <c r="BG71" s="159" t="str">
        <f t="shared" si="52"/>
        <v/>
      </c>
      <c r="BH71" s="159" t="str">
        <f t="shared" si="52"/>
        <v/>
      </c>
      <c r="BI71" s="159" t="str">
        <f t="shared" si="52"/>
        <v/>
      </c>
      <c r="BJ71" s="159" t="str">
        <f t="shared" si="52"/>
        <v/>
      </c>
      <c r="BK71" s="159" t="str">
        <f t="shared" si="52"/>
        <v/>
      </c>
      <c r="BL71" s="159" t="str">
        <f t="shared" si="52"/>
        <v/>
      </c>
      <c r="BM71" s="159" t="str">
        <f t="shared" si="52"/>
        <v/>
      </c>
      <c r="BN71" s="159" t="str">
        <f t="shared" si="52"/>
        <v/>
      </c>
      <c r="BO71" s="159" t="str">
        <f t="shared" si="52"/>
        <v/>
      </c>
      <c r="BP71" s="159" t="str">
        <f t="shared" ref="BP71:CS71" si="53">IFERROR(IF(BP44=1,BP16/BO16,""),"")</f>
        <v/>
      </c>
      <c r="BQ71" s="159" t="str">
        <f t="shared" si="53"/>
        <v/>
      </c>
      <c r="BR71" s="159" t="str">
        <f t="shared" si="53"/>
        <v/>
      </c>
      <c r="BS71" s="159" t="str">
        <f t="shared" si="53"/>
        <v/>
      </c>
      <c r="BT71" s="159" t="str">
        <f t="shared" si="53"/>
        <v/>
      </c>
      <c r="BU71" s="159" t="str">
        <f t="shared" si="53"/>
        <v/>
      </c>
      <c r="BV71" s="159" t="str">
        <f t="shared" si="53"/>
        <v/>
      </c>
      <c r="BW71" s="159" t="str">
        <f t="shared" si="53"/>
        <v/>
      </c>
      <c r="BX71" s="159" t="str">
        <f t="shared" si="53"/>
        <v/>
      </c>
      <c r="BY71" s="159" t="str">
        <f t="shared" si="53"/>
        <v/>
      </c>
      <c r="BZ71" s="159" t="str">
        <f t="shared" si="53"/>
        <v/>
      </c>
      <c r="CA71" s="159" t="str">
        <f t="shared" si="53"/>
        <v/>
      </c>
      <c r="CB71" s="159" t="str">
        <f t="shared" si="53"/>
        <v/>
      </c>
      <c r="CC71" s="159" t="str">
        <f t="shared" si="53"/>
        <v/>
      </c>
      <c r="CD71" s="159" t="str">
        <f t="shared" si="53"/>
        <v/>
      </c>
      <c r="CE71" s="159" t="str">
        <f t="shared" si="53"/>
        <v/>
      </c>
      <c r="CF71" s="159" t="str">
        <f t="shared" si="53"/>
        <v/>
      </c>
      <c r="CG71" s="159" t="str">
        <f t="shared" si="53"/>
        <v/>
      </c>
      <c r="CH71" s="159" t="str">
        <f t="shared" si="53"/>
        <v/>
      </c>
      <c r="CI71" s="159" t="str">
        <f t="shared" si="53"/>
        <v/>
      </c>
      <c r="CJ71" s="159" t="str">
        <f t="shared" si="53"/>
        <v/>
      </c>
      <c r="CK71" s="159" t="str">
        <f t="shared" si="53"/>
        <v/>
      </c>
      <c r="CL71" s="159" t="str">
        <f t="shared" si="53"/>
        <v/>
      </c>
      <c r="CM71" s="159" t="str">
        <f t="shared" si="53"/>
        <v/>
      </c>
      <c r="CN71" s="159" t="str">
        <f t="shared" si="53"/>
        <v/>
      </c>
      <c r="CO71" s="159" t="str">
        <f t="shared" si="53"/>
        <v/>
      </c>
      <c r="CP71" s="159" t="str">
        <f t="shared" si="53"/>
        <v/>
      </c>
      <c r="CQ71" s="159" t="str">
        <f t="shared" si="53"/>
        <v/>
      </c>
      <c r="CR71" s="159" t="str">
        <f t="shared" si="53"/>
        <v/>
      </c>
      <c r="CS71" s="159" t="str">
        <f t="shared" si="53"/>
        <v/>
      </c>
      <c r="CT71" s="225" t="s">
        <v>54</v>
      </c>
      <c r="CU71" s="83"/>
      <c r="CV71" s="83"/>
      <c r="CW71" s="12"/>
    </row>
    <row r="72" spans="1:103" hidden="1" x14ac:dyDescent="0.25">
      <c r="A72" s="97">
        <f t="shared" si="48"/>
        <v>0</v>
      </c>
      <c r="B72" s="31">
        <f t="shared" si="49"/>
        <v>1999</v>
      </c>
      <c r="C72" s="158"/>
      <c r="D72" s="159" t="str">
        <f t="shared" ref="D72:BO72" si="54">IFERROR(IF(D45=1,D17/C17,""),"")</f>
        <v/>
      </c>
      <c r="E72" s="159" t="str">
        <f t="shared" si="54"/>
        <v/>
      </c>
      <c r="F72" s="159" t="str">
        <f t="shared" si="54"/>
        <v/>
      </c>
      <c r="G72" s="159" t="str">
        <f t="shared" si="54"/>
        <v/>
      </c>
      <c r="H72" s="159" t="str">
        <f t="shared" si="54"/>
        <v/>
      </c>
      <c r="I72" s="159" t="str">
        <f t="shared" si="54"/>
        <v/>
      </c>
      <c r="J72" s="159" t="str">
        <f t="shared" si="54"/>
        <v/>
      </c>
      <c r="K72" s="159" t="str">
        <f t="shared" si="54"/>
        <v/>
      </c>
      <c r="L72" s="159" t="str">
        <f t="shared" si="54"/>
        <v/>
      </c>
      <c r="M72" s="159" t="str">
        <f t="shared" si="54"/>
        <v/>
      </c>
      <c r="N72" s="159" t="str">
        <f t="shared" si="54"/>
        <v/>
      </c>
      <c r="O72" s="159" t="str">
        <f t="shared" si="54"/>
        <v/>
      </c>
      <c r="P72" s="159" t="str">
        <f t="shared" si="54"/>
        <v/>
      </c>
      <c r="Q72" s="159" t="str">
        <f t="shared" si="54"/>
        <v/>
      </c>
      <c r="R72" s="159" t="str">
        <f t="shared" si="54"/>
        <v/>
      </c>
      <c r="S72" s="159" t="str">
        <f t="shared" si="54"/>
        <v/>
      </c>
      <c r="T72" s="159" t="str">
        <f t="shared" si="54"/>
        <v/>
      </c>
      <c r="U72" s="159" t="str">
        <f t="shared" si="54"/>
        <v/>
      </c>
      <c r="V72" s="159" t="str">
        <f t="shared" si="54"/>
        <v/>
      </c>
      <c r="W72" s="159" t="str">
        <f t="shared" si="54"/>
        <v/>
      </c>
      <c r="X72" s="159" t="str">
        <f t="shared" si="54"/>
        <v/>
      </c>
      <c r="Y72" s="159" t="str">
        <f t="shared" si="54"/>
        <v/>
      </c>
      <c r="Z72" s="159" t="str">
        <f t="shared" si="54"/>
        <v/>
      </c>
      <c r="AA72" s="159" t="str">
        <f t="shared" si="54"/>
        <v/>
      </c>
      <c r="AB72" s="159" t="str">
        <f t="shared" si="54"/>
        <v/>
      </c>
      <c r="AC72" s="159" t="str">
        <f t="shared" si="54"/>
        <v/>
      </c>
      <c r="AD72" s="159" t="str">
        <f t="shared" si="54"/>
        <v/>
      </c>
      <c r="AE72" s="159" t="str">
        <f t="shared" si="54"/>
        <v/>
      </c>
      <c r="AF72" s="159" t="str">
        <f t="shared" si="54"/>
        <v/>
      </c>
      <c r="AG72" s="159" t="str">
        <f t="shared" si="54"/>
        <v/>
      </c>
      <c r="AH72" s="159" t="str">
        <f t="shared" si="54"/>
        <v/>
      </c>
      <c r="AI72" s="159" t="str">
        <f t="shared" si="54"/>
        <v/>
      </c>
      <c r="AJ72" s="159" t="str">
        <f t="shared" si="54"/>
        <v/>
      </c>
      <c r="AK72" s="159" t="str">
        <f t="shared" si="54"/>
        <v/>
      </c>
      <c r="AL72" s="159" t="str">
        <f t="shared" si="54"/>
        <v/>
      </c>
      <c r="AM72" s="159" t="str">
        <f t="shared" si="54"/>
        <v/>
      </c>
      <c r="AN72" s="159" t="str">
        <f t="shared" si="54"/>
        <v/>
      </c>
      <c r="AO72" s="159" t="str">
        <f t="shared" si="54"/>
        <v/>
      </c>
      <c r="AP72" s="159" t="str">
        <f t="shared" si="54"/>
        <v/>
      </c>
      <c r="AQ72" s="159" t="str">
        <f t="shared" si="54"/>
        <v/>
      </c>
      <c r="AR72" s="159" t="str">
        <f t="shared" si="54"/>
        <v/>
      </c>
      <c r="AS72" s="159" t="str">
        <f t="shared" si="54"/>
        <v/>
      </c>
      <c r="AT72" s="159" t="str">
        <f t="shared" si="54"/>
        <v/>
      </c>
      <c r="AU72" s="159" t="str">
        <f t="shared" si="54"/>
        <v/>
      </c>
      <c r="AV72" s="159" t="str">
        <f t="shared" si="54"/>
        <v/>
      </c>
      <c r="AW72" s="159" t="str">
        <f t="shared" si="54"/>
        <v/>
      </c>
      <c r="AX72" s="159" t="str">
        <f t="shared" si="54"/>
        <v/>
      </c>
      <c r="AY72" s="159" t="str">
        <f t="shared" si="54"/>
        <v/>
      </c>
      <c r="AZ72" s="159" t="str">
        <f t="shared" si="54"/>
        <v/>
      </c>
      <c r="BA72" s="159" t="str">
        <f t="shared" si="54"/>
        <v/>
      </c>
      <c r="BB72" s="159" t="str">
        <f t="shared" si="54"/>
        <v/>
      </c>
      <c r="BC72" s="159" t="str">
        <f t="shared" si="54"/>
        <v/>
      </c>
      <c r="BD72" s="159" t="str">
        <f t="shared" si="54"/>
        <v/>
      </c>
      <c r="BE72" s="159" t="str">
        <f t="shared" si="54"/>
        <v/>
      </c>
      <c r="BF72" s="159" t="str">
        <f t="shared" si="54"/>
        <v/>
      </c>
      <c r="BG72" s="159" t="str">
        <f t="shared" si="54"/>
        <v/>
      </c>
      <c r="BH72" s="159" t="str">
        <f t="shared" si="54"/>
        <v/>
      </c>
      <c r="BI72" s="159" t="str">
        <f t="shared" si="54"/>
        <v/>
      </c>
      <c r="BJ72" s="159" t="str">
        <f t="shared" si="54"/>
        <v/>
      </c>
      <c r="BK72" s="159" t="str">
        <f t="shared" si="54"/>
        <v/>
      </c>
      <c r="BL72" s="159" t="str">
        <f t="shared" si="54"/>
        <v/>
      </c>
      <c r="BM72" s="159" t="str">
        <f t="shared" si="54"/>
        <v/>
      </c>
      <c r="BN72" s="159" t="str">
        <f t="shared" si="54"/>
        <v/>
      </c>
      <c r="BO72" s="159" t="str">
        <f t="shared" si="54"/>
        <v/>
      </c>
      <c r="BP72" s="159" t="str">
        <f t="shared" ref="BP72:CS72" si="55">IFERROR(IF(BP45=1,BP17/BO17,""),"")</f>
        <v/>
      </c>
      <c r="BQ72" s="159" t="str">
        <f t="shared" si="55"/>
        <v/>
      </c>
      <c r="BR72" s="159" t="str">
        <f t="shared" si="55"/>
        <v/>
      </c>
      <c r="BS72" s="159" t="str">
        <f t="shared" si="55"/>
        <v/>
      </c>
      <c r="BT72" s="159" t="str">
        <f t="shared" si="55"/>
        <v/>
      </c>
      <c r="BU72" s="159" t="str">
        <f t="shared" si="55"/>
        <v/>
      </c>
      <c r="BV72" s="159" t="str">
        <f t="shared" si="55"/>
        <v/>
      </c>
      <c r="BW72" s="159" t="str">
        <f t="shared" si="55"/>
        <v/>
      </c>
      <c r="BX72" s="159" t="str">
        <f t="shared" si="55"/>
        <v/>
      </c>
      <c r="BY72" s="159" t="str">
        <f t="shared" si="55"/>
        <v/>
      </c>
      <c r="BZ72" s="159" t="str">
        <f t="shared" si="55"/>
        <v/>
      </c>
      <c r="CA72" s="159" t="str">
        <f t="shared" si="55"/>
        <v/>
      </c>
      <c r="CB72" s="159" t="str">
        <f t="shared" si="55"/>
        <v/>
      </c>
      <c r="CC72" s="159" t="str">
        <f t="shared" si="55"/>
        <v/>
      </c>
      <c r="CD72" s="159" t="str">
        <f t="shared" si="55"/>
        <v/>
      </c>
      <c r="CE72" s="159" t="str">
        <f t="shared" si="55"/>
        <v/>
      </c>
      <c r="CF72" s="159" t="str">
        <f t="shared" si="55"/>
        <v/>
      </c>
      <c r="CG72" s="159" t="str">
        <f t="shared" si="55"/>
        <v/>
      </c>
      <c r="CH72" s="159" t="str">
        <f t="shared" si="55"/>
        <v/>
      </c>
      <c r="CI72" s="159" t="str">
        <f t="shared" si="55"/>
        <v/>
      </c>
      <c r="CJ72" s="159" t="str">
        <f t="shared" si="55"/>
        <v/>
      </c>
      <c r="CK72" s="159" t="str">
        <f t="shared" si="55"/>
        <v/>
      </c>
      <c r="CL72" s="159" t="str">
        <f t="shared" si="55"/>
        <v/>
      </c>
      <c r="CM72" s="159" t="str">
        <f t="shared" si="55"/>
        <v/>
      </c>
      <c r="CN72" s="159" t="str">
        <f t="shared" si="55"/>
        <v/>
      </c>
      <c r="CO72" s="159" t="str">
        <f t="shared" si="55"/>
        <v/>
      </c>
      <c r="CP72" s="159" t="str">
        <f t="shared" si="55"/>
        <v/>
      </c>
      <c r="CQ72" s="159" t="str">
        <f t="shared" si="55"/>
        <v/>
      </c>
      <c r="CR72" s="159" t="str">
        <f t="shared" si="55"/>
        <v/>
      </c>
      <c r="CS72" s="159" t="str">
        <f t="shared" si="55"/>
        <v/>
      </c>
      <c r="CT72" s="225" t="s">
        <v>54</v>
      </c>
      <c r="CU72" s="83"/>
      <c r="CV72" s="83"/>
      <c r="CW72" s="12"/>
    </row>
    <row r="73" spans="1:103" x14ac:dyDescent="0.25">
      <c r="A73" s="97">
        <f t="shared" si="48"/>
        <v>0</v>
      </c>
      <c r="B73" s="31">
        <f t="shared" si="49"/>
        <v>2000</v>
      </c>
      <c r="C73" s="158"/>
      <c r="D73" s="159" t="str">
        <f t="shared" ref="D73:BO73" si="56">IFERROR(IF(D46=1,D18/C18,""),"")</f>
        <v/>
      </c>
      <c r="E73" s="159" t="str">
        <f t="shared" si="56"/>
        <v/>
      </c>
      <c r="F73" s="159" t="str">
        <f t="shared" si="56"/>
        <v/>
      </c>
      <c r="G73" s="159" t="str">
        <f t="shared" si="56"/>
        <v/>
      </c>
      <c r="H73" s="159" t="str">
        <f t="shared" si="56"/>
        <v/>
      </c>
      <c r="I73" s="159" t="str">
        <f t="shared" si="56"/>
        <v/>
      </c>
      <c r="J73" s="159" t="str">
        <f t="shared" si="56"/>
        <v/>
      </c>
      <c r="K73" s="159" t="str">
        <f t="shared" si="56"/>
        <v/>
      </c>
      <c r="L73" s="159" t="str">
        <f t="shared" si="56"/>
        <v/>
      </c>
      <c r="M73" s="159" t="str">
        <f t="shared" si="56"/>
        <v/>
      </c>
      <c r="N73" s="159" t="str">
        <f t="shared" si="56"/>
        <v/>
      </c>
      <c r="O73" s="159" t="str">
        <f t="shared" si="56"/>
        <v/>
      </c>
      <c r="P73" s="159" t="str">
        <f t="shared" si="56"/>
        <v/>
      </c>
      <c r="Q73" s="159" t="str">
        <f t="shared" si="56"/>
        <v/>
      </c>
      <c r="R73" s="159" t="str">
        <f t="shared" si="56"/>
        <v/>
      </c>
      <c r="S73" s="159" t="str">
        <f t="shared" si="56"/>
        <v/>
      </c>
      <c r="T73" s="159" t="str">
        <f t="shared" si="56"/>
        <v/>
      </c>
      <c r="U73" s="159" t="str">
        <f t="shared" si="56"/>
        <v/>
      </c>
      <c r="V73" s="159" t="str">
        <f t="shared" si="56"/>
        <v/>
      </c>
      <c r="W73" s="159" t="str">
        <f t="shared" si="56"/>
        <v/>
      </c>
      <c r="X73" s="159" t="str">
        <f t="shared" si="56"/>
        <v/>
      </c>
      <c r="Y73" s="159" t="str">
        <f t="shared" si="56"/>
        <v/>
      </c>
      <c r="Z73" s="159" t="str">
        <f t="shared" si="56"/>
        <v/>
      </c>
      <c r="AA73" s="159" t="str">
        <f t="shared" si="56"/>
        <v/>
      </c>
      <c r="AB73" s="159" t="str">
        <f t="shared" si="56"/>
        <v/>
      </c>
      <c r="AC73" s="159" t="str">
        <f t="shared" si="56"/>
        <v/>
      </c>
      <c r="AD73" s="159" t="str">
        <f t="shared" si="56"/>
        <v/>
      </c>
      <c r="AE73" s="159" t="str">
        <f t="shared" si="56"/>
        <v/>
      </c>
      <c r="AF73" s="159" t="str">
        <f t="shared" si="56"/>
        <v/>
      </c>
      <c r="AG73" s="159" t="str">
        <f t="shared" si="56"/>
        <v/>
      </c>
      <c r="AH73" s="159" t="str">
        <f t="shared" si="56"/>
        <v/>
      </c>
      <c r="AI73" s="159" t="str">
        <f t="shared" si="56"/>
        <v/>
      </c>
      <c r="AJ73" s="159" t="str">
        <f t="shared" si="56"/>
        <v/>
      </c>
      <c r="AK73" s="159" t="str">
        <f t="shared" si="56"/>
        <v/>
      </c>
      <c r="AL73" s="159" t="str">
        <f t="shared" si="56"/>
        <v/>
      </c>
      <c r="AM73" s="159" t="str">
        <f t="shared" si="56"/>
        <v/>
      </c>
      <c r="AN73" s="159" t="str">
        <f t="shared" si="56"/>
        <v/>
      </c>
      <c r="AO73" s="159" t="str">
        <f t="shared" si="56"/>
        <v/>
      </c>
      <c r="AP73" s="159" t="str">
        <f t="shared" si="56"/>
        <v/>
      </c>
      <c r="AQ73" s="159" t="str">
        <f t="shared" si="56"/>
        <v/>
      </c>
      <c r="AR73" s="159" t="str">
        <f t="shared" si="56"/>
        <v/>
      </c>
      <c r="AS73" s="159" t="str">
        <f t="shared" si="56"/>
        <v/>
      </c>
      <c r="AT73" s="159" t="str">
        <f t="shared" si="56"/>
        <v/>
      </c>
      <c r="AU73" s="159" t="str">
        <f t="shared" si="56"/>
        <v/>
      </c>
      <c r="AV73" s="159" t="str">
        <f t="shared" si="56"/>
        <v/>
      </c>
      <c r="AW73" s="159" t="str">
        <f t="shared" si="56"/>
        <v/>
      </c>
      <c r="AX73" s="159" t="str">
        <f t="shared" si="56"/>
        <v/>
      </c>
      <c r="AY73" s="159" t="str">
        <f t="shared" si="56"/>
        <v/>
      </c>
      <c r="AZ73" s="159" t="str">
        <f t="shared" si="56"/>
        <v/>
      </c>
      <c r="BA73" s="159" t="str">
        <f t="shared" si="56"/>
        <v/>
      </c>
      <c r="BB73" s="159" t="str">
        <f t="shared" si="56"/>
        <v/>
      </c>
      <c r="BC73" s="159" t="str">
        <f t="shared" si="56"/>
        <v/>
      </c>
      <c r="BD73" s="159" t="str">
        <f t="shared" si="56"/>
        <v/>
      </c>
      <c r="BE73" s="159" t="str">
        <f t="shared" si="56"/>
        <v/>
      </c>
      <c r="BF73" s="159" t="str">
        <f t="shared" si="56"/>
        <v/>
      </c>
      <c r="BG73" s="159" t="str">
        <f t="shared" si="56"/>
        <v/>
      </c>
      <c r="BH73" s="159" t="str">
        <f t="shared" si="56"/>
        <v/>
      </c>
      <c r="BI73" s="159" t="str">
        <f t="shared" si="56"/>
        <v/>
      </c>
      <c r="BJ73" s="159" t="str">
        <f t="shared" si="56"/>
        <v/>
      </c>
      <c r="BK73" s="159" t="str">
        <f t="shared" si="56"/>
        <v/>
      </c>
      <c r="BL73" s="159" t="str">
        <f t="shared" si="56"/>
        <v/>
      </c>
      <c r="BM73" s="159" t="str">
        <f t="shared" si="56"/>
        <v/>
      </c>
      <c r="BN73" s="159" t="str">
        <f t="shared" si="56"/>
        <v/>
      </c>
      <c r="BO73" s="159" t="str">
        <f t="shared" si="56"/>
        <v/>
      </c>
      <c r="BP73" s="159" t="str">
        <f t="shared" ref="BP73:CS73" si="57">IFERROR(IF(BP46=1,BP18/BO18,""),"")</f>
        <v/>
      </c>
      <c r="BQ73" s="159" t="str">
        <f t="shared" si="57"/>
        <v/>
      </c>
      <c r="BR73" s="159" t="str">
        <f t="shared" si="57"/>
        <v/>
      </c>
      <c r="BS73" s="159" t="str">
        <f t="shared" si="57"/>
        <v/>
      </c>
      <c r="BT73" s="159" t="str">
        <f t="shared" si="57"/>
        <v/>
      </c>
      <c r="BU73" s="159" t="str">
        <f t="shared" si="57"/>
        <v/>
      </c>
      <c r="BV73" s="159" t="str">
        <f t="shared" si="57"/>
        <v/>
      </c>
      <c r="BW73" s="159" t="str">
        <f t="shared" si="57"/>
        <v/>
      </c>
      <c r="BX73" s="159" t="str">
        <f t="shared" si="57"/>
        <v/>
      </c>
      <c r="BY73" s="159" t="str">
        <f t="shared" si="57"/>
        <v/>
      </c>
      <c r="BZ73" s="159" t="str">
        <f t="shared" si="57"/>
        <v/>
      </c>
      <c r="CA73" s="159" t="str">
        <f t="shared" si="57"/>
        <v/>
      </c>
      <c r="CB73" s="159" t="str">
        <f t="shared" si="57"/>
        <v/>
      </c>
      <c r="CC73" s="159" t="str">
        <f t="shared" si="57"/>
        <v/>
      </c>
      <c r="CD73" s="159" t="str">
        <f t="shared" si="57"/>
        <v/>
      </c>
      <c r="CE73" s="159" t="str">
        <f t="shared" si="57"/>
        <v/>
      </c>
      <c r="CF73" s="159" t="str">
        <f t="shared" si="57"/>
        <v/>
      </c>
      <c r="CG73" s="159" t="str">
        <f t="shared" si="57"/>
        <v/>
      </c>
      <c r="CH73" s="159" t="str">
        <f t="shared" si="57"/>
        <v/>
      </c>
      <c r="CI73" s="159" t="str">
        <f t="shared" si="57"/>
        <v/>
      </c>
      <c r="CJ73" s="159" t="str">
        <f t="shared" si="57"/>
        <v/>
      </c>
      <c r="CK73" s="159" t="str">
        <f t="shared" si="57"/>
        <v/>
      </c>
      <c r="CL73" s="159" t="str">
        <f t="shared" si="57"/>
        <v/>
      </c>
      <c r="CM73" s="159" t="str">
        <f t="shared" si="57"/>
        <v/>
      </c>
      <c r="CN73" s="159" t="str">
        <f t="shared" si="57"/>
        <v/>
      </c>
      <c r="CO73" s="159" t="str">
        <f t="shared" si="57"/>
        <v/>
      </c>
      <c r="CP73" s="159" t="str">
        <f t="shared" si="57"/>
        <v/>
      </c>
      <c r="CQ73" s="159" t="str">
        <f t="shared" si="57"/>
        <v/>
      </c>
      <c r="CR73" s="159" t="str">
        <f t="shared" si="57"/>
        <v/>
      </c>
      <c r="CS73" s="159" t="str">
        <f t="shared" si="57"/>
        <v/>
      </c>
      <c r="CT73" s="225" t="s">
        <v>54</v>
      </c>
      <c r="CU73" s="83"/>
      <c r="CV73" s="83"/>
      <c r="CW73" s="12"/>
      <c r="CY73" s="19"/>
    </row>
    <row r="74" spans="1:103" x14ac:dyDescent="0.25">
      <c r="A74" s="97">
        <f t="shared" si="48"/>
        <v>0</v>
      </c>
      <c r="B74" s="31">
        <f t="shared" si="49"/>
        <v>2001</v>
      </c>
      <c r="C74" s="158"/>
      <c r="D74" s="159" t="str">
        <f t="shared" ref="D74:BO74" si="58">IFERROR(IF(D47=1,D19/C19,""),"")</f>
        <v/>
      </c>
      <c r="E74" s="159" t="str">
        <f t="shared" si="58"/>
        <v/>
      </c>
      <c r="F74" s="159" t="str">
        <f t="shared" si="58"/>
        <v/>
      </c>
      <c r="G74" s="159" t="str">
        <f t="shared" si="58"/>
        <v/>
      </c>
      <c r="H74" s="159" t="str">
        <f t="shared" si="58"/>
        <v/>
      </c>
      <c r="I74" s="159" t="str">
        <f t="shared" si="58"/>
        <v/>
      </c>
      <c r="J74" s="159" t="str">
        <f t="shared" si="58"/>
        <v/>
      </c>
      <c r="K74" s="159" t="str">
        <f t="shared" si="58"/>
        <v/>
      </c>
      <c r="L74" s="159" t="str">
        <f t="shared" si="58"/>
        <v/>
      </c>
      <c r="M74" s="159" t="str">
        <f t="shared" si="58"/>
        <v/>
      </c>
      <c r="N74" s="159" t="str">
        <f t="shared" si="58"/>
        <v/>
      </c>
      <c r="O74" s="159" t="str">
        <f t="shared" si="58"/>
        <v/>
      </c>
      <c r="P74" s="159" t="str">
        <f t="shared" si="58"/>
        <v/>
      </c>
      <c r="Q74" s="159" t="str">
        <f t="shared" si="58"/>
        <v/>
      </c>
      <c r="R74" s="159" t="str">
        <f t="shared" si="58"/>
        <v/>
      </c>
      <c r="S74" s="159" t="str">
        <f t="shared" si="58"/>
        <v/>
      </c>
      <c r="T74" s="159" t="str">
        <f t="shared" si="58"/>
        <v/>
      </c>
      <c r="U74" s="159" t="str">
        <f t="shared" si="58"/>
        <v/>
      </c>
      <c r="V74" s="159" t="str">
        <f t="shared" si="58"/>
        <v/>
      </c>
      <c r="W74" s="159" t="str">
        <f t="shared" si="58"/>
        <v/>
      </c>
      <c r="X74" s="159" t="str">
        <f t="shared" si="58"/>
        <v/>
      </c>
      <c r="Y74" s="159" t="str">
        <f t="shared" si="58"/>
        <v/>
      </c>
      <c r="Z74" s="159" t="str">
        <f t="shared" si="58"/>
        <v/>
      </c>
      <c r="AA74" s="159" t="str">
        <f t="shared" si="58"/>
        <v/>
      </c>
      <c r="AB74" s="159" t="str">
        <f t="shared" si="58"/>
        <v/>
      </c>
      <c r="AC74" s="159" t="str">
        <f t="shared" si="58"/>
        <v/>
      </c>
      <c r="AD74" s="159" t="str">
        <f t="shared" si="58"/>
        <v/>
      </c>
      <c r="AE74" s="159" t="str">
        <f t="shared" si="58"/>
        <v/>
      </c>
      <c r="AF74" s="159" t="str">
        <f t="shared" si="58"/>
        <v/>
      </c>
      <c r="AG74" s="159" t="str">
        <f t="shared" si="58"/>
        <v/>
      </c>
      <c r="AH74" s="159" t="str">
        <f t="shared" si="58"/>
        <v/>
      </c>
      <c r="AI74" s="159" t="str">
        <f t="shared" si="58"/>
        <v/>
      </c>
      <c r="AJ74" s="159" t="str">
        <f t="shared" si="58"/>
        <v/>
      </c>
      <c r="AK74" s="159" t="str">
        <f t="shared" si="58"/>
        <v/>
      </c>
      <c r="AL74" s="159" t="str">
        <f t="shared" si="58"/>
        <v/>
      </c>
      <c r="AM74" s="159" t="str">
        <f t="shared" si="58"/>
        <v/>
      </c>
      <c r="AN74" s="159" t="str">
        <f t="shared" si="58"/>
        <v/>
      </c>
      <c r="AO74" s="159" t="str">
        <f t="shared" si="58"/>
        <v/>
      </c>
      <c r="AP74" s="159" t="str">
        <f t="shared" si="58"/>
        <v/>
      </c>
      <c r="AQ74" s="159" t="str">
        <f t="shared" si="58"/>
        <v/>
      </c>
      <c r="AR74" s="159" t="str">
        <f t="shared" si="58"/>
        <v/>
      </c>
      <c r="AS74" s="159" t="str">
        <f t="shared" si="58"/>
        <v/>
      </c>
      <c r="AT74" s="159" t="str">
        <f t="shared" si="58"/>
        <v/>
      </c>
      <c r="AU74" s="159" t="str">
        <f t="shared" si="58"/>
        <v/>
      </c>
      <c r="AV74" s="159" t="str">
        <f t="shared" si="58"/>
        <v/>
      </c>
      <c r="AW74" s="159" t="str">
        <f t="shared" si="58"/>
        <v/>
      </c>
      <c r="AX74" s="159" t="str">
        <f t="shared" si="58"/>
        <v/>
      </c>
      <c r="AY74" s="159" t="str">
        <f t="shared" si="58"/>
        <v/>
      </c>
      <c r="AZ74" s="159" t="str">
        <f t="shared" si="58"/>
        <v/>
      </c>
      <c r="BA74" s="159" t="str">
        <f t="shared" si="58"/>
        <v/>
      </c>
      <c r="BB74" s="159" t="str">
        <f t="shared" si="58"/>
        <v/>
      </c>
      <c r="BC74" s="159" t="str">
        <f t="shared" si="58"/>
        <v/>
      </c>
      <c r="BD74" s="159" t="str">
        <f t="shared" si="58"/>
        <v/>
      </c>
      <c r="BE74" s="159" t="str">
        <f t="shared" si="58"/>
        <v/>
      </c>
      <c r="BF74" s="159" t="str">
        <f t="shared" si="58"/>
        <v/>
      </c>
      <c r="BG74" s="159" t="str">
        <f t="shared" si="58"/>
        <v/>
      </c>
      <c r="BH74" s="159" t="str">
        <f t="shared" si="58"/>
        <v/>
      </c>
      <c r="BI74" s="159" t="str">
        <f t="shared" si="58"/>
        <v/>
      </c>
      <c r="BJ74" s="159" t="str">
        <f t="shared" si="58"/>
        <v/>
      </c>
      <c r="BK74" s="159" t="str">
        <f t="shared" si="58"/>
        <v/>
      </c>
      <c r="BL74" s="159" t="str">
        <f t="shared" si="58"/>
        <v/>
      </c>
      <c r="BM74" s="159" t="str">
        <f t="shared" si="58"/>
        <v/>
      </c>
      <c r="BN74" s="159" t="str">
        <f t="shared" si="58"/>
        <v/>
      </c>
      <c r="BO74" s="159" t="str">
        <f t="shared" si="58"/>
        <v/>
      </c>
      <c r="BP74" s="159" t="str">
        <f t="shared" ref="BP74:CS74" si="59">IFERROR(IF(BP47=1,BP19/BO19,""),"")</f>
        <v/>
      </c>
      <c r="BQ74" s="159" t="str">
        <f t="shared" si="59"/>
        <v/>
      </c>
      <c r="BR74" s="159" t="str">
        <f t="shared" si="59"/>
        <v/>
      </c>
      <c r="BS74" s="159" t="str">
        <f t="shared" si="59"/>
        <v/>
      </c>
      <c r="BT74" s="159" t="str">
        <f t="shared" si="59"/>
        <v/>
      </c>
      <c r="BU74" s="159" t="str">
        <f t="shared" si="59"/>
        <v/>
      </c>
      <c r="BV74" s="159" t="str">
        <f t="shared" si="59"/>
        <v/>
      </c>
      <c r="BW74" s="159" t="str">
        <f t="shared" si="59"/>
        <v/>
      </c>
      <c r="BX74" s="159" t="str">
        <f t="shared" si="59"/>
        <v/>
      </c>
      <c r="BY74" s="159" t="str">
        <f t="shared" si="59"/>
        <v/>
      </c>
      <c r="BZ74" s="159" t="str">
        <f t="shared" si="59"/>
        <v/>
      </c>
      <c r="CA74" s="159" t="str">
        <f t="shared" si="59"/>
        <v/>
      </c>
      <c r="CB74" s="159" t="str">
        <f t="shared" si="59"/>
        <v/>
      </c>
      <c r="CC74" s="159" t="str">
        <f t="shared" si="59"/>
        <v/>
      </c>
      <c r="CD74" s="159" t="str">
        <f t="shared" si="59"/>
        <v/>
      </c>
      <c r="CE74" s="159" t="str">
        <f t="shared" si="59"/>
        <v/>
      </c>
      <c r="CF74" s="159" t="str">
        <f t="shared" si="59"/>
        <v/>
      </c>
      <c r="CG74" s="159" t="str">
        <f t="shared" si="59"/>
        <v/>
      </c>
      <c r="CH74" s="159" t="str">
        <f t="shared" si="59"/>
        <v/>
      </c>
      <c r="CI74" s="159" t="str">
        <f t="shared" si="59"/>
        <v/>
      </c>
      <c r="CJ74" s="159" t="str">
        <f t="shared" si="59"/>
        <v/>
      </c>
      <c r="CK74" s="159" t="str">
        <f t="shared" si="59"/>
        <v/>
      </c>
      <c r="CL74" s="159" t="str">
        <f t="shared" si="59"/>
        <v/>
      </c>
      <c r="CM74" s="159" t="str">
        <f t="shared" si="59"/>
        <v/>
      </c>
      <c r="CN74" s="159" t="str">
        <f t="shared" si="59"/>
        <v/>
      </c>
      <c r="CO74" s="159" t="str">
        <f t="shared" si="59"/>
        <v/>
      </c>
      <c r="CP74" s="159" t="str">
        <f t="shared" si="59"/>
        <v/>
      </c>
      <c r="CQ74" s="159" t="str">
        <f t="shared" si="59"/>
        <v/>
      </c>
      <c r="CR74" s="159" t="str">
        <f t="shared" si="59"/>
        <v/>
      </c>
      <c r="CS74" s="159" t="str">
        <f t="shared" si="59"/>
        <v/>
      </c>
      <c r="CT74" s="225" t="s">
        <v>54</v>
      </c>
      <c r="CU74" s="42"/>
      <c r="CV74" s="42"/>
    </row>
    <row r="75" spans="1:103" x14ac:dyDescent="0.25">
      <c r="A75" s="97">
        <f t="shared" si="48"/>
        <v>0</v>
      </c>
      <c r="B75" s="31">
        <f t="shared" si="49"/>
        <v>2002</v>
      </c>
      <c r="C75" s="158"/>
      <c r="D75" s="159" t="str">
        <f t="shared" ref="D75:BO75" si="60">IFERROR(IF(D48=1,D20/C20,""),"")</f>
        <v/>
      </c>
      <c r="E75" s="159" t="str">
        <f t="shared" si="60"/>
        <v/>
      </c>
      <c r="F75" s="159" t="str">
        <f t="shared" si="60"/>
        <v/>
      </c>
      <c r="G75" s="159" t="str">
        <f t="shared" si="60"/>
        <v/>
      </c>
      <c r="H75" s="159" t="str">
        <f t="shared" si="60"/>
        <v/>
      </c>
      <c r="I75" s="159" t="str">
        <f t="shared" si="60"/>
        <v/>
      </c>
      <c r="J75" s="159" t="str">
        <f t="shared" si="60"/>
        <v/>
      </c>
      <c r="K75" s="159" t="str">
        <f t="shared" si="60"/>
        <v/>
      </c>
      <c r="L75" s="159" t="str">
        <f t="shared" si="60"/>
        <v/>
      </c>
      <c r="M75" s="159" t="str">
        <f t="shared" si="60"/>
        <v/>
      </c>
      <c r="N75" s="159" t="str">
        <f t="shared" si="60"/>
        <v/>
      </c>
      <c r="O75" s="159" t="str">
        <f t="shared" si="60"/>
        <v/>
      </c>
      <c r="P75" s="159" t="str">
        <f t="shared" si="60"/>
        <v/>
      </c>
      <c r="Q75" s="159" t="str">
        <f t="shared" si="60"/>
        <v/>
      </c>
      <c r="R75" s="159" t="str">
        <f t="shared" si="60"/>
        <v/>
      </c>
      <c r="S75" s="159" t="str">
        <f t="shared" si="60"/>
        <v/>
      </c>
      <c r="T75" s="159" t="str">
        <f t="shared" si="60"/>
        <v/>
      </c>
      <c r="U75" s="159" t="str">
        <f t="shared" si="60"/>
        <v/>
      </c>
      <c r="V75" s="159" t="str">
        <f t="shared" si="60"/>
        <v/>
      </c>
      <c r="W75" s="159" t="str">
        <f t="shared" si="60"/>
        <v/>
      </c>
      <c r="X75" s="159" t="str">
        <f t="shared" si="60"/>
        <v/>
      </c>
      <c r="Y75" s="159" t="str">
        <f t="shared" si="60"/>
        <v/>
      </c>
      <c r="Z75" s="159" t="str">
        <f t="shared" si="60"/>
        <v/>
      </c>
      <c r="AA75" s="159" t="str">
        <f t="shared" si="60"/>
        <v/>
      </c>
      <c r="AB75" s="159" t="str">
        <f t="shared" si="60"/>
        <v/>
      </c>
      <c r="AC75" s="159" t="str">
        <f t="shared" si="60"/>
        <v/>
      </c>
      <c r="AD75" s="159" t="str">
        <f t="shared" si="60"/>
        <v/>
      </c>
      <c r="AE75" s="159" t="str">
        <f t="shared" si="60"/>
        <v/>
      </c>
      <c r="AF75" s="159" t="str">
        <f t="shared" si="60"/>
        <v/>
      </c>
      <c r="AG75" s="159" t="str">
        <f t="shared" si="60"/>
        <v/>
      </c>
      <c r="AH75" s="159" t="str">
        <f t="shared" si="60"/>
        <v/>
      </c>
      <c r="AI75" s="159" t="str">
        <f t="shared" si="60"/>
        <v/>
      </c>
      <c r="AJ75" s="159" t="str">
        <f t="shared" si="60"/>
        <v/>
      </c>
      <c r="AK75" s="159" t="str">
        <f t="shared" si="60"/>
        <v/>
      </c>
      <c r="AL75" s="159" t="str">
        <f t="shared" si="60"/>
        <v/>
      </c>
      <c r="AM75" s="159" t="str">
        <f t="shared" si="60"/>
        <v/>
      </c>
      <c r="AN75" s="159" t="str">
        <f t="shared" si="60"/>
        <v/>
      </c>
      <c r="AO75" s="159" t="str">
        <f t="shared" si="60"/>
        <v/>
      </c>
      <c r="AP75" s="159" t="str">
        <f t="shared" si="60"/>
        <v/>
      </c>
      <c r="AQ75" s="159" t="str">
        <f t="shared" si="60"/>
        <v/>
      </c>
      <c r="AR75" s="159" t="str">
        <f t="shared" si="60"/>
        <v/>
      </c>
      <c r="AS75" s="159" t="str">
        <f t="shared" si="60"/>
        <v/>
      </c>
      <c r="AT75" s="159" t="str">
        <f t="shared" si="60"/>
        <v/>
      </c>
      <c r="AU75" s="159" t="str">
        <f t="shared" si="60"/>
        <v/>
      </c>
      <c r="AV75" s="159" t="str">
        <f t="shared" si="60"/>
        <v/>
      </c>
      <c r="AW75" s="159" t="str">
        <f t="shared" si="60"/>
        <v/>
      </c>
      <c r="AX75" s="159" t="str">
        <f t="shared" si="60"/>
        <v/>
      </c>
      <c r="AY75" s="159" t="str">
        <f t="shared" si="60"/>
        <v/>
      </c>
      <c r="AZ75" s="159" t="str">
        <f t="shared" si="60"/>
        <v/>
      </c>
      <c r="BA75" s="159" t="str">
        <f t="shared" si="60"/>
        <v/>
      </c>
      <c r="BB75" s="159" t="str">
        <f t="shared" si="60"/>
        <v/>
      </c>
      <c r="BC75" s="159" t="str">
        <f t="shared" si="60"/>
        <v/>
      </c>
      <c r="BD75" s="159" t="str">
        <f t="shared" si="60"/>
        <v/>
      </c>
      <c r="BE75" s="159" t="str">
        <f t="shared" si="60"/>
        <v/>
      </c>
      <c r="BF75" s="159" t="str">
        <f t="shared" si="60"/>
        <v/>
      </c>
      <c r="BG75" s="159" t="str">
        <f t="shared" si="60"/>
        <v/>
      </c>
      <c r="BH75" s="159" t="str">
        <f t="shared" si="60"/>
        <v/>
      </c>
      <c r="BI75" s="159" t="str">
        <f t="shared" si="60"/>
        <v/>
      </c>
      <c r="BJ75" s="159" t="str">
        <f t="shared" si="60"/>
        <v/>
      </c>
      <c r="BK75" s="159" t="str">
        <f t="shared" si="60"/>
        <v/>
      </c>
      <c r="BL75" s="159" t="str">
        <f t="shared" si="60"/>
        <v/>
      </c>
      <c r="BM75" s="159" t="str">
        <f t="shared" si="60"/>
        <v/>
      </c>
      <c r="BN75" s="159" t="str">
        <f t="shared" si="60"/>
        <v/>
      </c>
      <c r="BO75" s="159" t="str">
        <f t="shared" si="60"/>
        <v/>
      </c>
      <c r="BP75" s="159" t="str">
        <f t="shared" ref="BP75:CS75" si="61">IFERROR(IF(BP48=1,BP20/BO20,""),"")</f>
        <v/>
      </c>
      <c r="BQ75" s="159" t="str">
        <f t="shared" si="61"/>
        <v/>
      </c>
      <c r="BR75" s="159" t="str">
        <f t="shared" si="61"/>
        <v/>
      </c>
      <c r="BS75" s="159" t="str">
        <f t="shared" si="61"/>
        <v/>
      </c>
      <c r="BT75" s="159" t="str">
        <f t="shared" si="61"/>
        <v/>
      </c>
      <c r="BU75" s="159" t="str">
        <f t="shared" si="61"/>
        <v/>
      </c>
      <c r="BV75" s="159" t="str">
        <f t="shared" si="61"/>
        <v/>
      </c>
      <c r="BW75" s="159" t="str">
        <f t="shared" si="61"/>
        <v/>
      </c>
      <c r="BX75" s="159" t="str">
        <f t="shared" si="61"/>
        <v/>
      </c>
      <c r="BY75" s="159" t="str">
        <f t="shared" si="61"/>
        <v/>
      </c>
      <c r="BZ75" s="159" t="str">
        <f t="shared" si="61"/>
        <v/>
      </c>
      <c r="CA75" s="159" t="str">
        <f t="shared" si="61"/>
        <v/>
      </c>
      <c r="CB75" s="159" t="str">
        <f t="shared" si="61"/>
        <v/>
      </c>
      <c r="CC75" s="159" t="str">
        <f t="shared" si="61"/>
        <v/>
      </c>
      <c r="CD75" s="159" t="str">
        <f t="shared" si="61"/>
        <v/>
      </c>
      <c r="CE75" s="159" t="str">
        <f t="shared" si="61"/>
        <v/>
      </c>
      <c r="CF75" s="159" t="str">
        <f t="shared" si="61"/>
        <v/>
      </c>
      <c r="CG75" s="159" t="str">
        <f t="shared" si="61"/>
        <v/>
      </c>
      <c r="CH75" s="159" t="str">
        <f t="shared" si="61"/>
        <v/>
      </c>
      <c r="CI75" s="159" t="str">
        <f t="shared" si="61"/>
        <v/>
      </c>
      <c r="CJ75" s="159" t="str">
        <f t="shared" si="61"/>
        <v/>
      </c>
      <c r="CK75" s="159" t="str">
        <f t="shared" si="61"/>
        <v/>
      </c>
      <c r="CL75" s="159" t="str">
        <f t="shared" si="61"/>
        <v/>
      </c>
      <c r="CM75" s="159" t="str">
        <f t="shared" si="61"/>
        <v/>
      </c>
      <c r="CN75" s="159" t="str">
        <f t="shared" si="61"/>
        <v/>
      </c>
      <c r="CO75" s="159" t="str">
        <f t="shared" si="61"/>
        <v/>
      </c>
      <c r="CP75" s="159" t="str">
        <f t="shared" si="61"/>
        <v/>
      </c>
      <c r="CQ75" s="159" t="str">
        <f t="shared" si="61"/>
        <v/>
      </c>
      <c r="CR75" s="159" t="str">
        <f t="shared" si="61"/>
        <v/>
      </c>
      <c r="CS75" s="159" t="str">
        <f t="shared" si="61"/>
        <v/>
      </c>
      <c r="CT75" s="225" t="s">
        <v>54</v>
      </c>
      <c r="CU75" s="42"/>
      <c r="CV75" s="42"/>
      <c r="CY75" s="25"/>
    </row>
    <row r="76" spans="1:103" x14ac:dyDescent="0.25">
      <c r="A76" s="97">
        <f t="shared" si="48"/>
        <v>0</v>
      </c>
      <c r="B76" s="31">
        <f t="shared" si="49"/>
        <v>2003</v>
      </c>
      <c r="C76" s="158"/>
      <c r="D76" s="159" t="str">
        <f t="shared" ref="D76:BO76" si="62">IFERROR(IF(D49=1,D21/C21,""),"")</f>
        <v/>
      </c>
      <c r="E76" s="159" t="str">
        <f t="shared" si="62"/>
        <v/>
      </c>
      <c r="F76" s="159" t="str">
        <f t="shared" si="62"/>
        <v/>
      </c>
      <c r="G76" s="159" t="str">
        <f t="shared" si="62"/>
        <v/>
      </c>
      <c r="H76" s="159" t="str">
        <f t="shared" si="62"/>
        <v/>
      </c>
      <c r="I76" s="159" t="str">
        <f t="shared" si="62"/>
        <v/>
      </c>
      <c r="J76" s="159" t="str">
        <f t="shared" si="62"/>
        <v/>
      </c>
      <c r="K76" s="159" t="str">
        <f t="shared" si="62"/>
        <v/>
      </c>
      <c r="L76" s="159" t="str">
        <f t="shared" si="62"/>
        <v/>
      </c>
      <c r="M76" s="159" t="str">
        <f t="shared" si="62"/>
        <v/>
      </c>
      <c r="N76" s="159" t="str">
        <f t="shared" si="62"/>
        <v/>
      </c>
      <c r="O76" s="159" t="str">
        <f t="shared" si="62"/>
        <v/>
      </c>
      <c r="P76" s="159" t="str">
        <f t="shared" si="62"/>
        <v/>
      </c>
      <c r="Q76" s="159" t="str">
        <f t="shared" si="62"/>
        <v/>
      </c>
      <c r="R76" s="159" t="str">
        <f t="shared" si="62"/>
        <v/>
      </c>
      <c r="S76" s="159" t="str">
        <f t="shared" si="62"/>
        <v/>
      </c>
      <c r="T76" s="159" t="str">
        <f t="shared" si="62"/>
        <v/>
      </c>
      <c r="U76" s="159" t="str">
        <f t="shared" si="62"/>
        <v/>
      </c>
      <c r="V76" s="159" t="str">
        <f t="shared" si="62"/>
        <v/>
      </c>
      <c r="W76" s="159" t="str">
        <f t="shared" si="62"/>
        <v/>
      </c>
      <c r="X76" s="159" t="str">
        <f t="shared" si="62"/>
        <v/>
      </c>
      <c r="Y76" s="159" t="str">
        <f t="shared" si="62"/>
        <v/>
      </c>
      <c r="Z76" s="159" t="str">
        <f t="shared" si="62"/>
        <v/>
      </c>
      <c r="AA76" s="159" t="str">
        <f t="shared" si="62"/>
        <v/>
      </c>
      <c r="AB76" s="159" t="str">
        <f t="shared" si="62"/>
        <v/>
      </c>
      <c r="AC76" s="159" t="str">
        <f t="shared" si="62"/>
        <v/>
      </c>
      <c r="AD76" s="159" t="str">
        <f t="shared" si="62"/>
        <v/>
      </c>
      <c r="AE76" s="159" t="str">
        <f t="shared" si="62"/>
        <v/>
      </c>
      <c r="AF76" s="159" t="str">
        <f t="shared" si="62"/>
        <v/>
      </c>
      <c r="AG76" s="159" t="str">
        <f t="shared" si="62"/>
        <v/>
      </c>
      <c r="AH76" s="159" t="str">
        <f t="shared" si="62"/>
        <v/>
      </c>
      <c r="AI76" s="159" t="str">
        <f t="shared" si="62"/>
        <v/>
      </c>
      <c r="AJ76" s="159" t="str">
        <f t="shared" si="62"/>
        <v/>
      </c>
      <c r="AK76" s="159" t="str">
        <f t="shared" si="62"/>
        <v/>
      </c>
      <c r="AL76" s="159" t="str">
        <f t="shared" si="62"/>
        <v/>
      </c>
      <c r="AM76" s="159" t="str">
        <f t="shared" si="62"/>
        <v/>
      </c>
      <c r="AN76" s="159" t="str">
        <f t="shared" si="62"/>
        <v/>
      </c>
      <c r="AO76" s="159" t="str">
        <f t="shared" si="62"/>
        <v/>
      </c>
      <c r="AP76" s="159" t="str">
        <f t="shared" si="62"/>
        <v/>
      </c>
      <c r="AQ76" s="159" t="str">
        <f t="shared" si="62"/>
        <v/>
      </c>
      <c r="AR76" s="159" t="str">
        <f t="shared" si="62"/>
        <v/>
      </c>
      <c r="AS76" s="159" t="str">
        <f t="shared" si="62"/>
        <v/>
      </c>
      <c r="AT76" s="159" t="str">
        <f t="shared" si="62"/>
        <v/>
      </c>
      <c r="AU76" s="159" t="str">
        <f t="shared" si="62"/>
        <v/>
      </c>
      <c r="AV76" s="159" t="str">
        <f t="shared" si="62"/>
        <v/>
      </c>
      <c r="AW76" s="159" t="str">
        <f t="shared" si="62"/>
        <v/>
      </c>
      <c r="AX76" s="159" t="str">
        <f t="shared" si="62"/>
        <v/>
      </c>
      <c r="AY76" s="159" t="str">
        <f t="shared" si="62"/>
        <v/>
      </c>
      <c r="AZ76" s="159" t="str">
        <f t="shared" si="62"/>
        <v/>
      </c>
      <c r="BA76" s="159" t="str">
        <f t="shared" si="62"/>
        <v/>
      </c>
      <c r="BB76" s="159" t="str">
        <f t="shared" si="62"/>
        <v/>
      </c>
      <c r="BC76" s="159" t="str">
        <f t="shared" si="62"/>
        <v/>
      </c>
      <c r="BD76" s="159" t="str">
        <f t="shared" si="62"/>
        <v/>
      </c>
      <c r="BE76" s="159" t="str">
        <f t="shared" si="62"/>
        <v/>
      </c>
      <c r="BF76" s="159" t="str">
        <f t="shared" si="62"/>
        <v/>
      </c>
      <c r="BG76" s="159" t="str">
        <f t="shared" si="62"/>
        <v/>
      </c>
      <c r="BH76" s="159" t="str">
        <f t="shared" si="62"/>
        <v/>
      </c>
      <c r="BI76" s="159" t="str">
        <f t="shared" si="62"/>
        <v/>
      </c>
      <c r="BJ76" s="159" t="str">
        <f t="shared" si="62"/>
        <v/>
      </c>
      <c r="BK76" s="159" t="str">
        <f t="shared" si="62"/>
        <v/>
      </c>
      <c r="BL76" s="159" t="str">
        <f t="shared" si="62"/>
        <v/>
      </c>
      <c r="BM76" s="159" t="str">
        <f t="shared" si="62"/>
        <v/>
      </c>
      <c r="BN76" s="159" t="str">
        <f t="shared" si="62"/>
        <v/>
      </c>
      <c r="BO76" s="159" t="str">
        <f t="shared" si="62"/>
        <v/>
      </c>
      <c r="BP76" s="159" t="str">
        <f t="shared" ref="BP76:CS76" si="63">IFERROR(IF(BP49=1,BP21/BO21,""),"")</f>
        <v/>
      </c>
      <c r="BQ76" s="159" t="str">
        <f t="shared" si="63"/>
        <v/>
      </c>
      <c r="BR76" s="159" t="str">
        <f t="shared" si="63"/>
        <v/>
      </c>
      <c r="BS76" s="159" t="str">
        <f t="shared" si="63"/>
        <v/>
      </c>
      <c r="BT76" s="159" t="str">
        <f t="shared" si="63"/>
        <v/>
      </c>
      <c r="BU76" s="159" t="str">
        <f t="shared" si="63"/>
        <v/>
      </c>
      <c r="BV76" s="159" t="str">
        <f t="shared" si="63"/>
        <v/>
      </c>
      <c r="BW76" s="159" t="str">
        <f t="shared" si="63"/>
        <v/>
      </c>
      <c r="BX76" s="159" t="str">
        <f t="shared" si="63"/>
        <v/>
      </c>
      <c r="BY76" s="159" t="str">
        <f t="shared" si="63"/>
        <v/>
      </c>
      <c r="BZ76" s="159" t="str">
        <f t="shared" si="63"/>
        <v/>
      </c>
      <c r="CA76" s="159" t="str">
        <f t="shared" si="63"/>
        <v/>
      </c>
      <c r="CB76" s="159" t="str">
        <f t="shared" si="63"/>
        <v/>
      </c>
      <c r="CC76" s="159" t="str">
        <f t="shared" si="63"/>
        <v/>
      </c>
      <c r="CD76" s="159" t="str">
        <f t="shared" si="63"/>
        <v/>
      </c>
      <c r="CE76" s="159" t="str">
        <f t="shared" si="63"/>
        <v/>
      </c>
      <c r="CF76" s="159" t="str">
        <f t="shared" si="63"/>
        <v/>
      </c>
      <c r="CG76" s="159" t="str">
        <f t="shared" si="63"/>
        <v/>
      </c>
      <c r="CH76" s="159" t="str">
        <f t="shared" si="63"/>
        <v/>
      </c>
      <c r="CI76" s="159" t="str">
        <f t="shared" si="63"/>
        <v/>
      </c>
      <c r="CJ76" s="159" t="str">
        <f t="shared" si="63"/>
        <v/>
      </c>
      <c r="CK76" s="159" t="str">
        <f t="shared" si="63"/>
        <v/>
      </c>
      <c r="CL76" s="159" t="str">
        <f t="shared" si="63"/>
        <v/>
      </c>
      <c r="CM76" s="159" t="str">
        <f t="shared" si="63"/>
        <v/>
      </c>
      <c r="CN76" s="159" t="str">
        <f t="shared" si="63"/>
        <v/>
      </c>
      <c r="CO76" s="159" t="str">
        <f t="shared" si="63"/>
        <v/>
      </c>
      <c r="CP76" s="159" t="str">
        <f t="shared" si="63"/>
        <v/>
      </c>
      <c r="CQ76" s="159" t="str">
        <f t="shared" si="63"/>
        <v/>
      </c>
      <c r="CR76" s="159" t="str">
        <f t="shared" si="63"/>
        <v/>
      </c>
      <c r="CS76" s="159" t="str">
        <f t="shared" si="63"/>
        <v/>
      </c>
      <c r="CT76" s="225" t="s">
        <v>54</v>
      </c>
      <c r="CU76" s="42"/>
      <c r="CV76" s="42"/>
    </row>
    <row r="77" spans="1:103" x14ac:dyDescent="0.25">
      <c r="A77" s="97">
        <f t="shared" si="48"/>
        <v>0</v>
      </c>
      <c r="B77" s="31">
        <f t="shared" si="49"/>
        <v>2004</v>
      </c>
      <c r="C77" s="158"/>
      <c r="D77" s="159" t="str">
        <f t="shared" ref="D77:BO77" si="64">IFERROR(IF(D50=1,D22/C22,""),"")</f>
        <v/>
      </c>
      <c r="E77" s="159" t="str">
        <f t="shared" si="64"/>
        <v/>
      </c>
      <c r="F77" s="159" t="str">
        <f t="shared" si="64"/>
        <v/>
      </c>
      <c r="G77" s="159" t="str">
        <f t="shared" si="64"/>
        <v/>
      </c>
      <c r="H77" s="159" t="str">
        <f t="shared" si="64"/>
        <v/>
      </c>
      <c r="I77" s="159" t="str">
        <f t="shared" si="64"/>
        <v/>
      </c>
      <c r="J77" s="159" t="str">
        <f t="shared" si="64"/>
        <v/>
      </c>
      <c r="K77" s="159" t="str">
        <f t="shared" si="64"/>
        <v/>
      </c>
      <c r="L77" s="159" t="str">
        <f t="shared" si="64"/>
        <v/>
      </c>
      <c r="M77" s="159" t="str">
        <f t="shared" si="64"/>
        <v/>
      </c>
      <c r="N77" s="159" t="str">
        <f t="shared" si="64"/>
        <v/>
      </c>
      <c r="O77" s="159" t="str">
        <f t="shared" si="64"/>
        <v/>
      </c>
      <c r="P77" s="159" t="str">
        <f t="shared" si="64"/>
        <v/>
      </c>
      <c r="Q77" s="159" t="str">
        <f t="shared" si="64"/>
        <v/>
      </c>
      <c r="R77" s="159" t="str">
        <f t="shared" si="64"/>
        <v/>
      </c>
      <c r="S77" s="159" t="str">
        <f t="shared" si="64"/>
        <v/>
      </c>
      <c r="T77" s="159" t="str">
        <f t="shared" si="64"/>
        <v/>
      </c>
      <c r="U77" s="159" t="str">
        <f t="shared" si="64"/>
        <v/>
      </c>
      <c r="V77" s="159" t="str">
        <f t="shared" si="64"/>
        <v/>
      </c>
      <c r="W77" s="159" t="str">
        <f t="shared" si="64"/>
        <v/>
      </c>
      <c r="X77" s="159" t="str">
        <f t="shared" si="64"/>
        <v/>
      </c>
      <c r="Y77" s="159" t="str">
        <f t="shared" si="64"/>
        <v/>
      </c>
      <c r="Z77" s="159" t="str">
        <f t="shared" si="64"/>
        <v/>
      </c>
      <c r="AA77" s="159" t="str">
        <f t="shared" si="64"/>
        <v/>
      </c>
      <c r="AB77" s="159" t="str">
        <f t="shared" si="64"/>
        <v/>
      </c>
      <c r="AC77" s="159" t="str">
        <f t="shared" si="64"/>
        <v/>
      </c>
      <c r="AD77" s="159" t="str">
        <f t="shared" si="64"/>
        <v/>
      </c>
      <c r="AE77" s="159" t="str">
        <f t="shared" si="64"/>
        <v/>
      </c>
      <c r="AF77" s="159" t="str">
        <f t="shared" si="64"/>
        <v/>
      </c>
      <c r="AG77" s="159" t="str">
        <f t="shared" si="64"/>
        <v/>
      </c>
      <c r="AH77" s="159" t="str">
        <f t="shared" si="64"/>
        <v/>
      </c>
      <c r="AI77" s="159" t="str">
        <f t="shared" si="64"/>
        <v/>
      </c>
      <c r="AJ77" s="159" t="str">
        <f t="shared" si="64"/>
        <v/>
      </c>
      <c r="AK77" s="159" t="str">
        <f t="shared" si="64"/>
        <v/>
      </c>
      <c r="AL77" s="159" t="str">
        <f t="shared" si="64"/>
        <v/>
      </c>
      <c r="AM77" s="159" t="str">
        <f t="shared" si="64"/>
        <v/>
      </c>
      <c r="AN77" s="159" t="str">
        <f t="shared" si="64"/>
        <v/>
      </c>
      <c r="AO77" s="159" t="str">
        <f t="shared" si="64"/>
        <v/>
      </c>
      <c r="AP77" s="159" t="str">
        <f t="shared" si="64"/>
        <v/>
      </c>
      <c r="AQ77" s="159" t="str">
        <f t="shared" si="64"/>
        <v/>
      </c>
      <c r="AR77" s="159" t="str">
        <f t="shared" si="64"/>
        <v/>
      </c>
      <c r="AS77" s="159" t="str">
        <f t="shared" si="64"/>
        <v/>
      </c>
      <c r="AT77" s="159" t="str">
        <f t="shared" si="64"/>
        <v/>
      </c>
      <c r="AU77" s="159" t="str">
        <f t="shared" si="64"/>
        <v/>
      </c>
      <c r="AV77" s="159" t="str">
        <f t="shared" si="64"/>
        <v/>
      </c>
      <c r="AW77" s="159" t="str">
        <f t="shared" si="64"/>
        <v/>
      </c>
      <c r="AX77" s="159" t="str">
        <f t="shared" si="64"/>
        <v/>
      </c>
      <c r="AY77" s="159" t="str">
        <f t="shared" si="64"/>
        <v/>
      </c>
      <c r="AZ77" s="159" t="str">
        <f t="shared" si="64"/>
        <v/>
      </c>
      <c r="BA77" s="159" t="str">
        <f t="shared" si="64"/>
        <v/>
      </c>
      <c r="BB77" s="159" t="str">
        <f t="shared" si="64"/>
        <v/>
      </c>
      <c r="BC77" s="159" t="str">
        <f t="shared" si="64"/>
        <v/>
      </c>
      <c r="BD77" s="159" t="str">
        <f t="shared" si="64"/>
        <v/>
      </c>
      <c r="BE77" s="159" t="str">
        <f t="shared" si="64"/>
        <v/>
      </c>
      <c r="BF77" s="159" t="str">
        <f t="shared" si="64"/>
        <v/>
      </c>
      <c r="BG77" s="159" t="str">
        <f t="shared" si="64"/>
        <v/>
      </c>
      <c r="BH77" s="159" t="str">
        <f t="shared" si="64"/>
        <v/>
      </c>
      <c r="BI77" s="159" t="str">
        <f t="shared" si="64"/>
        <v/>
      </c>
      <c r="BJ77" s="159" t="str">
        <f t="shared" si="64"/>
        <v/>
      </c>
      <c r="BK77" s="159" t="str">
        <f t="shared" si="64"/>
        <v/>
      </c>
      <c r="BL77" s="159" t="str">
        <f t="shared" si="64"/>
        <v/>
      </c>
      <c r="BM77" s="159" t="str">
        <f t="shared" si="64"/>
        <v/>
      </c>
      <c r="BN77" s="159" t="str">
        <f t="shared" si="64"/>
        <v/>
      </c>
      <c r="BO77" s="159" t="str">
        <f t="shared" si="64"/>
        <v/>
      </c>
      <c r="BP77" s="159" t="str">
        <f t="shared" ref="BP77:CS77" si="65">IFERROR(IF(BP50=1,BP22/BO22,""),"")</f>
        <v/>
      </c>
      <c r="BQ77" s="159" t="str">
        <f t="shared" si="65"/>
        <v/>
      </c>
      <c r="BR77" s="159" t="str">
        <f t="shared" si="65"/>
        <v/>
      </c>
      <c r="BS77" s="159" t="str">
        <f t="shared" si="65"/>
        <v/>
      </c>
      <c r="BT77" s="159" t="str">
        <f t="shared" si="65"/>
        <v/>
      </c>
      <c r="BU77" s="159" t="str">
        <f t="shared" si="65"/>
        <v/>
      </c>
      <c r="BV77" s="159" t="str">
        <f t="shared" si="65"/>
        <v/>
      </c>
      <c r="BW77" s="159" t="str">
        <f t="shared" si="65"/>
        <v/>
      </c>
      <c r="BX77" s="159" t="str">
        <f t="shared" si="65"/>
        <v/>
      </c>
      <c r="BY77" s="159" t="str">
        <f t="shared" si="65"/>
        <v/>
      </c>
      <c r="BZ77" s="159" t="str">
        <f t="shared" si="65"/>
        <v/>
      </c>
      <c r="CA77" s="159" t="str">
        <f t="shared" si="65"/>
        <v/>
      </c>
      <c r="CB77" s="159" t="str">
        <f t="shared" si="65"/>
        <v/>
      </c>
      <c r="CC77" s="159" t="str">
        <f t="shared" si="65"/>
        <v/>
      </c>
      <c r="CD77" s="159" t="str">
        <f t="shared" si="65"/>
        <v/>
      </c>
      <c r="CE77" s="159" t="str">
        <f t="shared" si="65"/>
        <v/>
      </c>
      <c r="CF77" s="159" t="str">
        <f t="shared" si="65"/>
        <v/>
      </c>
      <c r="CG77" s="159" t="str">
        <f t="shared" si="65"/>
        <v/>
      </c>
      <c r="CH77" s="159" t="str">
        <f t="shared" si="65"/>
        <v/>
      </c>
      <c r="CI77" s="159" t="str">
        <f t="shared" si="65"/>
        <v/>
      </c>
      <c r="CJ77" s="159" t="str">
        <f t="shared" si="65"/>
        <v/>
      </c>
      <c r="CK77" s="159" t="str">
        <f t="shared" si="65"/>
        <v/>
      </c>
      <c r="CL77" s="159" t="str">
        <f t="shared" si="65"/>
        <v/>
      </c>
      <c r="CM77" s="159" t="str">
        <f t="shared" si="65"/>
        <v/>
      </c>
      <c r="CN77" s="159" t="str">
        <f t="shared" si="65"/>
        <v/>
      </c>
      <c r="CO77" s="159" t="str">
        <f t="shared" si="65"/>
        <v/>
      </c>
      <c r="CP77" s="159" t="str">
        <f t="shared" si="65"/>
        <v/>
      </c>
      <c r="CQ77" s="159" t="str">
        <f t="shared" si="65"/>
        <v/>
      </c>
      <c r="CR77" s="159" t="str">
        <f t="shared" si="65"/>
        <v/>
      </c>
      <c r="CS77" s="159" t="str">
        <f t="shared" si="65"/>
        <v/>
      </c>
      <c r="CT77" s="225" t="s">
        <v>54</v>
      </c>
      <c r="CU77" s="42"/>
      <c r="CV77" s="42"/>
      <c r="CY77" s="43"/>
    </row>
    <row r="78" spans="1:103" x14ac:dyDescent="0.25">
      <c r="A78" s="97">
        <f t="shared" si="48"/>
        <v>0</v>
      </c>
      <c r="B78" s="31">
        <f t="shared" si="49"/>
        <v>2005</v>
      </c>
      <c r="C78" s="158"/>
      <c r="D78" s="159" t="str">
        <f t="shared" ref="D78:BO78" si="66">IFERROR(IF(D51=1,D23/C23,""),"")</f>
        <v/>
      </c>
      <c r="E78" s="159" t="str">
        <f t="shared" si="66"/>
        <v/>
      </c>
      <c r="F78" s="159" t="str">
        <f t="shared" si="66"/>
        <v/>
      </c>
      <c r="G78" s="159" t="str">
        <f t="shared" si="66"/>
        <v/>
      </c>
      <c r="H78" s="159" t="str">
        <f t="shared" si="66"/>
        <v/>
      </c>
      <c r="I78" s="159" t="str">
        <f t="shared" si="66"/>
        <v/>
      </c>
      <c r="J78" s="159" t="str">
        <f t="shared" si="66"/>
        <v/>
      </c>
      <c r="K78" s="159" t="str">
        <f t="shared" si="66"/>
        <v/>
      </c>
      <c r="L78" s="159" t="str">
        <f t="shared" si="66"/>
        <v/>
      </c>
      <c r="M78" s="159" t="str">
        <f t="shared" si="66"/>
        <v/>
      </c>
      <c r="N78" s="159" t="str">
        <f t="shared" si="66"/>
        <v/>
      </c>
      <c r="O78" s="159" t="str">
        <f t="shared" si="66"/>
        <v/>
      </c>
      <c r="P78" s="159" t="str">
        <f t="shared" si="66"/>
        <v/>
      </c>
      <c r="Q78" s="159" t="str">
        <f t="shared" si="66"/>
        <v/>
      </c>
      <c r="R78" s="159" t="str">
        <f t="shared" si="66"/>
        <v/>
      </c>
      <c r="S78" s="159" t="str">
        <f t="shared" si="66"/>
        <v/>
      </c>
      <c r="T78" s="159" t="str">
        <f t="shared" si="66"/>
        <v/>
      </c>
      <c r="U78" s="159" t="str">
        <f t="shared" si="66"/>
        <v/>
      </c>
      <c r="V78" s="159" t="str">
        <f t="shared" si="66"/>
        <v/>
      </c>
      <c r="W78" s="159" t="str">
        <f t="shared" si="66"/>
        <v/>
      </c>
      <c r="X78" s="159" t="str">
        <f t="shared" si="66"/>
        <v/>
      </c>
      <c r="Y78" s="159" t="str">
        <f t="shared" si="66"/>
        <v/>
      </c>
      <c r="Z78" s="159" t="str">
        <f t="shared" si="66"/>
        <v/>
      </c>
      <c r="AA78" s="159" t="str">
        <f t="shared" si="66"/>
        <v/>
      </c>
      <c r="AB78" s="159" t="str">
        <f t="shared" si="66"/>
        <v/>
      </c>
      <c r="AC78" s="159" t="str">
        <f t="shared" si="66"/>
        <v/>
      </c>
      <c r="AD78" s="159" t="str">
        <f t="shared" si="66"/>
        <v/>
      </c>
      <c r="AE78" s="159" t="str">
        <f t="shared" si="66"/>
        <v/>
      </c>
      <c r="AF78" s="159" t="str">
        <f t="shared" si="66"/>
        <v/>
      </c>
      <c r="AG78" s="159" t="str">
        <f t="shared" si="66"/>
        <v/>
      </c>
      <c r="AH78" s="159" t="str">
        <f t="shared" si="66"/>
        <v/>
      </c>
      <c r="AI78" s="159" t="str">
        <f t="shared" si="66"/>
        <v/>
      </c>
      <c r="AJ78" s="159" t="str">
        <f t="shared" si="66"/>
        <v/>
      </c>
      <c r="AK78" s="159" t="str">
        <f t="shared" si="66"/>
        <v/>
      </c>
      <c r="AL78" s="159" t="str">
        <f t="shared" si="66"/>
        <v/>
      </c>
      <c r="AM78" s="159" t="str">
        <f t="shared" si="66"/>
        <v/>
      </c>
      <c r="AN78" s="159" t="str">
        <f t="shared" si="66"/>
        <v/>
      </c>
      <c r="AO78" s="159" t="str">
        <f t="shared" si="66"/>
        <v/>
      </c>
      <c r="AP78" s="159" t="str">
        <f t="shared" si="66"/>
        <v/>
      </c>
      <c r="AQ78" s="159" t="str">
        <f t="shared" si="66"/>
        <v/>
      </c>
      <c r="AR78" s="159" t="str">
        <f t="shared" si="66"/>
        <v/>
      </c>
      <c r="AS78" s="159" t="str">
        <f t="shared" si="66"/>
        <v/>
      </c>
      <c r="AT78" s="159" t="str">
        <f t="shared" si="66"/>
        <v/>
      </c>
      <c r="AU78" s="159" t="str">
        <f t="shared" si="66"/>
        <v/>
      </c>
      <c r="AV78" s="159" t="str">
        <f t="shared" si="66"/>
        <v/>
      </c>
      <c r="AW78" s="159" t="str">
        <f t="shared" si="66"/>
        <v/>
      </c>
      <c r="AX78" s="159" t="str">
        <f t="shared" si="66"/>
        <v/>
      </c>
      <c r="AY78" s="159" t="str">
        <f t="shared" si="66"/>
        <v/>
      </c>
      <c r="AZ78" s="159" t="str">
        <f t="shared" si="66"/>
        <v/>
      </c>
      <c r="BA78" s="159" t="str">
        <f t="shared" si="66"/>
        <v/>
      </c>
      <c r="BB78" s="159" t="str">
        <f t="shared" si="66"/>
        <v/>
      </c>
      <c r="BC78" s="159" t="str">
        <f t="shared" si="66"/>
        <v/>
      </c>
      <c r="BD78" s="159" t="str">
        <f t="shared" si="66"/>
        <v/>
      </c>
      <c r="BE78" s="159" t="str">
        <f t="shared" si="66"/>
        <v/>
      </c>
      <c r="BF78" s="159" t="str">
        <f t="shared" si="66"/>
        <v/>
      </c>
      <c r="BG78" s="159" t="str">
        <f t="shared" si="66"/>
        <v/>
      </c>
      <c r="BH78" s="159" t="str">
        <f t="shared" si="66"/>
        <v/>
      </c>
      <c r="BI78" s="159" t="str">
        <f t="shared" si="66"/>
        <v/>
      </c>
      <c r="BJ78" s="159" t="str">
        <f t="shared" si="66"/>
        <v/>
      </c>
      <c r="BK78" s="159" t="str">
        <f t="shared" si="66"/>
        <v/>
      </c>
      <c r="BL78" s="159" t="str">
        <f t="shared" si="66"/>
        <v/>
      </c>
      <c r="BM78" s="159" t="str">
        <f t="shared" si="66"/>
        <v/>
      </c>
      <c r="BN78" s="159" t="str">
        <f t="shared" si="66"/>
        <v/>
      </c>
      <c r="BO78" s="159" t="str">
        <f t="shared" si="66"/>
        <v/>
      </c>
      <c r="BP78" s="159" t="str">
        <f t="shared" ref="BP78:CS78" si="67">IFERROR(IF(BP51=1,BP23/BO23,""),"")</f>
        <v/>
      </c>
      <c r="BQ78" s="159" t="str">
        <f t="shared" si="67"/>
        <v/>
      </c>
      <c r="BR78" s="159" t="str">
        <f t="shared" si="67"/>
        <v/>
      </c>
      <c r="BS78" s="159" t="str">
        <f t="shared" si="67"/>
        <v/>
      </c>
      <c r="BT78" s="159" t="str">
        <f t="shared" si="67"/>
        <v/>
      </c>
      <c r="BU78" s="159" t="str">
        <f t="shared" si="67"/>
        <v/>
      </c>
      <c r="BV78" s="159" t="str">
        <f t="shared" si="67"/>
        <v/>
      </c>
      <c r="BW78" s="159" t="str">
        <f t="shared" si="67"/>
        <v/>
      </c>
      <c r="BX78" s="159" t="str">
        <f t="shared" si="67"/>
        <v/>
      </c>
      <c r="BY78" s="159" t="str">
        <f t="shared" si="67"/>
        <v/>
      </c>
      <c r="BZ78" s="159" t="str">
        <f t="shared" si="67"/>
        <v/>
      </c>
      <c r="CA78" s="159" t="str">
        <f t="shared" si="67"/>
        <v/>
      </c>
      <c r="CB78" s="159" t="str">
        <f t="shared" si="67"/>
        <v/>
      </c>
      <c r="CC78" s="159" t="str">
        <f t="shared" si="67"/>
        <v/>
      </c>
      <c r="CD78" s="159" t="str">
        <f t="shared" si="67"/>
        <v/>
      </c>
      <c r="CE78" s="159" t="str">
        <f t="shared" si="67"/>
        <v/>
      </c>
      <c r="CF78" s="159" t="str">
        <f t="shared" si="67"/>
        <v/>
      </c>
      <c r="CG78" s="159" t="str">
        <f t="shared" si="67"/>
        <v/>
      </c>
      <c r="CH78" s="159" t="str">
        <f t="shared" si="67"/>
        <v/>
      </c>
      <c r="CI78" s="159" t="str">
        <f t="shared" si="67"/>
        <v/>
      </c>
      <c r="CJ78" s="159" t="str">
        <f t="shared" si="67"/>
        <v/>
      </c>
      <c r="CK78" s="159" t="str">
        <f t="shared" si="67"/>
        <v/>
      </c>
      <c r="CL78" s="159" t="str">
        <f t="shared" si="67"/>
        <v/>
      </c>
      <c r="CM78" s="159" t="str">
        <f t="shared" si="67"/>
        <v/>
      </c>
      <c r="CN78" s="159" t="str">
        <f t="shared" si="67"/>
        <v/>
      </c>
      <c r="CO78" s="159" t="str">
        <f t="shared" si="67"/>
        <v/>
      </c>
      <c r="CP78" s="159" t="str">
        <f t="shared" si="67"/>
        <v/>
      </c>
      <c r="CQ78" s="159" t="str">
        <f t="shared" si="67"/>
        <v/>
      </c>
      <c r="CR78" s="159" t="str">
        <f t="shared" si="67"/>
        <v/>
      </c>
      <c r="CS78" s="159" t="str">
        <f t="shared" si="67"/>
        <v/>
      </c>
      <c r="CT78" s="225" t="s">
        <v>54</v>
      </c>
      <c r="CU78" s="42"/>
      <c r="CV78" s="42"/>
      <c r="CY78" s="43"/>
    </row>
    <row r="79" spans="1:103" x14ac:dyDescent="0.25">
      <c r="A79" s="97">
        <f t="shared" si="48"/>
        <v>0</v>
      </c>
      <c r="B79" s="31">
        <f t="shared" si="49"/>
        <v>2006</v>
      </c>
      <c r="C79" s="158"/>
      <c r="D79" s="159" t="str">
        <f t="shared" ref="D79:BO79" si="68">IFERROR(IF(D52=1,D24/C24,""),"")</f>
        <v/>
      </c>
      <c r="E79" s="159" t="str">
        <f t="shared" si="68"/>
        <v/>
      </c>
      <c r="F79" s="159" t="str">
        <f t="shared" si="68"/>
        <v/>
      </c>
      <c r="G79" s="159" t="str">
        <f t="shared" si="68"/>
        <v/>
      </c>
      <c r="H79" s="159" t="str">
        <f t="shared" si="68"/>
        <v/>
      </c>
      <c r="I79" s="159" t="str">
        <f t="shared" si="68"/>
        <v/>
      </c>
      <c r="J79" s="159" t="str">
        <f t="shared" si="68"/>
        <v/>
      </c>
      <c r="K79" s="159" t="str">
        <f t="shared" si="68"/>
        <v/>
      </c>
      <c r="L79" s="159" t="str">
        <f t="shared" si="68"/>
        <v/>
      </c>
      <c r="M79" s="159" t="str">
        <f t="shared" si="68"/>
        <v/>
      </c>
      <c r="N79" s="159" t="str">
        <f t="shared" si="68"/>
        <v/>
      </c>
      <c r="O79" s="159" t="str">
        <f t="shared" si="68"/>
        <v/>
      </c>
      <c r="P79" s="159" t="str">
        <f t="shared" si="68"/>
        <v/>
      </c>
      <c r="Q79" s="159" t="str">
        <f t="shared" si="68"/>
        <v/>
      </c>
      <c r="R79" s="159" t="str">
        <f t="shared" si="68"/>
        <v/>
      </c>
      <c r="S79" s="159" t="str">
        <f t="shared" si="68"/>
        <v/>
      </c>
      <c r="T79" s="159" t="str">
        <f t="shared" si="68"/>
        <v/>
      </c>
      <c r="U79" s="159" t="str">
        <f t="shared" si="68"/>
        <v/>
      </c>
      <c r="V79" s="159" t="str">
        <f t="shared" si="68"/>
        <v/>
      </c>
      <c r="W79" s="159" t="str">
        <f t="shared" si="68"/>
        <v/>
      </c>
      <c r="X79" s="159" t="str">
        <f t="shared" si="68"/>
        <v/>
      </c>
      <c r="Y79" s="159" t="str">
        <f t="shared" si="68"/>
        <v/>
      </c>
      <c r="Z79" s="159" t="str">
        <f t="shared" si="68"/>
        <v/>
      </c>
      <c r="AA79" s="159" t="str">
        <f t="shared" si="68"/>
        <v/>
      </c>
      <c r="AB79" s="159" t="str">
        <f t="shared" si="68"/>
        <v/>
      </c>
      <c r="AC79" s="159" t="str">
        <f t="shared" si="68"/>
        <v/>
      </c>
      <c r="AD79" s="159" t="str">
        <f t="shared" si="68"/>
        <v/>
      </c>
      <c r="AE79" s="159" t="str">
        <f t="shared" si="68"/>
        <v/>
      </c>
      <c r="AF79" s="159" t="str">
        <f t="shared" si="68"/>
        <v/>
      </c>
      <c r="AG79" s="159" t="str">
        <f t="shared" si="68"/>
        <v/>
      </c>
      <c r="AH79" s="159" t="str">
        <f t="shared" si="68"/>
        <v/>
      </c>
      <c r="AI79" s="159" t="str">
        <f t="shared" si="68"/>
        <v/>
      </c>
      <c r="AJ79" s="159" t="str">
        <f t="shared" si="68"/>
        <v/>
      </c>
      <c r="AK79" s="159" t="str">
        <f t="shared" si="68"/>
        <v/>
      </c>
      <c r="AL79" s="159" t="str">
        <f t="shared" si="68"/>
        <v/>
      </c>
      <c r="AM79" s="159" t="str">
        <f t="shared" si="68"/>
        <v/>
      </c>
      <c r="AN79" s="159" t="str">
        <f t="shared" si="68"/>
        <v/>
      </c>
      <c r="AO79" s="159" t="str">
        <f t="shared" si="68"/>
        <v/>
      </c>
      <c r="AP79" s="159" t="str">
        <f t="shared" si="68"/>
        <v/>
      </c>
      <c r="AQ79" s="159" t="str">
        <f t="shared" si="68"/>
        <v/>
      </c>
      <c r="AR79" s="159" t="str">
        <f t="shared" si="68"/>
        <v/>
      </c>
      <c r="AS79" s="159" t="str">
        <f t="shared" si="68"/>
        <v/>
      </c>
      <c r="AT79" s="159" t="str">
        <f t="shared" si="68"/>
        <v/>
      </c>
      <c r="AU79" s="159" t="str">
        <f t="shared" si="68"/>
        <v/>
      </c>
      <c r="AV79" s="159" t="str">
        <f t="shared" si="68"/>
        <v/>
      </c>
      <c r="AW79" s="159" t="str">
        <f t="shared" si="68"/>
        <v/>
      </c>
      <c r="AX79" s="159" t="str">
        <f t="shared" si="68"/>
        <v/>
      </c>
      <c r="AY79" s="159" t="str">
        <f t="shared" si="68"/>
        <v/>
      </c>
      <c r="AZ79" s="159" t="str">
        <f t="shared" si="68"/>
        <v/>
      </c>
      <c r="BA79" s="159" t="str">
        <f t="shared" si="68"/>
        <v/>
      </c>
      <c r="BB79" s="159" t="str">
        <f t="shared" si="68"/>
        <v/>
      </c>
      <c r="BC79" s="159" t="str">
        <f t="shared" si="68"/>
        <v/>
      </c>
      <c r="BD79" s="159" t="str">
        <f t="shared" si="68"/>
        <v/>
      </c>
      <c r="BE79" s="159" t="str">
        <f t="shared" si="68"/>
        <v/>
      </c>
      <c r="BF79" s="159" t="str">
        <f t="shared" si="68"/>
        <v/>
      </c>
      <c r="BG79" s="159" t="str">
        <f t="shared" si="68"/>
        <v/>
      </c>
      <c r="BH79" s="159" t="str">
        <f t="shared" si="68"/>
        <v/>
      </c>
      <c r="BI79" s="159" t="str">
        <f t="shared" si="68"/>
        <v/>
      </c>
      <c r="BJ79" s="159" t="str">
        <f t="shared" si="68"/>
        <v/>
      </c>
      <c r="BK79" s="159" t="str">
        <f t="shared" si="68"/>
        <v/>
      </c>
      <c r="BL79" s="159" t="str">
        <f t="shared" si="68"/>
        <v/>
      </c>
      <c r="BM79" s="159" t="str">
        <f t="shared" si="68"/>
        <v/>
      </c>
      <c r="BN79" s="159" t="str">
        <f t="shared" si="68"/>
        <v/>
      </c>
      <c r="BO79" s="159" t="str">
        <f t="shared" si="68"/>
        <v/>
      </c>
      <c r="BP79" s="159" t="str">
        <f t="shared" ref="BP79:CS79" si="69">IFERROR(IF(BP52=1,BP24/BO24,""),"")</f>
        <v/>
      </c>
      <c r="BQ79" s="159" t="str">
        <f t="shared" si="69"/>
        <v/>
      </c>
      <c r="BR79" s="159" t="str">
        <f t="shared" si="69"/>
        <v/>
      </c>
      <c r="BS79" s="159" t="str">
        <f t="shared" si="69"/>
        <v/>
      </c>
      <c r="BT79" s="159" t="str">
        <f t="shared" si="69"/>
        <v/>
      </c>
      <c r="BU79" s="159" t="str">
        <f t="shared" si="69"/>
        <v/>
      </c>
      <c r="BV79" s="159" t="str">
        <f t="shared" si="69"/>
        <v/>
      </c>
      <c r="BW79" s="159" t="str">
        <f t="shared" si="69"/>
        <v/>
      </c>
      <c r="BX79" s="159" t="str">
        <f t="shared" si="69"/>
        <v/>
      </c>
      <c r="BY79" s="159" t="str">
        <f t="shared" si="69"/>
        <v/>
      </c>
      <c r="BZ79" s="159" t="str">
        <f t="shared" si="69"/>
        <v/>
      </c>
      <c r="CA79" s="159" t="str">
        <f t="shared" si="69"/>
        <v/>
      </c>
      <c r="CB79" s="159" t="str">
        <f t="shared" si="69"/>
        <v/>
      </c>
      <c r="CC79" s="159" t="str">
        <f t="shared" si="69"/>
        <v/>
      </c>
      <c r="CD79" s="159" t="str">
        <f t="shared" si="69"/>
        <v/>
      </c>
      <c r="CE79" s="159" t="str">
        <f t="shared" si="69"/>
        <v/>
      </c>
      <c r="CF79" s="159" t="str">
        <f t="shared" si="69"/>
        <v/>
      </c>
      <c r="CG79" s="159" t="str">
        <f t="shared" si="69"/>
        <v/>
      </c>
      <c r="CH79" s="159" t="str">
        <f t="shared" si="69"/>
        <v/>
      </c>
      <c r="CI79" s="159" t="str">
        <f t="shared" si="69"/>
        <v/>
      </c>
      <c r="CJ79" s="159" t="str">
        <f t="shared" si="69"/>
        <v/>
      </c>
      <c r="CK79" s="159" t="str">
        <f t="shared" si="69"/>
        <v/>
      </c>
      <c r="CL79" s="159" t="str">
        <f t="shared" si="69"/>
        <v/>
      </c>
      <c r="CM79" s="159" t="str">
        <f t="shared" si="69"/>
        <v/>
      </c>
      <c r="CN79" s="159" t="str">
        <f t="shared" si="69"/>
        <v/>
      </c>
      <c r="CO79" s="159" t="str">
        <f t="shared" si="69"/>
        <v/>
      </c>
      <c r="CP79" s="159" t="str">
        <f t="shared" si="69"/>
        <v/>
      </c>
      <c r="CQ79" s="159" t="str">
        <f t="shared" si="69"/>
        <v/>
      </c>
      <c r="CR79" s="159" t="str">
        <f t="shared" si="69"/>
        <v/>
      </c>
      <c r="CS79" s="159" t="str">
        <f t="shared" si="69"/>
        <v/>
      </c>
      <c r="CT79" s="225" t="s">
        <v>54</v>
      </c>
      <c r="CU79" s="42"/>
      <c r="CV79" s="42"/>
      <c r="CY79" s="43"/>
    </row>
    <row r="80" spans="1:103" x14ac:dyDescent="0.25">
      <c r="A80" s="97">
        <f t="shared" si="48"/>
        <v>0</v>
      </c>
      <c r="B80" s="31">
        <f t="shared" si="49"/>
        <v>2007</v>
      </c>
      <c r="C80" s="158"/>
      <c r="D80" s="159" t="str">
        <f t="shared" ref="D80:BO80" si="70">IFERROR(IF(D53=1,D25/C25,""),"")</f>
        <v/>
      </c>
      <c r="E80" s="159" t="str">
        <f t="shared" si="70"/>
        <v/>
      </c>
      <c r="F80" s="159" t="str">
        <f t="shared" si="70"/>
        <v/>
      </c>
      <c r="G80" s="159" t="str">
        <f t="shared" si="70"/>
        <v/>
      </c>
      <c r="H80" s="159" t="str">
        <f t="shared" si="70"/>
        <v/>
      </c>
      <c r="I80" s="159" t="str">
        <f t="shared" si="70"/>
        <v/>
      </c>
      <c r="J80" s="159" t="str">
        <f t="shared" si="70"/>
        <v/>
      </c>
      <c r="K80" s="159" t="str">
        <f t="shared" si="70"/>
        <v/>
      </c>
      <c r="L80" s="159" t="str">
        <f t="shared" si="70"/>
        <v/>
      </c>
      <c r="M80" s="159" t="str">
        <f t="shared" si="70"/>
        <v/>
      </c>
      <c r="N80" s="159" t="str">
        <f t="shared" si="70"/>
        <v/>
      </c>
      <c r="O80" s="159" t="str">
        <f t="shared" si="70"/>
        <v/>
      </c>
      <c r="P80" s="159" t="str">
        <f t="shared" si="70"/>
        <v/>
      </c>
      <c r="Q80" s="159" t="str">
        <f t="shared" si="70"/>
        <v/>
      </c>
      <c r="R80" s="159" t="str">
        <f t="shared" si="70"/>
        <v/>
      </c>
      <c r="S80" s="159" t="str">
        <f t="shared" si="70"/>
        <v/>
      </c>
      <c r="T80" s="159" t="str">
        <f t="shared" si="70"/>
        <v/>
      </c>
      <c r="U80" s="159" t="str">
        <f t="shared" si="70"/>
        <v/>
      </c>
      <c r="V80" s="159" t="str">
        <f t="shared" si="70"/>
        <v/>
      </c>
      <c r="W80" s="159" t="str">
        <f t="shared" si="70"/>
        <v/>
      </c>
      <c r="X80" s="159" t="str">
        <f t="shared" si="70"/>
        <v/>
      </c>
      <c r="Y80" s="159" t="str">
        <f t="shared" si="70"/>
        <v/>
      </c>
      <c r="Z80" s="159" t="str">
        <f t="shared" si="70"/>
        <v/>
      </c>
      <c r="AA80" s="159" t="str">
        <f t="shared" si="70"/>
        <v/>
      </c>
      <c r="AB80" s="159" t="str">
        <f t="shared" si="70"/>
        <v/>
      </c>
      <c r="AC80" s="159" t="str">
        <f t="shared" si="70"/>
        <v/>
      </c>
      <c r="AD80" s="159" t="str">
        <f t="shared" si="70"/>
        <v/>
      </c>
      <c r="AE80" s="159" t="str">
        <f t="shared" si="70"/>
        <v/>
      </c>
      <c r="AF80" s="159" t="str">
        <f t="shared" si="70"/>
        <v/>
      </c>
      <c r="AG80" s="159" t="str">
        <f t="shared" si="70"/>
        <v/>
      </c>
      <c r="AH80" s="159" t="str">
        <f t="shared" si="70"/>
        <v/>
      </c>
      <c r="AI80" s="159" t="str">
        <f t="shared" si="70"/>
        <v/>
      </c>
      <c r="AJ80" s="159" t="str">
        <f t="shared" si="70"/>
        <v/>
      </c>
      <c r="AK80" s="159" t="str">
        <f t="shared" si="70"/>
        <v/>
      </c>
      <c r="AL80" s="159" t="str">
        <f t="shared" si="70"/>
        <v/>
      </c>
      <c r="AM80" s="159" t="str">
        <f t="shared" si="70"/>
        <v/>
      </c>
      <c r="AN80" s="159" t="str">
        <f t="shared" si="70"/>
        <v/>
      </c>
      <c r="AO80" s="159" t="str">
        <f t="shared" si="70"/>
        <v/>
      </c>
      <c r="AP80" s="159" t="str">
        <f t="shared" si="70"/>
        <v/>
      </c>
      <c r="AQ80" s="159" t="str">
        <f t="shared" si="70"/>
        <v/>
      </c>
      <c r="AR80" s="159" t="str">
        <f t="shared" si="70"/>
        <v/>
      </c>
      <c r="AS80" s="159" t="str">
        <f t="shared" si="70"/>
        <v/>
      </c>
      <c r="AT80" s="159" t="str">
        <f t="shared" si="70"/>
        <v/>
      </c>
      <c r="AU80" s="159" t="str">
        <f t="shared" si="70"/>
        <v/>
      </c>
      <c r="AV80" s="159" t="str">
        <f t="shared" si="70"/>
        <v/>
      </c>
      <c r="AW80" s="159" t="str">
        <f t="shared" si="70"/>
        <v/>
      </c>
      <c r="AX80" s="159" t="str">
        <f t="shared" si="70"/>
        <v/>
      </c>
      <c r="AY80" s="159" t="str">
        <f t="shared" si="70"/>
        <v/>
      </c>
      <c r="AZ80" s="159" t="str">
        <f t="shared" si="70"/>
        <v/>
      </c>
      <c r="BA80" s="159" t="str">
        <f t="shared" si="70"/>
        <v/>
      </c>
      <c r="BB80" s="159" t="str">
        <f t="shared" si="70"/>
        <v/>
      </c>
      <c r="BC80" s="159" t="str">
        <f t="shared" si="70"/>
        <v/>
      </c>
      <c r="BD80" s="159" t="str">
        <f t="shared" si="70"/>
        <v/>
      </c>
      <c r="BE80" s="159" t="str">
        <f t="shared" si="70"/>
        <v/>
      </c>
      <c r="BF80" s="159" t="str">
        <f t="shared" si="70"/>
        <v/>
      </c>
      <c r="BG80" s="159" t="str">
        <f t="shared" si="70"/>
        <v/>
      </c>
      <c r="BH80" s="159" t="str">
        <f t="shared" si="70"/>
        <v/>
      </c>
      <c r="BI80" s="159" t="str">
        <f t="shared" si="70"/>
        <v/>
      </c>
      <c r="BJ80" s="159" t="str">
        <f t="shared" si="70"/>
        <v/>
      </c>
      <c r="BK80" s="159" t="str">
        <f t="shared" si="70"/>
        <v/>
      </c>
      <c r="BL80" s="159" t="str">
        <f t="shared" si="70"/>
        <v/>
      </c>
      <c r="BM80" s="159" t="str">
        <f t="shared" si="70"/>
        <v/>
      </c>
      <c r="BN80" s="159" t="str">
        <f t="shared" si="70"/>
        <v/>
      </c>
      <c r="BO80" s="159" t="str">
        <f t="shared" si="70"/>
        <v/>
      </c>
      <c r="BP80" s="159" t="str">
        <f t="shared" ref="BP80:CS80" si="71">IFERROR(IF(BP53=1,BP25/BO25,""),"")</f>
        <v/>
      </c>
      <c r="BQ80" s="159" t="str">
        <f t="shared" si="71"/>
        <v/>
      </c>
      <c r="BR80" s="159" t="str">
        <f t="shared" si="71"/>
        <v/>
      </c>
      <c r="BS80" s="159" t="str">
        <f t="shared" si="71"/>
        <v/>
      </c>
      <c r="BT80" s="159" t="str">
        <f t="shared" si="71"/>
        <v/>
      </c>
      <c r="BU80" s="159" t="str">
        <f t="shared" si="71"/>
        <v/>
      </c>
      <c r="BV80" s="159" t="str">
        <f t="shared" si="71"/>
        <v/>
      </c>
      <c r="BW80" s="159" t="str">
        <f t="shared" si="71"/>
        <v/>
      </c>
      <c r="BX80" s="159" t="str">
        <f t="shared" si="71"/>
        <v/>
      </c>
      <c r="BY80" s="159" t="str">
        <f t="shared" si="71"/>
        <v/>
      </c>
      <c r="BZ80" s="159" t="str">
        <f t="shared" si="71"/>
        <v/>
      </c>
      <c r="CA80" s="159" t="str">
        <f t="shared" si="71"/>
        <v/>
      </c>
      <c r="CB80" s="159" t="str">
        <f t="shared" si="71"/>
        <v/>
      </c>
      <c r="CC80" s="159" t="str">
        <f t="shared" si="71"/>
        <v/>
      </c>
      <c r="CD80" s="159" t="str">
        <f t="shared" si="71"/>
        <v/>
      </c>
      <c r="CE80" s="159" t="str">
        <f t="shared" si="71"/>
        <v/>
      </c>
      <c r="CF80" s="159" t="str">
        <f t="shared" si="71"/>
        <v/>
      </c>
      <c r="CG80" s="159" t="str">
        <f t="shared" si="71"/>
        <v/>
      </c>
      <c r="CH80" s="159" t="str">
        <f t="shared" si="71"/>
        <v/>
      </c>
      <c r="CI80" s="159" t="str">
        <f t="shared" si="71"/>
        <v/>
      </c>
      <c r="CJ80" s="159" t="str">
        <f t="shared" si="71"/>
        <v/>
      </c>
      <c r="CK80" s="159" t="str">
        <f t="shared" si="71"/>
        <v/>
      </c>
      <c r="CL80" s="159" t="str">
        <f t="shared" si="71"/>
        <v/>
      </c>
      <c r="CM80" s="159" t="str">
        <f t="shared" si="71"/>
        <v/>
      </c>
      <c r="CN80" s="159" t="str">
        <f t="shared" si="71"/>
        <v/>
      </c>
      <c r="CO80" s="159" t="str">
        <f t="shared" si="71"/>
        <v/>
      </c>
      <c r="CP80" s="159" t="str">
        <f t="shared" si="71"/>
        <v/>
      </c>
      <c r="CQ80" s="159" t="str">
        <f t="shared" si="71"/>
        <v/>
      </c>
      <c r="CR80" s="159" t="str">
        <f t="shared" si="71"/>
        <v/>
      </c>
      <c r="CS80" s="159" t="str">
        <f t="shared" si="71"/>
        <v/>
      </c>
      <c r="CT80" s="225" t="s">
        <v>54</v>
      </c>
      <c r="CU80" s="42"/>
      <c r="CV80" s="42"/>
      <c r="CY80" s="43"/>
    </row>
    <row r="81" spans="1:103" x14ac:dyDescent="0.25">
      <c r="A81" s="97">
        <f t="shared" si="48"/>
        <v>0</v>
      </c>
      <c r="B81" s="31">
        <f t="shared" si="49"/>
        <v>2008</v>
      </c>
      <c r="C81" s="158"/>
      <c r="D81" s="159" t="str">
        <f t="shared" ref="D81:BO81" si="72">IFERROR(IF(D54=1,D26/C26,""),"")</f>
        <v/>
      </c>
      <c r="E81" s="159" t="str">
        <f t="shared" si="72"/>
        <v/>
      </c>
      <c r="F81" s="159" t="str">
        <f t="shared" si="72"/>
        <v/>
      </c>
      <c r="G81" s="159" t="str">
        <f t="shared" si="72"/>
        <v/>
      </c>
      <c r="H81" s="159" t="str">
        <f t="shared" si="72"/>
        <v/>
      </c>
      <c r="I81" s="159" t="str">
        <f t="shared" si="72"/>
        <v/>
      </c>
      <c r="J81" s="159" t="str">
        <f t="shared" si="72"/>
        <v/>
      </c>
      <c r="K81" s="159" t="str">
        <f t="shared" si="72"/>
        <v/>
      </c>
      <c r="L81" s="159" t="str">
        <f t="shared" si="72"/>
        <v/>
      </c>
      <c r="M81" s="159" t="str">
        <f t="shared" si="72"/>
        <v/>
      </c>
      <c r="N81" s="159" t="str">
        <f t="shared" si="72"/>
        <v/>
      </c>
      <c r="O81" s="159" t="str">
        <f t="shared" si="72"/>
        <v/>
      </c>
      <c r="P81" s="159" t="str">
        <f t="shared" si="72"/>
        <v/>
      </c>
      <c r="Q81" s="159" t="str">
        <f t="shared" si="72"/>
        <v/>
      </c>
      <c r="R81" s="159" t="str">
        <f t="shared" si="72"/>
        <v/>
      </c>
      <c r="S81" s="159" t="str">
        <f t="shared" si="72"/>
        <v/>
      </c>
      <c r="T81" s="159" t="str">
        <f t="shared" si="72"/>
        <v/>
      </c>
      <c r="U81" s="159" t="str">
        <f t="shared" si="72"/>
        <v/>
      </c>
      <c r="V81" s="159" t="str">
        <f t="shared" si="72"/>
        <v/>
      </c>
      <c r="W81" s="159" t="str">
        <f t="shared" si="72"/>
        <v/>
      </c>
      <c r="X81" s="159" t="str">
        <f t="shared" si="72"/>
        <v/>
      </c>
      <c r="Y81" s="159" t="str">
        <f t="shared" si="72"/>
        <v/>
      </c>
      <c r="Z81" s="159" t="str">
        <f t="shared" si="72"/>
        <v/>
      </c>
      <c r="AA81" s="159" t="str">
        <f t="shared" si="72"/>
        <v/>
      </c>
      <c r="AB81" s="159" t="str">
        <f t="shared" si="72"/>
        <v/>
      </c>
      <c r="AC81" s="159" t="str">
        <f t="shared" si="72"/>
        <v/>
      </c>
      <c r="AD81" s="159" t="str">
        <f t="shared" si="72"/>
        <v/>
      </c>
      <c r="AE81" s="159" t="str">
        <f t="shared" si="72"/>
        <v/>
      </c>
      <c r="AF81" s="159" t="str">
        <f t="shared" si="72"/>
        <v/>
      </c>
      <c r="AG81" s="159" t="str">
        <f t="shared" si="72"/>
        <v/>
      </c>
      <c r="AH81" s="159" t="str">
        <f t="shared" si="72"/>
        <v/>
      </c>
      <c r="AI81" s="159" t="str">
        <f t="shared" si="72"/>
        <v/>
      </c>
      <c r="AJ81" s="159" t="str">
        <f t="shared" si="72"/>
        <v/>
      </c>
      <c r="AK81" s="159" t="str">
        <f t="shared" si="72"/>
        <v/>
      </c>
      <c r="AL81" s="159" t="str">
        <f t="shared" si="72"/>
        <v/>
      </c>
      <c r="AM81" s="159" t="str">
        <f t="shared" si="72"/>
        <v/>
      </c>
      <c r="AN81" s="159" t="str">
        <f t="shared" si="72"/>
        <v/>
      </c>
      <c r="AO81" s="159" t="str">
        <f t="shared" si="72"/>
        <v/>
      </c>
      <c r="AP81" s="159" t="str">
        <f t="shared" si="72"/>
        <v/>
      </c>
      <c r="AQ81" s="159" t="str">
        <f t="shared" si="72"/>
        <v/>
      </c>
      <c r="AR81" s="159" t="str">
        <f t="shared" si="72"/>
        <v/>
      </c>
      <c r="AS81" s="159" t="str">
        <f t="shared" si="72"/>
        <v/>
      </c>
      <c r="AT81" s="159" t="str">
        <f t="shared" si="72"/>
        <v/>
      </c>
      <c r="AU81" s="159" t="str">
        <f t="shared" si="72"/>
        <v/>
      </c>
      <c r="AV81" s="159" t="str">
        <f t="shared" si="72"/>
        <v/>
      </c>
      <c r="AW81" s="159" t="str">
        <f t="shared" si="72"/>
        <v/>
      </c>
      <c r="AX81" s="159" t="str">
        <f t="shared" si="72"/>
        <v/>
      </c>
      <c r="AY81" s="159" t="str">
        <f t="shared" si="72"/>
        <v/>
      </c>
      <c r="AZ81" s="159" t="str">
        <f t="shared" si="72"/>
        <v/>
      </c>
      <c r="BA81" s="159" t="str">
        <f t="shared" si="72"/>
        <v/>
      </c>
      <c r="BB81" s="159" t="str">
        <f t="shared" si="72"/>
        <v/>
      </c>
      <c r="BC81" s="159" t="str">
        <f t="shared" si="72"/>
        <v/>
      </c>
      <c r="BD81" s="159" t="str">
        <f t="shared" si="72"/>
        <v/>
      </c>
      <c r="BE81" s="159" t="str">
        <f t="shared" si="72"/>
        <v/>
      </c>
      <c r="BF81" s="159" t="str">
        <f t="shared" si="72"/>
        <v/>
      </c>
      <c r="BG81" s="159" t="str">
        <f t="shared" si="72"/>
        <v/>
      </c>
      <c r="BH81" s="159" t="str">
        <f t="shared" si="72"/>
        <v/>
      </c>
      <c r="BI81" s="159" t="str">
        <f t="shared" si="72"/>
        <v/>
      </c>
      <c r="BJ81" s="159" t="str">
        <f t="shared" si="72"/>
        <v/>
      </c>
      <c r="BK81" s="159" t="str">
        <f t="shared" si="72"/>
        <v/>
      </c>
      <c r="BL81" s="159" t="str">
        <f t="shared" si="72"/>
        <v/>
      </c>
      <c r="BM81" s="159" t="str">
        <f t="shared" si="72"/>
        <v/>
      </c>
      <c r="BN81" s="159" t="str">
        <f t="shared" si="72"/>
        <v/>
      </c>
      <c r="BO81" s="159" t="str">
        <f t="shared" si="72"/>
        <v/>
      </c>
      <c r="BP81" s="159" t="str">
        <f t="shared" ref="BP81:CS81" si="73">IFERROR(IF(BP54=1,BP26/BO26,""),"")</f>
        <v/>
      </c>
      <c r="BQ81" s="159" t="str">
        <f t="shared" si="73"/>
        <v/>
      </c>
      <c r="BR81" s="159" t="str">
        <f t="shared" si="73"/>
        <v/>
      </c>
      <c r="BS81" s="159" t="str">
        <f t="shared" si="73"/>
        <v/>
      </c>
      <c r="BT81" s="159" t="str">
        <f t="shared" si="73"/>
        <v/>
      </c>
      <c r="BU81" s="159" t="str">
        <f t="shared" si="73"/>
        <v/>
      </c>
      <c r="BV81" s="159" t="str">
        <f t="shared" si="73"/>
        <v/>
      </c>
      <c r="BW81" s="159" t="str">
        <f t="shared" si="73"/>
        <v/>
      </c>
      <c r="BX81" s="159" t="str">
        <f t="shared" si="73"/>
        <v/>
      </c>
      <c r="BY81" s="159" t="str">
        <f t="shared" si="73"/>
        <v/>
      </c>
      <c r="BZ81" s="159" t="str">
        <f t="shared" si="73"/>
        <v/>
      </c>
      <c r="CA81" s="159" t="str">
        <f t="shared" si="73"/>
        <v/>
      </c>
      <c r="CB81" s="159" t="str">
        <f t="shared" si="73"/>
        <v/>
      </c>
      <c r="CC81" s="159" t="str">
        <f t="shared" si="73"/>
        <v/>
      </c>
      <c r="CD81" s="159" t="str">
        <f t="shared" si="73"/>
        <v/>
      </c>
      <c r="CE81" s="159" t="str">
        <f t="shared" si="73"/>
        <v/>
      </c>
      <c r="CF81" s="159" t="str">
        <f t="shared" si="73"/>
        <v/>
      </c>
      <c r="CG81" s="159" t="str">
        <f t="shared" si="73"/>
        <v/>
      </c>
      <c r="CH81" s="159" t="str">
        <f t="shared" si="73"/>
        <v/>
      </c>
      <c r="CI81" s="159" t="str">
        <f t="shared" si="73"/>
        <v/>
      </c>
      <c r="CJ81" s="159" t="str">
        <f t="shared" si="73"/>
        <v/>
      </c>
      <c r="CK81" s="159" t="str">
        <f t="shared" si="73"/>
        <v/>
      </c>
      <c r="CL81" s="159" t="str">
        <f t="shared" si="73"/>
        <v/>
      </c>
      <c r="CM81" s="159" t="str">
        <f t="shared" si="73"/>
        <v/>
      </c>
      <c r="CN81" s="159" t="str">
        <f t="shared" si="73"/>
        <v/>
      </c>
      <c r="CO81" s="159" t="str">
        <f t="shared" si="73"/>
        <v/>
      </c>
      <c r="CP81" s="159" t="str">
        <f t="shared" si="73"/>
        <v/>
      </c>
      <c r="CQ81" s="159" t="str">
        <f t="shared" si="73"/>
        <v/>
      </c>
      <c r="CR81" s="159" t="str">
        <f t="shared" si="73"/>
        <v/>
      </c>
      <c r="CS81" s="159" t="str">
        <f t="shared" si="73"/>
        <v/>
      </c>
      <c r="CT81" s="225" t="s">
        <v>54</v>
      </c>
      <c r="CU81" s="42"/>
      <c r="CV81" s="42"/>
      <c r="CY81" s="43"/>
    </row>
    <row r="82" spans="1:103" x14ac:dyDescent="0.25">
      <c r="A82" s="97">
        <f t="shared" si="48"/>
        <v>0</v>
      </c>
      <c r="B82" s="31">
        <f t="shared" si="49"/>
        <v>2009</v>
      </c>
      <c r="C82" s="158"/>
      <c r="D82" s="159" t="str">
        <f t="shared" ref="D82:BO82" si="74">IFERROR(IF(D55=1,D27/C27,""),"")</f>
        <v/>
      </c>
      <c r="E82" s="159" t="str">
        <f t="shared" si="74"/>
        <v/>
      </c>
      <c r="F82" s="159" t="str">
        <f t="shared" si="74"/>
        <v/>
      </c>
      <c r="G82" s="159" t="str">
        <f t="shared" si="74"/>
        <v/>
      </c>
      <c r="H82" s="159" t="str">
        <f t="shared" si="74"/>
        <v/>
      </c>
      <c r="I82" s="159" t="str">
        <f t="shared" si="74"/>
        <v/>
      </c>
      <c r="J82" s="159" t="str">
        <f t="shared" si="74"/>
        <v/>
      </c>
      <c r="K82" s="159" t="str">
        <f t="shared" si="74"/>
        <v/>
      </c>
      <c r="L82" s="159" t="str">
        <f t="shared" si="74"/>
        <v/>
      </c>
      <c r="M82" s="159" t="str">
        <f t="shared" si="74"/>
        <v/>
      </c>
      <c r="N82" s="159" t="str">
        <f t="shared" si="74"/>
        <v/>
      </c>
      <c r="O82" s="159" t="str">
        <f t="shared" si="74"/>
        <v/>
      </c>
      <c r="P82" s="159" t="str">
        <f t="shared" si="74"/>
        <v/>
      </c>
      <c r="Q82" s="159" t="str">
        <f t="shared" si="74"/>
        <v/>
      </c>
      <c r="R82" s="159" t="str">
        <f t="shared" si="74"/>
        <v/>
      </c>
      <c r="S82" s="159" t="str">
        <f t="shared" si="74"/>
        <v/>
      </c>
      <c r="T82" s="159" t="str">
        <f t="shared" si="74"/>
        <v/>
      </c>
      <c r="U82" s="159" t="str">
        <f t="shared" si="74"/>
        <v/>
      </c>
      <c r="V82" s="159" t="str">
        <f t="shared" si="74"/>
        <v/>
      </c>
      <c r="W82" s="159" t="str">
        <f t="shared" si="74"/>
        <v/>
      </c>
      <c r="X82" s="159" t="str">
        <f t="shared" si="74"/>
        <v/>
      </c>
      <c r="Y82" s="159" t="str">
        <f t="shared" si="74"/>
        <v/>
      </c>
      <c r="Z82" s="159" t="str">
        <f t="shared" si="74"/>
        <v/>
      </c>
      <c r="AA82" s="159" t="str">
        <f t="shared" si="74"/>
        <v/>
      </c>
      <c r="AB82" s="159" t="str">
        <f t="shared" si="74"/>
        <v/>
      </c>
      <c r="AC82" s="159" t="str">
        <f t="shared" si="74"/>
        <v/>
      </c>
      <c r="AD82" s="159" t="str">
        <f t="shared" si="74"/>
        <v/>
      </c>
      <c r="AE82" s="159" t="str">
        <f t="shared" si="74"/>
        <v/>
      </c>
      <c r="AF82" s="159" t="str">
        <f t="shared" si="74"/>
        <v/>
      </c>
      <c r="AG82" s="159" t="str">
        <f t="shared" si="74"/>
        <v/>
      </c>
      <c r="AH82" s="159" t="str">
        <f t="shared" si="74"/>
        <v/>
      </c>
      <c r="AI82" s="159" t="str">
        <f t="shared" si="74"/>
        <v/>
      </c>
      <c r="AJ82" s="159" t="str">
        <f t="shared" si="74"/>
        <v/>
      </c>
      <c r="AK82" s="159" t="str">
        <f t="shared" si="74"/>
        <v/>
      </c>
      <c r="AL82" s="159" t="str">
        <f t="shared" si="74"/>
        <v/>
      </c>
      <c r="AM82" s="159" t="str">
        <f t="shared" si="74"/>
        <v/>
      </c>
      <c r="AN82" s="159" t="str">
        <f t="shared" si="74"/>
        <v/>
      </c>
      <c r="AO82" s="159" t="str">
        <f t="shared" si="74"/>
        <v/>
      </c>
      <c r="AP82" s="159" t="str">
        <f t="shared" si="74"/>
        <v/>
      </c>
      <c r="AQ82" s="159" t="str">
        <f t="shared" si="74"/>
        <v/>
      </c>
      <c r="AR82" s="159" t="str">
        <f t="shared" si="74"/>
        <v/>
      </c>
      <c r="AS82" s="159" t="str">
        <f t="shared" si="74"/>
        <v/>
      </c>
      <c r="AT82" s="159" t="str">
        <f t="shared" si="74"/>
        <v/>
      </c>
      <c r="AU82" s="159" t="str">
        <f t="shared" si="74"/>
        <v/>
      </c>
      <c r="AV82" s="159" t="str">
        <f t="shared" si="74"/>
        <v/>
      </c>
      <c r="AW82" s="159" t="str">
        <f t="shared" si="74"/>
        <v/>
      </c>
      <c r="AX82" s="159" t="str">
        <f t="shared" si="74"/>
        <v/>
      </c>
      <c r="AY82" s="159" t="str">
        <f t="shared" si="74"/>
        <v/>
      </c>
      <c r="AZ82" s="159" t="str">
        <f t="shared" si="74"/>
        <v/>
      </c>
      <c r="BA82" s="159" t="str">
        <f t="shared" si="74"/>
        <v/>
      </c>
      <c r="BB82" s="159" t="str">
        <f t="shared" si="74"/>
        <v/>
      </c>
      <c r="BC82" s="159" t="str">
        <f t="shared" si="74"/>
        <v/>
      </c>
      <c r="BD82" s="159" t="str">
        <f t="shared" si="74"/>
        <v/>
      </c>
      <c r="BE82" s="159" t="str">
        <f t="shared" si="74"/>
        <v/>
      </c>
      <c r="BF82" s="159" t="str">
        <f t="shared" si="74"/>
        <v/>
      </c>
      <c r="BG82" s="159" t="str">
        <f t="shared" si="74"/>
        <v/>
      </c>
      <c r="BH82" s="159" t="str">
        <f t="shared" si="74"/>
        <v/>
      </c>
      <c r="BI82" s="159" t="str">
        <f t="shared" si="74"/>
        <v/>
      </c>
      <c r="BJ82" s="159" t="str">
        <f t="shared" si="74"/>
        <v/>
      </c>
      <c r="BK82" s="159" t="str">
        <f t="shared" si="74"/>
        <v/>
      </c>
      <c r="BL82" s="159" t="str">
        <f t="shared" si="74"/>
        <v/>
      </c>
      <c r="BM82" s="159" t="str">
        <f t="shared" si="74"/>
        <v/>
      </c>
      <c r="BN82" s="159" t="str">
        <f t="shared" si="74"/>
        <v/>
      </c>
      <c r="BO82" s="159" t="str">
        <f t="shared" si="74"/>
        <v/>
      </c>
      <c r="BP82" s="159" t="str">
        <f t="shared" ref="BP82:CS82" si="75">IFERROR(IF(BP55=1,BP27/BO27,""),"")</f>
        <v/>
      </c>
      <c r="BQ82" s="159" t="str">
        <f t="shared" si="75"/>
        <v/>
      </c>
      <c r="BR82" s="159" t="str">
        <f t="shared" si="75"/>
        <v/>
      </c>
      <c r="BS82" s="159" t="str">
        <f t="shared" si="75"/>
        <v/>
      </c>
      <c r="BT82" s="159" t="str">
        <f t="shared" si="75"/>
        <v/>
      </c>
      <c r="BU82" s="159" t="str">
        <f t="shared" si="75"/>
        <v/>
      </c>
      <c r="BV82" s="159" t="str">
        <f t="shared" si="75"/>
        <v/>
      </c>
      <c r="BW82" s="159" t="str">
        <f t="shared" si="75"/>
        <v/>
      </c>
      <c r="BX82" s="159" t="str">
        <f t="shared" si="75"/>
        <v/>
      </c>
      <c r="BY82" s="159" t="str">
        <f t="shared" si="75"/>
        <v/>
      </c>
      <c r="BZ82" s="159" t="str">
        <f t="shared" si="75"/>
        <v/>
      </c>
      <c r="CA82" s="159" t="str">
        <f t="shared" si="75"/>
        <v/>
      </c>
      <c r="CB82" s="159" t="str">
        <f t="shared" si="75"/>
        <v/>
      </c>
      <c r="CC82" s="159" t="str">
        <f t="shared" si="75"/>
        <v/>
      </c>
      <c r="CD82" s="159" t="str">
        <f t="shared" si="75"/>
        <v/>
      </c>
      <c r="CE82" s="159" t="str">
        <f t="shared" si="75"/>
        <v/>
      </c>
      <c r="CF82" s="159" t="str">
        <f t="shared" si="75"/>
        <v/>
      </c>
      <c r="CG82" s="159" t="str">
        <f t="shared" si="75"/>
        <v/>
      </c>
      <c r="CH82" s="159" t="str">
        <f t="shared" si="75"/>
        <v/>
      </c>
      <c r="CI82" s="159" t="str">
        <f t="shared" si="75"/>
        <v/>
      </c>
      <c r="CJ82" s="159" t="str">
        <f t="shared" si="75"/>
        <v/>
      </c>
      <c r="CK82" s="159" t="str">
        <f t="shared" si="75"/>
        <v/>
      </c>
      <c r="CL82" s="159" t="str">
        <f t="shared" si="75"/>
        <v/>
      </c>
      <c r="CM82" s="159" t="str">
        <f t="shared" si="75"/>
        <v/>
      </c>
      <c r="CN82" s="159" t="str">
        <f t="shared" si="75"/>
        <v/>
      </c>
      <c r="CO82" s="159" t="str">
        <f t="shared" si="75"/>
        <v/>
      </c>
      <c r="CP82" s="159" t="str">
        <f t="shared" si="75"/>
        <v/>
      </c>
      <c r="CQ82" s="159" t="str">
        <f t="shared" si="75"/>
        <v/>
      </c>
      <c r="CR82" s="159" t="str">
        <f t="shared" si="75"/>
        <v/>
      </c>
      <c r="CS82" s="159" t="str">
        <f t="shared" si="75"/>
        <v/>
      </c>
      <c r="CT82" s="225" t="s">
        <v>54</v>
      </c>
      <c r="CU82" s="42"/>
      <c r="CV82" s="42"/>
      <c r="CY82" s="43"/>
    </row>
    <row r="83" spans="1:103" x14ac:dyDescent="0.25">
      <c r="A83" s="97">
        <f t="shared" si="48"/>
        <v>1</v>
      </c>
      <c r="B83" s="31">
        <f t="shared" si="49"/>
        <v>2010</v>
      </c>
      <c r="C83" s="158"/>
      <c r="D83" s="159">
        <f t="shared" ref="D83:BO83" si="76">IFERROR(IF(D56=1,D28/C28,""),"")</f>
        <v>1.6591452991452991</v>
      </c>
      <c r="E83" s="159">
        <f t="shared" si="76"/>
        <v>12.525255393570987</v>
      </c>
      <c r="F83" s="159">
        <f t="shared" si="76"/>
        <v>1.1989801243021385</v>
      </c>
      <c r="G83" s="159">
        <f t="shared" si="76"/>
        <v>1.0073414692999785</v>
      </c>
      <c r="H83" s="159">
        <f t="shared" si="76"/>
        <v>1.0008373239843431</v>
      </c>
      <c r="I83" s="159">
        <f t="shared" si="76"/>
        <v>0.9949189267945644</v>
      </c>
      <c r="J83" s="159">
        <f t="shared" si="76"/>
        <v>0.99964875029022726</v>
      </c>
      <c r="K83" s="159">
        <f t="shared" si="76"/>
        <v>0.97170729432588032</v>
      </c>
      <c r="L83" s="159">
        <f t="shared" si="76"/>
        <v>0.99961951322065556</v>
      </c>
      <c r="M83" s="159" t="str">
        <f t="shared" si="76"/>
        <v/>
      </c>
      <c r="N83" s="159" t="str">
        <f t="shared" si="76"/>
        <v/>
      </c>
      <c r="O83" s="159" t="str">
        <f t="shared" si="76"/>
        <v/>
      </c>
      <c r="P83" s="159" t="str">
        <f t="shared" si="76"/>
        <v/>
      </c>
      <c r="Q83" s="159" t="str">
        <f t="shared" si="76"/>
        <v/>
      </c>
      <c r="R83" s="159" t="str">
        <f t="shared" si="76"/>
        <v/>
      </c>
      <c r="S83" s="159" t="str">
        <f t="shared" si="76"/>
        <v/>
      </c>
      <c r="T83" s="159" t="str">
        <f t="shared" si="76"/>
        <v/>
      </c>
      <c r="U83" s="159" t="str">
        <f t="shared" si="76"/>
        <v/>
      </c>
      <c r="V83" s="159" t="str">
        <f t="shared" si="76"/>
        <v/>
      </c>
      <c r="W83" s="159" t="str">
        <f t="shared" si="76"/>
        <v/>
      </c>
      <c r="X83" s="159" t="str">
        <f t="shared" si="76"/>
        <v/>
      </c>
      <c r="Y83" s="159" t="str">
        <f t="shared" si="76"/>
        <v/>
      </c>
      <c r="Z83" s="159" t="str">
        <f t="shared" si="76"/>
        <v/>
      </c>
      <c r="AA83" s="159" t="str">
        <f t="shared" si="76"/>
        <v/>
      </c>
      <c r="AB83" s="159" t="str">
        <f t="shared" si="76"/>
        <v/>
      </c>
      <c r="AC83" s="159" t="str">
        <f t="shared" si="76"/>
        <v/>
      </c>
      <c r="AD83" s="159" t="str">
        <f t="shared" si="76"/>
        <v/>
      </c>
      <c r="AE83" s="159" t="str">
        <f t="shared" si="76"/>
        <v/>
      </c>
      <c r="AF83" s="159" t="str">
        <f t="shared" si="76"/>
        <v/>
      </c>
      <c r="AG83" s="159" t="str">
        <f t="shared" si="76"/>
        <v/>
      </c>
      <c r="AH83" s="159" t="str">
        <f t="shared" si="76"/>
        <v/>
      </c>
      <c r="AI83" s="159" t="str">
        <f t="shared" si="76"/>
        <v/>
      </c>
      <c r="AJ83" s="159" t="str">
        <f t="shared" si="76"/>
        <v/>
      </c>
      <c r="AK83" s="159" t="str">
        <f t="shared" si="76"/>
        <v/>
      </c>
      <c r="AL83" s="159" t="str">
        <f t="shared" si="76"/>
        <v/>
      </c>
      <c r="AM83" s="159" t="str">
        <f t="shared" si="76"/>
        <v/>
      </c>
      <c r="AN83" s="159" t="str">
        <f t="shared" si="76"/>
        <v/>
      </c>
      <c r="AO83" s="159" t="str">
        <f t="shared" si="76"/>
        <v/>
      </c>
      <c r="AP83" s="159" t="str">
        <f t="shared" si="76"/>
        <v/>
      </c>
      <c r="AQ83" s="159" t="str">
        <f t="shared" si="76"/>
        <v/>
      </c>
      <c r="AR83" s="159" t="str">
        <f t="shared" si="76"/>
        <v/>
      </c>
      <c r="AS83" s="159" t="str">
        <f t="shared" si="76"/>
        <v/>
      </c>
      <c r="AT83" s="159" t="str">
        <f t="shared" si="76"/>
        <v/>
      </c>
      <c r="AU83" s="159" t="str">
        <f t="shared" si="76"/>
        <v/>
      </c>
      <c r="AV83" s="159" t="str">
        <f t="shared" si="76"/>
        <v/>
      </c>
      <c r="AW83" s="159" t="str">
        <f t="shared" si="76"/>
        <v/>
      </c>
      <c r="AX83" s="159" t="str">
        <f t="shared" si="76"/>
        <v/>
      </c>
      <c r="AY83" s="159" t="str">
        <f t="shared" si="76"/>
        <v/>
      </c>
      <c r="AZ83" s="159" t="str">
        <f t="shared" si="76"/>
        <v/>
      </c>
      <c r="BA83" s="159" t="str">
        <f t="shared" si="76"/>
        <v/>
      </c>
      <c r="BB83" s="159" t="str">
        <f t="shared" si="76"/>
        <v/>
      </c>
      <c r="BC83" s="159" t="str">
        <f t="shared" si="76"/>
        <v/>
      </c>
      <c r="BD83" s="159" t="str">
        <f t="shared" si="76"/>
        <v/>
      </c>
      <c r="BE83" s="159" t="str">
        <f t="shared" si="76"/>
        <v/>
      </c>
      <c r="BF83" s="159" t="str">
        <f t="shared" si="76"/>
        <v/>
      </c>
      <c r="BG83" s="159" t="str">
        <f t="shared" si="76"/>
        <v/>
      </c>
      <c r="BH83" s="159" t="str">
        <f t="shared" si="76"/>
        <v/>
      </c>
      <c r="BI83" s="159" t="str">
        <f t="shared" si="76"/>
        <v/>
      </c>
      <c r="BJ83" s="159" t="str">
        <f t="shared" si="76"/>
        <v/>
      </c>
      <c r="BK83" s="159" t="str">
        <f t="shared" si="76"/>
        <v/>
      </c>
      <c r="BL83" s="159" t="str">
        <f t="shared" si="76"/>
        <v/>
      </c>
      <c r="BM83" s="159" t="str">
        <f t="shared" si="76"/>
        <v/>
      </c>
      <c r="BN83" s="159" t="str">
        <f t="shared" si="76"/>
        <v/>
      </c>
      <c r="BO83" s="159" t="str">
        <f t="shared" si="76"/>
        <v/>
      </c>
      <c r="BP83" s="159" t="str">
        <f t="shared" ref="BP83:CS83" si="77">IFERROR(IF(BP56=1,BP28/BO28,""),"")</f>
        <v/>
      </c>
      <c r="BQ83" s="159" t="str">
        <f t="shared" si="77"/>
        <v/>
      </c>
      <c r="BR83" s="159" t="str">
        <f t="shared" si="77"/>
        <v/>
      </c>
      <c r="BS83" s="159" t="str">
        <f t="shared" si="77"/>
        <v/>
      </c>
      <c r="BT83" s="159" t="str">
        <f t="shared" si="77"/>
        <v/>
      </c>
      <c r="BU83" s="159" t="str">
        <f t="shared" si="77"/>
        <v/>
      </c>
      <c r="BV83" s="159" t="str">
        <f t="shared" si="77"/>
        <v/>
      </c>
      <c r="BW83" s="159" t="str">
        <f t="shared" si="77"/>
        <v/>
      </c>
      <c r="BX83" s="159" t="str">
        <f t="shared" si="77"/>
        <v/>
      </c>
      <c r="BY83" s="159" t="str">
        <f t="shared" si="77"/>
        <v/>
      </c>
      <c r="BZ83" s="159" t="str">
        <f t="shared" si="77"/>
        <v/>
      </c>
      <c r="CA83" s="159" t="str">
        <f t="shared" si="77"/>
        <v/>
      </c>
      <c r="CB83" s="159" t="str">
        <f t="shared" si="77"/>
        <v/>
      </c>
      <c r="CC83" s="159" t="str">
        <f t="shared" si="77"/>
        <v/>
      </c>
      <c r="CD83" s="159" t="str">
        <f t="shared" si="77"/>
        <v/>
      </c>
      <c r="CE83" s="159" t="str">
        <f t="shared" si="77"/>
        <v/>
      </c>
      <c r="CF83" s="159" t="str">
        <f t="shared" si="77"/>
        <v/>
      </c>
      <c r="CG83" s="159" t="str">
        <f t="shared" si="77"/>
        <v/>
      </c>
      <c r="CH83" s="159" t="str">
        <f t="shared" si="77"/>
        <v/>
      </c>
      <c r="CI83" s="159" t="str">
        <f t="shared" si="77"/>
        <v/>
      </c>
      <c r="CJ83" s="159" t="str">
        <f t="shared" si="77"/>
        <v/>
      </c>
      <c r="CK83" s="159" t="str">
        <f t="shared" si="77"/>
        <v/>
      </c>
      <c r="CL83" s="159" t="str">
        <f t="shared" si="77"/>
        <v/>
      </c>
      <c r="CM83" s="159" t="str">
        <f t="shared" si="77"/>
        <v/>
      </c>
      <c r="CN83" s="159" t="str">
        <f t="shared" si="77"/>
        <v/>
      </c>
      <c r="CO83" s="159" t="str">
        <f t="shared" si="77"/>
        <v/>
      </c>
      <c r="CP83" s="159" t="str">
        <f t="shared" si="77"/>
        <v/>
      </c>
      <c r="CQ83" s="159" t="str">
        <f t="shared" si="77"/>
        <v/>
      </c>
      <c r="CR83" s="159" t="str">
        <f t="shared" si="77"/>
        <v/>
      </c>
      <c r="CS83" s="159" t="str">
        <f t="shared" si="77"/>
        <v/>
      </c>
      <c r="CT83" s="225" t="s">
        <v>54</v>
      </c>
      <c r="CU83" s="42"/>
      <c r="CV83" s="42"/>
      <c r="CY83" s="43"/>
    </row>
    <row r="84" spans="1:103" x14ac:dyDescent="0.25">
      <c r="A84" s="97">
        <f t="shared" si="48"/>
        <v>1</v>
      </c>
      <c r="B84" s="31">
        <f t="shared" si="49"/>
        <v>2011</v>
      </c>
      <c r="C84" s="158"/>
      <c r="D84" s="159" t="str">
        <f t="shared" ref="D84:BO84" si="78">IFERROR(IF(D57=1,D29/C29,""),"")</f>
        <v/>
      </c>
      <c r="E84" s="159">
        <f t="shared" si="78"/>
        <v>1.0027714348449221</v>
      </c>
      <c r="F84" s="159">
        <f t="shared" si="78"/>
        <v>0.82758741394815927</v>
      </c>
      <c r="G84" s="159">
        <f t="shared" si="78"/>
        <v>0.54688756170086716</v>
      </c>
      <c r="H84" s="159">
        <f t="shared" si="78"/>
        <v>0.92136497426651687</v>
      </c>
      <c r="I84" s="159">
        <f t="shared" si="78"/>
        <v>0.92216637103542953</v>
      </c>
      <c r="J84" s="159">
        <f t="shared" si="78"/>
        <v>1</v>
      </c>
      <c r="K84" s="159">
        <f t="shared" si="78"/>
        <v>1</v>
      </c>
      <c r="L84" s="159" t="str">
        <f t="shared" si="78"/>
        <v/>
      </c>
      <c r="M84" s="159" t="str">
        <f t="shared" si="78"/>
        <v/>
      </c>
      <c r="N84" s="159" t="str">
        <f t="shared" si="78"/>
        <v/>
      </c>
      <c r="O84" s="159" t="str">
        <f t="shared" si="78"/>
        <v/>
      </c>
      <c r="P84" s="159" t="str">
        <f t="shared" si="78"/>
        <v/>
      </c>
      <c r="Q84" s="159" t="str">
        <f t="shared" si="78"/>
        <v/>
      </c>
      <c r="R84" s="159" t="str">
        <f t="shared" si="78"/>
        <v/>
      </c>
      <c r="S84" s="159" t="str">
        <f t="shared" si="78"/>
        <v/>
      </c>
      <c r="T84" s="159" t="str">
        <f t="shared" si="78"/>
        <v/>
      </c>
      <c r="U84" s="159" t="str">
        <f t="shared" si="78"/>
        <v/>
      </c>
      <c r="V84" s="159" t="str">
        <f t="shared" si="78"/>
        <v/>
      </c>
      <c r="W84" s="159" t="str">
        <f t="shared" si="78"/>
        <v/>
      </c>
      <c r="X84" s="159" t="str">
        <f t="shared" si="78"/>
        <v/>
      </c>
      <c r="Y84" s="159" t="str">
        <f t="shared" si="78"/>
        <v/>
      </c>
      <c r="Z84" s="159" t="str">
        <f t="shared" si="78"/>
        <v/>
      </c>
      <c r="AA84" s="159" t="str">
        <f t="shared" si="78"/>
        <v/>
      </c>
      <c r="AB84" s="159" t="str">
        <f t="shared" si="78"/>
        <v/>
      </c>
      <c r="AC84" s="159" t="str">
        <f t="shared" si="78"/>
        <v/>
      </c>
      <c r="AD84" s="159" t="str">
        <f t="shared" si="78"/>
        <v/>
      </c>
      <c r="AE84" s="159" t="str">
        <f t="shared" si="78"/>
        <v/>
      </c>
      <c r="AF84" s="159" t="str">
        <f t="shared" si="78"/>
        <v/>
      </c>
      <c r="AG84" s="159" t="str">
        <f t="shared" si="78"/>
        <v/>
      </c>
      <c r="AH84" s="159" t="str">
        <f t="shared" si="78"/>
        <v/>
      </c>
      <c r="AI84" s="159" t="str">
        <f t="shared" si="78"/>
        <v/>
      </c>
      <c r="AJ84" s="159" t="str">
        <f t="shared" si="78"/>
        <v/>
      </c>
      <c r="AK84" s="159" t="str">
        <f t="shared" si="78"/>
        <v/>
      </c>
      <c r="AL84" s="159" t="str">
        <f t="shared" si="78"/>
        <v/>
      </c>
      <c r="AM84" s="159" t="str">
        <f t="shared" si="78"/>
        <v/>
      </c>
      <c r="AN84" s="159" t="str">
        <f t="shared" si="78"/>
        <v/>
      </c>
      <c r="AO84" s="159" t="str">
        <f t="shared" si="78"/>
        <v/>
      </c>
      <c r="AP84" s="159" t="str">
        <f t="shared" si="78"/>
        <v/>
      </c>
      <c r="AQ84" s="159" t="str">
        <f t="shared" si="78"/>
        <v/>
      </c>
      <c r="AR84" s="159" t="str">
        <f t="shared" si="78"/>
        <v/>
      </c>
      <c r="AS84" s="159" t="str">
        <f t="shared" si="78"/>
        <v/>
      </c>
      <c r="AT84" s="159" t="str">
        <f t="shared" si="78"/>
        <v/>
      </c>
      <c r="AU84" s="159" t="str">
        <f t="shared" si="78"/>
        <v/>
      </c>
      <c r="AV84" s="159" t="str">
        <f t="shared" si="78"/>
        <v/>
      </c>
      <c r="AW84" s="159" t="str">
        <f t="shared" si="78"/>
        <v/>
      </c>
      <c r="AX84" s="159" t="str">
        <f t="shared" si="78"/>
        <v/>
      </c>
      <c r="AY84" s="159" t="str">
        <f t="shared" si="78"/>
        <v/>
      </c>
      <c r="AZ84" s="159" t="str">
        <f t="shared" si="78"/>
        <v/>
      </c>
      <c r="BA84" s="159" t="str">
        <f t="shared" si="78"/>
        <v/>
      </c>
      <c r="BB84" s="159" t="str">
        <f t="shared" si="78"/>
        <v/>
      </c>
      <c r="BC84" s="159" t="str">
        <f t="shared" si="78"/>
        <v/>
      </c>
      <c r="BD84" s="159" t="str">
        <f t="shared" si="78"/>
        <v/>
      </c>
      <c r="BE84" s="159" t="str">
        <f t="shared" si="78"/>
        <v/>
      </c>
      <c r="BF84" s="159" t="str">
        <f t="shared" si="78"/>
        <v/>
      </c>
      <c r="BG84" s="159" t="str">
        <f t="shared" si="78"/>
        <v/>
      </c>
      <c r="BH84" s="159" t="str">
        <f t="shared" si="78"/>
        <v/>
      </c>
      <c r="BI84" s="159" t="str">
        <f t="shared" si="78"/>
        <v/>
      </c>
      <c r="BJ84" s="159" t="str">
        <f t="shared" si="78"/>
        <v/>
      </c>
      <c r="BK84" s="159" t="str">
        <f t="shared" si="78"/>
        <v/>
      </c>
      <c r="BL84" s="159" t="str">
        <f t="shared" si="78"/>
        <v/>
      </c>
      <c r="BM84" s="159" t="str">
        <f t="shared" si="78"/>
        <v/>
      </c>
      <c r="BN84" s="159" t="str">
        <f t="shared" si="78"/>
        <v/>
      </c>
      <c r="BO84" s="159" t="str">
        <f t="shared" si="78"/>
        <v/>
      </c>
      <c r="BP84" s="159" t="str">
        <f t="shared" ref="BP84:CS84" si="79">IFERROR(IF(BP57=1,BP29/BO29,""),"")</f>
        <v/>
      </c>
      <c r="BQ84" s="159" t="str">
        <f t="shared" si="79"/>
        <v/>
      </c>
      <c r="BR84" s="159" t="str">
        <f t="shared" si="79"/>
        <v/>
      </c>
      <c r="BS84" s="159" t="str">
        <f t="shared" si="79"/>
        <v/>
      </c>
      <c r="BT84" s="159" t="str">
        <f t="shared" si="79"/>
        <v/>
      </c>
      <c r="BU84" s="159" t="str">
        <f t="shared" si="79"/>
        <v/>
      </c>
      <c r="BV84" s="159" t="str">
        <f t="shared" si="79"/>
        <v/>
      </c>
      <c r="BW84" s="159" t="str">
        <f t="shared" si="79"/>
        <v/>
      </c>
      <c r="BX84" s="159" t="str">
        <f t="shared" si="79"/>
        <v/>
      </c>
      <c r="BY84" s="159" t="str">
        <f t="shared" si="79"/>
        <v/>
      </c>
      <c r="BZ84" s="159" t="str">
        <f t="shared" si="79"/>
        <v/>
      </c>
      <c r="CA84" s="159" t="str">
        <f t="shared" si="79"/>
        <v/>
      </c>
      <c r="CB84" s="159" t="str">
        <f t="shared" si="79"/>
        <v/>
      </c>
      <c r="CC84" s="159" t="str">
        <f t="shared" si="79"/>
        <v/>
      </c>
      <c r="CD84" s="159" t="str">
        <f t="shared" si="79"/>
        <v/>
      </c>
      <c r="CE84" s="159" t="str">
        <f t="shared" si="79"/>
        <v/>
      </c>
      <c r="CF84" s="159" t="str">
        <f t="shared" si="79"/>
        <v/>
      </c>
      <c r="CG84" s="159" t="str">
        <f t="shared" si="79"/>
        <v/>
      </c>
      <c r="CH84" s="159" t="str">
        <f t="shared" si="79"/>
        <v/>
      </c>
      <c r="CI84" s="159" t="str">
        <f t="shared" si="79"/>
        <v/>
      </c>
      <c r="CJ84" s="159" t="str">
        <f t="shared" si="79"/>
        <v/>
      </c>
      <c r="CK84" s="159" t="str">
        <f t="shared" si="79"/>
        <v/>
      </c>
      <c r="CL84" s="159" t="str">
        <f t="shared" si="79"/>
        <v/>
      </c>
      <c r="CM84" s="159" t="str">
        <f t="shared" si="79"/>
        <v/>
      </c>
      <c r="CN84" s="159" t="str">
        <f t="shared" si="79"/>
        <v/>
      </c>
      <c r="CO84" s="159" t="str">
        <f t="shared" si="79"/>
        <v/>
      </c>
      <c r="CP84" s="159" t="str">
        <f t="shared" si="79"/>
        <v/>
      </c>
      <c r="CQ84" s="159" t="str">
        <f t="shared" si="79"/>
        <v/>
      </c>
      <c r="CR84" s="159" t="str">
        <f t="shared" si="79"/>
        <v/>
      </c>
      <c r="CS84" s="159" t="str">
        <f t="shared" si="79"/>
        <v/>
      </c>
      <c r="CT84" s="225" t="s">
        <v>54</v>
      </c>
      <c r="CU84" s="42"/>
      <c r="CV84" s="42"/>
    </row>
    <row r="85" spans="1:103" x14ac:dyDescent="0.25">
      <c r="A85" s="97">
        <f t="shared" si="48"/>
        <v>1</v>
      </c>
      <c r="B85" s="31">
        <f t="shared" si="49"/>
        <v>2012</v>
      </c>
      <c r="C85" s="158"/>
      <c r="D85" s="159">
        <f t="shared" ref="D85:BO85" si="80">IFERROR(IF(D58=1,D30/C30,""),"")</f>
        <v>1.1415653588366346</v>
      </c>
      <c r="E85" s="159">
        <f t="shared" si="80"/>
        <v>2.686356917268053</v>
      </c>
      <c r="F85" s="159">
        <f>IFERROR(IF(F58=1,F30/E30,""),"")</f>
        <v>1.2446371154481688</v>
      </c>
      <c r="G85" s="159">
        <f t="shared" si="80"/>
        <v>0.99794970252222226</v>
      </c>
      <c r="H85" s="159">
        <f t="shared" si="80"/>
        <v>0.70569732154046028</v>
      </c>
      <c r="I85" s="159">
        <f t="shared" si="80"/>
        <v>0.84837048044150831</v>
      </c>
      <c r="J85" s="159">
        <f t="shared" si="80"/>
        <v>0.96438576724064529</v>
      </c>
      <c r="K85" s="159" t="str">
        <f t="shared" si="80"/>
        <v/>
      </c>
      <c r="L85" s="159" t="str">
        <f t="shared" si="80"/>
        <v/>
      </c>
      <c r="M85" s="159" t="str">
        <f t="shared" si="80"/>
        <v/>
      </c>
      <c r="N85" s="159" t="str">
        <f t="shared" si="80"/>
        <v/>
      </c>
      <c r="O85" s="159" t="str">
        <f t="shared" si="80"/>
        <v/>
      </c>
      <c r="P85" s="159" t="str">
        <f t="shared" si="80"/>
        <v/>
      </c>
      <c r="Q85" s="159" t="str">
        <f t="shared" si="80"/>
        <v/>
      </c>
      <c r="R85" s="159" t="str">
        <f t="shared" si="80"/>
        <v/>
      </c>
      <c r="S85" s="159" t="str">
        <f t="shared" si="80"/>
        <v/>
      </c>
      <c r="T85" s="159" t="str">
        <f t="shared" si="80"/>
        <v/>
      </c>
      <c r="U85" s="159" t="str">
        <f t="shared" si="80"/>
        <v/>
      </c>
      <c r="V85" s="159" t="str">
        <f t="shared" si="80"/>
        <v/>
      </c>
      <c r="W85" s="159" t="str">
        <f t="shared" si="80"/>
        <v/>
      </c>
      <c r="X85" s="159" t="str">
        <f t="shared" si="80"/>
        <v/>
      </c>
      <c r="Y85" s="159" t="str">
        <f t="shared" si="80"/>
        <v/>
      </c>
      <c r="Z85" s="159" t="str">
        <f t="shared" si="80"/>
        <v/>
      </c>
      <c r="AA85" s="159" t="str">
        <f t="shared" si="80"/>
        <v/>
      </c>
      <c r="AB85" s="159" t="str">
        <f t="shared" si="80"/>
        <v/>
      </c>
      <c r="AC85" s="159" t="str">
        <f t="shared" si="80"/>
        <v/>
      </c>
      <c r="AD85" s="159" t="str">
        <f t="shared" si="80"/>
        <v/>
      </c>
      <c r="AE85" s="159" t="str">
        <f t="shared" si="80"/>
        <v/>
      </c>
      <c r="AF85" s="159" t="str">
        <f t="shared" si="80"/>
        <v/>
      </c>
      <c r="AG85" s="159" t="str">
        <f t="shared" si="80"/>
        <v/>
      </c>
      <c r="AH85" s="159" t="str">
        <f t="shared" si="80"/>
        <v/>
      </c>
      <c r="AI85" s="159" t="str">
        <f t="shared" si="80"/>
        <v/>
      </c>
      <c r="AJ85" s="159" t="str">
        <f t="shared" si="80"/>
        <v/>
      </c>
      <c r="AK85" s="159" t="str">
        <f t="shared" si="80"/>
        <v/>
      </c>
      <c r="AL85" s="159" t="str">
        <f t="shared" si="80"/>
        <v/>
      </c>
      <c r="AM85" s="159" t="str">
        <f t="shared" si="80"/>
        <v/>
      </c>
      <c r="AN85" s="159" t="str">
        <f t="shared" si="80"/>
        <v/>
      </c>
      <c r="AO85" s="159" t="str">
        <f t="shared" si="80"/>
        <v/>
      </c>
      <c r="AP85" s="159" t="str">
        <f t="shared" si="80"/>
        <v/>
      </c>
      <c r="AQ85" s="159" t="str">
        <f t="shared" si="80"/>
        <v/>
      </c>
      <c r="AR85" s="159" t="str">
        <f t="shared" si="80"/>
        <v/>
      </c>
      <c r="AS85" s="159" t="str">
        <f t="shared" si="80"/>
        <v/>
      </c>
      <c r="AT85" s="159" t="str">
        <f t="shared" si="80"/>
        <v/>
      </c>
      <c r="AU85" s="159" t="str">
        <f t="shared" si="80"/>
        <v/>
      </c>
      <c r="AV85" s="159" t="str">
        <f t="shared" si="80"/>
        <v/>
      </c>
      <c r="AW85" s="159" t="str">
        <f t="shared" si="80"/>
        <v/>
      </c>
      <c r="AX85" s="159" t="str">
        <f t="shared" si="80"/>
        <v/>
      </c>
      <c r="AY85" s="159" t="str">
        <f t="shared" si="80"/>
        <v/>
      </c>
      <c r="AZ85" s="159" t="str">
        <f t="shared" si="80"/>
        <v/>
      </c>
      <c r="BA85" s="159" t="str">
        <f t="shared" si="80"/>
        <v/>
      </c>
      <c r="BB85" s="159" t="str">
        <f t="shared" si="80"/>
        <v/>
      </c>
      <c r="BC85" s="159" t="str">
        <f t="shared" si="80"/>
        <v/>
      </c>
      <c r="BD85" s="159" t="str">
        <f t="shared" si="80"/>
        <v/>
      </c>
      <c r="BE85" s="159" t="str">
        <f t="shared" si="80"/>
        <v/>
      </c>
      <c r="BF85" s="159" t="str">
        <f t="shared" si="80"/>
        <v/>
      </c>
      <c r="BG85" s="159" t="str">
        <f t="shared" si="80"/>
        <v/>
      </c>
      <c r="BH85" s="159" t="str">
        <f t="shared" si="80"/>
        <v/>
      </c>
      <c r="BI85" s="159" t="str">
        <f t="shared" si="80"/>
        <v/>
      </c>
      <c r="BJ85" s="159" t="str">
        <f t="shared" si="80"/>
        <v/>
      </c>
      <c r="BK85" s="159" t="str">
        <f t="shared" si="80"/>
        <v/>
      </c>
      <c r="BL85" s="159" t="str">
        <f t="shared" si="80"/>
        <v/>
      </c>
      <c r="BM85" s="159" t="str">
        <f t="shared" si="80"/>
        <v/>
      </c>
      <c r="BN85" s="159" t="str">
        <f t="shared" si="80"/>
        <v/>
      </c>
      <c r="BO85" s="159" t="str">
        <f t="shared" si="80"/>
        <v/>
      </c>
      <c r="BP85" s="159" t="str">
        <f t="shared" ref="BP85:CS85" si="81">IFERROR(IF(BP58=1,BP30/BO30,""),"")</f>
        <v/>
      </c>
      <c r="BQ85" s="159" t="str">
        <f t="shared" si="81"/>
        <v/>
      </c>
      <c r="BR85" s="159" t="str">
        <f t="shared" si="81"/>
        <v/>
      </c>
      <c r="BS85" s="159" t="str">
        <f t="shared" si="81"/>
        <v/>
      </c>
      <c r="BT85" s="159" t="str">
        <f t="shared" si="81"/>
        <v/>
      </c>
      <c r="BU85" s="159" t="str">
        <f t="shared" si="81"/>
        <v/>
      </c>
      <c r="BV85" s="159" t="str">
        <f t="shared" si="81"/>
        <v/>
      </c>
      <c r="BW85" s="159" t="str">
        <f t="shared" si="81"/>
        <v/>
      </c>
      <c r="BX85" s="159" t="str">
        <f t="shared" si="81"/>
        <v/>
      </c>
      <c r="BY85" s="159" t="str">
        <f t="shared" si="81"/>
        <v/>
      </c>
      <c r="BZ85" s="159" t="str">
        <f t="shared" si="81"/>
        <v/>
      </c>
      <c r="CA85" s="159" t="str">
        <f t="shared" si="81"/>
        <v/>
      </c>
      <c r="CB85" s="159" t="str">
        <f t="shared" si="81"/>
        <v/>
      </c>
      <c r="CC85" s="159" t="str">
        <f t="shared" si="81"/>
        <v/>
      </c>
      <c r="CD85" s="159" t="str">
        <f t="shared" si="81"/>
        <v/>
      </c>
      <c r="CE85" s="159" t="str">
        <f t="shared" si="81"/>
        <v/>
      </c>
      <c r="CF85" s="159" t="str">
        <f t="shared" si="81"/>
        <v/>
      </c>
      <c r="CG85" s="159" t="str">
        <f t="shared" si="81"/>
        <v/>
      </c>
      <c r="CH85" s="159" t="str">
        <f t="shared" si="81"/>
        <v/>
      </c>
      <c r="CI85" s="159" t="str">
        <f t="shared" si="81"/>
        <v/>
      </c>
      <c r="CJ85" s="159" t="str">
        <f t="shared" si="81"/>
        <v/>
      </c>
      <c r="CK85" s="159" t="str">
        <f t="shared" si="81"/>
        <v/>
      </c>
      <c r="CL85" s="159" t="str">
        <f t="shared" si="81"/>
        <v/>
      </c>
      <c r="CM85" s="159" t="str">
        <f t="shared" si="81"/>
        <v/>
      </c>
      <c r="CN85" s="159" t="str">
        <f t="shared" si="81"/>
        <v/>
      </c>
      <c r="CO85" s="159" t="str">
        <f t="shared" si="81"/>
        <v/>
      </c>
      <c r="CP85" s="159" t="str">
        <f t="shared" si="81"/>
        <v/>
      </c>
      <c r="CQ85" s="159" t="str">
        <f t="shared" si="81"/>
        <v/>
      </c>
      <c r="CR85" s="159" t="str">
        <f t="shared" si="81"/>
        <v/>
      </c>
      <c r="CS85" s="159" t="str">
        <f t="shared" si="81"/>
        <v/>
      </c>
      <c r="CT85" s="225" t="s">
        <v>54</v>
      </c>
      <c r="CU85" s="42"/>
      <c r="CV85" s="42"/>
    </row>
    <row r="86" spans="1:103" x14ac:dyDescent="0.25">
      <c r="A86" s="97">
        <f t="shared" si="48"/>
        <v>1</v>
      </c>
      <c r="B86" s="31">
        <f t="shared" si="49"/>
        <v>2013</v>
      </c>
      <c r="C86" s="158"/>
      <c r="D86" s="159" t="str">
        <f t="shared" ref="D86:BO86" si="82">IFERROR(IF(D59=1,D31/C31,""),"")</f>
        <v/>
      </c>
      <c r="E86" s="159" t="str">
        <f t="shared" si="82"/>
        <v/>
      </c>
      <c r="F86" s="159" t="str">
        <f t="shared" si="82"/>
        <v/>
      </c>
      <c r="G86" s="159" t="str">
        <f t="shared" si="82"/>
        <v/>
      </c>
      <c r="H86" s="159" t="str">
        <f t="shared" si="82"/>
        <v/>
      </c>
      <c r="I86" s="159" t="str">
        <f t="shared" si="82"/>
        <v/>
      </c>
      <c r="J86" s="159" t="str">
        <f t="shared" si="82"/>
        <v/>
      </c>
      <c r="K86" s="159" t="str">
        <f t="shared" si="82"/>
        <v/>
      </c>
      <c r="L86" s="159" t="str">
        <f t="shared" si="82"/>
        <v/>
      </c>
      <c r="M86" s="159" t="str">
        <f t="shared" si="82"/>
        <v/>
      </c>
      <c r="N86" s="159" t="str">
        <f t="shared" si="82"/>
        <v/>
      </c>
      <c r="O86" s="159" t="str">
        <f t="shared" si="82"/>
        <v/>
      </c>
      <c r="P86" s="159" t="str">
        <f t="shared" si="82"/>
        <v/>
      </c>
      <c r="Q86" s="159" t="str">
        <f t="shared" si="82"/>
        <v/>
      </c>
      <c r="R86" s="159" t="str">
        <f t="shared" si="82"/>
        <v/>
      </c>
      <c r="S86" s="159" t="str">
        <f t="shared" si="82"/>
        <v/>
      </c>
      <c r="T86" s="159" t="str">
        <f t="shared" si="82"/>
        <v/>
      </c>
      <c r="U86" s="159" t="str">
        <f t="shared" si="82"/>
        <v/>
      </c>
      <c r="V86" s="159" t="str">
        <f t="shared" si="82"/>
        <v/>
      </c>
      <c r="W86" s="159" t="str">
        <f t="shared" si="82"/>
        <v/>
      </c>
      <c r="X86" s="159" t="str">
        <f t="shared" si="82"/>
        <v/>
      </c>
      <c r="Y86" s="159" t="str">
        <f t="shared" si="82"/>
        <v/>
      </c>
      <c r="Z86" s="159" t="str">
        <f t="shared" si="82"/>
        <v/>
      </c>
      <c r="AA86" s="159" t="str">
        <f t="shared" si="82"/>
        <v/>
      </c>
      <c r="AB86" s="159" t="str">
        <f t="shared" si="82"/>
        <v/>
      </c>
      <c r="AC86" s="159" t="str">
        <f t="shared" si="82"/>
        <v/>
      </c>
      <c r="AD86" s="159" t="str">
        <f t="shared" si="82"/>
        <v/>
      </c>
      <c r="AE86" s="159" t="str">
        <f t="shared" si="82"/>
        <v/>
      </c>
      <c r="AF86" s="159" t="str">
        <f t="shared" si="82"/>
        <v/>
      </c>
      <c r="AG86" s="159" t="str">
        <f t="shared" si="82"/>
        <v/>
      </c>
      <c r="AH86" s="159" t="str">
        <f t="shared" si="82"/>
        <v/>
      </c>
      <c r="AI86" s="159" t="str">
        <f t="shared" si="82"/>
        <v/>
      </c>
      <c r="AJ86" s="159" t="str">
        <f t="shared" si="82"/>
        <v/>
      </c>
      <c r="AK86" s="159" t="str">
        <f t="shared" si="82"/>
        <v/>
      </c>
      <c r="AL86" s="159" t="str">
        <f t="shared" si="82"/>
        <v/>
      </c>
      <c r="AM86" s="159" t="str">
        <f t="shared" si="82"/>
        <v/>
      </c>
      <c r="AN86" s="159" t="str">
        <f t="shared" si="82"/>
        <v/>
      </c>
      <c r="AO86" s="159" t="str">
        <f t="shared" si="82"/>
        <v/>
      </c>
      <c r="AP86" s="159" t="str">
        <f t="shared" si="82"/>
        <v/>
      </c>
      <c r="AQ86" s="159" t="str">
        <f t="shared" si="82"/>
        <v/>
      </c>
      <c r="AR86" s="159" t="str">
        <f t="shared" si="82"/>
        <v/>
      </c>
      <c r="AS86" s="159" t="str">
        <f t="shared" si="82"/>
        <v/>
      </c>
      <c r="AT86" s="159" t="str">
        <f t="shared" si="82"/>
        <v/>
      </c>
      <c r="AU86" s="159" t="str">
        <f t="shared" si="82"/>
        <v/>
      </c>
      <c r="AV86" s="159" t="str">
        <f t="shared" si="82"/>
        <v/>
      </c>
      <c r="AW86" s="159" t="str">
        <f t="shared" si="82"/>
        <v/>
      </c>
      <c r="AX86" s="159" t="str">
        <f t="shared" si="82"/>
        <v/>
      </c>
      <c r="AY86" s="159" t="str">
        <f t="shared" si="82"/>
        <v/>
      </c>
      <c r="AZ86" s="159" t="str">
        <f t="shared" si="82"/>
        <v/>
      </c>
      <c r="BA86" s="159" t="str">
        <f t="shared" si="82"/>
        <v/>
      </c>
      <c r="BB86" s="159" t="str">
        <f t="shared" si="82"/>
        <v/>
      </c>
      <c r="BC86" s="159" t="str">
        <f t="shared" si="82"/>
        <v/>
      </c>
      <c r="BD86" s="159" t="str">
        <f t="shared" si="82"/>
        <v/>
      </c>
      <c r="BE86" s="159" t="str">
        <f t="shared" si="82"/>
        <v/>
      </c>
      <c r="BF86" s="159" t="str">
        <f t="shared" si="82"/>
        <v/>
      </c>
      <c r="BG86" s="159" t="str">
        <f t="shared" si="82"/>
        <v/>
      </c>
      <c r="BH86" s="159" t="str">
        <f t="shared" si="82"/>
        <v/>
      </c>
      <c r="BI86" s="159" t="str">
        <f t="shared" si="82"/>
        <v/>
      </c>
      <c r="BJ86" s="159" t="str">
        <f t="shared" si="82"/>
        <v/>
      </c>
      <c r="BK86" s="159" t="str">
        <f t="shared" si="82"/>
        <v/>
      </c>
      <c r="BL86" s="159" t="str">
        <f t="shared" si="82"/>
        <v/>
      </c>
      <c r="BM86" s="159" t="str">
        <f t="shared" si="82"/>
        <v/>
      </c>
      <c r="BN86" s="159" t="str">
        <f t="shared" si="82"/>
        <v/>
      </c>
      <c r="BO86" s="159" t="str">
        <f t="shared" si="82"/>
        <v/>
      </c>
      <c r="BP86" s="159" t="str">
        <f t="shared" ref="BP86:CS86" si="83">IFERROR(IF(BP59=1,BP31/BO31,""),"")</f>
        <v/>
      </c>
      <c r="BQ86" s="159" t="str">
        <f t="shared" si="83"/>
        <v/>
      </c>
      <c r="BR86" s="159" t="str">
        <f t="shared" si="83"/>
        <v/>
      </c>
      <c r="BS86" s="159" t="str">
        <f t="shared" si="83"/>
        <v/>
      </c>
      <c r="BT86" s="159" t="str">
        <f t="shared" si="83"/>
        <v/>
      </c>
      <c r="BU86" s="159" t="str">
        <f t="shared" si="83"/>
        <v/>
      </c>
      <c r="BV86" s="159" t="str">
        <f t="shared" si="83"/>
        <v/>
      </c>
      <c r="BW86" s="159" t="str">
        <f t="shared" si="83"/>
        <v/>
      </c>
      <c r="BX86" s="159" t="str">
        <f t="shared" si="83"/>
        <v/>
      </c>
      <c r="BY86" s="159" t="str">
        <f t="shared" si="83"/>
        <v/>
      </c>
      <c r="BZ86" s="159" t="str">
        <f t="shared" si="83"/>
        <v/>
      </c>
      <c r="CA86" s="159" t="str">
        <f t="shared" si="83"/>
        <v/>
      </c>
      <c r="CB86" s="159" t="str">
        <f t="shared" si="83"/>
        <v/>
      </c>
      <c r="CC86" s="159" t="str">
        <f t="shared" si="83"/>
        <v/>
      </c>
      <c r="CD86" s="159" t="str">
        <f t="shared" si="83"/>
        <v/>
      </c>
      <c r="CE86" s="159" t="str">
        <f t="shared" si="83"/>
        <v/>
      </c>
      <c r="CF86" s="159" t="str">
        <f t="shared" si="83"/>
        <v/>
      </c>
      <c r="CG86" s="159" t="str">
        <f t="shared" si="83"/>
        <v/>
      </c>
      <c r="CH86" s="159" t="str">
        <f t="shared" si="83"/>
        <v/>
      </c>
      <c r="CI86" s="159" t="str">
        <f t="shared" si="83"/>
        <v/>
      </c>
      <c r="CJ86" s="159" t="str">
        <f t="shared" si="83"/>
        <v/>
      </c>
      <c r="CK86" s="159" t="str">
        <f t="shared" si="83"/>
        <v/>
      </c>
      <c r="CL86" s="159" t="str">
        <f t="shared" si="83"/>
        <v/>
      </c>
      <c r="CM86" s="159" t="str">
        <f t="shared" si="83"/>
        <v/>
      </c>
      <c r="CN86" s="159" t="str">
        <f t="shared" si="83"/>
        <v/>
      </c>
      <c r="CO86" s="159" t="str">
        <f t="shared" si="83"/>
        <v/>
      </c>
      <c r="CP86" s="159" t="str">
        <f t="shared" si="83"/>
        <v/>
      </c>
      <c r="CQ86" s="159" t="str">
        <f t="shared" si="83"/>
        <v/>
      </c>
      <c r="CR86" s="159" t="str">
        <f t="shared" si="83"/>
        <v/>
      </c>
      <c r="CS86" s="159" t="str">
        <f t="shared" si="83"/>
        <v/>
      </c>
      <c r="CT86" s="226" t="s">
        <v>54</v>
      </c>
      <c r="CU86" s="42"/>
      <c r="CV86" s="42"/>
      <c r="CW86" s="44"/>
    </row>
    <row r="87" spans="1:103" x14ac:dyDescent="0.25">
      <c r="A87" s="97">
        <f t="shared" si="48"/>
        <v>1</v>
      </c>
      <c r="B87" s="31">
        <f t="shared" si="49"/>
        <v>2014</v>
      </c>
      <c r="C87" s="158"/>
      <c r="D87" s="159">
        <f t="shared" ref="D87:BO87" si="84">IFERROR(IF(D60=1,D32/C32,""),"")</f>
        <v>4.6924373662168604</v>
      </c>
      <c r="E87" s="159">
        <f>IFERROR(IF(E60=1,E32/D32,""),"")</f>
        <v>1</v>
      </c>
      <c r="F87" s="159">
        <f t="shared" si="84"/>
        <v>1.0517203312045589</v>
      </c>
      <c r="G87" s="159">
        <f t="shared" si="84"/>
        <v>0.98422838748282548</v>
      </c>
      <c r="H87" s="159">
        <f>IFERROR(IF(H60=1,H32/G32,""),"")</f>
        <v>0.92343507028096095</v>
      </c>
      <c r="I87" s="159" t="str">
        <f t="shared" si="84"/>
        <v/>
      </c>
      <c r="J87" s="159" t="str">
        <f t="shared" si="84"/>
        <v/>
      </c>
      <c r="K87" s="159" t="str">
        <f t="shared" si="84"/>
        <v/>
      </c>
      <c r="L87" s="159" t="str">
        <f t="shared" si="84"/>
        <v/>
      </c>
      <c r="M87" s="159" t="str">
        <f t="shared" si="84"/>
        <v/>
      </c>
      <c r="N87" s="159" t="str">
        <f t="shared" si="84"/>
        <v/>
      </c>
      <c r="O87" s="159" t="str">
        <f t="shared" si="84"/>
        <v/>
      </c>
      <c r="P87" s="159" t="str">
        <f t="shared" si="84"/>
        <v/>
      </c>
      <c r="Q87" s="159" t="str">
        <f t="shared" si="84"/>
        <v/>
      </c>
      <c r="R87" s="159" t="str">
        <f t="shared" si="84"/>
        <v/>
      </c>
      <c r="S87" s="159" t="str">
        <f t="shared" si="84"/>
        <v/>
      </c>
      <c r="T87" s="159" t="str">
        <f t="shared" si="84"/>
        <v/>
      </c>
      <c r="U87" s="159" t="str">
        <f t="shared" si="84"/>
        <v/>
      </c>
      <c r="V87" s="159" t="str">
        <f t="shared" si="84"/>
        <v/>
      </c>
      <c r="W87" s="159" t="str">
        <f t="shared" si="84"/>
        <v/>
      </c>
      <c r="X87" s="159" t="str">
        <f t="shared" si="84"/>
        <v/>
      </c>
      <c r="Y87" s="159" t="str">
        <f t="shared" si="84"/>
        <v/>
      </c>
      <c r="Z87" s="159" t="str">
        <f t="shared" si="84"/>
        <v/>
      </c>
      <c r="AA87" s="159" t="str">
        <f t="shared" si="84"/>
        <v/>
      </c>
      <c r="AB87" s="159" t="str">
        <f t="shared" si="84"/>
        <v/>
      </c>
      <c r="AC87" s="159" t="str">
        <f t="shared" si="84"/>
        <v/>
      </c>
      <c r="AD87" s="159" t="str">
        <f t="shared" si="84"/>
        <v/>
      </c>
      <c r="AE87" s="159" t="str">
        <f t="shared" si="84"/>
        <v/>
      </c>
      <c r="AF87" s="159" t="str">
        <f t="shared" si="84"/>
        <v/>
      </c>
      <c r="AG87" s="159" t="str">
        <f t="shared" si="84"/>
        <v/>
      </c>
      <c r="AH87" s="159" t="str">
        <f t="shared" si="84"/>
        <v/>
      </c>
      <c r="AI87" s="159" t="str">
        <f t="shared" si="84"/>
        <v/>
      </c>
      <c r="AJ87" s="159" t="str">
        <f t="shared" si="84"/>
        <v/>
      </c>
      <c r="AK87" s="159" t="str">
        <f t="shared" si="84"/>
        <v/>
      </c>
      <c r="AL87" s="159" t="str">
        <f t="shared" si="84"/>
        <v/>
      </c>
      <c r="AM87" s="159" t="str">
        <f t="shared" si="84"/>
        <v/>
      </c>
      <c r="AN87" s="159" t="str">
        <f t="shared" si="84"/>
        <v/>
      </c>
      <c r="AO87" s="159" t="str">
        <f t="shared" si="84"/>
        <v/>
      </c>
      <c r="AP87" s="159" t="str">
        <f t="shared" si="84"/>
        <v/>
      </c>
      <c r="AQ87" s="159" t="str">
        <f t="shared" si="84"/>
        <v/>
      </c>
      <c r="AR87" s="159" t="str">
        <f t="shared" si="84"/>
        <v/>
      </c>
      <c r="AS87" s="159" t="str">
        <f t="shared" si="84"/>
        <v/>
      </c>
      <c r="AT87" s="159" t="str">
        <f t="shared" si="84"/>
        <v/>
      </c>
      <c r="AU87" s="159" t="str">
        <f t="shared" si="84"/>
        <v/>
      </c>
      <c r="AV87" s="159" t="str">
        <f t="shared" si="84"/>
        <v/>
      </c>
      <c r="AW87" s="159" t="str">
        <f t="shared" si="84"/>
        <v/>
      </c>
      <c r="AX87" s="159" t="str">
        <f t="shared" si="84"/>
        <v/>
      </c>
      <c r="AY87" s="159" t="str">
        <f t="shared" si="84"/>
        <v/>
      </c>
      <c r="AZ87" s="159" t="str">
        <f t="shared" si="84"/>
        <v/>
      </c>
      <c r="BA87" s="159" t="str">
        <f t="shared" si="84"/>
        <v/>
      </c>
      <c r="BB87" s="159" t="str">
        <f t="shared" si="84"/>
        <v/>
      </c>
      <c r="BC87" s="159" t="str">
        <f t="shared" si="84"/>
        <v/>
      </c>
      <c r="BD87" s="159" t="str">
        <f t="shared" si="84"/>
        <v/>
      </c>
      <c r="BE87" s="159" t="str">
        <f t="shared" si="84"/>
        <v/>
      </c>
      <c r="BF87" s="159" t="str">
        <f t="shared" si="84"/>
        <v/>
      </c>
      <c r="BG87" s="159" t="str">
        <f t="shared" si="84"/>
        <v/>
      </c>
      <c r="BH87" s="159" t="str">
        <f t="shared" si="84"/>
        <v/>
      </c>
      <c r="BI87" s="159" t="str">
        <f t="shared" si="84"/>
        <v/>
      </c>
      <c r="BJ87" s="159" t="str">
        <f t="shared" si="84"/>
        <v/>
      </c>
      <c r="BK87" s="159" t="str">
        <f t="shared" si="84"/>
        <v/>
      </c>
      <c r="BL87" s="159" t="str">
        <f t="shared" si="84"/>
        <v/>
      </c>
      <c r="BM87" s="159" t="str">
        <f t="shared" si="84"/>
        <v/>
      </c>
      <c r="BN87" s="159" t="str">
        <f t="shared" si="84"/>
        <v/>
      </c>
      <c r="BO87" s="159" t="str">
        <f t="shared" si="84"/>
        <v/>
      </c>
      <c r="BP87" s="159" t="str">
        <f t="shared" ref="BP87:CS87" si="85">IFERROR(IF(BP60=1,BP32/BO32,""),"")</f>
        <v/>
      </c>
      <c r="BQ87" s="159" t="str">
        <f t="shared" si="85"/>
        <v/>
      </c>
      <c r="BR87" s="159" t="str">
        <f t="shared" si="85"/>
        <v/>
      </c>
      <c r="BS87" s="159" t="str">
        <f t="shared" si="85"/>
        <v/>
      </c>
      <c r="BT87" s="159" t="str">
        <f t="shared" si="85"/>
        <v/>
      </c>
      <c r="BU87" s="159" t="str">
        <f t="shared" si="85"/>
        <v/>
      </c>
      <c r="BV87" s="159" t="str">
        <f t="shared" si="85"/>
        <v/>
      </c>
      <c r="BW87" s="159" t="str">
        <f t="shared" si="85"/>
        <v/>
      </c>
      <c r="BX87" s="159" t="str">
        <f t="shared" si="85"/>
        <v/>
      </c>
      <c r="BY87" s="159" t="str">
        <f t="shared" si="85"/>
        <v/>
      </c>
      <c r="BZ87" s="159" t="str">
        <f t="shared" si="85"/>
        <v/>
      </c>
      <c r="CA87" s="159" t="str">
        <f t="shared" si="85"/>
        <v/>
      </c>
      <c r="CB87" s="159" t="str">
        <f t="shared" si="85"/>
        <v/>
      </c>
      <c r="CC87" s="159" t="str">
        <f t="shared" si="85"/>
        <v/>
      </c>
      <c r="CD87" s="159" t="str">
        <f t="shared" si="85"/>
        <v/>
      </c>
      <c r="CE87" s="159" t="str">
        <f t="shared" si="85"/>
        <v/>
      </c>
      <c r="CF87" s="159" t="str">
        <f t="shared" si="85"/>
        <v/>
      </c>
      <c r="CG87" s="159" t="str">
        <f t="shared" si="85"/>
        <v/>
      </c>
      <c r="CH87" s="159" t="str">
        <f t="shared" si="85"/>
        <v/>
      </c>
      <c r="CI87" s="159" t="str">
        <f t="shared" si="85"/>
        <v/>
      </c>
      <c r="CJ87" s="159" t="str">
        <f t="shared" si="85"/>
        <v/>
      </c>
      <c r="CK87" s="159" t="str">
        <f t="shared" si="85"/>
        <v/>
      </c>
      <c r="CL87" s="159" t="str">
        <f t="shared" si="85"/>
        <v/>
      </c>
      <c r="CM87" s="159" t="str">
        <f t="shared" si="85"/>
        <v/>
      </c>
      <c r="CN87" s="159" t="str">
        <f t="shared" si="85"/>
        <v/>
      </c>
      <c r="CO87" s="159" t="str">
        <f t="shared" si="85"/>
        <v/>
      </c>
      <c r="CP87" s="159" t="str">
        <f t="shared" si="85"/>
        <v/>
      </c>
      <c r="CQ87" s="159" t="str">
        <f t="shared" si="85"/>
        <v/>
      </c>
      <c r="CR87" s="159" t="str">
        <f t="shared" si="85"/>
        <v/>
      </c>
      <c r="CS87" s="159" t="str">
        <f t="shared" si="85"/>
        <v/>
      </c>
      <c r="CT87" s="226" t="s">
        <v>54</v>
      </c>
      <c r="CU87" s="42"/>
      <c r="CV87" s="42"/>
    </row>
    <row r="88" spans="1:103" x14ac:dyDescent="0.25">
      <c r="A88" s="97">
        <f t="shared" si="48"/>
        <v>1</v>
      </c>
      <c r="B88" s="31">
        <f t="shared" si="49"/>
        <v>2015</v>
      </c>
      <c r="C88" s="158"/>
      <c r="D88" s="159">
        <f t="shared" ref="D88:BO88" si="86">IFERROR(IF(D61=1,D33/C33,""),"")</f>
        <v>1</v>
      </c>
      <c r="E88" s="159">
        <f t="shared" si="86"/>
        <v>1</v>
      </c>
      <c r="F88" s="159">
        <f t="shared" si="86"/>
        <v>0</v>
      </c>
      <c r="G88" s="159" t="str">
        <f>IFERROR(IF(G61=1,G33/F33,""),"")</f>
        <v/>
      </c>
      <c r="H88" s="159" t="str">
        <f t="shared" si="86"/>
        <v/>
      </c>
      <c r="I88" s="159" t="str">
        <f t="shared" si="86"/>
        <v/>
      </c>
      <c r="J88" s="159" t="str">
        <f t="shared" si="86"/>
        <v/>
      </c>
      <c r="K88" s="159" t="str">
        <f t="shared" si="86"/>
        <v/>
      </c>
      <c r="L88" s="159" t="str">
        <f t="shared" si="86"/>
        <v/>
      </c>
      <c r="M88" s="159" t="str">
        <f t="shared" si="86"/>
        <v/>
      </c>
      <c r="N88" s="159" t="str">
        <f t="shared" si="86"/>
        <v/>
      </c>
      <c r="O88" s="159" t="str">
        <f t="shared" si="86"/>
        <v/>
      </c>
      <c r="P88" s="159" t="str">
        <f t="shared" si="86"/>
        <v/>
      </c>
      <c r="Q88" s="159" t="str">
        <f t="shared" si="86"/>
        <v/>
      </c>
      <c r="R88" s="159" t="str">
        <f t="shared" si="86"/>
        <v/>
      </c>
      <c r="S88" s="159" t="str">
        <f t="shared" si="86"/>
        <v/>
      </c>
      <c r="T88" s="159" t="str">
        <f t="shared" si="86"/>
        <v/>
      </c>
      <c r="U88" s="159" t="str">
        <f t="shared" si="86"/>
        <v/>
      </c>
      <c r="V88" s="159" t="str">
        <f t="shared" si="86"/>
        <v/>
      </c>
      <c r="W88" s="159" t="str">
        <f t="shared" si="86"/>
        <v/>
      </c>
      <c r="X88" s="159" t="str">
        <f t="shared" si="86"/>
        <v/>
      </c>
      <c r="Y88" s="159" t="str">
        <f t="shared" si="86"/>
        <v/>
      </c>
      <c r="Z88" s="159" t="str">
        <f t="shared" si="86"/>
        <v/>
      </c>
      <c r="AA88" s="159" t="str">
        <f t="shared" si="86"/>
        <v/>
      </c>
      <c r="AB88" s="159" t="str">
        <f t="shared" si="86"/>
        <v/>
      </c>
      <c r="AC88" s="159" t="str">
        <f t="shared" si="86"/>
        <v/>
      </c>
      <c r="AD88" s="159" t="str">
        <f t="shared" si="86"/>
        <v/>
      </c>
      <c r="AE88" s="159" t="str">
        <f t="shared" si="86"/>
        <v/>
      </c>
      <c r="AF88" s="159" t="str">
        <f t="shared" si="86"/>
        <v/>
      </c>
      <c r="AG88" s="159" t="str">
        <f t="shared" si="86"/>
        <v/>
      </c>
      <c r="AH88" s="159" t="str">
        <f t="shared" si="86"/>
        <v/>
      </c>
      <c r="AI88" s="159" t="str">
        <f t="shared" si="86"/>
        <v/>
      </c>
      <c r="AJ88" s="159" t="str">
        <f t="shared" si="86"/>
        <v/>
      </c>
      <c r="AK88" s="159" t="str">
        <f t="shared" si="86"/>
        <v/>
      </c>
      <c r="AL88" s="159" t="str">
        <f t="shared" si="86"/>
        <v/>
      </c>
      <c r="AM88" s="159" t="str">
        <f t="shared" si="86"/>
        <v/>
      </c>
      <c r="AN88" s="159" t="str">
        <f t="shared" si="86"/>
        <v/>
      </c>
      <c r="AO88" s="159" t="str">
        <f t="shared" si="86"/>
        <v/>
      </c>
      <c r="AP88" s="159" t="str">
        <f t="shared" si="86"/>
        <v/>
      </c>
      <c r="AQ88" s="159" t="str">
        <f t="shared" si="86"/>
        <v/>
      </c>
      <c r="AR88" s="159" t="str">
        <f t="shared" si="86"/>
        <v/>
      </c>
      <c r="AS88" s="159" t="str">
        <f t="shared" si="86"/>
        <v/>
      </c>
      <c r="AT88" s="159" t="str">
        <f t="shared" si="86"/>
        <v/>
      </c>
      <c r="AU88" s="159" t="str">
        <f t="shared" si="86"/>
        <v/>
      </c>
      <c r="AV88" s="159" t="str">
        <f t="shared" si="86"/>
        <v/>
      </c>
      <c r="AW88" s="159" t="str">
        <f t="shared" si="86"/>
        <v/>
      </c>
      <c r="AX88" s="159" t="str">
        <f t="shared" si="86"/>
        <v/>
      </c>
      <c r="AY88" s="159" t="str">
        <f t="shared" si="86"/>
        <v/>
      </c>
      <c r="AZ88" s="159" t="str">
        <f t="shared" si="86"/>
        <v/>
      </c>
      <c r="BA88" s="159" t="str">
        <f t="shared" si="86"/>
        <v/>
      </c>
      <c r="BB88" s="159" t="str">
        <f t="shared" si="86"/>
        <v/>
      </c>
      <c r="BC88" s="159" t="str">
        <f t="shared" si="86"/>
        <v/>
      </c>
      <c r="BD88" s="159" t="str">
        <f t="shared" si="86"/>
        <v/>
      </c>
      <c r="BE88" s="159" t="str">
        <f t="shared" si="86"/>
        <v/>
      </c>
      <c r="BF88" s="159" t="str">
        <f t="shared" si="86"/>
        <v/>
      </c>
      <c r="BG88" s="159" t="str">
        <f t="shared" si="86"/>
        <v/>
      </c>
      <c r="BH88" s="159" t="str">
        <f t="shared" si="86"/>
        <v/>
      </c>
      <c r="BI88" s="159" t="str">
        <f t="shared" si="86"/>
        <v/>
      </c>
      <c r="BJ88" s="159" t="str">
        <f t="shared" si="86"/>
        <v/>
      </c>
      <c r="BK88" s="159" t="str">
        <f t="shared" si="86"/>
        <v/>
      </c>
      <c r="BL88" s="159" t="str">
        <f t="shared" si="86"/>
        <v/>
      </c>
      <c r="BM88" s="159" t="str">
        <f t="shared" si="86"/>
        <v/>
      </c>
      <c r="BN88" s="159" t="str">
        <f t="shared" si="86"/>
        <v/>
      </c>
      <c r="BO88" s="159" t="str">
        <f t="shared" si="86"/>
        <v/>
      </c>
      <c r="BP88" s="159" t="str">
        <f t="shared" ref="BP88:CS88" si="87">IFERROR(IF(BP61=1,BP33/BO33,""),"")</f>
        <v/>
      </c>
      <c r="BQ88" s="159" t="str">
        <f t="shared" si="87"/>
        <v/>
      </c>
      <c r="BR88" s="159" t="str">
        <f t="shared" si="87"/>
        <v/>
      </c>
      <c r="BS88" s="159" t="str">
        <f t="shared" si="87"/>
        <v/>
      </c>
      <c r="BT88" s="159" t="str">
        <f t="shared" si="87"/>
        <v/>
      </c>
      <c r="BU88" s="159" t="str">
        <f t="shared" si="87"/>
        <v/>
      </c>
      <c r="BV88" s="159" t="str">
        <f t="shared" si="87"/>
        <v/>
      </c>
      <c r="BW88" s="159" t="str">
        <f t="shared" si="87"/>
        <v/>
      </c>
      <c r="BX88" s="159" t="str">
        <f t="shared" si="87"/>
        <v/>
      </c>
      <c r="BY88" s="159" t="str">
        <f t="shared" si="87"/>
        <v/>
      </c>
      <c r="BZ88" s="159" t="str">
        <f t="shared" si="87"/>
        <v/>
      </c>
      <c r="CA88" s="159" t="str">
        <f t="shared" si="87"/>
        <v/>
      </c>
      <c r="CB88" s="159" t="str">
        <f t="shared" si="87"/>
        <v/>
      </c>
      <c r="CC88" s="159" t="str">
        <f t="shared" si="87"/>
        <v/>
      </c>
      <c r="CD88" s="159" t="str">
        <f t="shared" si="87"/>
        <v/>
      </c>
      <c r="CE88" s="159" t="str">
        <f t="shared" si="87"/>
        <v/>
      </c>
      <c r="CF88" s="159" t="str">
        <f t="shared" si="87"/>
        <v/>
      </c>
      <c r="CG88" s="159" t="str">
        <f t="shared" si="87"/>
        <v/>
      </c>
      <c r="CH88" s="159" t="str">
        <f t="shared" si="87"/>
        <v/>
      </c>
      <c r="CI88" s="159" t="str">
        <f t="shared" si="87"/>
        <v/>
      </c>
      <c r="CJ88" s="159" t="str">
        <f t="shared" si="87"/>
        <v/>
      </c>
      <c r="CK88" s="159" t="str">
        <f t="shared" si="87"/>
        <v/>
      </c>
      <c r="CL88" s="159" t="str">
        <f t="shared" si="87"/>
        <v/>
      </c>
      <c r="CM88" s="159" t="str">
        <f t="shared" si="87"/>
        <v/>
      </c>
      <c r="CN88" s="159" t="str">
        <f t="shared" si="87"/>
        <v/>
      </c>
      <c r="CO88" s="159" t="str">
        <f t="shared" si="87"/>
        <v/>
      </c>
      <c r="CP88" s="159" t="str">
        <f t="shared" si="87"/>
        <v/>
      </c>
      <c r="CQ88" s="159" t="str">
        <f t="shared" si="87"/>
        <v/>
      </c>
      <c r="CR88" s="159" t="str">
        <f t="shared" si="87"/>
        <v/>
      </c>
      <c r="CS88" s="159" t="str">
        <f t="shared" si="87"/>
        <v/>
      </c>
      <c r="CT88" s="226" t="s">
        <v>54</v>
      </c>
      <c r="CU88" s="42"/>
      <c r="CV88" s="42"/>
    </row>
    <row r="89" spans="1:103" x14ac:dyDescent="0.25">
      <c r="A89" s="97">
        <f t="shared" si="48"/>
        <v>1</v>
      </c>
      <c r="B89" s="31">
        <f t="shared" si="49"/>
        <v>2016</v>
      </c>
      <c r="C89" s="158"/>
      <c r="D89" s="159">
        <f t="shared" ref="D89:BO89" si="88">IFERROR(IF(D62=1,D34/C34,""),"")</f>
        <v>6.6938537936111402</v>
      </c>
      <c r="E89" s="159">
        <f t="shared" si="88"/>
        <v>1.1702769095404855</v>
      </c>
      <c r="F89" s="159">
        <f t="shared" si="88"/>
        <v>0.88653483742011874</v>
      </c>
      <c r="G89" s="159" t="str">
        <f t="shared" si="88"/>
        <v/>
      </c>
      <c r="H89" s="159" t="str">
        <f t="shared" si="88"/>
        <v/>
      </c>
      <c r="I89" s="159" t="str">
        <f t="shared" si="88"/>
        <v/>
      </c>
      <c r="J89" s="159" t="str">
        <f t="shared" si="88"/>
        <v/>
      </c>
      <c r="K89" s="159" t="str">
        <f t="shared" si="88"/>
        <v/>
      </c>
      <c r="L89" s="159" t="str">
        <f t="shared" si="88"/>
        <v/>
      </c>
      <c r="M89" s="159" t="str">
        <f t="shared" si="88"/>
        <v/>
      </c>
      <c r="N89" s="159" t="str">
        <f t="shared" si="88"/>
        <v/>
      </c>
      <c r="O89" s="159" t="str">
        <f t="shared" si="88"/>
        <v/>
      </c>
      <c r="P89" s="159" t="str">
        <f t="shared" si="88"/>
        <v/>
      </c>
      <c r="Q89" s="159" t="str">
        <f t="shared" si="88"/>
        <v/>
      </c>
      <c r="R89" s="159" t="str">
        <f t="shared" si="88"/>
        <v/>
      </c>
      <c r="S89" s="159" t="str">
        <f t="shared" si="88"/>
        <v/>
      </c>
      <c r="T89" s="159" t="str">
        <f t="shared" si="88"/>
        <v/>
      </c>
      <c r="U89" s="159" t="str">
        <f t="shared" si="88"/>
        <v/>
      </c>
      <c r="V89" s="159" t="str">
        <f t="shared" si="88"/>
        <v/>
      </c>
      <c r="W89" s="159" t="str">
        <f t="shared" si="88"/>
        <v/>
      </c>
      <c r="X89" s="159" t="str">
        <f t="shared" si="88"/>
        <v/>
      </c>
      <c r="Y89" s="159" t="str">
        <f t="shared" si="88"/>
        <v/>
      </c>
      <c r="Z89" s="159" t="str">
        <f t="shared" si="88"/>
        <v/>
      </c>
      <c r="AA89" s="159" t="str">
        <f t="shared" si="88"/>
        <v/>
      </c>
      <c r="AB89" s="159" t="str">
        <f t="shared" si="88"/>
        <v/>
      </c>
      <c r="AC89" s="159" t="str">
        <f t="shared" si="88"/>
        <v/>
      </c>
      <c r="AD89" s="159" t="str">
        <f t="shared" si="88"/>
        <v/>
      </c>
      <c r="AE89" s="159" t="str">
        <f t="shared" si="88"/>
        <v/>
      </c>
      <c r="AF89" s="159" t="str">
        <f t="shared" si="88"/>
        <v/>
      </c>
      <c r="AG89" s="159" t="str">
        <f t="shared" si="88"/>
        <v/>
      </c>
      <c r="AH89" s="159" t="str">
        <f t="shared" si="88"/>
        <v/>
      </c>
      <c r="AI89" s="159" t="str">
        <f t="shared" si="88"/>
        <v/>
      </c>
      <c r="AJ89" s="159" t="str">
        <f t="shared" si="88"/>
        <v/>
      </c>
      <c r="AK89" s="159" t="str">
        <f t="shared" si="88"/>
        <v/>
      </c>
      <c r="AL89" s="159" t="str">
        <f t="shared" si="88"/>
        <v/>
      </c>
      <c r="AM89" s="159" t="str">
        <f t="shared" si="88"/>
        <v/>
      </c>
      <c r="AN89" s="159" t="str">
        <f t="shared" si="88"/>
        <v/>
      </c>
      <c r="AO89" s="159" t="str">
        <f t="shared" si="88"/>
        <v/>
      </c>
      <c r="AP89" s="159" t="str">
        <f t="shared" si="88"/>
        <v/>
      </c>
      <c r="AQ89" s="159" t="str">
        <f t="shared" si="88"/>
        <v/>
      </c>
      <c r="AR89" s="159" t="str">
        <f t="shared" si="88"/>
        <v/>
      </c>
      <c r="AS89" s="159" t="str">
        <f t="shared" si="88"/>
        <v/>
      </c>
      <c r="AT89" s="159" t="str">
        <f t="shared" si="88"/>
        <v/>
      </c>
      <c r="AU89" s="159" t="str">
        <f t="shared" si="88"/>
        <v/>
      </c>
      <c r="AV89" s="159" t="str">
        <f t="shared" si="88"/>
        <v/>
      </c>
      <c r="AW89" s="159" t="str">
        <f t="shared" si="88"/>
        <v/>
      </c>
      <c r="AX89" s="159" t="str">
        <f t="shared" si="88"/>
        <v/>
      </c>
      <c r="AY89" s="159" t="str">
        <f t="shared" si="88"/>
        <v/>
      </c>
      <c r="AZ89" s="159" t="str">
        <f t="shared" si="88"/>
        <v/>
      </c>
      <c r="BA89" s="159" t="str">
        <f t="shared" si="88"/>
        <v/>
      </c>
      <c r="BB89" s="159" t="str">
        <f t="shared" si="88"/>
        <v/>
      </c>
      <c r="BC89" s="159" t="str">
        <f t="shared" si="88"/>
        <v/>
      </c>
      <c r="BD89" s="159" t="str">
        <f t="shared" si="88"/>
        <v/>
      </c>
      <c r="BE89" s="159" t="str">
        <f t="shared" si="88"/>
        <v/>
      </c>
      <c r="BF89" s="159" t="str">
        <f t="shared" si="88"/>
        <v/>
      </c>
      <c r="BG89" s="159" t="str">
        <f t="shared" si="88"/>
        <v/>
      </c>
      <c r="BH89" s="159" t="str">
        <f t="shared" si="88"/>
        <v/>
      </c>
      <c r="BI89" s="159" t="str">
        <f t="shared" si="88"/>
        <v/>
      </c>
      <c r="BJ89" s="159" t="str">
        <f t="shared" si="88"/>
        <v/>
      </c>
      <c r="BK89" s="159" t="str">
        <f t="shared" si="88"/>
        <v/>
      </c>
      <c r="BL89" s="159" t="str">
        <f t="shared" si="88"/>
        <v/>
      </c>
      <c r="BM89" s="159" t="str">
        <f t="shared" si="88"/>
        <v/>
      </c>
      <c r="BN89" s="159" t="str">
        <f t="shared" si="88"/>
        <v/>
      </c>
      <c r="BO89" s="159" t="str">
        <f t="shared" si="88"/>
        <v/>
      </c>
      <c r="BP89" s="159" t="str">
        <f t="shared" ref="BP89:CS89" si="89">IFERROR(IF(BP62=1,BP34/BO34,""),"")</f>
        <v/>
      </c>
      <c r="BQ89" s="159" t="str">
        <f t="shared" si="89"/>
        <v/>
      </c>
      <c r="BR89" s="159" t="str">
        <f t="shared" si="89"/>
        <v/>
      </c>
      <c r="BS89" s="159" t="str">
        <f t="shared" si="89"/>
        <v/>
      </c>
      <c r="BT89" s="159" t="str">
        <f t="shared" si="89"/>
        <v/>
      </c>
      <c r="BU89" s="159" t="str">
        <f t="shared" si="89"/>
        <v/>
      </c>
      <c r="BV89" s="159" t="str">
        <f t="shared" si="89"/>
        <v/>
      </c>
      <c r="BW89" s="159" t="str">
        <f t="shared" si="89"/>
        <v/>
      </c>
      <c r="BX89" s="159" t="str">
        <f t="shared" si="89"/>
        <v/>
      </c>
      <c r="BY89" s="159" t="str">
        <f t="shared" si="89"/>
        <v/>
      </c>
      <c r="BZ89" s="159" t="str">
        <f t="shared" si="89"/>
        <v/>
      </c>
      <c r="CA89" s="159" t="str">
        <f t="shared" si="89"/>
        <v/>
      </c>
      <c r="CB89" s="159" t="str">
        <f t="shared" si="89"/>
        <v/>
      </c>
      <c r="CC89" s="159" t="str">
        <f t="shared" si="89"/>
        <v/>
      </c>
      <c r="CD89" s="159" t="str">
        <f t="shared" si="89"/>
        <v/>
      </c>
      <c r="CE89" s="159" t="str">
        <f t="shared" si="89"/>
        <v/>
      </c>
      <c r="CF89" s="159" t="str">
        <f t="shared" si="89"/>
        <v/>
      </c>
      <c r="CG89" s="159" t="str">
        <f t="shared" si="89"/>
        <v/>
      </c>
      <c r="CH89" s="159" t="str">
        <f t="shared" si="89"/>
        <v/>
      </c>
      <c r="CI89" s="159" t="str">
        <f t="shared" si="89"/>
        <v/>
      </c>
      <c r="CJ89" s="159" t="str">
        <f t="shared" si="89"/>
        <v/>
      </c>
      <c r="CK89" s="159" t="str">
        <f t="shared" si="89"/>
        <v/>
      </c>
      <c r="CL89" s="159" t="str">
        <f t="shared" si="89"/>
        <v/>
      </c>
      <c r="CM89" s="159" t="str">
        <f t="shared" si="89"/>
        <v/>
      </c>
      <c r="CN89" s="159" t="str">
        <f t="shared" si="89"/>
        <v/>
      </c>
      <c r="CO89" s="159" t="str">
        <f t="shared" si="89"/>
        <v/>
      </c>
      <c r="CP89" s="159" t="str">
        <f t="shared" si="89"/>
        <v/>
      </c>
      <c r="CQ89" s="159" t="str">
        <f t="shared" si="89"/>
        <v/>
      </c>
      <c r="CR89" s="159" t="str">
        <f t="shared" si="89"/>
        <v/>
      </c>
      <c r="CS89" s="159" t="str">
        <f t="shared" si="89"/>
        <v/>
      </c>
      <c r="CT89" s="226" t="s">
        <v>54</v>
      </c>
      <c r="CU89" s="42"/>
      <c r="CV89" s="42"/>
    </row>
    <row r="90" spans="1:103" x14ac:dyDescent="0.25">
      <c r="A90" s="97">
        <f t="shared" si="48"/>
        <v>1</v>
      </c>
      <c r="B90" s="31">
        <f t="shared" si="49"/>
        <v>2017</v>
      </c>
      <c r="C90" s="158"/>
      <c r="D90" s="159" t="str">
        <f t="shared" ref="D90:BO90" si="90">IFERROR(IF(D63=1,D35/C35,""),"")</f>
        <v/>
      </c>
      <c r="E90" s="159">
        <f t="shared" si="90"/>
        <v>96.275680881671661</v>
      </c>
      <c r="F90" s="159" t="str">
        <f t="shared" si="90"/>
        <v/>
      </c>
      <c r="G90" s="159" t="str">
        <f t="shared" si="90"/>
        <v/>
      </c>
      <c r="H90" s="159" t="str">
        <f t="shared" si="90"/>
        <v/>
      </c>
      <c r="I90" s="159" t="str">
        <f t="shared" si="90"/>
        <v/>
      </c>
      <c r="J90" s="159" t="str">
        <f t="shared" si="90"/>
        <v/>
      </c>
      <c r="K90" s="159" t="str">
        <f t="shared" si="90"/>
        <v/>
      </c>
      <c r="L90" s="159" t="str">
        <f t="shared" si="90"/>
        <v/>
      </c>
      <c r="M90" s="159" t="str">
        <f t="shared" si="90"/>
        <v/>
      </c>
      <c r="N90" s="159" t="str">
        <f t="shared" si="90"/>
        <v/>
      </c>
      <c r="O90" s="159" t="str">
        <f t="shared" si="90"/>
        <v/>
      </c>
      <c r="P90" s="159" t="str">
        <f t="shared" si="90"/>
        <v/>
      </c>
      <c r="Q90" s="159" t="str">
        <f t="shared" si="90"/>
        <v/>
      </c>
      <c r="R90" s="159" t="str">
        <f t="shared" si="90"/>
        <v/>
      </c>
      <c r="S90" s="159" t="str">
        <f t="shared" si="90"/>
        <v/>
      </c>
      <c r="T90" s="159" t="str">
        <f t="shared" si="90"/>
        <v/>
      </c>
      <c r="U90" s="159" t="str">
        <f t="shared" si="90"/>
        <v/>
      </c>
      <c r="V90" s="159" t="str">
        <f t="shared" si="90"/>
        <v/>
      </c>
      <c r="W90" s="159" t="str">
        <f t="shared" si="90"/>
        <v/>
      </c>
      <c r="X90" s="159" t="str">
        <f t="shared" si="90"/>
        <v/>
      </c>
      <c r="Y90" s="159" t="str">
        <f t="shared" si="90"/>
        <v/>
      </c>
      <c r="Z90" s="159" t="str">
        <f t="shared" si="90"/>
        <v/>
      </c>
      <c r="AA90" s="159" t="str">
        <f t="shared" si="90"/>
        <v/>
      </c>
      <c r="AB90" s="159" t="str">
        <f t="shared" si="90"/>
        <v/>
      </c>
      <c r="AC90" s="159" t="str">
        <f t="shared" si="90"/>
        <v/>
      </c>
      <c r="AD90" s="159" t="str">
        <f t="shared" si="90"/>
        <v/>
      </c>
      <c r="AE90" s="159" t="str">
        <f t="shared" si="90"/>
        <v/>
      </c>
      <c r="AF90" s="159" t="str">
        <f t="shared" si="90"/>
        <v/>
      </c>
      <c r="AG90" s="159" t="str">
        <f t="shared" si="90"/>
        <v/>
      </c>
      <c r="AH90" s="159" t="str">
        <f t="shared" si="90"/>
        <v/>
      </c>
      <c r="AI90" s="159" t="str">
        <f t="shared" si="90"/>
        <v/>
      </c>
      <c r="AJ90" s="159" t="str">
        <f t="shared" si="90"/>
        <v/>
      </c>
      <c r="AK90" s="159" t="str">
        <f t="shared" si="90"/>
        <v/>
      </c>
      <c r="AL90" s="159" t="str">
        <f t="shared" si="90"/>
        <v/>
      </c>
      <c r="AM90" s="159" t="str">
        <f t="shared" si="90"/>
        <v/>
      </c>
      <c r="AN90" s="159" t="str">
        <f t="shared" si="90"/>
        <v/>
      </c>
      <c r="AO90" s="159" t="str">
        <f t="shared" si="90"/>
        <v/>
      </c>
      <c r="AP90" s="159" t="str">
        <f t="shared" si="90"/>
        <v/>
      </c>
      <c r="AQ90" s="159" t="str">
        <f t="shared" si="90"/>
        <v/>
      </c>
      <c r="AR90" s="159" t="str">
        <f t="shared" si="90"/>
        <v/>
      </c>
      <c r="AS90" s="159" t="str">
        <f t="shared" si="90"/>
        <v/>
      </c>
      <c r="AT90" s="159" t="str">
        <f t="shared" si="90"/>
        <v/>
      </c>
      <c r="AU90" s="159" t="str">
        <f t="shared" si="90"/>
        <v/>
      </c>
      <c r="AV90" s="159" t="str">
        <f t="shared" si="90"/>
        <v/>
      </c>
      <c r="AW90" s="159" t="str">
        <f t="shared" si="90"/>
        <v/>
      </c>
      <c r="AX90" s="159" t="str">
        <f t="shared" si="90"/>
        <v/>
      </c>
      <c r="AY90" s="159" t="str">
        <f t="shared" si="90"/>
        <v/>
      </c>
      <c r="AZ90" s="159" t="str">
        <f t="shared" si="90"/>
        <v/>
      </c>
      <c r="BA90" s="159" t="str">
        <f t="shared" si="90"/>
        <v/>
      </c>
      <c r="BB90" s="159" t="str">
        <f t="shared" si="90"/>
        <v/>
      </c>
      <c r="BC90" s="159" t="str">
        <f t="shared" si="90"/>
        <v/>
      </c>
      <c r="BD90" s="159" t="str">
        <f t="shared" si="90"/>
        <v/>
      </c>
      <c r="BE90" s="159" t="str">
        <f t="shared" si="90"/>
        <v/>
      </c>
      <c r="BF90" s="159" t="str">
        <f t="shared" si="90"/>
        <v/>
      </c>
      <c r="BG90" s="159" t="str">
        <f t="shared" si="90"/>
        <v/>
      </c>
      <c r="BH90" s="159" t="str">
        <f t="shared" si="90"/>
        <v/>
      </c>
      <c r="BI90" s="159" t="str">
        <f t="shared" si="90"/>
        <v/>
      </c>
      <c r="BJ90" s="159" t="str">
        <f t="shared" si="90"/>
        <v/>
      </c>
      <c r="BK90" s="159" t="str">
        <f t="shared" si="90"/>
        <v/>
      </c>
      <c r="BL90" s="159" t="str">
        <f t="shared" si="90"/>
        <v/>
      </c>
      <c r="BM90" s="159" t="str">
        <f t="shared" si="90"/>
        <v/>
      </c>
      <c r="BN90" s="159" t="str">
        <f t="shared" si="90"/>
        <v/>
      </c>
      <c r="BO90" s="159" t="str">
        <f t="shared" si="90"/>
        <v/>
      </c>
      <c r="BP90" s="159" t="str">
        <f t="shared" ref="BP90:CS90" si="91">IFERROR(IF(BP63=1,BP35/BO35,""),"")</f>
        <v/>
      </c>
      <c r="BQ90" s="159" t="str">
        <f t="shared" si="91"/>
        <v/>
      </c>
      <c r="BR90" s="159" t="str">
        <f t="shared" si="91"/>
        <v/>
      </c>
      <c r="BS90" s="159" t="str">
        <f t="shared" si="91"/>
        <v/>
      </c>
      <c r="BT90" s="159" t="str">
        <f t="shared" si="91"/>
        <v/>
      </c>
      <c r="BU90" s="159" t="str">
        <f t="shared" si="91"/>
        <v/>
      </c>
      <c r="BV90" s="159" t="str">
        <f t="shared" si="91"/>
        <v/>
      </c>
      <c r="BW90" s="159" t="str">
        <f t="shared" si="91"/>
        <v/>
      </c>
      <c r="BX90" s="159" t="str">
        <f t="shared" si="91"/>
        <v/>
      </c>
      <c r="BY90" s="159" t="str">
        <f t="shared" si="91"/>
        <v/>
      </c>
      <c r="BZ90" s="159" t="str">
        <f t="shared" si="91"/>
        <v/>
      </c>
      <c r="CA90" s="159" t="str">
        <f t="shared" si="91"/>
        <v/>
      </c>
      <c r="CB90" s="159" t="str">
        <f t="shared" si="91"/>
        <v/>
      </c>
      <c r="CC90" s="159" t="str">
        <f t="shared" si="91"/>
        <v/>
      </c>
      <c r="CD90" s="159" t="str">
        <f t="shared" si="91"/>
        <v/>
      </c>
      <c r="CE90" s="159" t="str">
        <f t="shared" si="91"/>
        <v/>
      </c>
      <c r="CF90" s="159" t="str">
        <f t="shared" si="91"/>
        <v/>
      </c>
      <c r="CG90" s="159" t="str">
        <f t="shared" si="91"/>
        <v/>
      </c>
      <c r="CH90" s="159" t="str">
        <f t="shared" si="91"/>
        <v/>
      </c>
      <c r="CI90" s="159" t="str">
        <f t="shared" si="91"/>
        <v/>
      </c>
      <c r="CJ90" s="159" t="str">
        <f t="shared" si="91"/>
        <v/>
      </c>
      <c r="CK90" s="159" t="str">
        <f t="shared" si="91"/>
        <v/>
      </c>
      <c r="CL90" s="159" t="str">
        <f t="shared" si="91"/>
        <v/>
      </c>
      <c r="CM90" s="159" t="str">
        <f t="shared" si="91"/>
        <v/>
      </c>
      <c r="CN90" s="159" t="str">
        <f t="shared" si="91"/>
        <v/>
      </c>
      <c r="CO90" s="159" t="str">
        <f t="shared" si="91"/>
        <v/>
      </c>
      <c r="CP90" s="159" t="str">
        <f t="shared" si="91"/>
        <v/>
      </c>
      <c r="CQ90" s="159" t="str">
        <f t="shared" si="91"/>
        <v/>
      </c>
      <c r="CR90" s="159" t="str">
        <f t="shared" si="91"/>
        <v/>
      </c>
      <c r="CS90" s="159" t="str">
        <f t="shared" si="91"/>
        <v/>
      </c>
      <c r="CT90" s="226" t="s">
        <v>54</v>
      </c>
      <c r="CU90" s="42"/>
      <c r="CV90" s="42"/>
      <c r="CW90" s="44"/>
    </row>
    <row r="91" spans="1:103" x14ac:dyDescent="0.25">
      <c r="A91" s="97">
        <f t="shared" si="48"/>
        <v>1</v>
      </c>
      <c r="B91" s="31">
        <f t="shared" si="49"/>
        <v>2018</v>
      </c>
      <c r="C91" s="158"/>
      <c r="D91" s="159">
        <f t="shared" ref="D91" si="92">IFERROR(IF(D64=1,D36/C36,""),"")</f>
        <v>0.57428775958700207</v>
      </c>
      <c r="E91" s="159" t="str">
        <f t="shared" ref="E91:BP91" si="93">IFERROR(IF(E64=1,E36/D36,""),"")</f>
        <v/>
      </c>
      <c r="F91" s="159" t="str">
        <f t="shared" si="93"/>
        <v/>
      </c>
      <c r="G91" s="159" t="str">
        <f t="shared" si="93"/>
        <v/>
      </c>
      <c r="H91" s="159" t="str">
        <f t="shared" si="93"/>
        <v/>
      </c>
      <c r="I91" s="159" t="str">
        <f t="shared" si="93"/>
        <v/>
      </c>
      <c r="J91" s="159" t="str">
        <f t="shared" si="93"/>
        <v/>
      </c>
      <c r="K91" s="159" t="str">
        <f t="shared" si="93"/>
        <v/>
      </c>
      <c r="L91" s="159" t="str">
        <f t="shared" si="93"/>
        <v/>
      </c>
      <c r="M91" s="159" t="str">
        <f t="shared" si="93"/>
        <v/>
      </c>
      <c r="N91" s="159" t="str">
        <f t="shared" si="93"/>
        <v/>
      </c>
      <c r="O91" s="159" t="str">
        <f t="shared" si="93"/>
        <v/>
      </c>
      <c r="P91" s="159" t="str">
        <f t="shared" si="93"/>
        <v/>
      </c>
      <c r="Q91" s="159" t="str">
        <f t="shared" si="93"/>
        <v/>
      </c>
      <c r="R91" s="159" t="str">
        <f t="shared" si="93"/>
        <v/>
      </c>
      <c r="S91" s="159" t="str">
        <f t="shared" si="93"/>
        <v/>
      </c>
      <c r="T91" s="159" t="str">
        <f t="shared" si="93"/>
        <v/>
      </c>
      <c r="U91" s="159" t="str">
        <f t="shared" si="93"/>
        <v/>
      </c>
      <c r="V91" s="159" t="str">
        <f t="shared" si="93"/>
        <v/>
      </c>
      <c r="W91" s="159" t="str">
        <f t="shared" si="93"/>
        <v/>
      </c>
      <c r="X91" s="159" t="str">
        <f t="shared" si="93"/>
        <v/>
      </c>
      <c r="Y91" s="159" t="str">
        <f t="shared" si="93"/>
        <v/>
      </c>
      <c r="Z91" s="159" t="str">
        <f t="shared" si="93"/>
        <v/>
      </c>
      <c r="AA91" s="159" t="str">
        <f t="shared" si="93"/>
        <v/>
      </c>
      <c r="AB91" s="159" t="str">
        <f t="shared" si="93"/>
        <v/>
      </c>
      <c r="AC91" s="159" t="str">
        <f t="shared" si="93"/>
        <v/>
      </c>
      <c r="AD91" s="159" t="str">
        <f t="shared" si="93"/>
        <v/>
      </c>
      <c r="AE91" s="159" t="str">
        <f t="shared" si="93"/>
        <v/>
      </c>
      <c r="AF91" s="159" t="str">
        <f t="shared" si="93"/>
        <v/>
      </c>
      <c r="AG91" s="159" t="str">
        <f t="shared" si="93"/>
        <v/>
      </c>
      <c r="AH91" s="159" t="str">
        <f t="shared" si="93"/>
        <v/>
      </c>
      <c r="AI91" s="159" t="str">
        <f t="shared" si="93"/>
        <v/>
      </c>
      <c r="AJ91" s="159" t="str">
        <f t="shared" si="93"/>
        <v/>
      </c>
      <c r="AK91" s="159" t="str">
        <f t="shared" si="93"/>
        <v/>
      </c>
      <c r="AL91" s="159" t="str">
        <f t="shared" si="93"/>
        <v/>
      </c>
      <c r="AM91" s="159" t="str">
        <f t="shared" si="93"/>
        <v/>
      </c>
      <c r="AN91" s="159" t="str">
        <f t="shared" si="93"/>
        <v/>
      </c>
      <c r="AO91" s="159" t="str">
        <f t="shared" si="93"/>
        <v/>
      </c>
      <c r="AP91" s="159" t="str">
        <f t="shared" si="93"/>
        <v/>
      </c>
      <c r="AQ91" s="159" t="str">
        <f t="shared" si="93"/>
        <v/>
      </c>
      <c r="AR91" s="159" t="str">
        <f t="shared" si="93"/>
        <v/>
      </c>
      <c r="AS91" s="159" t="str">
        <f t="shared" si="93"/>
        <v/>
      </c>
      <c r="AT91" s="159" t="str">
        <f t="shared" si="93"/>
        <v/>
      </c>
      <c r="AU91" s="159" t="str">
        <f t="shared" si="93"/>
        <v/>
      </c>
      <c r="AV91" s="159" t="str">
        <f t="shared" si="93"/>
        <v/>
      </c>
      <c r="AW91" s="159" t="str">
        <f t="shared" si="93"/>
        <v/>
      </c>
      <c r="AX91" s="159" t="str">
        <f t="shared" si="93"/>
        <v/>
      </c>
      <c r="AY91" s="159" t="str">
        <f t="shared" si="93"/>
        <v/>
      </c>
      <c r="AZ91" s="159" t="str">
        <f t="shared" si="93"/>
        <v/>
      </c>
      <c r="BA91" s="159" t="str">
        <f t="shared" si="93"/>
        <v/>
      </c>
      <c r="BB91" s="159" t="str">
        <f t="shared" si="93"/>
        <v/>
      </c>
      <c r="BC91" s="159" t="str">
        <f t="shared" si="93"/>
        <v/>
      </c>
      <c r="BD91" s="159" t="str">
        <f t="shared" si="93"/>
        <v/>
      </c>
      <c r="BE91" s="159" t="str">
        <f t="shared" si="93"/>
        <v/>
      </c>
      <c r="BF91" s="159" t="str">
        <f t="shared" si="93"/>
        <v/>
      </c>
      <c r="BG91" s="159" t="str">
        <f t="shared" si="93"/>
        <v/>
      </c>
      <c r="BH91" s="159" t="str">
        <f t="shared" si="93"/>
        <v/>
      </c>
      <c r="BI91" s="159" t="str">
        <f t="shared" si="93"/>
        <v/>
      </c>
      <c r="BJ91" s="159" t="str">
        <f t="shared" si="93"/>
        <v/>
      </c>
      <c r="BK91" s="159" t="str">
        <f t="shared" si="93"/>
        <v/>
      </c>
      <c r="BL91" s="159" t="str">
        <f t="shared" si="93"/>
        <v/>
      </c>
      <c r="BM91" s="159" t="str">
        <f t="shared" si="93"/>
        <v/>
      </c>
      <c r="BN91" s="159" t="str">
        <f t="shared" si="93"/>
        <v/>
      </c>
      <c r="BO91" s="159" t="str">
        <f t="shared" si="93"/>
        <v/>
      </c>
      <c r="BP91" s="159" t="str">
        <f t="shared" si="93"/>
        <v/>
      </c>
      <c r="BQ91" s="159" t="str">
        <f t="shared" ref="BQ91:CS91" si="94">IFERROR(IF(BQ64=1,BQ36/BP36,""),"")</f>
        <v/>
      </c>
      <c r="BR91" s="159" t="str">
        <f t="shared" si="94"/>
        <v/>
      </c>
      <c r="BS91" s="159" t="str">
        <f t="shared" si="94"/>
        <v/>
      </c>
      <c r="BT91" s="159" t="str">
        <f t="shared" si="94"/>
        <v/>
      </c>
      <c r="BU91" s="159" t="str">
        <f t="shared" si="94"/>
        <v/>
      </c>
      <c r="BV91" s="159" t="str">
        <f t="shared" si="94"/>
        <v/>
      </c>
      <c r="BW91" s="159" t="str">
        <f t="shared" si="94"/>
        <v/>
      </c>
      <c r="BX91" s="159" t="str">
        <f t="shared" si="94"/>
        <v/>
      </c>
      <c r="BY91" s="159" t="str">
        <f t="shared" si="94"/>
        <v/>
      </c>
      <c r="BZ91" s="159" t="str">
        <f t="shared" si="94"/>
        <v/>
      </c>
      <c r="CA91" s="159" t="str">
        <f t="shared" si="94"/>
        <v/>
      </c>
      <c r="CB91" s="159" t="str">
        <f t="shared" si="94"/>
        <v/>
      </c>
      <c r="CC91" s="159" t="str">
        <f t="shared" si="94"/>
        <v/>
      </c>
      <c r="CD91" s="159" t="str">
        <f t="shared" si="94"/>
        <v/>
      </c>
      <c r="CE91" s="159" t="str">
        <f t="shared" si="94"/>
        <v/>
      </c>
      <c r="CF91" s="159" t="str">
        <f t="shared" si="94"/>
        <v/>
      </c>
      <c r="CG91" s="159" t="str">
        <f t="shared" si="94"/>
        <v/>
      </c>
      <c r="CH91" s="159" t="str">
        <f t="shared" si="94"/>
        <v/>
      </c>
      <c r="CI91" s="159" t="str">
        <f t="shared" si="94"/>
        <v/>
      </c>
      <c r="CJ91" s="159" t="str">
        <f t="shared" si="94"/>
        <v/>
      </c>
      <c r="CK91" s="159" t="str">
        <f t="shared" si="94"/>
        <v/>
      </c>
      <c r="CL91" s="159" t="str">
        <f t="shared" si="94"/>
        <v/>
      </c>
      <c r="CM91" s="159" t="str">
        <f t="shared" si="94"/>
        <v/>
      </c>
      <c r="CN91" s="159" t="str">
        <f t="shared" si="94"/>
        <v/>
      </c>
      <c r="CO91" s="159" t="str">
        <f t="shared" si="94"/>
        <v/>
      </c>
      <c r="CP91" s="159" t="str">
        <f t="shared" si="94"/>
        <v/>
      </c>
      <c r="CQ91" s="159" t="str">
        <f t="shared" si="94"/>
        <v/>
      </c>
      <c r="CR91" s="159" t="str">
        <f t="shared" si="94"/>
        <v/>
      </c>
      <c r="CS91" s="159" t="str">
        <f t="shared" si="94"/>
        <v/>
      </c>
      <c r="CT91" s="226" t="s">
        <v>54</v>
      </c>
      <c r="CU91" s="42"/>
      <c r="CV91" s="42"/>
      <c r="CW91" s="44"/>
    </row>
    <row r="92" spans="1:103" x14ac:dyDescent="0.25">
      <c r="A92" s="97">
        <f t="shared" si="48"/>
        <v>1</v>
      </c>
      <c r="B92" s="80">
        <f t="shared" si="49"/>
        <v>2019</v>
      </c>
      <c r="C92" s="161"/>
      <c r="D92" s="162" t="str">
        <f>IFERROR(IF(D65=1,D37/C37,""),"")</f>
        <v/>
      </c>
      <c r="E92" s="162" t="str">
        <f t="shared" ref="E92:BO92" si="95">IFERROR(IF(E65=1,E37/D37,""),"")</f>
        <v/>
      </c>
      <c r="F92" s="162" t="str">
        <f t="shared" si="95"/>
        <v/>
      </c>
      <c r="G92" s="162" t="str">
        <f t="shared" si="95"/>
        <v/>
      </c>
      <c r="H92" s="162" t="str">
        <f t="shared" si="95"/>
        <v/>
      </c>
      <c r="I92" s="162" t="str">
        <f t="shared" si="95"/>
        <v/>
      </c>
      <c r="J92" s="162" t="str">
        <f t="shared" si="95"/>
        <v/>
      </c>
      <c r="K92" s="162" t="str">
        <f t="shared" si="95"/>
        <v/>
      </c>
      <c r="L92" s="162" t="str">
        <f t="shared" si="95"/>
        <v/>
      </c>
      <c r="M92" s="162" t="str">
        <f t="shared" si="95"/>
        <v/>
      </c>
      <c r="N92" s="162" t="str">
        <f t="shared" si="95"/>
        <v/>
      </c>
      <c r="O92" s="162" t="str">
        <f t="shared" si="95"/>
        <v/>
      </c>
      <c r="P92" s="162" t="str">
        <f t="shared" si="95"/>
        <v/>
      </c>
      <c r="Q92" s="162" t="str">
        <f t="shared" si="95"/>
        <v/>
      </c>
      <c r="R92" s="162" t="str">
        <f t="shared" si="95"/>
        <v/>
      </c>
      <c r="S92" s="162" t="str">
        <f t="shared" si="95"/>
        <v/>
      </c>
      <c r="T92" s="162" t="str">
        <f t="shared" si="95"/>
        <v/>
      </c>
      <c r="U92" s="162" t="str">
        <f t="shared" si="95"/>
        <v/>
      </c>
      <c r="V92" s="162" t="str">
        <f t="shared" si="95"/>
        <v/>
      </c>
      <c r="W92" s="162" t="str">
        <f t="shared" si="95"/>
        <v/>
      </c>
      <c r="X92" s="162" t="str">
        <f t="shared" si="95"/>
        <v/>
      </c>
      <c r="Y92" s="162" t="str">
        <f t="shared" si="95"/>
        <v/>
      </c>
      <c r="Z92" s="162" t="str">
        <f t="shared" si="95"/>
        <v/>
      </c>
      <c r="AA92" s="162" t="str">
        <f t="shared" si="95"/>
        <v/>
      </c>
      <c r="AB92" s="162" t="str">
        <f t="shared" si="95"/>
        <v/>
      </c>
      <c r="AC92" s="162" t="str">
        <f t="shared" si="95"/>
        <v/>
      </c>
      <c r="AD92" s="162" t="str">
        <f t="shared" si="95"/>
        <v/>
      </c>
      <c r="AE92" s="162" t="str">
        <f t="shared" si="95"/>
        <v/>
      </c>
      <c r="AF92" s="162" t="str">
        <f t="shared" si="95"/>
        <v/>
      </c>
      <c r="AG92" s="162" t="str">
        <f t="shared" si="95"/>
        <v/>
      </c>
      <c r="AH92" s="162" t="str">
        <f t="shared" si="95"/>
        <v/>
      </c>
      <c r="AI92" s="162" t="str">
        <f t="shared" si="95"/>
        <v/>
      </c>
      <c r="AJ92" s="162" t="str">
        <f t="shared" si="95"/>
        <v/>
      </c>
      <c r="AK92" s="162" t="str">
        <f t="shared" si="95"/>
        <v/>
      </c>
      <c r="AL92" s="162" t="str">
        <f t="shared" si="95"/>
        <v/>
      </c>
      <c r="AM92" s="162" t="str">
        <f t="shared" si="95"/>
        <v/>
      </c>
      <c r="AN92" s="162" t="str">
        <f t="shared" si="95"/>
        <v/>
      </c>
      <c r="AO92" s="162" t="str">
        <f t="shared" si="95"/>
        <v/>
      </c>
      <c r="AP92" s="162" t="str">
        <f t="shared" si="95"/>
        <v/>
      </c>
      <c r="AQ92" s="162" t="str">
        <f t="shared" si="95"/>
        <v/>
      </c>
      <c r="AR92" s="162" t="str">
        <f t="shared" si="95"/>
        <v/>
      </c>
      <c r="AS92" s="162" t="str">
        <f t="shared" si="95"/>
        <v/>
      </c>
      <c r="AT92" s="162" t="str">
        <f t="shared" si="95"/>
        <v/>
      </c>
      <c r="AU92" s="162" t="str">
        <f t="shared" si="95"/>
        <v/>
      </c>
      <c r="AV92" s="162" t="str">
        <f t="shared" si="95"/>
        <v/>
      </c>
      <c r="AW92" s="162" t="str">
        <f t="shared" si="95"/>
        <v/>
      </c>
      <c r="AX92" s="162" t="str">
        <f t="shared" si="95"/>
        <v/>
      </c>
      <c r="AY92" s="162" t="str">
        <f t="shared" si="95"/>
        <v/>
      </c>
      <c r="AZ92" s="162" t="str">
        <f t="shared" si="95"/>
        <v/>
      </c>
      <c r="BA92" s="162" t="str">
        <f t="shared" si="95"/>
        <v/>
      </c>
      <c r="BB92" s="162" t="str">
        <f t="shared" si="95"/>
        <v/>
      </c>
      <c r="BC92" s="162" t="str">
        <f t="shared" si="95"/>
        <v/>
      </c>
      <c r="BD92" s="162" t="str">
        <f t="shared" si="95"/>
        <v/>
      </c>
      <c r="BE92" s="162" t="str">
        <f t="shared" si="95"/>
        <v/>
      </c>
      <c r="BF92" s="162" t="str">
        <f t="shared" si="95"/>
        <v/>
      </c>
      <c r="BG92" s="162" t="str">
        <f t="shared" si="95"/>
        <v/>
      </c>
      <c r="BH92" s="162" t="str">
        <f t="shared" si="95"/>
        <v/>
      </c>
      <c r="BI92" s="162" t="str">
        <f t="shared" si="95"/>
        <v/>
      </c>
      <c r="BJ92" s="162" t="str">
        <f t="shared" si="95"/>
        <v/>
      </c>
      <c r="BK92" s="162" t="str">
        <f t="shared" si="95"/>
        <v/>
      </c>
      <c r="BL92" s="162" t="str">
        <f t="shared" si="95"/>
        <v/>
      </c>
      <c r="BM92" s="162" t="str">
        <f t="shared" si="95"/>
        <v/>
      </c>
      <c r="BN92" s="162" t="str">
        <f t="shared" si="95"/>
        <v/>
      </c>
      <c r="BO92" s="162" t="str">
        <f t="shared" si="95"/>
        <v/>
      </c>
      <c r="BP92" s="162" t="str">
        <f t="shared" ref="BP92:CS92" si="96">IFERROR(IF(BP65=1,BP37/BO37,""),"")</f>
        <v/>
      </c>
      <c r="BQ92" s="162" t="str">
        <f t="shared" si="96"/>
        <v/>
      </c>
      <c r="BR92" s="162" t="str">
        <f t="shared" si="96"/>
        <v/>
      </c>
      <c r="BS92" s="162" t="str">
        <f t="shared" si="96"/>
        <v/>
      </c>
      <c r="BT92" s="162" t="str">
        <f t="shared" si="96"/>
        <v/>
      </c>
      <c r="BU92" s="162" t="str">
        <f t="shared" si="96"/>
        <v/>
      </c>
      <c r="BV92" s="162" t="str">
        <f t="shared" si="96"/>
        <v/>
      </c>
      <c r="BW92" s="162" t="str">
        <f t="shared" si="96"/>
        <v/>
      </c>
      <c r="BX92" s="162" t="str">
        <f t="shared" si="96"/>
        <v/>
      </c>
      <c r="BY92" s="162" t="str">
        <f t="shared" si="96"/>
        <v/>
      </c>
      <c r="BZ92" s="162" t="str">
        <f t="shared" si="96"/>
        <v/>
      </c>
      <c r="CA92" s="162" t="str">
        <f t="shared" si="96"/>
        <v/>
      </c>
      <c r="CB92" s="162" t="str">
        <f t="shared" si="96"/>
        <v/>
      </c>
      <c r="CC92" s="162" t="str">
        <f t="shared" si="96"/>
        <v/>
      </c>
      <c r="CD92" s="162" t="str">
        <f t="shared" si="96"/>
        <v/>
      </c>
      <c r="CE92" s="162" t="str">
        <f t="shared" si="96"/>
        <v/>
      </c>
      <c r="CF92" s="162" t="str">
        <f t="shared" si="96"/>
        <v/>
      </c>
      <c r="CG92" s="162" t="str">
        <f t="shared" si="96"/>
        <v/>
      </c>
      <c r="CH92" s="162" t="str">
        <f t="shared" si="96"/>
        <v/>
      </c>
      <c r="CI92" s="162" t="str">
        <f t="shared" si="96"/>
        <v/>
      </c>
      <c r="CJ92" s="162" t="str">
        <f t="shared" si="96"/>
        <v/>
      </c>
      <c r="CK92" s="162" t="str">
        <f t="shared" si="96"/>
        <v/>
      </c>
      <c r="CL92" s="162" t="str">
        <f t="shared" si="96"/>
        <v/>
      </c>
      <c r="CM92" s="162" t="str">
        <f t="shared" si="96"/>
        <v/>
      </c>
      <c r="CN92" s="162" t="str">
        <f t="shared" si="96"/>
        <v/>
      </c>
      <c r="CO92" s="162" t="str">
        <f t="shared" si="96"/>
        <v/>
      </c>
      <c r="CP92" s="162" t="str">
        <f t="shared" si="96"/>
        <v/>
      </c>
      <c r="CQ92" s="162" t="str">
        <f t="shared" si="96"/>
        <v/>
      </c>
      <c r="CR92" s="162" t="str">
        <f t="shared" si="96"/>
        <v/>
      </c>
      <c r="CS92" s="162" t="str">
        <f t="shared" si="96"/>
        <v/>
      </c>
      <c r="CT92" s="227" t="s">
        <v>54</v>
      </c>
      <c r="CU92" s="42"/>
      <c r="CV92" s="42"/>
      <c r="CW92" s="44"/>
    </row>
    <row r="93" spans="1:103" hidden="1" x14ac:dyDescent="0.25">
      <c r="A93" s="97">
        <v>0</v>
      </c>
      <c r="B93" s="25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U93" s="42"/>
      <c r="CV93" s="42"/>
      <c r="CW93" s="44"/>
    </row>
    <row r="94" spans="1:103" hidden="1" x14ac:dyDescent="0.25">
      <c r="A94" s="97">
        <v>0</v>
      </c>
      <c r="B94" s="19" t="s">
        <v>50</v>
      </c>
    </row>
    <row r="95" spans="1:103" hidden="1" x14ac:dyDescent="0.25">
      <c r="A95" s="97">
        <v>0</v>
      </c>
      <c r="B95" s="21" t="s">
        <v>2</v>
      </c>
      <c r="C95" s="163"/>
      <c r="D95" s="164" t="str">
        <f t="shared" ref="D95:AI95" si="97">D68</f>
        <v>2 / 1</v>
      </c>
      <c r="E95" s="164" t="str">
        <f t="shared" si="97"/>
        <v>3 / 2</v>
      </c>
      <c r="F95" s="164" t="str">
        <f t="shared" si="97"/>
        <v>4 / 3</v>
      </c>
      <c r="G95" s="164" t="str">
        <f t="shared" si="97"/>
        <v>5 / 4</v>
      </c>
      <c r="H95" s="164" t="str">
        <f t="shared" si="97"/>
        <v>6 / 5</v>
      </c>
      <c r="I95" s="164" t="str">
        <f t="shared" si="97"/>
        <v>7 / 6</v>
      </c>
      <c r="J95" s="164" t="str">
        <f t="shared" si="97"/>
        <v>8 / 7</v>
      </c>
      <c r="K95" s="164" t="str">
        <f t="shared" si="97"/>
        <v>9 / 8</v>
      </c>
      <c r="L95" s="164" t="str">
        <f t="shared" si="97"/>
        <v>10 / 9</v>
      </c>
      <c r="M95" s="164" t="str">
        <f t="shared" si="97"/>
        <v>11 / 10</v>
      </c>
      <c r="N95" s="164" t="str">
        <f t="shared" si="97"/>
        <v>12 / 11</v>
      </c>
      <c r="O95" s="164" t="str">
        <f t="shared" si="97"/>
        <v>13 / 12</v>
      </c>
      <c r="P95" s="164" t="str">
        <f t="shared" si="97"/>
        <v>14 / 13</v>
      </c>
      <c r="Q95" s="164" t="str">
        <f t="shared" si="97"/>
        <v>15 / 14</v>
      </c>
      <c r="R95" s="164" t="str">
        <f t="shared" si="97"/>
        <v>16 / 15</v>
      </c>
      <c r="S95" s="164" t="str">
        <f t="shared" si="97"/>
        <v>17 / 16</v>
      </c>
      <c r="T95" s="164" t="str">
        <f t="shared" si="97"/>
        <v>18 / 17</v>
      </c>
      <c r="U95" s="164" t="str">
        <f t="shared" si="97"/>
        <v>19 / 18</v>
      </c>
      <c r="V95" s="164" t="str">
        <f t="shared" si="97"/>
        <v>20 / 19</v>
      </c>
      <c r="W95" s="164" t="str">
        <f t="shared" si="97"/>
        <v>21 / 20</v>
      </c>
      <c r="X95" s="164" t="str">
        <f t="shared" si="97"/>
        <v>22 / 21</v>
      </c>
      <c r="Y95" s="164" t="str">
        <f t="shared" si="97"/>
        <v>23 / 22</v>
      </c>
      <c r="Z95" s="164" t="str">
        <f t="shared" si="97"/>
        <v>24 / 23</v>
      </c>
      <c r="AA95" s="164" t="str">
        <f t="shared" si="97"/>
        <v>25 / 24</v>
      </c>
      <c r="AB95" s="164" t="str">
        <f t="shared" si="97"/>
        <v>26 / 25</v>
      </c>
      <c r="AC95" s="164" t="str">
        <f t="shared" si="97"/>
        <v>27 / 26</v>
      </c>
      <c r="AD95" s="164" t="str">
        <f t="shared" si="97"/>
        <v>28 / 27</v>
      </c>
      <c r="AE95" s="164" t="str">
        <f t="shared" si="97"/>
        <v>29 / 28</v>
      </c>
      <c r="AF95" s="164" t="str">
        <f t="shared" si="97"/>
        <v>30 / 29</v>
      </c>
      <c r="AG95" s="164" t="str">
        <f t="shared" si="97"/>
        <v>31 / 30</v>
      </c>
      <c r="AH95" s="164" t="str">
        <f t="shared" si="97"/>
        <v>32 / 31</v>
      </c>
      <c r="AI95" s="164" t="str">
        <f t="shared" si="97"/>
        <v>33 / 32</v>
      </c>
      <c r="AJ95" s="164" t="str">
        <f t="shared" ref="AJ95:BO95" si="98">AJ68</f>
        <v>34 / 33</v>
      </c>
      <c r="AK95" s="164" t="str">
        <f t="shared" si="98"/>
        <v>35 / 34</v>
      </c>
      <c r="AL95" s="164" t="str">
        <f t="shared" si="98"/>
        <v>36 / 35</v>
      </c>
      <c r="AM95" s="164" t="str">
        <f t="shared" si="98"/>
        <v>37 / 36</v>
      </c>
      <c r="AN95" s="164" t="str">
        <f t="shared" si="98"/>
        <v>38 / 37</v>
      </c>
      <c r="AO95" s="164" t="str">
        <f t="shared" si="98"/>
        <v>39 / 38</v>
      </c>
      <c r="AP95" s="164" t="str">
        <f t="shared" si="98"/>
        <v>40 / 39</v>
      </c>
      <c r="AQ95" s="164" t="str">
        <f t="shared" si="98"/>
        <v>41 / 40</v>
      </c>
      <c r="AR95" s="164" t="str">
        <f t="shared" si="98"/>
        <v>42 / 41</v>
      </c>
      <c r="AS95" s="164" t="str">
        <f t="shared" si="98"/>
        <v>43 / 42</v>
      </c>
      <c r="AT95" s="164" t="str">
        <f t="shared" si="98"/>
        <v>44 / 43</v>
      </c>
      <c r="AU95" s="164" t="str">
        <f t="shared" si="98"/>
        <v>45 / 44</v>
      </c>
      <c r="AV95" s="164" t="str">
        <f t="shared" si="98"/>
        <v>46 / 45</v>
      </c>
      <c r="AW95" s="164" t="str">
        <f t="shared" si="98"/>
        <v>47 / 46</v>
      </c>
      <c r="AX95" s="164" t="str">
        <f t="shared" si="98"/>
        <v>48 / 47</v>
      </c>
      <c r="AY95" s="164" t="str">
        <f t="shared" si="98"/>
        <v>49 / 48</v>
      </c>
      <c r="AZ95" s="164" t="str">
        <f t="shared" si="98"/>
        <v>50 / 49</v>
      </c>
      <c r="BA95" s="164" t="str">
        <f t="shared" si="98"/>
        <v>51 / 50</v>
      </c>
      <c r="BB95" s="164" t="str">
        <f t="shared" si="98"/>
        <v>52 / 51</v>
      </c>
      <c r="BC95" s="164" t="str">
        <f t="shared" si="98"/>
        <v>53 / 52</v>
      </c>
      <c r="BD95" s="164" t="str">
        <f t="shared" si="98"/>
        <v>54 / 53</v>
      </c>
      <c r="BE95" s="164" t="str">
        <f t="shared" si="98"/>
        <v>55 / 54</v>
      </c>
      <c r="BF95" s="164" t="str">
        <f t="shared" si="98"/>
        <v>56 / 55</v>
      </c>
      <c r="BG95" s="164" t="str">
        <f t="shared" si="98"/>
        <v>57 / 56</v>
      </c>
      <c r="BH95" s="164" t="str">
        <f t="shared" si="98"/>
        <v>58 / 57</v>
      </c>
      <c r="BI95" s="164" t="str">
        <f t="shared" si="98"/>
        <v>59 / 58</v>
      </c>
      <c r="BJ95" s="164" t="str">
        <f t="shared" si="98"/>
        <v>60 / 59</v>
      </c>
      <c r="BK95" s="164" t="str">
        <f t="shared" si="98"/>
        <v>61 / 60</v>
      </c>
      <c r="BL95" s="164" t="str">
        <f t="shared" si="98"/>
        <v>62 / 61</v>
      </c>
      <c r="BM95" s="164" t="str">
        <f t="shared" si="98"/>
        <v>63 / 62</v>
      </c>
      <c r="BN95" s="164" t="str">
        <f t="shared" si="98"/>
        <v>64 / 63</v>
      </c>
      <c r="BO95" s="164" t="str">
        <f t="shared" si="98"/>
        <v>65 / 64</v>
      </c>
      <c r="BP95" s="164" t="str">
        <f t="shared" ref="BP95:CS95" si="99">BP68</f>
        <v>66 / 65</v>
      </c>
      <c r="BQ95" s="164" t="str">
        <f t="shared" si="99"/>
        <v>67 / 66</v>
      </c>
      <c r="BR95" s="164" t="str">
        <f t="shared" si="99"/>
        <v>68 / 67</v>
      </c>
      <c r="BS95" s="164" t="str">
        <f t="shared" si="99"/>
        <v>69 / 68</v>
      </c>
      <c r="BT95" s="164" t="str">
        <f t="shared" si="99"/>
        <v>70 / 69</v>
      </c>
      <c r="BU95" s="164" t="str">
        <f t="shared" si="99"/>
        <v>71 / 70</v>
      </c>
      <c r="BV95" s="164" t="str">
        <f t="shared" si="99"/>
        <v>72 / 71</v>
      </c>
      <c r="BW95" s="164" t="str">
        <f t="shared" si="99"/>
        <v>73 / 72</v>
      </c>
      <c r="BX95" s="164" t="str">
        <f t="shared" si="99"/>
        <v>74 / 73</v>
      </c>
      <c r="BY95" s="164" t="str">
        <f t="shared" si="99"/>
        <v>75 / 74</v>
      </c>
      <c r="BZ95" s="164" t="str">
        <f t="shared" si="99"/>
        <v>76 / 75</v>
      </c>
      <c r="CA95" s="164" t="str">
        <f t="shared" si="99"/>
        <v>77 / 76</v>
      </c>
      <c r="CB95" s="164" t="str">
        <f t="shared" si="99"/>
        <v>78 / 77</v>
      </c>
      <c r="CC95" s="164" t="str">
        <f t="shared" si="99"/>
        <v>79 / 78</v>
      </c>
      <c r="CD95" s="164" t="str">
        <f t="shared" si="99"/>
        <v>80 / 79</v>
      </c>
      <c r="CE95" s="164" t="str">
        <f t="shared" si="99"/>
        <v>81 / 80</v>
      </c>
      <c r="CF95" s="164" t="str">
        <f t="shared" si="99"/>
        <v>82 / 81</v>
      </c>
      <c r="CG95" s="164" t="str">
        <f t="shared" si="99"/>
        <v>83 / 82</v>
      </c>
      <c r="CH95" s="164" t="str">
        <f t="shared" si="99"/>
        <v>84 / 83</v>
      </c>
      <c r="CI95" s="164" t="str">
        <f t="shared" si="99"/>
        <v>85 / 84</v>
      </c>
      <c r="CJ95" s="164" t="str">
        <f t="shared" si="99"/>
        <v>86 / 85</v>
      </c>
      <c r="CK95" s="164" t="str">
        <f t="shared" si="99"/>
        <v>87 / 86</v>
      </c>
      <c r="CL95" s="164" t="str">
        <f t="shared" si="99"/>
        <v>88 / 87</v>
      </c>
      <c r="CM95" s="164" t="str">
        <f t="shared" si="99"/>
        <v>89 / 88</v>
      </c>
      <c r="CN95" s="164" t="str">
        <f t="shared" si="99"/>
        <v>90 / 89</v>
      </c>
      <c r="CO95" s="164" t="str">
        <f t="shared" si="99"/>
        <v>91 / 90</v>
      </c>
      <c r="CP95" s="164" t="str">
        <f t="shared" si="99"/>
        <v>92 / 91</v>
      </c>
      <c r="CQ95" s="164" t="str">
        <f t="shared" si="99"/>
        <v>93 / 92</v>
      </c>
      <c r="CR95" s="164" t="str">
        <f t="shared" si="99"/>
        <v>94 / 93</v>
      </c>
      <c r="CS95" s="165" t="str">
        <f t="shared" si="99"/>
        <v>95 / 94</v>
      </c>
      <c r="CT95" s="11" t="s">
        <v>54</v>
      </c>
    </row>
    <row r="96" spans="1:103" hidden="1" x14ac:dyDescent="0.25">
      <c r="A96" s="97">
        <v>0</v>
      </c>
      <c r="B96" s="31">
        <f t="shared" ref="B96:B119" si="100">B42</f>
        <v>1996</v>
      </c>
      <c r="C96" s="101"/>
      <c r="D96" s="166"/>
      <c r="E96" s="166"/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6"/>
      <c r="BD96" s="166"/>
      <c r="BE96" s="166"/>
      <c r="BF96" s="166"/>
      <c r="BG96" s="166"/>
      <c r="BH96" s="166"/>
      <c r="BI96" s="166"/>
      <c r="BJ96" s="166"/>
      <c r="BK96" s="166"/>
      <c r="BL96" s="166"/>
      <c r="BM96" s="166"/>
      <c r="BN96" s="166"/>
      <c r="BO96" s="166"/>
      <c r="BP96" s="166"/>
      <c r="BQ96" s="166"/>
      <c r="BR96" s="166"/>
      <c r="BS96" s="166"/>
      <c r="BT96" s="166"/>
      <c r="BU96" s="166"/>
      <c r="BV96" s="166"/>
      <c r="BW96" s="166"/>
      <c r="BX96" s="166"/>
      <c r="BY96" s="166"/>
      <c r="BZ96" s="166"/>
      <c r="CA96" s="166"/>
      <c r="CB96" s="166"/>
      <c r="CC96" s="166"/>
      <c r="CD96" s="166"/>
      <c r="CE96" s="166"/>
      <c r="CF96" s="166"/>
      <c r="CG96" s="166"/>
      <c r="CH96" s="166"/>
      <c r="CI96" s="166"/>
      <c r="CJ96" s="166"/>
      <c r="CK96" s="166"/>
      <c r="CL96" s="166"/>
      <c r="CM96" s="166"/>
      <c r="CN96" s="166"/>
      <c r="CO96" s="166"/>
      <c r="CP96" s="166"/>
      <c r="CQ96" s="166"/>
      <c r="CR96" s="166"/>
      <c r="CS96" s="160"/>
      <c r="CT96" s="85" t="s">
        <v>54</v>
      </c>
    </row>
    <row r="97" spans="1:98" hidden="1" x14ac:dyDescent="0.25">
      <c r="A97" s="97">
        <v>0</v>
      </c>
      <c r="B97" s="31">
        <f t="shared" si="100"/>
        <v>1997</v>
      </c>
      <c r="C97" s="101"/>
      <c r="D97" s="166"/>
      <c r="E97" s="166"/>
      <c r="F97" s="166"/>
      <c r="G97" s="166"/>
      <c r="H97" s="166"/>
      <c r="I97" s="166"/>
      <c r="J97" s="166"/>
      <c r="K97" s="166"/>
      <c r="L97" s="166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6"/>
      <c r="BD97" s="166"/>
      <c r="BE97" s="166"/>
      <c r="BF97" s="166"/>
      <c r="BG97" s="166"/>
      <c r="BH97" s="166"/>
      <c r="BI97" s="166"/>
      <c r="BJ97" s="166"/>
      <c r="BK97" s="166"/>
      <c r="BL97" s="166"/>
      <c r="BM97" s="166"/>
      <c r="BN97" s="166"/>
      <c r="BO97" s="166"/>
      <c r="BP97" s="166"/>
      <c r="BQ97" s="166"/>
      <c r="BR97" s="166"/>
      <c r="BS97" s="166"/>
      <c r="BT97" s="166"/>
      <c r="BU97" s="166"/>
      <c r="BV97" s="166"/>
      <c r="BW97" s="166"/>
      <c r="BX97" s="166"/>
      <c r="BY97" s="166"/>
      <c r="BZ97" s="166"/>
      <c r="CA97" s="166"/>
      <c r="CB97" s="166"/>
      <c r="CC97" s="166"/>
      <c r="CD97" s="166"/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66"/>
      <c r="CR97" s="166"/>
      <c r="CS97" s="160"/>
      <c r="CT97" s="85" t="s">
        <v>54</v>
      </c>
    </row>
    <row r="98" spans="1:98" hidden="1" x14ac:dyDescent="0.25">
      <c r="A98" s="97">
        <v>0</v>
      </c>
      <c r="B98" s="31">
        <f t="shared" si="100"/>
        <v>1998</v>
      </c>
      <c r="C98" s="101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6"/>
      <c r="P98" s="166"/>
      <c r="Q98" s="166"/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166"/>
      <c r="AO98" s="166"/>
      <c r="AP98" s="166"/>
      <c r="AQ98" s="166"/>
      <c r="AR98" s="166"/>
      <c r="AS98" s="166"/>
      <c r="AT98" s="166"/>
      <c r="AU98" s="166"/>
      <c r="AV98" s="166"/>
      <c r="AW98" s="166"/>
      <c r="AX98" s="166"/>
      <c r="AY98" s="166"/>
      <c r="AZ98" s="166"/>
      <c r="BA98" s="166"/>
      <c r="BB98" s="166"/>
      <c r="BC98" s="166"/>
      <c r="BD98" s="166"/>
      <c r="BE98" s="166"/>
      <c r="BF98" s="166"/>
      <c r="BG98" s="166"/>
      <c r="BH98" s="166"/>
      <c r="BI98" s="166"/>
      <c r="BJ98" s="166"/>
      <c r="BK98" s="166"/>
      <c r="BL98" s="166"/>
      <c r="BM98" s="166"/>
      <c r="BN98" s="166"/>
      <c r="BO98" s="166"/>
      <c r="BP98" s="166"/>
      <c r="BQ98" s="166"/>
      <c r="BR98" s="166"/>
      <c r="BS98" s="166"/>
      <c r="BT98" s="166"/>
      <c r="BU98" s="166"/>
      <c r="BV98" s="166"/>
      <c r="BW98" s="166"/>
      <c r="BX98" s="166"/>
      <c r="BY98" s="166"/>
      <c r="BZ98" s="166"/>
      <c r="CA98" s="166"/>
      <c r="CB98" s="166"/>
      <c r="CC98" s="166"/>
      <c r="CD98" s="166"/>
      <c r="CE98" s="166"/>
      <c r="CF98" s="166"/>
      <c r="CG98" s="166"/>
      <c r="CH98" s="166"/>
      <c r="CI98" s="166"/>
      <c r="CJ98" s="166"/>
      <c r="CK98" s="166"/>
      <c r="CL98" s="166"/>
      <c r="CM98" s="166"/>
      <c r="CN98" s="166"/>
      <c r="CO98" s="166"/>
      <c r="CP98" s="166"/>
      <c r="CQ98" s="166"/>
      <c r="CR98" s="166"/>
      <c r="CS98" s="160"/>
      <c r="CT98" s="85" t="s">
        <v>54</v>
      </c>
    </row>
    <row r="99" spans="1:98" hidden="1" x14ac:dyDescent="0.25">
      <c r="A99" s="97">
        <v>0</v>
      </c>
      <c r="B99" s="31">
        <f t="shared" si="100"/>
        <v>1999</v>
      </c>
      <c r="C99" s="101"/>
      <c r="D99" s="166"/>
      <c r="E99" s="166"/>
      <c r="F99" s="166"/>
      <c r="G99" s="166"/>
      <c r="H99" s="166"/>
      <c r="I99" s="166"/>
      <c r="J99" s="166"/>
      <c r="K99" s="166"/>
      <c r="L99" s="166"/>
      <c r="M99" s="166"/>
      <c r="N99" s="166"/>
      <c r="O99" s="166"/>
      <c r="P99" s="166"/>
      <c r="Q99" s="166"/>
      <c r="R99" s="166"/>
      <c r="S99" s="166"/>
      <c r="T99" s="166"/>
      <c r="U99" s="166"/>
      <c r="V99" s="166"/>
      <c r="W99" s="166"/>
      <c r="X99" s="166"/>
      <c r="Y99" s="166"/>
      <c r="Z99" s="166"/>
      <c r="AA99" s="166"/>
      <c r="AB99" s="166"/>
      <c r="AC99" s="166"/>
      <c r="AD99" s="166"/>
      <c r="AE99" s="166"/>
      <c r="AF99" s="166"/>
      <c r="AG99" s="166"/>
      <c r="AH99" s="166"/>
      <c r="AI99" s="166"/>
      <c r="AJ99" s="166"/>
      <c r="AK99" s="166"/>
      <c r="AL99" s="166"/>
      <c r="AM99" s="166"/>
      <c r="AN99" s="166"/>
      <c r="AO99" s="166"/>
      <c r="AP99" s="166"/>
      <c r="AQ99" s="166"/>
      <c r="AR99" s="166"/>
      <c r="AS99" s="166"/>
      <c r="AT99" s="166"/>
      <c r="AU99" s="166"/>
      <c r="AV99" s="166"/>
      <c r="AW99" s="166"/>
      <c r="AX99" s="166"/>
      <c r="AY99" s="166"/>
      <c r="AZ99" s="166"/>
      <c r="BA99" s="166"/>
      <c r="BB99" s="166"/>
      <c r="BC99" s="166"/>
      <c r="BD99" s="166"/>
      <c r="BE99" s="166"/>
      <c r="BF99" s="166"/>
      <c r="BG99" s="166"/>
      <c r="BH99" s="166"/>
      <c r="BI99" s="166"/>
      <c r="BJ99" s="166"/>
      <c r="BK99" s="166"/>
      <c r="BL99" s="166"/>
      <c r="BM99" s="166"/>
      <c r="BN99" s="166"/>
      <c r="BO99" s="166"/>
      <c r="BP99" s="166"/>
      <c r="BQ99" s="166"/>
      <c r="BR99" s="166"/>
      <c r="BS99" s="166"/>
      <c r="BT99" s="166"/>
      <c r="BU99" s="166"/>
      <c r="BV99" s="166"/>
      <c r="BW99" s="166"/>
      <c r="BX99" s="166"/>
      <c r="BY99" s="166"/>
      <c r="BZ99" s="166"/>
      <c r="CA99" s="166"/>
      <c r="CB99" s="166"/>
      <c r="CC99" s="166"/>
      <c r="CD99" s="166"/>
      <c r="CE99" s="166"/>
      <c r="CF99" s="166"/>
      <c r="CG99" s="166"/>
      <c r="CH99" s="166"/>
      <c r="CI99" s="166"/>
      <c r="CJ99" s="166"/>
      <c r="CK99" s="166"/>
      <c r="CL99" s="166"/>
      <c r="CM99" s="166"/>
      <c r="CN99" s="166"/>
      <c r="CO99" s="166"/>
      <c r="CP99" s="166"/>
      <c r="CQ99" s="166"/>
      <c r="CR99" s="166"/>
      <c r="CS99" s="160"/>
      <c r="CT99" s="85" t="s">
        <v>54</v>
      </c>
    </row>
    <row r="100" spans="1:98" hidden="1" x14ac:dyDescent="0.25">
      <c r="A100" s="97">
        <v>0</v>
      </c>
      <c r="B100" s="31">
        <f t="shared" si="100"/>
        <v>2000</v>
      </c>
      <c r="C100" s="101"/>
      <c r="D100" s="166"/>
      <c r="E100" s="166"/>
      <c r="F100" s="16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6"/>
      <c r="AU100" s="166"/>
      <c r="AV100" s="166"/>
      <c r="AW100" s="166"/>
      <c r="AX100" s="166"/>
      <c r="AY100" s="166"/>
      <c r="AZ100" s="166"/>
      <c r="BA100" s="166"/>
      <c r="BB100" s="166"/>
      <c r="BC100" s="166"/>
      <c r="BD100" s="166"/>
      <c r="BE100" s="166"/>
      <c r="BF100" s="166"/>
      <c r="BG100" s="166"/>
      <c r="BH100" s="166"/>
      <c r="BI100" s="166"/>
      <c r="BJ100" s="166"/>
      <c r="BK100" s="166"/>
      <c r="BL100" s="166"/>
      <c r="BM100" s="166"/>
      <c r="BN100" s="166"/>
      <c r="BO100" s="166"/>
      <c r="BP100" s="166"/>
      <c r="BQ100" s="166"/>
      <c r="BR100" s="166"/>
      <c r="BS100" s="166"/>
      <c r="BT100" s="166"/>
      <c r="BU100" s="166"/>
      <c r="BV100" s="166"/>
      <c r="BW100" s="166"/>
      <c r="BX100" s="166"/>
      <c r="BY100" s="166"/>
      <c r="BZ100" s="166"/>
      <c r="CA100" s="166"/>
      <c r="CB100" s="166"/>
      <c r="CC100" s="166"/>
      <c r="CD100" s="166"/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66"/>
      <c r="CR100" s="166"/>
      <c r="CS100" s="160"/>
      <c r="CT100" s="85" t="s">
        <v>54</v>
      </c>
    </row>
    <row r="101" spans="1:98" hidden="1" x14ac:dyDescent="0.25">
      <c r="A101" s="97">
        <v>0</v>
      </c>
      <c r="B101" s="31">
        <f t="shared" si="100"/>
        <v>2001</v>
      </c>
      <c r="C101" s="101"/>
      <c r="D101" s="166"/>
      <c r="E101" s="166"/>
      <c r="F101" s="166"/>
      <c r="G101" s="166"/>
      <c r="H101" s="166"/>
      <c r="I101" s="166"/>
      <c r="J101" s="166"/>
      <c r="K101" s="166"/>
      <c r="L101" s="166"/>
      <c r="M101" s="166"/>
      <c r="N101" s="166"/>
      <c r="O101" s="166"/>
      <c r="P101" s="166"/>
      <c r="Q101" s="166"/>
      <c r="R101" s="166"/>
      <c r="S101" s="166"/>
      <c r="T101" s="166"/>
      <c r="U101" s="166"/>
      <c r="V101" s="166"/>
      <c r="W101" s="166"/>
      <c r="X101" s="166"/>
      <c r="Y101" s="166"/>
      <c r="Z101" s="166"/>
      <c r="AA101" s="166"/>
      <c r="AB101" s="166"/>
      <c r="AC101" s="166"/>
      <c r="AD101" s="166"/>
      <c r="AE101" s="166"/>
      <c r="AF101" s="166"/>
      <c r="AG101" s="166"/>
      <c r="AH101" s="166"/>
      <c r="AI101" s="166"/>
      <c r="AJ101" s="166"/>
      <c r="AK101" s="166"/>
      <c r="AL101" s="166"/>
      <c r="AM101" s="166"/>
      <c r="AN101" s="166"/>
      <c r="AO101" s="166"/>
      <c r="AP101" s="166"/>
      <c r="AQ101" s="166"/>
      <c r="AR101" s="166"/>
      <c r="AS101" s="166"/>
      <c r="AT101" s="166"/>
      <c r="AU101" s="166"/>
      <c r="AV101" s="166"/>
      <c r="AW101" s="166"/>
      <c r="AX101" s="166"/>
      <c r="AY101" s="166"/>
      <c r="AZ101" s="166"/>
      <c r="BA101" s="166"/>
      <c r="BB101" s="166"/>
      <c r="BC101" s="166"/>
      <c r="BD101" s="166"/>
      <c r="BE101" s="166"/>
      <c r="BF101" s="166"/>
      <c r="BG101" s="166"/>
      <c r="BH101" s="166"/>
      <c r="BI101" s="166"/>
      <c r="BJ101" s="166"/>
      <c r="BK101" s="166"/>
      <c r="BL101" s="166"/>
      <c r="BM101" s="166"/>
      <c r="BN101" s="166"/>
      <c r="BO101" s="166"/>
      <c r="BP101" s="166"/>
      <c r="BQ101" s="166"/>
      <c r="BR101" s="166"/>
      <c r="BS101" s="166"/>
      <c r="BT101" s="166"/>
      <c r="BU101" s="166"/>
      <c r="BV101" s="166"/>
      <c r="BW101" s="166"/>
      <c r="BX101" s="166"/>
      <c r="BY101" s="166"/>
      <c r="BZ101" s="166"/>
      <c r="CA101" s="166"/>
      <c r="CB101" s="166"/>
      <c r="CC101" s="166"/>
      <c r="CD101" s="166"/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66"/>
      <c r="CR101" s="166"/>
      <c r="CS101" s="160"/>
      <c r="CT101" s="85" t="s">
        <v>54</v>
      </c>
    </row>
    <row r="102" spans="1:98" hidden="1" x14ac:dyDescent="0.25">
      <c r="A102" s="97">
        <v>0</v>
      </c>
      <c r="B102" s="31">
        <f t="shared" si="100"/>
        <v>2002</v>
      </c>
      <c r="C102" s="101"/>
      <c r="D102" s="166"/>
      <c r="E102" s="166"/>
      <c r="F102" s="166"/>
      <c r="G102" s="166"/>
      <c r="H102" s="166"/>
      <c r="I102" s="166"/>
      <c r="J102" s="166"/>
      <c r="K102" s="166"/>
      <c r="L102" s="166"/>
      <c r="M102" s="166"/>
      <c r="N102" s="166"/>
      <c r="O102" s="166"/>
      <c r="P102" s="166"/>
      <c r="Q102" s="166"/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166"/>
      <c r="AO102" s="166"/>
      <c r="AP102" s="166"/>
      <c r="AQ102" s="166"/>
      <c r="AR102" s="166"/>
      <c r="AS102" s="166"/>
      <c r="AT102" s="166"/>
      <c r="AU102" s="166"/>
      <c r="AV102" s="166"/>
      <c r="AW102" s="166"/>
      <c r="AX102" s="166"/>
      <c r="AY102" s="166"/>
      <c r="AZ102" s="166"/>
      <c r="BA102" s="166"/>
      <c r="BB102" s="166"/>
      <c r="BC102" s="166"/>
      <c r="BD102" s="166"/>
      <c r="BE102" s="166"/>
      <c r="BF102" s="166"/>
      <c r="BG102" s="166"/>
      <c r="BH102" s="166"/>
      <c r="BI102" s="166"/>
      <c r="BJ102" s="166"/>
      <c r="BK102" s="166"/>
      <c r="BL102" s="166"/>
      <c r="BM102" s="166"/>
      <c r="BN102" s="166"/>
      <c r="BO102" s="166"/>
      <c r="BP102" s="166"/>
      <c r="BQ102" s="166"/>
      <c r="BR102" s="166"/>
      <c r="BS102" s="166"/>
      <c r="BT102" s="166"/>
      <c r="BU102" s="166"/>
      <c r="BV102" s="166"/>
      <c r="BW102" s="166"/>
      <c r="BX102" s="166"/>
      <c r="BY102" s="166"/>
      <c r="BZ102" s="166"/>
      <c r="CA102" s="166"/>
      <c r="CB102" s="166"/>
      <c r="CC102" s="166"/>
      <c r="CD102" s="166"/>
      <c r="CE102" s="166"/>
      <c r="CF102" s="166"/>
      <c r="CG102" s="166"/>
      <c r="CH102" s="166"/>
      <c r="CI102" s="166"/>
      <c r="CJ102" s="166"/>
      <c r="CK102" s="166"/>
      <c r="CL102" s="166"/>
      <c r="CM102" s="166"/>
      <c r="CN102" s="166"/>
      <c r="CO102" s="166"/>
      <c r="CP102" s="166"/>
      <c r="CQ102" s="166"/>
      <c r="CR102" s="166"/>
      <c r="CS102" s="160"/>
      <c r="CT102" s="85" t="s">
        <v>54</v>
      </c>
    </row>
    <row r="103" spans="1:98" hidden="1" x14ac:dyDescent="0.25">
      <c r="A103" s="97">
        <v>0</v>
      </c>
      <c r="B103" s="31">
        <f t="shared" si="100"/>
        <v>2003</v>
      </c>
      <c r="C103" s="101"/>
      <c r="D103" s="166"/>
      <c r="E103" s="166"/>
      <c r="F103" s="166"/>
      <c r="G103" s="166"/>
      <c r="H103" s="166"/>
      <c r="I103" s="166"/>
      <c r="J103" s="166"/>
      <c r="K103" s="166"/>
      <c r="L103" s="166"/>
      <c r="M103" s="166"/>
      <c r="N103" s="166"/>
      <c r="O103" s="166"/>
      <c r="P103" s="166"/>
      <c r="Q103" s="166"/>
      <c r="R103" s="166"/>
      <c r="S103" s="166"/>
      <c r="T103" s="166"/>
      <c r="U103" s="166"/>
      <c r="V103" s="166"/>
      <c r="W103" s="166"/>
      <c r="X103" s="166"/>
      <c r="Y103" s="166"/>
      <c r="Z103" s="166"/>
      <c r="AA103" s="166"/>
      <c r="AB103" s="166"/>
      <c r="AC103" s="166"/>
      <c r="AD103" s="166"/>
      <c r="AE103" s="166"/>
      <c r="AF103" s="166"/>
      <c r="AG103" s="166"/>
      <c r="AH103" s="166"/>
      <c r="AI103" s="166"/>
      <c r="AJ103" s="166"/>
      <c r="AK103" s="166"/>
      <c r="AL103" s="166"/>
      <c r="AM103" s="166"/>
      <c r="AN103" s="166"/>
      <c r="AO103" s="166"/>
      <c r="AP103" s="166"/>
      <c r="AQ103" s="166"/>
      <c r="AR103" s="166"/>
      <c r="AS103" s="166"/>
      <c r="AT103" s="166"/>
      <c r="AU103" s="166"/>
      <c r="AV103" s="166"/>
      <c r="AW103" s="166"/>
      <c r="AX103" s="166"/>
      <c r="AY103" s="166"/>
      <c r="AZ103" s="166"/>
      <c r="BA103" s="166"/>
      <c r="BB103" s="166"/>
      <c r="BC103" s="166"/>
      <c r="BD103" s="166"/>
      <c r="BE103" s="166"/>
      <c r="BF103" s="166"/>
      <c r="BG103" s="166"/>
      <c r="BH103" s="166"/>
      <c r="BI103" s="166"/>
      <c r="BJ103" s="166"/>
      <c r="BK103" s="166"/>
      <c r="BL103" s="166"/>
      <c r="BM103" s="166"/>
      <c r="BN103" s="166"/>
      <c r="BO103" s="166"/>
      <c r="BP103" s="166"/>
      <c r="BQ103" s="166"/>
      <c r="BR103" s="166"/>
      <c r="BS103" s="166"/>
      <c r="BT103" s="166"/>
      <c r="BU103" s="166"/>
      <c r="BV103" s="166"/>
      <c r="BW103" s="166"/>
      <c r="BX103" s="166"/>
      <c r="BY103" s="166"/>
      <c r="BZ103" s="166"/>
      <c r="CA103" s="166"/>
      <c r="CB103" s="166"/>
      <c r="CC103" s="166"/>
      <c r="CD103" s="166"/>
      <c r="CE103" s="166"/>
      <c r="CF103" s="166"/>
      <c r="CG103" s="166"/>
      <c r="CH103" s="166"/>
      <c r="CI103" s="166"/>
      <c r="CJ103" s="166"/>
      <c r="CK103" s="166"/>
      <c r="CL103" s="166"/>
      <c r="CM103" s="166"/>
      <c r="CN103" s="166"/>
      <c r="CO103" s="166"/>
      <c r="CP103" s="166"/>
      <c r="CQ103" s="166"/>
      <c r="CR103" s="166"/>
      <c r="CS103" s="160"/>
      <c r="CT103" s="85" t="s">
        <v>54</v>
      </c>
    </row>
    <row r="104" spans="1:98" hidden="1" x14ac:dyDescent="0.25">
      <c r="A104" s="97">
        <v>0</v>
      </c>
      <c r="B104" s="31">
        <f t="shared" si="100"/>
        <v>2004</v>
      </c>
      <c r="C104" s="101"/>
      <c r="D104" s="166"/>
      <c r="E104" s="166"/>
      <c r="F104" s="166"/>
      <c r="G104" s="166"/>
      <c r="H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66"/>
      <c r="Y104" s="166"/>
      <c r="Z104" s="166"/>
      <c r="AA104" s="166"/>
      <c r="AB104" s="16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  <c r="AN104" s="166"/>
      <c r="AO104" s="166"/>
      <c r="AP104" s="166"/>
      <c r="AQ104" s="166"/>
      <c r="AR104" s="166"/>
      <c r="AS104" s="166"/>
      <c r="AT104" s="166"/>
      <c r="AU104" s="166"/>
      <c r="AV104" s="166"/>
      <c r="AW104" s="166"/>
      <c r="AX104" s="166"/>
      <c r="AY104" s="166"/>
      <c r="AZ104" s="166"/>
      <c r="BA104" s="166"/>
      <c r="BB104" s="166"/>
      <c r="BC104" s="166"/>
      <c r="BD104" s="166"/>
      <c r="BE104" s="166"/>
      <c r="BF104" s="166"/>
      <c r="BG104" s="166"/>
      <c r="BH104" s="166"/>
      <c r="BI104" s="166"/>
      <c r="BJ104" s="166"/>
      <c r="BK104" s="166"/>
      <c r="BL104" s="166"/>
      <c r="BM104" s="166"/>
      <c r="BN104" s="166"/>
      <c r="BO104" s="166"/>
      <c r="BP104" s="166"/>
      <c r="BQ104" s="166"/>
      <c r="BR104" s="166"/>
      <c r="BS104" s="166"/>
      <c r="BT104" s="166"/>
      <c r="BU104" s="166"/>
      <c r="BV104" s="166"/>
      <c r="BW104" s="166"/>
      <c r="BX104" s="166"/>
      <c r="BY104" s="166"/>
      <c r="BZ104" s="166"/>
      <c r="CA104" s="166"/>
      <c r="CB104" s="166"/>
      <c r="CC104" s="166"/>
      <c r="CD104" s="166"/>
      <c r="CE104" s="166"/>
      <c r="CF104" s="166"/>
      <c r="CG104" s="166"/>
      <c r="CH104" s="166"/>
      <c r="CI104" s="166"/>
      <c r="CJ104" s="166"/>
      <c r="CK104" s="166"/>
      <c r="CL104" s="166"/>
      <c r="CM104" s="166"/>
      <c r="CN104" s="166"/>
      <c r="CO104" s="166"/>
      <c r="CP104" s="166"/>
      <c r="CQ104" s="166"/>
      <c r="CR104" s="166"/>
      <c r="CS104" s="160"/>
      <c r="CT104" s="85" t="s">
        <v>54</v>
      </c>
    </row>
    <row r="105" spans="1:98" hidden="1" x14ac:dyDescent="0.25">
      <c r="A105" s="97">
        <v>0</v>
      </c>
      <c r="B105" s="31">
        <f t="shared" si="100"/>
        <v>2005</v>
      </c>
      <c r="C105" s="101"/>
      <c r="D105" s="166"/>
      <c r="E105" s="166"/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66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0"/>
      <c r="CT105" s="85" t="s">
        <v>54</v>
      </c>
    </row>
    <row r="106" spans="1:98" hidden="1" x14ac:dyDescent="0.25">
      <c r="A106" s="97">
        <v>0</v>
      </c>
      <c r="B106" s="31">
        <f t="shared" si="100"/>
        <v>2006</v>
      </c>
      <c r="C106" s="101"/>
      <c r="D106" s="166"/>
      <c r="E106" s="166"/>
      <c r="F106" s="166"/>
      <c r="G106" s="166"/>
      <c r="H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66"/>
      <c r="Y106" s="166"/>
      <c r="Z106" s="166"/>
      <c r="AA106" s="166"/>
      <c r="AB106" s="16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  <c r="AN106" s="166"/>
      <c r="AO106" s="166"/>
      <c r="AP106" s="166"/>
      <c r="AQ106" s="166"/>
      <c r="AR106" s="166"/>
      <c r="AS106" s="166"/>
      <c r="AT106" s="166"/>
      <c r="AU106" s="166"/>
      <c r="AV106" s="166"/>
      <c r="AW106" s="166"/>
      <c r="AX106" s="166"/>
      <c r="AY106" s="166"/>
      <c r="AZ106" s="166"/>
      <c r="BA106" s="166"/>
      <c r="BB106" s="166"/>
      <c r="BC106" s="166"/>
      <c r="BD106" s="166"/>
      <c r="BE106" s="166"/>
      <c r="BF106" s="166"/>
      <c r="BG106" s="166"/>
      <c r="BH106" s="166"/>
      <c r="BI106" s="166"/>
      <c r="BJ106" s="166"/>
      <c r="BK106" s="166"/>
      <c r="BL106" s="166"/>
      <c r="BM106" s="166"/>
      <c r="BN106" s="166"/>
      <c r="BO106" s="166"/>
      <c r="BP106" s="166"/>
      <c r="BQ106" s="166"/>
      <c r="BR106" s="166"/>
      <c r="BS106" s="166"/>
      <c r="BT106" s="166"/>
      <c r="BU106" s="166"/>
      <c r="BV106" s="166"/>
      <c r="BW106" s="166"/>
      <c r="BX106" s="166"/>
      <c r="BY106" s="166"/>
      <c r="BZ106" s="166"/>
      <c r="CA106" s="166"/>
      <c r="CB106" s="166"/>
      <c r="CC106" s="166"/>
      <c r="CD106" s="166"/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66"/>
      <c r="CR106" s="166"/>
      <c r="CS106" s="160"/>
      <c r="CT106" s="85" t="s">
        <v>54</v>
      </c>
    </row>
    <row r="107" spans="1:98" hidden="1" x14ac:dyDescent="0.25">
      <c r="A107" s="97">
        <v>0</v>
      </c>
      <c r="B107" s="31">
        <f t="shared" si="100"/>
        <v>2007</v>
      </c>
      <c r="C107" s="101"/>
      <c r="D107" s="166"/>
      <c r="E107" s="166"/>
      <c r="F107" s="166"/>
      <c r="G107" s="166"/>
      <c r="H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66"/>
      <c r="Y107" s="166"/>
      <c r="Z107" s="166"/>
      <c r="AA107" s="166"/>
      <c r="AB107" s="16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  <c r="AN107" s="166"/>
      <c r="AO107" s="166"/>
      <c r="AP107" s="166"/>
      <c r="AQ107" s="166"/>
      <c r="AR107" s="166"/>
      <c r="AS107" s="166"/>
      <c r="AT107" s="166"/>
      <c r="AU107" s="166"/>
      <c r="AV107" s="166"/>
      <c r="AW107" s="166"/>
      <c r="AX107" s="166"/>
      <c r="AY107" s="166"/>
      <c r="AZ107" s="166"/>
      <c r="BA107" s="166"/>
      <c r="BB107" s="166"/>
      <c r="BC107" s="166"/>
      <c r="BD107" s="166"/>
      <c r="BE107" s="166"/>
      <c r="BF107" s="166"/>
      <c r="BG107" s="166"/>
      <c r="BH107" s="166"/>
      <c r="BI107" s="166"/>
      <c r="BJ107" s="166"/>
      <c r="BK107" s="166"/>
      <c r="BL107" s="166"/>
      <c r="BM107" s="166"/>
      <c r="BN107" s="166"/>
      <c r="BO107" s="166"/>
      <c r="BP107" s="166"/>
      <c r="BQ107" s="166"/>
      <c r="BR107" s="166"/>
      <c r="BS107" s="166"/>
      <c r="BT107" s="166"/>
      <c r="BU107" s="166"/>
      <c r="BV107" s="166"/>
      <c r="BW107" s="166"/>
      <c r="BX107" s="166"/>
      <c r="BY107" s="166"/>
      <c r="BZ107" s="166"/>
      <c r="CA107" s="166"/>
      <c r="CB107" s="166"/>
      <c r="CC107" s="166"/>
      <c r="CD107" s="166"/>
      <c r="CE107" s="166"/>
      <c r="CF107" s="166"/>
      <c r="CG107" s="166"/>
      <c r="CH107" s="166"/>
      <c r="CI107" s="166"/>
      <c r="CJ107" s="166"/>
      <c r="CK107" s="166"/>
      <c r="CL107" s="166"/>
      <c r="CM107" s="166"/>
      <c r="CN107" s="166"/>
      <c r="CO107" s="166"/>
      <c r="CP107" s="166"/>
      <c r="CQ107" s="166"/>
      <c r="CR107" s="166"/>
      <c r="CS107" s="160"/>
      <c r="CT107" s="85" t="s">
        <v>54</v>
      </c>
    </row>
    <row r="108" spans="1:98" hidden="1" x14ac:dyDescent="0.25">
      <c r="A108" s="97">
        <v>0</v>
      </c>
      <c r="B108" s="31">
        <f t="shared" si="100"/>
        <v>2008</v>
      </c>
      <c r="C108" s="101"/>
      <c r="D108" s="166"/>
      <c r="E108" s="166"/>
      <c r="F108" s="166"/>
      <c r="G108" s="166"/>
      <c r="H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66"/>
      <c r="Y108" s="166"/>
      <c r="Z108" s="166"/>
      <c r="AA108" s="166"/>
      <c r="AB108" s="16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  <c r="AN108" s="166"/>
      <c r="AO108" s="166"/>
      <c r="AP108" s="166"/>
      <c r="AQ108" s="166"/>
      <c r="AR108" s="166"/>
      <c r="AS108" s="166"/>
      <c r="AT108" s="166"/>
      <c r="AU108" s="166"/>
      <c r="AV108" s="166"/>
      <c r="AW108" s="166"/>
      <c r="AX108" s="166"/>
      <c r="AY108" s="166"/>
      <c r="AZ108" s="166"/>
      <c r="BA108" s="166"/>
      <c r="BB108" s="166"/>
      <c r="BC108" s="166"/>
      <c r="BD108" s="166"/>
      <c r="BE108" s="166"/>
      <c r="BF108" s="166"/>
      <c r="BG108" s="166"/>
      <c r="BH108" s="166"/>
      <c r="BI108" s="166"/>
      <c r="BJ108" s="166"/>
      <c r="BK108" s="166"/>
      <c r="BL108" s="166"/>
      <c r="BM108" s="166"/>
      <c r="BN108" s="166"/>
      <c r="BO108" s="166"/>
      <c r="BP108" s="166"/>
      <c r="BQ108" s="166"/>
      <c r="BR108" s="166"/>
      <c r="BS108" s="166"/>
      <c r="BT108" s="166"/>
      <c r="BU108" s="166"/>
      <c r="BV108" s="166"/>
      <c r="BW108" s="166"/>
      <c r="BX108" s="166"/>
      <c r="BY108" s="166"/>
      <c r="BZ108" s="166"/>
      <c r="CA108" s="166"/>
      <c r="CB108" s="166"/>
      <c r="CC108" s="166"/>
      <c r="CD108" s="166"/>
      <c r="CE108" s="166"/>
      <c r="CF108" s="166"/>
      <c r="CG108" s="166"/>
      <c r="CH108" s="166"/>
      <c r="CI108" s="166"/>
      <c r="CJ108" s="166"/>
      <c r="CK108" s="166"/>
      <c r="CL108" s="166"/>
      <c r="CM108" s="166"/>
      <c r="CN108" s="166"/>
      <c r="CO108" s="166"/>
      <c r="CP108" s="166"/>
      <c r="CQ108" s="166"/>
      <c r="CR108" s="166"/>
      <c r="CS108" s="160"/>
      <c r="CT108" s="85" t="s">
        <v>54</v>
      </c>
    </row>
    <row r="109" spans="1:98" hidden="1" x14ac:dyDescent="0.25">
      <c r="A109" s="97">
        <v>0</v>
      </c>
      <c r="B109" s="31">
        <f t="shared" si="100"/>
        <v>2009</v>
      </c>
      <c r="C109" s="101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0"/>
      <c r="CT109" s="85" t="s">
        <v>54</v>
      </c>
    </row>
    <row r="110" spans="1:98" hidden="1" x14ac:dyDescent="0.25">
      <c r="A110" s="97">
        <v>0</v>
      </c>
      <c r="B110" s="31">
        <f t="shared" si="100"/>
        <v>2010</v>
      </c>
      <c r="C110" s="101"/>
      <c r="D110" s="166"/>
      <c r="E110" s="166"/>
      <c r="F110" s="166"/>
      <c r="G110" s="166"/>
      <c r="H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66"/>
      <c r="Y110" s="166"/>
      <c r="Z110" s="166"/>
      <c r="AA110" s="166"/>
      <c r="AB110" s="16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  <c r="AN110" s="166"/>
      <c r="AO110" s="166"/>
      <c r="AP110" s="166"/>
      <c r="AQ110" s="166"/>
      <c r="AR110" s="166"/>
      <c r="AS110" s="166"/>
      <c r="AT110" s="166"/>
      <c r="AU110" s="166"/>
      <c r="AV110" s="166"/>
      <c r="AW110" s="166"/>
      <c r="AX110" s="166"/>
      <c r="AY110" s="166"/>
      <c r="AZ110" s="166"/>
      <c r="BA110" s="166"/>
      <c r="BB110" s="166"/>
      <c r="BC110" s="166"/>
      <c r="BD110" s="166"/>
      <c r="BE110" s="166"/>
      <c r="BF110" s="166"/>
      <c r="BG110" s="166"/>
      <c r="BH110" s="166"/>
      <c r="BI110" s="166"/>
      <c r="BJ110" s="166"/>
      <c r="BK110" s="166"/>
      <c r="BL110" s="166"/>
      <c r="BM110" s="166"/>
      <c r="BN110" s="166"/>
      <c r="BO110" s="166"/>
      <c r="BP110" s="166"/>
      <c r="BQ110" s="166"/>
      <c r="BR110" s="166"/>
      <c r="BS110" s="166"/>
      <c r="BT110" s="166"/>
      <c r="BU110" s="166"/>
      <c r="BV110" s="166"/>
      <c r="BW110" s="166"/>
      <c r="BX110" s="166"/>
      <c r="BY110" s="166"/>
      <c r="BZ110" s="166"/>
      <c r="CA110" s="166"/>
      <c r="CB110" s="166"/>
      <c r="CC110" s="166"/>
      <c r="CD110" s="166"/>
      <c r="CE110" s="166"/>
      <c r="CF110" s="166"/>
      <c r="CG110" s="166"/>
      <c r="CH110" s="166"/>
      <c r="CI110" s="166"/>
      <c r="CJ110" s="166"/>
      <c r="CK110" s="166"/>
      <c r="CL110" s="166"/>
      <c r="CM110" s="166"/>
      <c r="CN110" s="166"/>
      <c r="CO110" s="166"/>
      <c r="CP110" s="166"/>
      <c r="CQ110" s="166"/>
      <c r="CR110" s="166"/>
      <c r="CS110" s="160"/>
      <c r="CT110" s="85" t="s">
        <v>54</v>
      </c>
    </row>
    <row r="111" spans="1:98" hidden="1" x14ac:dyDescent="0.25">
      <c r="A111" s="97">
        <v>0</v>
      </c>
      <c r="B111" s="31">
        <f t="shared" si="100"/>
        <v>2011</v>
      </c>
      <c r="C111" s="101"/>
      <c r="D111" s="166"/>
      <c r="E111" s="166"/>
      <c r="F111" s="166"/>
      <c r="G111" s="166"/>
      <c r="H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66"/>
      <c r="Y111" s="166"/>
      <c r="Z111" s="166"/>
      <c r="AA111" s="166"/>
      <c r="AB111" s="16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  <c r="AN111" s="166"/>
      <c r="AO111" s="166"/>
      <c r="AP111" s="166"/>
      <c r="AQ111" s="166"/>
      <c r="AR111" s="166"/>
      <c r="AS111" s="166"/>
      <c r="AT111" s="166"/>
      <c r="AU111" s="166"/>
      <c r="AV111" s="166"/>
      <c r="AW111" s="166"/>
      <c r="AX111" s="166"/>
      <c r="AY111" s="166"/>
      <c r="AZ111" s="166"/>
      <c r="BA111" s="166"/>
      <c r="BB111" s="166"/>
      <c r="BC111" s="166"/>
      <c r="BD111" s="166"/>
      <c r="BE111" s="166"/>
      <c r="BF111" s="166"/>
      <c r="BG111" s="166"/>
      <c r="BH111" s="166"/>
      <c r="BI111" s="166"/>
      <c r="BJ111" s="166"/>
      <c r="BK111" s="166"/>
      <c r="BL111" s="166"/>
      <c r="BM111" s="166"/>
      <c r="BN111" s="166"/>
      <c r="BO111" s="166"/>
      <c r="BP111" s="166"/>
      <c r="BQ111" s="166"/>
      <c r="BR111" s="166"/>
      <c r="BS111" s="166"/>
      <c r="BT111" s="166"/>
      <c r="BU111" s="166"/>
      <c r="BV111" s="166"/>
      <c r="BW111" s="166"/>
      <c r="BX111" s="166"/>
      <c r="BY111" s="166"/>
      <c r="BZ111" s="166"/>
      <c r="CA111" s="166"/>
      <c r="CB111" s="166"/>
      <c r="CC111" s="166"/>
      <c r="CD111" s="166"/>
      <c r="CE111" s="166"/>
      <c r="CF111" s="166"/>
      <c r="CG111" s="166"/>
      <c r="CH111" s="166"/>
      <c r="CI111" s="166"/>
      <c r="CJ111" s="166"/>
      <c r="CK111" s="166"/>
      <c r="CL111" s="166"/>
      <c r="CM111" s="166"/>
      <c r="CN111" s="166"/>
      <c r="CO111" s="166"/>
      <c r="CP111" s="166"/>
      <c r="CQ111" s="166"/>
      <c r="CR111" s="166"/>
      <c r="CS111" s="160"/>
      <c r="CT111" s="85" t="s">
        <v>54</v>
      </c>
    </row>
    <row r="112" spans="1:98" hidden="1" x14ac:dyDescent="0.25">
      <c r="A112" s="97">
        <v>0</v>
      </c>
      <c r="B112" s="31">
        <f t="shared" si="100"/>
        <v>2012</v>
      </c>
      <c r="C112" s="101"/>
      <c r="D112" s="166"/>
      <c r="E112" s="166"/>
      <c r="F112" s="166"/>
      <c r="G112" s="166"/>
      <c r="H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66"/>
      <c r="Y112" s="166"/>
      <c r="Z112" s="166"/>
      <c r="AA112" s="166"/>
      <c r="AB112" s="16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  <c r="AN112" s="166"/>
      <c r="AO112" s="166"/>
      <c r="AP112" s="166"/>
      <c r="AQ112" s="166"/>
      <c r="AR112" s="166"/>
      <c r="AS112" s="166"/>
      <c r="AT112" s="166"/>
      <c r="AU112" s="166"/>
      <c r="AV112" s="166"/>
      <c r="AW112" s="166"/>
      <c r="AX112" s="166"/>
      <c r="AY112" s="166"/>
      <c r="AZ112" s="166"/>
      <c r="BA112" s="166"/>
      <c r="BB112" s="166"/>
      <c r="BC112" s="166"/>
      <c r="BD112" s="166"/>
      <c r="BE112" s="166"/>
      <c r="BF112" s="166"/>
      <c r="BG112" s="166"/>
      <c r="BH112" s="166"/>
      <c r="BI112" s="166"/>
      <c r="BJ112" s="166"/>
      <c r="BK112" s="166"/>
      <c r="BL112" s="166"/>
      <c r="BM112" s="166"/>
      <c r="BN112" s="166"/>
      <c r="BO112" s="166"/>
      <c r="BP112" s="166"/>
      <c r="BQ112" s="166"/>
      <c r="BR112" s="166"/>
      <c r="BS112" s="166"/>
      <c r="BT112" s="166"/>
      <c r="BU112" s="166"/>
      <c r="BV112" s="166"/>
      <c r="BW112" s="166"/>
      <c r="BX112" s="166"/>
      <c r="BY112" s="166"/>
      <c r="BZ112" s="166"/>
      <c r="CA112" s="166"/>
      <c r="CB112" s="166"/>
      <c r="CC112" s="166"/>
      <c r="CD112" s="166"/>
      <c r="CE112" s="166"/>
      <c r="CF112" s="166"/>
      <c r="CG112" s="166"/>
      <c r="CH112" s="166"/>
      <c r="CI112" s="166"/>
      <c r="CJ112" s="166"/>
      <c r="CK112" s="166"/>
      <c r="CL112" s="166"/>
      <c r="CM112" s="166"/>
      <c r="CN112" s="166"/>
      <c r="CO112" s="166"/>
      <c r="CP112" s="166"/>
      <c r="CQ112" s="166"/>
      <c r="CR112" s="166"/>
      <c r="CS112" s="160"/>
      <c r="CT112" s="85" t="s">
        <v>54</v>
      </c>
    </row>
    <row r="113" spans="1:98" hidden="1" x14ac:dyDescent="0.25">
      <c r="A113" s="97">
        <v>0</v>
      </c>
      <c r="B113" s="31">
        <f t="shared" si="100"/>
        <v>2013</v>
      </c>
      <c r="C113" s="101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59"/>
      <c r="AU113" s="159"/>
      <c r="AV113" s="159"/>
      <c r="AW113" s="159"/>
      <c r="AX113" s="159"/>
      <c r="AY113" s="159"/>
      <c r="AZ113" s="159"/>
      <c r="BA113" s="159"/>
      <c r="BB113" s="159"/>
      <c r="BC113" s="159"/>
      <c r="BD113" s="159"/>
      <c r="BE113" s="159"/>
      <c r="BF113" s="159"/>
      <c r="BG113" s="159"/>
      <c r="BH113" s="159"/>
      <c r="BI113" s="159"/>
      <c r="BJ113" s="159"/>
      <c r="BK113" s="159"/>
      <c r="BL113" s="159"/>
      <c r="BM113" s="159"/>
      <c r="BN113" s="159"/>
      <c r="BO113" s="159"/>
      <c r="BP113" s="159"/>
      <c r="BQ113" s="159"/>
      <c r="BR113" s="159"/>
      <c r="BS113" s="159"/>
      <c r="BT113" s="159"/>
      <c r="BU113" s="159"/>
      <c r="BV113" s="159"/>
      <c r="BW113" s="159"/>
      <c r="BX113" s="159"/>
      <c r="BY113" s="159"/>
      <c r="BZ113" s="159"/>
      <c r="CA113" s="159"/>
      <c r="CB113" s="159"/>
      <c r="CC113" s="159"/>
      <c r="CD113" s="159"/>
      <c r="CE113" s="159"/>
      <c r="CF113" s="159"/>
      <c r="CG113" s="159"/>
      <c r="CH113" s="159"/>
      <c r="CI113" s="159"/>
      <c r="CJ113" s="159"/>
      <c r="CK113" s="159"/>
      <c r="CL113" s="159"/>
      <c r="CM113" s="159"/>
      <c r="CN113" s="159"/>
      <c r="CO113" s="159"/>
      <c r="CP113" s="159"/>
      <c r="CQ113" s="159"/>
      <c r="CR113" s="159"/>
      <c r="CS113" s="167"/>
      <c r="CT113" s="11" t="s">
        <v>54</v>
      </c>
    </row>
    <row r="114" spans="1:98" hidden="1" x14ac:dyDescent="0.25">
      <c r="A114" s="97">
        <v>0</v>
      </c>
      <c r="B114" s="31">
        <f t="shared" si="100"/>
        <v>2014</v>
      </c>
      <c r="C114" s="101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9"/>
      <c r="AR114" s="159"/>
      <c r="AS114" s="159"/>
      <c r="AT114" s="159"/>
      <c r="AU114" s="159"/>
      <c r="AV114" s="159"/>
      <c r="AW114" s="159"/>
      <c r="AX114" s="159"/>
      <c r="AY114" s="159"/>
      <c r="AZ114" s="159"/>
      <c r="BA114" s="159"/>
      <c r="BB114" s="159"/>
      <c r="BC114" s="159"/>
      <c r="BD114" s="159"/>
      <c r="BE114" s="159"/>
      <c r="BF114" s="159"/>
      <c r="BG114" s="159"/>
      <c r="BH114" s="159"/>
      <c r="BI114" s="159"/>
      <c r="BJ114" s="159"/>
      <c r="BK114" s="159"/>
      <c r="BL114" s="159"/>
      <c r="BM114" s="159"/>
      <c r="BN114" s="159"/>
      <c r="BO114" s="159"/>
      <c r="BP114" s="159"/>
      <c r="BQ114" s="159"/>
      <c r="BR114" s="159"/>
      <c r="BS114" s="159"/>
      <c r="BT114" s="159"/>
      <c r="BU114" s="159"/>
      <c r="BV114" s="159"/>
      <c r="BW114" s="159"/>
      <c r="BX114" s="159"/>
      <c r="BY114" s="159"/>
      <c r="BZ114" s="159"/>
      <c r="CA114" s="159"/>
      <c r="CB114" s="159"/>
      <c r="CC114" s="159"/>
      <c r="CD114" s="159"/>
      <c r="CE114" s="159"/>
      <c r="CF114" s="159"/>
      <c r="CG114" s="159"/>
      <c r="CH114" s="159"/>
      <c r="CI114" s="159"/>
      <c r="CJ114" s="159"/>
      <c r="CK114" s="159"/>
      <c r="CL114" s="159"/>
      <c r="CM114" s="159"/>
      <c r="CN114" s="159"/>
      <c r="CO114" s="159"/>
      <c r="CP114" s="159"/>
      <c r="CQ114" s="159"/>
      <c r="CR114" s="159"/>
      <c r="CS114" s="167"/>
      <c r="CT114" s="11" t="s">
        <v>54</v>
      </c>
    </row>
    <row r="115" spans="1:98" hidden="1" x14ac:dyDescent="0.25">
      <c r="A115" s="97">
        <v>0</v>
      </c>
      <c r="B115" s="31">
        <f t="shared" si="100"/>
        <v>2015</v>
      </c>
      <c r="C115" s="101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  <c r="AI115" s="159"/>
      <c r="AJ115" s="159"/>
      <c r="AK115" s="159"/>
      <c r="AL115" s="159"/>
      <c r="AM115" s="159"/>
      <c r="AN115" s="159"/>
      <c r="AO115" s="159"/>
      <c r="AP115" s="159"/>
      <c r="AQ115" s="159"/>
      <c r="AR115" s="159"/>
      <c r="AS115" s="159"/>
      <c r="AT115" s="159"/>
      <c r="AU115" s="159"/>
      <c r="AV115" s="159"/>
      <c r="AW115" s="159"/>
      <c r="AX115" s="159"/>
      <c r="AY115" s="159"/>
      <c r="AZ115" s="159"/>
      <c r="BA115" s="159"/>
      <c r="BB115" s="159"/>
      <c r="BC115" s="159"/>
      <c r="BD115" s="159"/>
      <c r="BE115" s="159"/>
      <c r="BF115" s="159"/>
      <c r="BG115" s="159"/>
      <c r="BH115" s="159"/>
      <c r="BI115" s="159"/>
      <c r="BJ115" s="159"/>
      <c r="BK115" s="159"/>
      <c r="BL115" s="159"/>
      <c r="BM115" s="159"/>
      <c r="BN115" s="159"/>
      <c r="BO115" s="159"/>
      <c r="BP115" s="159"/>
      <c r="BQ115" s="159"/>
      <c r="BR115" s="159"/>
      <c r="BS115" s="159"/>
      <c r="BT115" s="159"/>
      <c r="BU115" s="159"/>
      <c r="BV115" s="159"/>
      <c r="BW115" s="159"/>
      <c r="BX115" s="159"/>
      <c r="BY115" s="159"/>
      <c r="BZ115" s="159"/>
      <c r="CA115" s="159"/>
      <c r="CB115" s="159"/>
      <c r="CC115" s="159"/>
      <c r="CD115" s="159"/>
      <c r="CE115" s="159"/>
      <c r="CF115" s="159"/>
      <c r="CG115" s="159"/>
      <c r="CH115" s="159"/>
      <c r="CI115" s="159"/>
      <c r="CJ115" s="159"/>
      <c r="CK115" s="159"/>
      <c r="CL115" s="159"/>
      <c r="CM115" s="159"/>
      <c r="CN115" s="159"/>
      <c r="CO115" s="159"/>
      <c r="CP115" s="159"/>
      <c r="CQ115" s="159"/>
      <c r="CR115" s="159"/>
      <c r="CS115" s="167"/>
      <c r="CT115" s="11" t="s">
        <v>54</v>
      </c>
    </row>
    <row r="116" spans="1:98" hidden="1" x14ac:dyDescent="0.25">
      <c r="A116" s="97">
        <v>0</v>
      </c>
      <c r="B116" s="31">
        <f t="shared" si="100"/>
        <v>2016</v>
      </c>
      <c r="C116" s="101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9"/>
      <c r="AR116" s="159"/>
      <c r="AS116" s="159"/>
      <c r="AT116" s="159"/>
      <c r="AU116" s="159"/>
      <c r="AV116" s="159"/>
      <c r="AW116" s="159"/>
      <c r="AX116" s="159"/>
      <c r="AY116" s="159"/>
      <c r="AZ116" s="159"/>
      <c r="BA116" s="159"/>
      <c r="BB116" s="159"/>
      <c r="BC116" s="159"/>
      <c r="BD116" s="159"/>
      <c r="BE116" s="159"/>
      <c r="BF116" s="159"/>
      <c r="BG116" s="159"/>
      <c r="BH116" s="159"/>
      <c r="BI116" s="159"/>
      <c r="BJ116" s="159"/>
      <c r="BK116" s="159"/>
      <c r="BL116" s="159"/>
      <c r="BM116" s="159"/>
      <c r="BN116" s="159"/>
      <c r="BO116" s="159"/>
      <c r="BP116" s="159"/>
      <c r="BQ116" s="159"/>
      <c r="BR116" s="159"/>
      <c r="BS116" s="159"/>
      <c r="BT116" s="159"/>
      <c r="BU116" s="159"/>
      <c r="BV116" s="159"/>
      <c r="BW116" s="159"/>
      <c r="BX116" s="159"/>
      <c r="BY116" s="159"/>
      <c r="BZ116" s="159"/>
      <c r="CA116" s="159"/>
      <c r="CB116" s="159"/>
      <c r="CC116" s="159"/>
      <c r="CD116" s="159"/>
      <c r="CE116" s="159"/>
      <c r="CF116" s="159"/>
      <c r="CG116" s="159"/>
      <c r="CH116" s="159"/>
      <c r="CI116" s="159"/>
      <c r="CJ116" s="159"/>
      <c r="CK116" s="159"/>
      <c r="CL116" s="159"/>
      <c r="CM116" s="159"/>
      <c r="CN116" s="159"/>
      <c r="CO116" s="159"/>
      <c r="CP116" s="159"/>
      <c r="CQ116" s="159"/>
      <c r="CR116" s="159"/>
      <c r="CS116" s="167"/>
      <c r="CT116" s="11" t="s">
        <v>54</v>
      </c>
    </row>
    <row r="117" spans="1:98" hidden="1" x14ac:dyDescent="0.25">
      <c r="A117" s="97">
        <v>0</v>
      </c>
      <c r="B117" s="31">
        <f t="shared" si="100"/>
        <v>2017</v>
      </c>
      <c r="C117" s="101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AV117" s="159"/>
      <c r="AW117" s="159"/>
      <c r="AX117" s="159"/>
      <c r="AY117" s="159"/>
      <c r="AZ117" s="159"/>
      <c r="BA117" s="159"/>
      <c r="BB117" s="159"/>
      <c r="BC117" s="159"/>
      <c r="BD117" s="159"/>
      <c r="BE117" s="159"/>
      <c r="BF117" s="159"/>
      <c r="BG117" s="159"/>
      <c r="BH117" s="159"/>
      <c r="BI117" s="159"/>
      <c r="BJ117" s="159"/>
      <c r="BK117" s="159"/>
      <c r="BL117" s="159"/>
      <c r="BM117" s="159"/>
      <c r="BN117" s="159"/>
      <c r="BO117" s="159"/>
      <c r="BP117" s="159"/>
      <c r="BQ117" s="159"/>
      <c r="BR117" s="159"/>
      <c r="BS117" s="159"/>
      <c r="BT117" s="159"/>
      <c r="BU117" s="159"/>
      <c r="BV117" s="159"/>
      <c r="BW117" s="159"/>
      <c r="BX117" s="159"/>
      <c r="BY117" s="159"/>
      <c r="BZ117" s="159"/>
      <c r="CA117" s="159"/>
      <c r="CB117" s="159"/>
      <c r="CC117" s="159"/>
      <c r="CD117" s="159"/>
      <c r="CE117" s="159"/>
      <c r="CF117" s="159"/>
      <c r="CG117" s="159"/>
      <c r="CH117" s="159"/>
      <c r="CI117" s="159"/>
      <c r="CJ117" s="159"/>
      <c r="CK117" s="159"/>
      <c r="CL117" s="159"/>
      <c r="CM117" s="159"/>
      <c r="CN117" s="159"/>
      <c r="CO117" s="159"/>
      <c r="CP117" s="159"/>
      <c r="CQ117" s="159"/>
      <c r="CR117" s="159"/>
      <c r="CS117" s="167"/>
      <c r="CT117" s="11" t="s">
        <v>54</v>
      </c>
    </row>
    <row r="118" spans="1:98" hidden="1" x14ac:dyDescent="0.25">
      <c r="A118" s="97">
        <v>0</v>
      </c>
      <c r="B118" s="31">
        <f t="shared" si="100"/>
        <v>2018</v>
      </c>
      <c r="C118" s="101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9"/>
      <c r="AR118" s="159"/>
      <c r="AS118" s="159"/>
      <c r="AT118" s="159"/>
      <c r="AU118" s="159"/>
      <c r="AV118" s="159"/>
      <c r="AW118" s="159"/>
      <c r="AX118" s="159"/>
      <c r="AY118" s="159"/>
      <c r="AZ118" s="159"/>
      <c r="BA118" s="159"/>
      <c r="BB118" s="159"/>
      <c r="BC118" s="159"/>
      <c r="BD118" s="159"/>
      <c r="BE118" s="159"/>
      <c r="BF118" s="159"/>
      <c r="BG118" s="159"/>
      <c r="BH118" s="159"/>
      <c r="BI118" s="159"/>
      <c r="BJ118" s="159"/>
      <c r="BK118" s="159"/>
      <c r="BL118" s="159"/>
      <c r="BM118" s="159"/>
      <c r="BN118" s="159"/>
      <c r="BO118" s="159"/>
      <c r="BP118" s="159"/>
      <c r="BQ118" s="159"/>
      <c r="BR118" s="159"/>
      <c r="BS118" s="159"/>
      <c r="BT118" s="159"/>
      <c r="BU118" s="159"/>
      <c r="BV118" s="159"/>
      <c r="BW118" s="159"/>
      <c r="BX118" s="159"/>
      <c r="BY118" s="159"/>
      <c r="BZ118" s="159"/>
      <c r="CA118" s="159"/>
      <c r="CB118" s="159"/>
      <c r="CC118" s="159"/>
      <c r="CD118" s="159"/>
      <c r="CE118" s="159"/>
      <c r="CF118" s="159"/>
      <c r="CG118" s="159"/>
      <c r="CH118" s="159"/>
      <c r="CI118" s="159"/>
      <c r="CJ118" s="159"/>
      <c r="CK118" s="159"/>
      <c r="CL118" s="159"/>
      <c r="CM118" s="159"/>
      <c r="CN118" s="159"/>
      <c r="CO118" s="159"/>
      <c r="CP118" s="159"/>
      <c r="CQ118" s="159"/>
      <c r="CR118" s="159"/>
      <c r="CS118" s="167"/>
      <c r="CT118" s="11" t="s">
        <v>54</v>
      </c>
    </row>
    <row r="119" spans="1:98" hidden="1" x14ac:dyDescent="0.25">
      <c r="A119" s="97">
        <v>0</v>
      </c>
      <c r="B119" s="80">
        <f t="shared" si="100"/>
        <v>2019</v>
      </c>
      <c r="C119" s="168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9"/>
      <c r="CT119" s="11" t="s">
        <v>54</v>
      </c>
    </row>
    <row r="120" spans="1:98" x14ac:dyDescent="0.25">
      <c r="A120" s="97">
        <v>1</v>
      </c>
      <c r="D120" s="42"/>
      <c r="E120" s="42"/>
      <c r="F120" s="42"/>
      <c r="G120" s="42"/>
      <c r="H120" s="42"/>
      <c r="I120" s="42"/>
    </row>
    <row r="121" spans="1:98" hidden="1" x14ac:dyDescent="0.25">
      <c r="A121" s="97">
        <f>A94</f>
        <v>0</v>
      </c>
      <c r="B121" s="19" t="s">
        <v>51</v>
      </c>
      <c r="E121" s="86">
        <f>MAX(D123:CS146)</f>
        <v>0</v>
      </c>
    </row>
    <row r="122" spans="1:98" hidden="1" x14ac:dyDescent="0.25">
      <c r="A122" s="97">
        <f>A95</f>
        <v>0</v>
      </c>
      <c r="B122" s="21" t="s">
        <v>2</v>
      </c>
      <c r="C122" s="163"/>
      <c r="D122" s="164" t="str">
        <f>D95</f>
        <v>2 / 1</v>
      </c>
      <c r="E122" s="164" t="str">
        <f t="shared" ref="E122:BP122" si="101">E95</f>
        <v>3 / 2</v>
      </c>
      <c r="F122" s="164" t="str">
        <f t="shared" si="101"/>
        <v>4 / 3</v>
      </c>
      <c r="G122" s="164" t="str">
        <f t="shared" si="101"/>
        <v>5 / 4</v>
      </c>
      <c r="H122" s="164" t="str">
        <f t="shared" si="101"/>
        <v>6 / 5</v>
      </c>
      <c r="I122" s="164" t="str">
        <f t="shared" si="101"/>
        <v>7 / 6</v>
      </c>
      <c r="J122" s="164" t="str">
        <f t="shared" si="101"/>
        <v>8 / 7</v>
      </c>
      <c r="K122" s="164" t="str">
        <f t="shared" si="101"/>
        <v>9 / 8</v>
      </c>
      <c r="L122" s="164" t="str">
        <f t="shared" si="101"/>
        <v>10 / 9</v>
      </c>
      <c r="M122" s="164" t="str">
        <f t="shared" si="101"/>
        <v>11 / 10</v>
      </c>
      <c r="N122" s="164" t="str">
        <f t="shared" si="101"/>
        <v>12 / 11</v>
      </c>
      <c r="O122" s="164" t="str">
        <f t="shared" si="101"/>
        <v>13 / 12</v>
      </c>
      <c r="P122" s="164" t="str">
        <f t="shared" si="101"/>
        <v>14 / 13</v>
      </c>
      <c r="Q122" s="164" t="str">
        <f t="shared" si="101"/>
        <v>15 / 14</v>
      </c>
      <c r="R122" s="164" t="str">
        <f t="shared" si="101"/>
        <v>16 / 15</v>
      </c>
      <c r="S122" s="164" t="str">
        <f t="shared" si="101"/>
        <v>17 / 16</v>
      </c>
      <c r="T122" s="164" t="str">
        <f t="shared" si="101"/>
        <v>18 / 17</v>
      </c>
      <c r="U122" s="164" t="str">
        <f t="shared" si="101"/>
        <v>19 / 18</v>
      </c>
      <c r="V122" s="164" t="str">
        <f t="shared" si="101"/>
        <v>20 / 19</v>
      </c>
      <c r="W122" s="164" t="str">
        <f t="shared" si="101"/>
        <v>21 / 20</v>
      </c>
      <c r="X122" s="164" t="str">
        <f t="shared" si="101"/>
        <v>22 / 21</v>
      </c>
      <c r="Y122" s="164" t="str">
        <f t="shared" si="101"/>
        <v>23 / 22</v>
      </c>
      <c r="Z122" s="164" t="str">
        <f t="shared" si="101"/>
        <v>24 / 23</v>
      </c>
      <c r="AA122" s="164" t="str">
        <f t="shared" si="101"/>
        <v>25 / 24</v>
      </c>
      <c r="AB122" s="164" t="str">
        <f t="shared" si="101"/>
        <v>26 / 25</v>
      </c>
      <c r="AC122" s="164" t="str">
        <f t="shared" si="101"/>
        <v>27 / 26</v>
      </c>
      <c r="AD122" s="164" t="str">
        <f t="shared" si="101"/>
        <v>28 / 27</v>
      </c>
      <c r="AE122" s="164" t="str">
        <f t="shared" si="101"/>
        <v>29 / 28</v>
      </c>
      <c r="AF122" s="164" t="str">
        <f t="shared" si="101"/>
        <v>30 / 29</v>
      </c>
      <c r="AG122" s="164" t="str">
        <f t="shared" si="101"/>
        <v>31 / 30</v>
      </c>
      <c r="AH122" s="164" t="str">
        <f t="shared" si="101"/>
        <v>32 / 31</v>
      </c>
      <c r="AI122" s="164" t="str">
        <f t="shared" si="101"/>
        <v>33 / 32</v>
      </c>
      <c r="AJ122" s="164" t="str">
        <f t="shared" si="101"/>
        <v>34 / 33</v>
      </c>
      <c r="AK122" s="164" t="str">
        <f t="shared" si="101"/>
        <v>35 / 34</v>
      </c>
      <c r="AL122" s="164" t="str">
        <f t="shared" si="101"/>
        <v>36 / 35</v>
      </c>
      <c r="AM122" s="164" t="str">
        <f t="shared" si="101"/>
        <v>37 / 36</v>
      </c>
      <c r="AN122" s="164" t="str">
        <f t="shared" si="101"/>
        <v>38 / 37</v>
      </c>
      <c r="AO122" s="164" t="str">
        <f t="shared" si="101"/>
        <v>39 / 38</v>
      </c>
      <c r="AP122" s="164" t="str">
        <f t="shared" si="101"/>
        <v>40 / 39</v>
      </c>
      <c r="AQ122" s="164" t="str">
        <f t="shared" si="101"/>
        <v>41 / 40</v>
      </c>
      <c r="AR122" s="164" t="str">
        <f t="shared" si="101"/>
        <v>42 / 41</v>
      </c>
      <c r="AS122" s="164" t="str">
        <f t="shared" si="101"/>
        <v>43 / 42</v>
      </c>
      <c r="AT122" s="164" t="str">
        <f t="shared" si="101"/>
        <v>44 / 43</v>
      </c>
      <c r="AU122" s="164" t="str">
        <f t="shared" si="101"/>
        <v>45 / 44</v>
      </c>
      <c r="AV122" s="164" t="str">
        <f t="shared" si="101"/>
        <v>46 / 45</v>
      </c>
      <c r="AW122" s="164" t="str">
        <f t="shared" si="101"/>
        <v>47 / 46</v>
      </c>
      <c r="AX122" s="164" t="str">
        <f t="shared" si="101"/>
        <v>48 / 47</v>
      </c>
      <c r="AY122" s="164" t="str">
        <f t="shared" si="101"/>
        <v>49 / 48</v>
      </c>
      <c r="AZ122" s="164" t="str">
        <f t="shared" si="101"/>
        <v>50 / 49</v>
      </c>
      <c r="BA122" s="164" t="str">
        <f t="shared" si="101"/>
        <v>51 / 50</v>
      </c>
      <c r="BB122" s="164" t="str">
        <f t="shared" si="101"/>
        <v>52 / 51</v>
      </c>
      <c r="BC122" s="164" t="str">
        <f t="shared" si="101"/>
        <v>53 / 52</v>
      </c>
      <c r="BD122" s="164" t="str">
        <f t="shared" si="101"/>
        <v>54 / 53</v>
      </c>
      <c r="BE122" s="164" t="str">
        <f t="shared" si="101"/>
        <v>55 / 54</v>
      </c>
      <c r="BF122" s="164" t="str">
        <f t="shared" si="101"/>
        <v>56 / 55</v>
      </c>
      <c r="BG122" s="164" t="str">
        <f t="shared" si="101"/>
        <v>57 / 56</v>
      </c>
      <c r="BH122" s="164" t="str">
        <f t="shared" si="101"/>
        <v>58 / 57</v>
      </c>
      <c r="BI122" s="164" t="str">
        <f t="shared" si="101"/>
        <v>59 / 58</v>
      </c>
      <c r="BJ122" s="164" t="str">
        <f t="shared" si="101"/>
        <v>60 / 59</v>
      </c>
      <c r="BK122" s="164" t="str">
        <f t="shared" si="101"/>
        <v>61 / 60</v>
      </c>
      <c r="BL122" s="164" t="str">
        <f t="shared" si="101"/>
        <v>62 / 61</v>
      </c>
      <c r="BM122" s="164" t="str">
        <f t="shared" si="101"/>
        <v>63 / 62</v>
      </c>
      <c r="BN122" s="164" t="str">
        <f t="shared" si="101"/>
        <v>64 / 63</v>
      </c>
      <c r="BO122" s="164" t="str">
        <f t="shared" si="101"/>
        <v>65 / 64</v>
      </c>
      <c r="BP122" s="164" t="str">
        <f t="shared" si="101"/>
        <v>66 / 65</v>
      </c>
      <c r="BQ122" s="164" t="str">
        <f t="shared" ref="BQ122:CS122" si="102">BQ95</f>
        <v>67 / 66</v>
      </c>
      <c r="BR122" s="164" t="str">
        <f t="shared" si="102"/>
        <v>68 / 67</v>
      </c>
      <c r="BS122" s="164" t="str">
        <f t="shared" si="102"/>
        <v>69 / 68</v>
      </c>
      <c r="BT122" s="164" t="str">
        <f t="shared" si="102"/>
        <v>70 / 69</v>
      </c>
      <c r="BU122" s="164" t="str">
        <f t="shared" si="102"/>
        <v>71 / 70</v>
      </c>
      <c r="BV122" s="164" t="str">
        <f t="shared" si="102"/>
        <v>72 / 71</v>
      </c>
      <c r="BW122" s="164" t="str">
        <f t="shared" si="102"/>
        <v>73 / 72</v>
      </c>
      <c r="BX122" s="164" t="str">
        <f t="shared" si="102"/>
        <v>74 / 73</v>
      </c>
      <c r="BY122" s="164" t="str">
        <f t="shared" si="102"/>
        <v>75 / 74</v>
      </c>
      <c r="BZ122" s="164" t="str">
        <f t="shared" si="102"/>
        <v>76 / 75</v>
      </c>
      <c r="CA122" s="164" t="str">
        <f t="shared" si="102"/>
        <v>77 / 76</v>
      </c>
      <c r="CB122" s="164" t="str">
        <f t="shared" si="102"/>
        <v>78 / 77</v>
      </c>
      <c r="CC122" s="164" t="str">
        <f t="shared" si="102"/>
        <v>79 / 78</v>
      </c>
      <c r="CD122" s="164" t="str">
        <f t="shared" si="102"/>
        <v>80 / 79</v>
      </c>
      <c r="CE122" s="164" t="str">
        <f t="shared" si="102"/>
        <v>81 / 80</v>
      </c>
      <c r="CF122" s="164" t="str">
        <f t="shared" si="102"/>
        <v>82 / 81</v>
      </c>
      <c r="CG122" s="164" t="str">
        <f t="shared" si="102"/>
        <v>83 / 82</v>
      </c>
      <c r="CH122" s="164" t="str">
        <f t="shared" si="102"/>
        <v>84 / 83</v>
      </c>
      <c r="CI122" s="164" t="str">
        <f t="shared" si="102"/>
        <v>85 / 84</v>
      </c>
      <c r="CJ122" s="164" t="str">
        <f t="shared" si="102"/>
        <v>86 / 85</v>
      </c>
      <c r="CK122" s="164" t="str">
        <f t="shared" si="102"/>
        <v>87 / 86</v>
      </c>
      <c r="CL122" s="164" t="str">
        <f t="shared" si="102"/>
        <v>88 / 87</v>
      </c>
      <c r="CM122" s="164" t="str">
        <f t="shared" si="102"/>
        <v>89 / 88</v>
      </c>
      <c r="CN122" s="164" t="str">
        <f t="shared" si="102"/>
        <v>90 / 89</v>
      </c>
      <c r="CO122" s="164" t="str">
        <f t="shared" si="102"/>
        <v>91 / 90</v>
      </c>
      <c r="CP122" s="164" t="str">
        <f t="shared" si="102"/>
        <v>92 / 91</v>
      </c>
      <c r="CQ122" s="164" t="str">
        <f t="shared" si="102"/>
        <v>93 / 92</v>
      </c>
      <c r="CR122" s="164" t="str">
        <f t="shared" si="102"/>
        <v>94 / 93</v>
      </c>
      <c r="CS122" s="165" t="str">
        <f t="shared" si="102"/>
        <v>95 / 94</v>
      </c>
      <c r="CT122" s="11" t="s">
        <v>54</v>
      </c>
    </row>
    <row r="123" spans="1:98" hidden="1" x14ac:dyDescent="0.25">
      <c r="A123" s="97">
        <f>A94</f>
        <v>0</v>
      </c>
      <c r="B123" s="31">
        <f t="shared" ref="B123:B146" si="103">B150</f>
        <v>1996</v>
      </c>
      <c r="C123" s="101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  <c r="CN123" s="33"/>
      <c r="CO123" s="33"/>
      <c r="CP123" s="33"/>
      <c r="CQ123" s="33"/>
      <c r="CR123" s="33"/>
      <c r="CS123" s="32"/>
      <c r="CT123" s="85" t="s">
        <v>54</v>
      </c>
    </row>
    <row r="124" spans="1:98" hidden="1" x14ac:dyDescent="0.25">
      <c r="A124" s="97">
        <f>A95</f>
        <v>0</v>
      </c>
      <c r="B124" s="31">
        <f t="shared" si="103"/>
        <v>1997</v>
      </c>
      <c r="C124" s="101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  <c r="CN124" s="33"/>
      <c r="CO124" s="33"/>
      <c r="CP124" s="33"/>
      <c r="CQ124" s="33"/>
      <c r="CR124" s="33"/>
      <c r="CS124" s="32"/>
      <c r="CT124" s="85" t="s">
        <v>54</v>
      </c>
    </row>
    <row r="125" spans="1:98" hidden="1" x14ac:dyDescent="0.25">
      <c r="A125" s="97">
        <f>A96</f>
        <v>0</v>
      </c>
      <c r="B125" s="31">
        <f t="shared" si="103"/>
        <v>1998</v>
      </c>
      <c r="C125" s="101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2"/>
      <c r="CT125" s="85" t="s">
        <v>54</v>
      </c>
    </row>
    <row r="126" spans="1:98" hidden="1" x14ac:dyDescent="0.25">
      <c r="A126" s="97">
        <f>A97</f>
        <v>0</v>
      </c>
      <c r="B126" s="31">
        <f t="shared" si="103"/>
        <v>1999</v>
      </c>
      <c r="C126" s="101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2"/>
      <c r="CT126" s="85" t="s">
        <v>54</v>
      </c>
    </row>
    <row r="127" spans="1:98" hidden="1" x14ac:dyDescent="0.25">
      <c r="A127" s="97">
        <f>A98</f>
        <v>0</v>
      </c>
      <c r="B127" s="31">
        <f t="shared" si="103"/>
        <v>2000</v>
      </c>
      <c r="C127" s="101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2"/>
      <c r="CT127" s="85" t="s">
        <v>54</v>
      </c>
    </row>
    <row r="128" spans="1:98" hidden="1" x14ac:dyDescent="0.25">
      <c r="A128" s="97">
        <f t="shared" ref="A128:A144" si="104">A101</f>
        <v>0</v>
      </c>
      <c r="B128" s="31">
        <f t="shared" si="103"/>
        <v>2001</v>
      </c>
      <c r="C128" s="101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2"/>
      <c r="CT128" s="85" t="s">
        <v>54</v>
      </c>
    </row>
    <row r="129" spans="1:98" hidden="1" x14ac:dyDescent="0.25">
      <c r="A129" s="97">
        <f t="shared" si="104"/>
        <v>0</v>
      </c>
      <c r="B129" s="31">
        <f t="shared" si="103"/>
        <v>2002</v>
      </c>
      <c r="C129" s="101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2"/>
      <c r="CT129" s="85" t="s">
        <v>54</v>
      </c>
    </row>
    <row r="130" spans="1:98" hidden="1" x14ac:dyDescent="0.25">
      <c r="A130" s="97">
        <f t="shared" si="104"/>
        <v>0</v>
      </c>
      <c r="B130" s="31">
        <f t="shared" si="103"/>
        <v>2003</v>
      </c>
      <c r="C130" s="101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2"/>
      <c r="CT130" s="85" t="s">
        <v>54</v>
      </c>
    </row>
    <row r="131" spans="1:98" hidden="1" x14ac:dyDescent="0.25">
      <c r="A131" s="97">
        <f t="shared" si="104"/>
        <v>0</v>
      </c>
      <c r="B131" s="31">
        <f t="shared" si="103"/>
        <v>2004</v>
      </c>
      <c r="C131" s="101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2"/>
      <c r="CT131" s="85" t="s">
        <v>54</v>
      </c>
    </row>
    <row r="132" spans="1:98" hidden="1" x14ac:dyDescent="0.25">
      <c r="A132" s="97">
        <f t="shared" si="104"/>
        <v>0</v>
      </c>
      <c r="B132" s="31">
        <f t="shared" si="103"/>
        <v>2005</v>
      </c>
      <c r="C132" s="101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2"/>
      <c r="CT132" s="85" t="s">
        <v>54</v>
      </c>
    </row>
    <row r="133" spans="1:98" hidden="1" x14ac:dyDescent="0.25">
      <c r="A133" s="97">
        <f t="shared" si="104"/>
        <v>0</v>
      </c>
      <c r="B133" s="31">
        <f t="shared" si="103"/>
        <v>2006</v>
      </c>
      <c r="C133" s="101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2"/>
      <c r="CT133" s="85" t="s">
        <v>54</v>
      </c>
    </row>
    <row r="134" spans="1:98" hidden="1" x14ac:dyDescent="0.25">
      <c r="A134" s="97">
        <f t="shared" si="104"/>
        <v>0</v>
      </c>
      <c r="B134" s="31">
        <f t="shared" si="103"/>
        <v>2007</v>
      </c>
      <c r="C134" s="101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2"/>
      <c r="CT134" s="85" t="s">
        <v>54</v>
      </c>
    </row>
    <row r="135" spans="1:98" hidden="1" x14ac:dyDescent="0.25">
      <c r="A135" s="97">
        <f t="shared" si="104"/>
        <v>0</v>
      </c>
      <c r="B135" s="31">
        <f t="shared" si="103"/>
        <v>2008</v>
      </c>
      <c r="C135" s="101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2"/>
      <c r="CT135" s="85" t="s">
        <v>54</v>
      </c>
    </row>
    <row r="136" spans="1:98" hidden="1" x14ac:dyDescent="0.25">
      <c r="A136" s="97">
        <f t="shared" si="104"/>
        <v>0</v>
      </c>
      <c r="B136" s="31">
        <f t="shared" si="103"/>
        <v>2009</v>
      </c>
      <c r="C136" s="101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2"/>
      <c r="CT136" s="85" t="s">
        <v>54</v>
      </c>
    </row>
    <row r="137" spans="1:98" hidden="1" x14ac:dyDescent="0.25">
      <c r="A137" s="97">
        <f t="shared" si="104"/>
        <v>0</v>
      </c>
      <c r="B137" s="31">
        <f t="shared" si="103"/>
        <v>2010</v>
      </c>
      <c r="C137" s="101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2"/>
      <c r="CT137" s="85" t="s">
        <v>54</v>
      </c>
    </row>
    <row r="138" spans="1:98" hidden="1" x14ac:dyDescent="0.25">
      <c r="A138" s="97">
        <f t="shared" si="104"/>
        <v>0</v>
      </c>
      <c r="B138" s="31">
        <f t="shared" si="103"/>
        <v>2011</v>
      </c>
      <c r="C138" s="101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2"/>
      <c r="CT138" s="85" t="s">
        <v>54</v>
      </c>
    </row>
    <row r="139" spans="1:98" hidden="1" x14ac:dyDescent="0.25">
      <c r="A139" s="97">
        <f t="shared" si="104"/>
        <v>0</v>
      </c>
      <c r="B139" s="31">
        <f t="shared" si="103"/>
        <v>2012</v>
      </c>
      <c r="C139" s="101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2"/>
      <c r="CT139" s="85" t="s">
        <v>54</v>
      </c>
    </row>
    <row r="140" spans="1:98" hidden="1" x14ac:dyDescent="0.25">
      <c r="A140" s="97">
        <f t="shared" si="104"/>
        <v>0</v>
      </c>
      <c r="B140" s="31">
        <f t="shared" si="103"/>
        <v>2013</v>
      </c>
      <c r="C140" s="101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2"/>
      <c r="CT140" s="11" t="s">
        <v>54</v>
      </c>
    </row>
    <row r="141" spans="1:98" hidden="1" x14ac:dyDescent="0.25">
      <c r="A141" s="97">
        <f t="shared" si="104"/>
        <v>0</v>
      </c>
      <c r="B141" s="31">
        <f t="shared" si="103"/>
        <v>2014</v>
      </c>
      <c r="C141" s="101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2"/>
      <c r="CT141" s="11" t="s">
        <v>54</v>
      </c>
    </row>
    <row r="142" spans="1:98" hidden="1" x14ac:dyDescent="0.25">
      <c r="A142" s="97">
        <f t="shared" si="104"/>
        <v>0</v>
      </c>
      <c r="B142" s="31">
        <f t="shared" si="103"/>
        <v>2015</v>
      </c>
      <c r="C142" s="101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2"/>
      <c r="CT142" s="11" t="s">
        <v>54</v>
      </c>
    </row>
    <row r="143" spans="1:98" hidden="1" x14ac:dyDescent="0.25">
      <c r="A143" s="97">
        <f t="shared" si="104"/>
        <v>0</v>
      </c>
      <c r="B143" s="31">
        <f t="shared" si="103"/>
        <v>2016</v>
      </c>
      <c r="C143" s="101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2"/>
      <c r="CT143" s="11" t="s">
        <v>54</v>
      </c>
    </row>
    <row r="144" spans="1:98" hidden="1" x14ac:dyDescent="0.25">
      <c r="A144" s="97">
        <f t="shared" si="104"/>
        <v>0</v>
      </c>
      <c r="B144" s="31">
        <f t="shared" si="103"/>
        <v>2017</v>
      </c>
      <c r="C144" s="101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2"/>
      <c r="CT144" s="11" t="s">
        <v>54</v>
      </c>
    </row>
    <row r="145" spans="1:98" ht="15.75" hidden="1" customHeight="1" x14ac:dyDescent="0.25">
      <c r="A145" s="97">
        <v>0</v>
      </c>
      <c r="B145" s="31">
        <f t="shared" si="103"/>
        <v>2018</v>
      </c>
      <c r="C145" s="101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2"/>
      <c r="CT145" s="11" t="s">
        <v>54</v>
      </c>
    </row>
    <row r="146" spans="1:98" ht="15.75" hidden="1" customHeight="1" x14ac:dyDescent="0.25">
      <c r="A146" s="97">
        <f>A118</f>
        <v>0</v>
      </c>
      <c r="B146" s="80">
        <f t="shared" si="103"/>
        <v>2019</v>
      </c>
      <c r="C146" s="168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7"/>
      <c r="CT146" s="11" t="s">
        <v>54</v>
      </c>
    </row>
    <row r="147" spans="1:98" ht="15.75" hidden="1" customHeight="1" x14ac:dyDescent="0.25">
      <c r="A147" s="97">
        <f>A119</f>
        <v>0</v>
      </c>
      <c r="B147" s="25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</row>
    <row r="148" spans="1:98" hidden="1" x14ac:dyDescent="0.25">
      <c r="A148" s="97">
        <f>A14</f>
        <v>0</v>
      </c>
      <c r="B148" s="19" t="s">
        <v>53</v>
      </c>
    </row>
    <row r="149" spans="1:98" hidden="1" x14ac:dyDescent="0.25">
      <c r="A149" s="97">
        <v>0</v>
      </c>
      <c r="B149" s="170" t="str">
        <f>B68</f>
        <v>UY</v>
      </c>
      <c r="C149" s="163"/>
      <c r="D149" s="164" t="str">
        <f t="shared" ref="D149:AI149" si="105">D68</f>
        <v>2 / 1</v>
      </c>
      <c r="E149" s="164" t="str">
        <f t="shared" si="105"/>
        <v>3 / 2</v>
      </c>
      <c r="F149" s="164" t="str">
        <f t="shared" si="105"/>
        <v>4 / 3</v>
      </c>
      <c r="G149" s="164" t="str">
        <f t="shared" si="105"/>
        <v>5 / 4</v>
      </c>
      <c r="H149" s="164" t="str">
        <f t="shared" si="105"/>
        <v>6 / 5</v>
      </c>
      <c r="I149" s="164" t="str">
        <f t="shared" si="105"/>
        <v>7 / 6</v>
      </c>
      <c r="J149" s="164" t="str">
        <f t="shared" si="105"/>
        <v>8 / 7</v>
      </c>
      <c r="K149" s="164" t="str">
        <f t="shared" si="105"/>
        <v>9 / 8</v>
      </c>
      <c r="L149" s="164" t="str">
        <f t="shared" si="105"/>
        <v>10 / 9</v>
      </c>
      <c r="M149" s="164" t="str">
        <f t="shared" si="105"/>
        <v>11 / 10</v>
      </c>
      <c r="N149" s="164" t="str">
        <f t="shared" si="105"/>
        <v>12 / 11</v>
      </c>
      <c r="O149" s="164" t="str">
        <f t="shared" si="105"/>
        <v>13 / 12</v>
      </c>
      <c r="P149" s="164" t="str">
        <f t="shared" si="105"/>
        <v>14 / 13</v>
      </c>
      <c r="Q149" s="164" t="str">
        <f t="shared" si="105"/>
        <v>15 / 14</v>
      </c>
      <c r="R149" s="164" t="str">
        <f t="shared" si="105"/>
        <v>16 / 15</v>
      </c>
      <c r="S149" s="164" t="str">
        <f t="shared" si="105"/>
        <v>17 / 16</v>
      </c>
      <c r="T149" s="164" t="str">
        <f t="shared" si="105"/>
        <v>18 / 17</v>
      </c>
      <c r="U149" s="164" t="str">
        <f t="shared" si="105"/>
        <v>19 / 18</v>
      </c>
      <c r="V149" s="164" t="str">
        <f t="shared" si="105"/>
        <v>20 / 19</v>
      </c>
      <c r="W149" s="164" t="str">
        <f t="shared" si="105"/>
        <v>21 / 20</v>
      </c>
      <c r="X149" s="164" t="str">
        <f t="shared" si="105"/>
        <v>22 / 21</v>
      </c>
      <c r="Y149" s="164" t="str">
        <f t="shared" si="105"/>
        <v>23 / 22</v>
      </c>
      <c r="Z149" s="164" t="str">
        <f t="shared" si="105"/>
        <v>24 / 23</v>
      </c>
      <c r="AA149" s="164" t="str">
        <f t="shared" si="105"/>
        <v>25 / 24</v>
      </c>
      <c r="AB149" s="164" t="str">
        <f t="shared" si="105"/>
        <v>26 / 25</v>
      </c>
      <c r="AC149" s="164" t="str">
        <f t="shared" si="105"/>
        <v>27 / 26</v>
      </c>
      <c r="AD149" s="164" t="str">
        <f t="shared" si="105"/>
        <v>28 / 27</v>
      </c>
      <c r="AE149" s="164" t="str">
        <f t="shared" si="105"/>
        <v>29 / 28</v>
      </c>
      <c r="AF149" s="164" t="str">
        <f t="shared" si="105"/>
        <v>30 / 29</v>
      </c>
      <c r="AG149" s="164" t="str">
        <f t="shared" si="105"/>
        <v>31 / 30</v>
      </c>
      <c r="AH149" s="164" t="str">
        <f t="shared" si="105"/>
        <v>32 / 31</v>
      </c>
      <c r="AI149" s="164" t="str">
        <f t="shared" si="105"/>
        <v>33 / 32</v>
      </c>
      <c r="AJ149" s="164" t="str">
        <f t="shared" ref="AJ149:BO149" si="106">AJ68</f>
        <v>34 / 33</v>
      </c>
      <c r="AK149" s="164" t="str">
        <f t="shared" si="106"/>
        <v>35 / 34</v>
      </c>
      <c r="AL149" s="164" t="str">
        <f t="shared" si="106"/>
        <v>36 / 35</v>
      </c>
      <c r="AM149" s="164" t="str">
        <f t="shared" si="106"/>
        <v>37 / 36</v>
      </c>
      <c r="AN149" s="164" t="str">
        <f t="shared" si="106"/>
        <v>38 / 37</v>
      </c>
      <c r="AO149" s="164" t="str">
        <f t="shared" si="106"/>
        <v>39 / 38</v>
      </c>
      <c r="AP149" s="164" t="str">
        <f t="shared" si="106"/>
        <v>40 / 39</v>
      </c>
      <c r="AQ149" s="164" t="str">
        <f t="shared" si="106"/>
        <v>41 / 40</v>
      </c>
      <c r="AR149" s="164" t="str">
        <f t="shared" si="106"/>
        <v>42 / 41</v>
      </c>
      <c r="AS149" s="164" t="str">
        <f t="shared" si="106"/>
        <v>43 / 42</v>
      </c>
      <c r="AT149" s="164" t="str">
        <f t="shared" si="106"/>
        <v>44 / 43</v>
      </c>
      <c r="AU149" s="164" t="str">
        <f t="shared" si="106"/>
        <v>45 / 44</v>
      </c>
      <c r="AV149" s="164" t="str">
        <f t="shared" si="106"/>
        <v>46 / 45</v>
      </c>
      <c r="AW149" s="164" t="str">
        <f t="shared" si="106"/>
        <v>47 / 46</v>
      </c>
      <c r="AX149" s="164" t="str">
        <f t="shared" si="106"/>
        <v>48 / 47</v>
      </c>
      <c r="AY149" s="164" t="str">
        <f t="shared" si="106"/>
        <v>49 / 48</v>
      </c>
      <c r="AZ149" s="164" t="str">
        <f t="shared" si="106"/>
        <v>50 / 49</v>
      </c>
      <c r="BA149" s="164" t="str">
        <f t="shared" si="106"/>
        <v>51 / 50</v>
      </c>
      <c r="BB149" s="164" t="str">
        <f t="shared" si="106"/>
        <v>52 / 51</v>
      </c>
      <c r="BC149" s="164" t="str">
        <f t="shared" si="106"/>
        <v>53 / 52</v>
      </c>
      <c r="BD149" s="164" t="str">
        <f t="shared" si="106"/>
        <v>54 / 53</v>
      </c>
      <c r="BE149" s="164" t="str">
        <f t="shared" si="106"/>
        <v>55 / 54</v>
      </c>
      <c r="BF149" s="164" t="str">
        <f t="shared" si="106"/>
        <v>56 / 55</v>
      </c>
      <c r="BG149" s="164" t="str">
        <f t="shared" si="106"/>
        <v>57 / 56</v>
      </c>
      <c r="BH149" s="164" t="str">
        <f t="shared" si="106"/>
        <v>58 / 57</v>
      </c>
      <c r="BI149" s="164" t="str">
        <f t="shared" si="106"/>
        <v>59 / 58</v>
      </c>
      <c r="BJ149" s="164" t="str">
        <f t="shared" si="106"/>
        <v>60 / 59</v>
      </c>
      <c r="BK149" s="164" t="str">
        <f t="shared" si="106"/>
        <v>61 / 60</v>
      </c>
      <c r="BL149" s="164" t="str">
        <f t="shared" si="106"/>
        <v>62 / 61</v>
      </c>
      <c r="BM149" s="164" t="str">
        <f t="shared" si="106"/>
        <v>63 / 62</v>
      </c>
      <c r="BN149" s="164" t="str">
        <f t="shared" si="106"/>
        <v>64 / 63</v>
      </c>
      <c r="BO149" s="164" t="str">
        <f t="shared" si="106"/>
        <v>65 / 64</v>
      </c>
      <c r="BP149" s="164" t="str">
        <f t="shared" ref="BP149:CS149" si="107">BP68</f>
        <v>66 / 65</v>
      </c>
      <c r="BQ149" s="164" t="str">
        <f t="shared" si="107"/>
        <v>67 / 66</v>
      </c>
      <c r="BR149" s="164" t="str">
        <f t="shared" si="107"/>
        <v>68 / 67</v>
      </c>
      <c r="BS149" s="164" t="str">
        <f t="shared" si="107"/>
        <v>69 / 68</v>
      </c>
      <c r="BT149" s="164" t="str">
        <f t="shared" si="107"/>
        <v>70 / 69</v>
      </c>
      <c r="BU149" s="164" t="str">
        <f t="shared" si="107"/>
        <v>71 / 70</v>
      </c>
      <c r="BV149" s="164" t="str">
        <f t="shared" si="107"/>
        <v>72 / 71</v>
      </c>
      <c r="BW149" s="164" t="str">
        <f t="shared" si="107"/>
        <v>73 / 72</v>
      </c>
      <c r="BX149" s="164" t="str">
        <f t="shared" si="107"/>
        <v>74 / 73</v>
      </c>
      <c r="BY149" s="164" t="str">
        <f t="shared" si="107"/>
        <v>75 / 74</v>
      </c>
      <c r="BZ149" s="164" t="str">
        <f t="shared" si="107"/>
        <v>76 / 75</v>
      </c>
      <c r="CA149" s="164" t="str">
        <f t="shared" si="107"/>
        <v>77 / 76</v>
      </c>
      <c r="CB149" s="164" t="str">
        <f t="shared" si="107"/>
        <v>78 / 77</v>
      </c>
      <c r="CC149" s="164" t="str">
        <f t="shared" si="107"/>
        <v>79 / 78</v>
      </c>
      <c r="CD149" s="164" t="str">
        <f t="shared" si="107"/>
        <v>80 / 79</v>
      </c>
      <c r="CE149" s="164" t="str">
        <f t="shared" si="107"/>
        <v>81 / 80</v>
      </c>
      <c r="CF149" s="164" t="str">
        <f t="shared" si="107"/>
        <v>82 / 81</v>
      </c>
      <c r="CG149" s="164" t="str">
        <f t="shared" si="107"/>
        <v>83 / 82</v>
      </c>
      <c r="CH149" s="164" t="str">
        <f t="shared" si="107"/>
        <v>84 / 83</v>
      </c>
      <c r="CI149" s="164" t="str">
        <f t="shared" si="107"/>
        <v>85 / 84</v>
      </c>
      <c r="CJ149" s="164" t="str">
        <f t="shared" si="107"/>
        <v>86 / 85</v>
      </c>
      <c r="CK149" s="164" t="str">
        <f t="shared" si="107"/>
        <v>87 / 86</v>
      </c>
      <c r="CL149" s="164" t="str">
        <f t="shared" si="107"/>
        <v>88 / 87</v>
      </c>
      <c r="CM149" s="164" t="str">
        <f t="shared" si="107"/>
        <v>89 / 88</v>
      </c>
      <c r="CN149" s="164" t="str">
        <f t="shared" si="107"/>
        <v>90 / 89</v>
      </c>
      <c r="CO149" s="164" t="str">
        <f t="shared" si="107"/>
        <v>91 / 90</v>
      </c>
      <c r="CP149" s="164" t="str">
        <f t="shared" si="107"/>
        <v>92 / 91</v>
      </c>
      <c r="CQ149" s="164" t="str">
        <f t="shared" si="107"/>
        <v>93 / 92</v>
      </c>
      <c r="CR149" s="164" t="str">
        <f t="shared" si="107"/>
        <v>94 / 93</v>
      </c>
      <c r="CS149" s="165" t="str">
        <f t="shared" si="107"/>
        <v>95 / 94</v>
      </c>
      <c r="CT149" s="11" t="s">
        <v>54</v>
      </c>
    </row>
    <row r="150" spans="1:98" hidden="1" x14ac:dyDescent="0.25">
      <c r="A150" s="97">
        <v>0</v>
      </c>
      <c r="B150" s="90">
        <f t="shared" ref="B150:B173" si="108">B14</f>
        <v>1996</v>
      </c>
      <c r="C150" s="101"/>
      <c r="D150" s="171">
        <f t="shared" ref="D150:AI150" si="109">IF(D123="",1,0)*IF(D96="",1,0)*SUM(D42)*IF(D69="",0,1)</f>
        <v>0</v>
      </c>
      <c r="E150" s="171">
        <f t="shared" si="109"/>
        <v>0</v>
      </c>
      <c r="F150" s="171">
        <f t="shared" si="109"/>
        <v>0</v>
      </c>
      <c r="G150" s="171">
        <f t="shared" si="109"/>
        <v>0</v>
      </c>
      <c r="H150" s="171">
        <f t="shared" si="109"/>
        <v>0</v>
      </c>
      <c r="I150" s="171">
        <f t="shared" si="109"/>
        <v>0</v>
      </c>
      <c r="J150" s="171">
        <f t="shared" si="109"/>
        <v>0</v>
      </c>
      <c r="K150" s="171">
        <f t="shared" si="109"/>
        <v>0</v>
      </c>
      <c r="L150" s="171">
        <f t="shared" si="109"/>
        <v>0</v>
      </c>
      <c r="M150" s="171">
        <f t="shared" si="109"/>
        <v>0</v>
      </c>
      <c r="N150" s="171">
        <f t="shared" si="109"/>
        <v>0</v>
      </c>
      <c r="O150" s="171">
        <f t="shared" si="109"/>
        <v>0</v>
      </c>
      <c r="P150" s="171">
        <f t="shared" si="109"/>
        <v>0</v>
      </c>
      <c r="Q150" s="171">
        <f t="shared" si="109"/>
        <v>0</v>
      </c>
      <c r="R150" s="171">
        <f t="shared" si="109"/>
        <v>0</v>
      </c>
      <c r="S150" s="171">
        <f t="shared" si="109"/>
        <v>0</v>
      </c>
      <c r="T150" s="171">
        <f t="shared" si="109"/>
        <v>0</v>
      </c>
      <c r="U150" s="171">
        <f t="shared" si="109"/>
        <v>0</v>
      </c>
      <c r="V150" s="171">
        <f t="shared" si="109"/>
        <v>0</v>
      </c>
      <c r="W150" s="171">
        <f t="shared" si="109"/>
        <v>0</v>
      </c>
      <c r="X150" s="171">
        <f t="shared" si="109"/>
        <v>0</v>
      </c>
      <c r="Y150" s="171">
        <f t="shared" si="109"/>
        <v>0</v>
      </c>
      <c r="Z150" s="171">
        <f t="shared" si="109"/>
        <v>0</v>
      </c>
      <c r="AA150" s="171">
        <f t="shared" si="109"/>
        <v>0</v>
      </c>
      <c r="AB150" s="171">
        <f t="shared" si="109"/>
        <v>0</v>
      </c>
      <c r="AC150" s="171">
        <f t="shared" si="109"/>
        <v>0</v>
      </c>
      <c r="AD150" s="171">
        <f t="shared" si="109"/>
        <v>0</v>
      </c>
      <c r="AE150" s="171">
        <f t="shared" si="109"/>
        <v>0</v>
      </c>
      <c r="AF150" s="171">
        <f t="shared" si="109"/>
        <v>0</v>
      </c>
      <c r="AG150" s="171">
        <f t="shared" si="109"/>
        <v>0</v>
      </c>
      <c r="AH150" s="171">
        <f t="shared" si="109"/>
        <v>0</v>
      </c>
      <c r="AI150" s="171">
        <f t="shared" si="109"/>
        <v>0</v>
      </c>
      <c r="AJ150" s="171">
        <f t="shared" ref="AJ150:BO150" si="110">IF(AJ123="",1,0)*IF(AJ96="",1,0)*SUM(AJ42)*IF(AJ69="",0,1)</f>
        <v>0</v>
      </c>
      <c r="AK150" s="171">
        <f t="shared" si="110"/>
        <v>0</v>
      </c>
      <c r="AL150" s="171">
        <f t="shared" si="110"/>
        <v>0</v>
      </c>
      <c r="AM150" s="171">
        <f t="shared" si="110"/>
        <v>0</v>
      </c>
      <c r="AN150" s="171">
        <f t="shared" si="110"/>
        <v>0</v>
      </c>
      <c r="AO150" s="171">
        <f t="shared" si="110"/>
        <v>0</v>
      </c>
      <c r="AP150" s="171">
        <f t="shared" si="110"/>
        <v>0</v>
      </c>
      <c r="AQ150" s="171">
        <f t="shared" si="110"/>
        <v>0</v>
      </c>
      <c r="AR150" s="171">
        <f t="shared" si="110"/>
        <v>0</v>
      </c>
      <c r="AS150" s="171">
        <f t="shared" si="110"/>
        <v>0</v>
      </c>
      <c r="AT150" s="171">
        <f t="shared" si="110"/>
        <v>0</v>
      </c>
      <c r="AU150" s="171">
        <f t="shared" si="110"/>
        <v>0</v>
      </c>
      <c r="AV150" s="171">
        <f t="shared" si="110"/>
        <v>0</v>
      </c>
      <c r="AW150" s="171">
        <f t="shared" si="110"/>
        <v>0</v>
      </c>
      <c r="AX150" s="171">
        <f t="shared" si="110"/>
        <v>0</v>
      </c>
      <c r="AY150" s="171">
        <f t="shared" si="110"/>
        <v>0</v>
      </c>
      <c r="AZ150" s="171">
        <f t="shared" si="110"/>
        <v>0</v>
      </c>
      <c r="BA150" s="171">
        <f t="shared" si="110"/>
        <v>0</v>
      </c>
      <c r="BB150" s="171">
        <f t="shared" si="110"/>
        <v>0</v>
      </c>
      <c r="BC150" s="171">
        <f t="shared" si="110"/>
        <v>0</v>
      </c>
      <c r="BD150" s="171">
        <f t="shared" si="110"/>
        <v>0</v>
      </c>
      <c r="BE150" s="171">
        <f t="shared" si="110"/>
        <v>0</v>
      </c>
      <c r="BF150" s="171">
        <f t="shared" si="110"/>
        <v>0</v>
      </c>
      <c r="BG150" s="171">
        <f t="shared" si="110"/>
        <v>0</v>
      </c>
      <c r="BH150" s="171">
        <f t="shared" si="110"/>
        <v>0</v>
      </c>
      <c r="BI150" s="171">
        <f t="shared" si="110"/>
        <v>0</v>
      </c>
      <c r="BJ150" s="171">
        <f t="shared" si="110"/>
        <v>0</v>
      </c>
      <c r="BK150" s="171">
        <f t="shared" si="110"/>
        <v>0</v>
      </c>
      <c r="BL150" s="171">
        <f t="shared" si="110"/>
        <v>0</v>
      </c>
      <c r="BM150" s="171">
        <f t="shared" si="110"/>
        <v>0</v>
      </c>
      <c r="BN150" s="171">
        <f t="shared" si="110"/>
        <v>0</v>
      </c>
      <c r="BO150" s="171">
        <f t="shared" si="110"/>
        <v>0</v>
      </c>
      <c r="BP150" s="171">
        <f t="shared" ref="BP150:CS150" si="111">IF(BP123="",1,0)*IF(BP96="",1,0)*SUM(BP42)*IF(BP69="",0,1)</f>
        <v>0</v>
      </c>
      <c r="BQ150" s="171">
        <f t="shared" si="111"/>
        <v>0</v>
      </c>
      <c r="BR150" s="171">
        <f t="shared" si="111"/>
        <v>0</v>
      </c>
      <c r="BS150" s="171">
        <f t="shared" si="111"/>
        <v>0</v>
      </c>
      <c r="BT150" s="171">
        <f t="shared" si="111"/>
        <v>0</v>
      </c>
      <c r="BU150" s="171">
        <f t="shared" si="111"/>
        <v>0</v>
      </c>
      <c r="BV150" s="171">
        <f t="shared" si="111"/>
        <v>0</v>
      </c>
      <c r="BW150" s="171">
        <f t="shared" si="111"/>
        <v>0</v>
      </c>
      <c r="BX150" s="171">
        <f t="shared" si="111"/>
        <v>0</v>
      </c>
      <c r="BY150" s="171">
        <f t="shared" si="111"/>
        <v>0</v>
      </c>
      <c r="BZ150" s="171">
        <f t="shared" si="111"/>
        <v>0</v>
      </c>
      <c r="CA150" s="171">
        <f t="shared" si="111"/>
        <v>0</v>
      </c>
      <c r="CB150" s="171">
        <f t="shared" si="111"/>
        <v>0</v>
      </c>
      <c r="CC150" s="171">
        <f t="shared" si="111"/>
        <v>0</v>
      </c>
      <c r="CD150" s="171">
        <f t="shared" si="111"/>
        <v>0</v>
      </c>
      <c r="CE150" s="171">
        <f t="shared" si="111"/>
        <v>0</v>
      </c>
      <c r="CF150" s="171">
        <f t="shared" si="111"/>
        <v>0</v>
      </c>
      <c r="CG150" s="171">
        <f t="shared" si="111"/>
        <v>0</v>
      </c>
      <c r="CH150" s="171">
        <f t="shared" si="111"/>
        <v>0</v>
      </c>
      <c r="CI150" s="171">
        <f t="shared" si="111"/>
        <v>0</v>
      </c>
      <c r="CJ150" s="171">
        <f t="shared" si="111"/>
        <v>0</v>
      </c>
      <c r="CK150" s="171">
        <f t="shared" si="111"/>
        <v>0</v>
      </c>
      <c r="CL150" s="171">
        <f t="shared" si="111"/>
        <v>0</v>
      </c>
      <c r="CM150" s="171">
        <f t="shared" si="111"/>
        <v>0</v>
      </c>
      <c r="CN150" s="171">
        <f t="shared" si="111"/>
        <v>0</v>
      </c>
      <c r="CO150" s="171">
        <f t="shared" si="111"/>
        <v>0</v>
      </c>
      <c r="CP150" s="171">
        <f t="shared" si="111"/>
        <v>0</v>
      </c>
      <c r="CQ150" s="171">
        <f t="shared" si="111"/>
        <v>0</v>
      </c>
      <c r="CR150" s="171">
        <f t="shared" si="111"/>
        <v>0</v>
      </c>
      <c r="CS150" s="172">
        <f t="shared" si="111"/>
        <v>0</v>
      </c>
      <c r="CT150" s="85" t="s">
        <v>54</v>
      </c>
    </row>
    <row r="151" spans="1:98" hidden="1" x14ac:dyDescent="0.25">
      <c r="A151" s="97">
        <v>0</v>
      </c>
      <c r="B151" s="90">
        <f t="shared" si="108"/>
        <v>1997</v>
      </c>
      <c r="C151" s="101"/>
      <c r="D151" s="171">
        <f t="shared" ref="D151:AI151" si="112">IF(D124="",1,0)*IF(D97="",1,0)*SUM(D43)*IF(D70="",0,1)</f>
        <v>0</v>
      </c>
      <c r="E151" s="171">
        <f t="shared" si="112"/>
        <v>0</v>
      </c>
      <c r="F151" s="171">
        <f t="shared" si="112"/>
        <v>0</v>
      </c>
      <c r="G151" s="171">
        <f t="shared" si="112"/>
        <v>0</v>
      </c>
      <c r="H151" s="171">
        <f t="shared" si="112"/>
        <v>0</v>
      </c>
      <c r="I151" s="171">
        <f t="shared" si="112"/>
        <v>0</v>
      </c>
      <c r="J151" s="171">
        <f t="shared" si="112"/>
        <v>0</v>
      </c>
      <c r="K151" s="171">
        <f t="shared" si="112"/>
        <v>0</v>
      </c>
      <c r="L151" s="171">
        <f t="shared" si="112"/>
        <v>0</v>
      </c>
      <c r="M151" s="171">
        <f t="shared" si="112"/>
        <v>0</v>
      </c>
      <c r="N151" s="171">
        <f t="shared" si="112"/>
        <v>0</v>
      </c>
      <c r="O151" s="171">
        <f t="shared" si="112"/>
        <v>0</v>
      </c>
      <c r="P151" s="171">
        <f t="shared" si="112"/>
        <v>0</v>
      </c>
      <c r="Q151" s="171">
        <f t="shared" si="112"/>
        <v>0</v>
      </c>
      <c r="R151" s="171">
        <f t="shared" si="112"/>
        <v>0</v>
      </c>
      <c r="S151" s="171">
        <f t="shared" si="112"/>
        <v>0</v>
      </c>
      <c r="T151" s="171">
        <f t="shared" si="112"/>
        <v>0</v>
      </c>
      <c r="U151" s="171">
        <f t="shared" si="112"/>
        <v>0</v>
      </c>
      <c r="V151" s="171">
        <f t="shared" si="112"/>
        <v>0</v>
      </c>
      <c r="W151" s="171">
        <f t="shared" si="112"/>
        <v>0</v>
      </c>
      <c r="X151" s="171">
        <f t="shared" si="112"/>
        <v>0</v>
      </c>
      <c r="Y151" s="171">
        <f t="shared" si="112"/>
        <v>0</v>
      </c>
      <c r="Z151" s="171">
        <f t="shared" si="112"/>
        <v>0</v>
      </c>
      <c r="AA151" s="171">
        <f t="shared" si="112"/>
        <v>0</v>
      </c>
      <c r="AB151" s="171">
        <f t="shared" si="112"/>
        <v>0</v>
      </c>
      <c r="AC151" s="171">
        <f t="shared" si="112"/>
        <v>0</v>
      </c>
      <c r="AD151" s="171">
        <f t="shared" si="112"/>
        <v>0</v>
      </c>
      <c r="AE151" s="171">
        <f t="shared" si="112"/>
        <v>0</v>
      </c>
      <c r="AF151" s="171">
        <f t="shared" si="112"/>
        <v>0</v>
      </c>
      <c r="AG151" s="171">
        <f t="shared" si="112"/>
        <v>0</v>
      </c>
      <c r="AH151" s="171">
        <f t="shared" si="112"/>
        <v>0</v>
      </c>
      <c r="AI151" s="171">
        <f t="shared" si="112"/>
        <v>0</v>
      </c>
      <c r="AJ151" s="171">
        <f t="shared" ref="AJ151:BO151" si="113">IF(AJ124="",1,0)*IF(AJ97="",1,0)*SUM(AJ43)*IF(AJ70="",0,1)</f>
        <v>0</v>
      </c>
      <c r="AK151" s="171">
        <f t="shared" si="113"/>
        <v>0</v>
      </c>
      <c r="AL151" s="171">
        <f t="shared" si="113"/>
        <v>0</v>
      </c>
      <c r="AM151" s="171">
        <f t="shared" si="113"/>
        <v>0</v>
      </c>
      <c r="AN151" s="171">
        <f t="shared" si="113"/>
        <v>0</v>
      </c>
      <c r="AO151" s="171">
        <f t="shared" si="113"/>
        <v>0</v>
      </c>
      <c r="AP151" s="171">
        <f t="shared" si="113"/>
        <v>0</v>
      </c>
      <c r="AQ151" s="171">
        <f t="shared" si="113"/>
        <v>0</v>
      </c>
      <c r="AR151" s="171">
        <f t="shared" si="113"/>
        <v>0</v>
      </c>
      <c r="AS151" s="171">
        <f t="shared" si="113"/>
        <v>0</v>
      </c>
      <c r="AT151" s="171">
        <f t="shared" si="113"/>
        <v>0</v>
      </c>
      <c r="AU151" s="171">
        <f t="shared" si="113"/>
        <v>0</v>
      </c>
      <c r="AV151" s="171">
        <f t="shared" si="113"/>
        <v>0</v>
      </c>
      <c r="AW151" s="171">
        <f t="shared" si="113"/>
        <v>0</v>
      </c>
      <c r="AX151" s="171">
        <f t="shared" si="113"/>
        <v>0</v>
      </c>
      <c r="AY151" s="171">
        <f t="shared" si="113"/>
        <v>0</v>
      </c>
      <c r="AZ151" s="171">
        <f t="shared" si="113"/>
        <v>0</v>
      </c>
      <c r="BA151" s="171">
        <f t="shared" si="113"/>
        <v>0</v>
      </c>
      <c r="BB151" s="171">
        <f t="shared" si="113"/>
        <v>0</v>
      </c>
      <c r="BC151" s="171">
        <f t="shared" si="113"/>
        <v>0</v>
      </c>
      <c r="BD151" s="171">
        <f t="shared" si="113"/>
        <v>0</v>
      </c>
      <c r="BE151" s="171">
        <f t="shared" si="113"/>
        <v>0</v>
      </c>
      <c r="BF151" s="171">
        <f t="shared" si="113"/>
        <v>0</v>
      </c>
      <c r="BG151" s="171">
        <f t="shared" si="113"/>
        <v>0</v>
      </c>
      <c r="BH151" s="171">
        <f t="shared" si="113"/>
        <v>0</v>
      </c>
      <c r="BI151" s="171">
        <f t="shared" si="113"/>
        <v>0</v>
      </c>
      <c r="BJ151" s="171">
        <f t="shared" si="113"/>
        <v>0</v>
      </c>
      <c r="BK151" s="171">
        <f t="shared" si="113"/>
        <v>0</v>
      </c>
      <c r="BL151" s="171">
        <f t="shared" si="113"/>
        <v>0</v>
      </c>
      <c r="BM151" s="171">
        <f t="shared" si="113"/>
        <v>0</v>
      </c>
      <c r="BN151" s="171">
        <f t="shared" si="113"/>
        <v>0</v>
      </c>
      <c r="BO151" s="171">
        <f t="shared" si="113"/>
        <v>0</v>
      </c>
      <c r="BP151" s="171">
        <f t="shared" ref="BP151:CS151" si="114">IF(BP124="",1,0)*IF(BP97="",1,0)*SUM(BP43)*IF(BP70="",0,1)</f>
        <v>0</v>
      </c>
      <c r="BQ151" s="171">
        <f t="shared" si="114"/>
        <v>0</v>
      </c>
      <c r="BR151" s="171">
        <f t="shared" si="114"/>
        <v>0</v>
      </c>
      <c r="BS151" s="171">
        <f t="shared" si="114"/>
        <v>0</v>
      </c>
      <c r="BT151" s="171">
        <f t="shared" si="114"/>
        <v>0</v>
      </c>
      <c r="BU151" s="171">
        <f t="shared" si="114"/>
        <v>0</v>
      </c>
      <c r="BV151" s="171">
        <f t="shared" si="114"/>
        <v>0</v>
      </c>
      <c r="BW151" s="171">
        <f t="shared" si="114"/>
        <v>0</v>
      </c>
      <c r="BX151" s="171">
        <f t="shared" si="114"/>
        <v>0</v>
      </c>
      <c r="BY151" s="171">
        <f t="shared" si="114"/>
        <v>0</v>
      </c>
      <c r="BZ151" s="171">
        <f t="shared" si="114"/>
        <v>0</v>
      </c>
      <c r="CA151" s="171">
        <f t="shared" si="114"/>
        <v>0</v>
      </c>
      <c r="CB151" s="171">
        <f t="shared" si="114"/>
        <v>0</v>
      </c>
      <c r="CC151" s="171">
        <f t="shared" si="114"/>
        <v>0</v>
      </c>
      <c r="CD151" s="171">
        <f t="shared" si="114"/>
        <v>0</v>
      </c>
      <c r="CE151" s="171">
        <f t="shared" si="114"/>
        <v>0</v>
      </c>
      <c r="CF151" s="171">
        <f t="shared" si="114"/>
        <v>0</v>
      </c>
      <c r="CG151" s="171">
        <f t="shared" si="114"/>
        <v>0</v>
      </c>
      <c r="CH151" s="171">
        <f t="shared" si="114"/>
        <v>0</v>
      </c>
      <c r="CI151" s="171">
        <f t="shared" si="114"/>
        <v>0</v>
      </c>
      <c r="CJ151" s="171">
        <f t="shared" si="114"/>
        <v>0</v>
      </c>
      <c r="CK151" s="171">
        <f t="shared" si="114"/>
        <v>0</v>
      </c>
      <c r="CL151" s="171">
        <f t="shared" si="114"/>
        <v>0</v>
      </c>
      <c r="CM151" s="171">
        <f t="shared" si="114"/>
        <v>0</v>
      </c>
      <c r="CN151" s="171">
        <f t="shared" si="114"/>
        <v>0</v>
      </c>
      <c r="CO151" s="171">
        <f t="shared" si="114"/>
        <v>0</v>
      </c>
      <c r="CP151" s="171">
        <f t="shared" si="114"/>
        <v>0</v>
      </c>
      <c r="CQ151" s="171">
        <f t="shared" si="114"/>
        <v>0</v>
      </c>
      <c r="CR151" s="171">
        <f t="shared" si="114"/>
        <v>0</v>
      </c>
      <c r="CS151" s="172">
        <f t="shared" si="114"/>
        <v>0</v>
      </c>
      <c r="CT151" s="85" t="s">
        <v>54</v>
      </c>
    </row>
    <row r="152" spans="1:98" hidden="1" x14ac:dyDescent="0.25">
      <c r="A152" s="97">
        <v>0</v>
      </c>
      <c r="B152" s="90">
        <f t="shared" si="108"/>
        <v>1998</v>
      </c>
      <c r="C152" s="101"/>
      <c r="D152" s="171">
        <f t="shared" ref="D152:AI152" si="115">IF(D125="",1,0)*IF(D98="",1,0)*SUM(D44)*IF(D71="",0,1)</f>
        <v>0</v>
      </c>
      <c r="E152" s="171">
        <f t="shared" si="115"/>
        <v>0</v>
      </c>
      <c r="F152" s="171">
        <f t="shared" si="115"/>
        <v>0</v>
      </c>
      <c r="G152" s="171">
        <f t="shared" si="115"/>
        <v>0</v>
      </c>
      <c r="H152" s="171">
        <f t="shared" si="115"/>
        <v>0</v>
      </c>
      <c r="I152" s="171">
        <f t="shared" si="115"/>
        <v>0</v>
      </c>
      <c r="J152" s="171">
        <f t="shared" si="115"/>
        <v>0</v>
      </c>
      <c r="K152" s="171">
        <f t="shared" si="115"/>
        <v>0</v>
      </c>
      <c r="L152" s="171">
        <f t="shared" si="115"/>
        <v>0</v>
      </c>
      <c r="M152" s="171">
        <f t="shared" si="115"/>
        <v>0</v>
      </c>
      <c r="N152" s="171">
        <f t="shared" si="115"/>
        <v>0</v>
      </c>
      <c r="O152" s="171">
        <f t="shared" si="115"/>
        <v>0</v>
      </c>
      <c r="P152" s="171">
        <f t="shared" si="115"/>
        <v>0</v>
      </c>
      <c r="Q152" s="171">
        <f t="shared" si="115"/>
        <v>0</v>
      </c>
      <c r="R152" s="171">
        <f t="shared" si="115"/>
        <v>0</v>
      </c>
      <c r="S152" s="171">
        <f t="shared" si="115"/>
        <v>0</v>
      </c>
      <c r="T152" s="171">
        <f t="shared" si="115"/>
        <v>0</v>
      </c>
      <c r="U152" s="171">
        <f t="shared" si="115"/>
        <v>0</v>
      </c>
      <c r="V152" s="171">
        <f t="shared" si="115"/>
        <v>0</v>
      </c>
      <c r="W152" s="171">
        <f t="shared" si="115"/>
        <v>0</v>
      </c>
      <c r="X152" s="171">
        <f t="shared" si="115"/>
        <v>0</v>
      </c>
      <c r="Y152" s="171">
        <f t="shared" si="115"/>
        <v>0</v>
      </c>
      <c r="Z152" s="171">
        <f t="shared" si="115"/>
        <v>0</v>
      </c>
      <c r="AA152" s="171">
        <f t="shared" si="115"/>
        <v>0</v>
      </c>
      <c r="AB152" s="171">
        <f t="shared" si="115"/>
        <v>0</v>
      </c>
      <c r="AC152" s="171">
        <f t="shared" si="115"/>
        <v>0</v>
      </c>
      <c r="AD152" s="171">
        <f t="shared" si="115"/>
        <v>0</v>
      </c>
      <c r="AE152" s="171">
        <f t="shared" si="115"/>
        <v>0</v>
      </c>
      <c r="AF152" s="171">
        <f t="shared" si="115"/>
        <v>0</v>
      </c>
      <c r="AG152" s="171">
        <f t="shared" si="115"/>
        <v>0</v>
      </c>
      <c r="AH152" s="171">
        <f t="shared" si="115"/>
        <v>0</v>
      </c>
      <c r="AI152" s="171">
        <f t="shared" si="115"/>
        <v>0</v>
      </c>
      <c r="AJ152" s="171">
        <f t="shared" ref="AJ152:BO152" si="116">IF(AJ125="",1,0)*IF(AJ98="",1,0)*SUM(AJ44)*IF(AJ71="",0,1)</f>
        <v>0</v>
      </c>
      <c r="AK152" s="171">
        <f t="shared" si="116"/>
        <v>0</v>
      </c>
      <c r="AL152" s="171">
        <f t="shared" si="116"/>
        <v>0</v>
      </c>
      <c r="AM152" s="171">
        <f t="shared" si="116"/>
        <v>0</v>
      </c>
      <c r="AN152" s="171">
        <f t="shared" si="116"/>
        <v>0</v>
      </c>
      <c r="AO152" s="171">
        <f t="shared" si="116"/>
        <v>0</v>
      </c>
      <c r="AP152" s="171">
        <f t="shared" si="116"/>
        <v>0</v>
      </c>
      <c r="AQ152" s="171">
        <f t="shared" si="116"/>
        <v>0</v>
      </c>
      <c r="AR152" s="171">
        <f t="shared" si="116"/>
        <v>0</v>
      </c>
      <c r="AS152" s="171">
        <f t="shared" si="116"/>
        <v>0</v>
      </c>
      <c r="AT152" s="171">
        <f t="shared" si="116"/>
        <v>0</v>
      </c>
      <c r="AU152" s="171">
        <f t="shared" si="116"/>
        <v>0</v>
      </c>
      <c r="AV152" s="171">
        <f t="shared" si="116"/>
        <v>0</v>
      </c>
      <c r="AW152" s="171">
        <f t="shared" si="116"/>
        <v>0</v>
      </c>
      <c r="AX152" s="171">
        <f t="shared" si="116"/>
        <v>0</v>
      </c>
      <c r="AY152" s="171">
        <f t="shared" si="116"/>
        <v>0</v>
      </c>
      <c r="AZ152" s="171">
        <f t="shared" si="116"/>
        <v>0</v>
      </c>
      <c r="BA152" s="171">
        <f t="shared" si="116"/>
        <v>0</v>
      </c>
      <c r="BB152" s="171">
        <f t="shared" si="116"/>
        <v>0</v>
      </c>
      <c r="BC152" s="171">
        <f t="shared" si="116"/>
        <v>0</v>
      </c>
      <c r="BD152" s="171">
        <f t="shared" si="116"/>
        <v>0</v>
      </c>
      <c r="BE152" s="171">
        <f t="shared" si="116"/>
        <v>0</v>
      </c>
      <c r="BF152" s="171">
        <f t="shared" si="116"/>
        <v>0</v>
      </c>
      <c r="BG152" s="171">
        <f t="shared" si="116"/>
        <v>0</v>
      </c>
      <c r="BH152" s="171">
        <f t="shared" si="116"/>
        <v>0</v>
      </c>
      <c r="BI152" s="171">
        <f t="shared" si="116"/>
        <v>0</v>
      </c>
      <c r="BJ152" s="171">
        <f t="shared" si="116"/>
        <v>0</v>
      </c>
      <c r="BK152" s="171">
        <f t="shared" si="116"/>
        <v>0</v>
      </c>
      <c r="BL152" s="171">
        <f t="shared" si="116"/>
        <v>0</v>
      </c>
      <c r="BM152" s="171">
        <f t="shared" si="116"/>
        <v>0</v>
      </c>
      <c r="BN152" s="171">
        <f t="shared" si="116"/>
        <v>0</v>
      </c>
      <c r="BO152" s="171">
        <f t="shared" si="116"/>
        <v>0</v>
      </c>
      <c r="BP152" s="171">
        <f t="shared" ref="BP152:CS152" si="117">IF(BP125="",1,0)*IF(BP98="",1,0)*SUM(BP44)*IF(BP71="",0,1)</f>
        <v>0</v>
      </c>
      <c r="BQ152" s="171">
        <f t="shared" si="117"/>
        <v>0</v>
      </c>
      <c r="BR152" s="171">
        <f t="shared" si="117"/>
        <v>0</v>
      </c>
      <c r="BS152" s="171">
        <f t="shared" si="117"/>
        <v>0</v>
      </c>
      <c r="BT152" s="171">
        <f t="shared" si="117"/>
        <v>0</v>
      </c>
      <c r="BU152" s="171">
        <f t="shared" si="117"/>
        <v>0</v>
      </c>
      <c r="BV152" s="171">
        <f t="shared" si="117"/>
        <v>0</v>
      </c>
      <c r="BW152" s="171">
        <f t="shared" si="117"/>
        <v>0</v>
      </c>
      <c r="BX152" s="171">
        <f t="shared" si="117"/>
        <v>0</v>
      </c>
      <c r="BY152" s="171">
        <f t="shared" si="117"/>
        <v>0</v>
      </c>
      <c r="BZ152" s="171">
        <f t="shared" si="117"/>
        <v>0</v>
      </c>
      <c r="CA152" s="171">
        <f t="shared" si="117"/>
        <v>0</v>
      </c>
      <c r="CB152" s="171">
        <f t="shared" si="117"/>
        <v>0</v>
      </c>
      <c r="CC152" s="171">
        <f t="shared" si="117"/>
        <v>0</v>
      </c>
      <c r="CD152" s="171">
        <f t="shared" si="117"/>
        <v>0</v>
      </c>
      <c r="CE152" s="171">
        <f t="shared" si="117"/>
        <v>0</v>
      </c>
      <c r="CF152" s="171">
        <f t="shared" si="117"/>
        <v>0</v>
      </c>
      <c r="CG152" s="171">
        <f t="shared" si="117"/>
        <v>0</v>
      </c>
      <c r="CH152" s="171">
        <f t="shared" si="117"/>
        <v>0</v>
      </c>
      <c r="CI152" s="171">
        <f t="shared" si="117"/>
        <v>0</v>
      </c>
      <c r="CJ152" s="171">
        <f t="shared" si="117"/>
        <v>0</v>
      </c>
      <c r="CK152" s="171">
        <f t="shared" si="117"/>
        <v>0</v>
      </c>
      <c r="CL152" s="171">
        <f t="shared" si="117"/>
        <v>0</v>
      </c>
      <c r="CM152" s="171">
        <f t="shared" si="117"/>
        <v>0</v>
      </c>
      <c r="CN152" s="171">
        <f t="shared" si="117"/>
        <v>0</v>
      </c>
      <c r="CO152" s="171">
        <f t="shared" si="117"/>
        <v>0</v>
      </c>
      <c r="CP152" s="171">
        <f t="shared" si="117"/>
        <v>0</v>
      </c>
      <c r="CQ152" s="171">
        <f t="shared" si="117"/>
        <v>0</v>
      </c>
      <c r="CR152" s="171">
        <f t="shared" si="117"/>
        <v>0</v>
      </c>
      <c r="CS152" s="172">
        <f t="shared" si="117"/>
        <v>0</v>
      </c>
      <c r="CT152" s="85" t="s">
        <v>54</v>
      </c>
    </row>
    <row r="153" spans="1:98" hidden="1" x14ac:dyDescent="0.25">
      <c r="A153" s="97">
        <v>0</v>
      </c>
      <c r="B153" s="90">
        <f t="shared" si="108"/>
        <v>1999</v>
      </c>
      <c r="C153" s="101"/>
      <c r="D153" s="171">
        <f t="shared" ref="D153:AI153" si="118">IF(D126="",1,0)*IF(D99="",1,0)*SUM(D45)*IF(D72="",0,1)</f>
        <v>0</v>
      </c>
      <c r="E153" s="171">
        <f t="shared" si="118"/>
        <v>0</v>
      </c>
      <c r="F153" s="171">
        <f t="shared" si="118"/>
        <v>0</v>
      </c>
      <c r="G153" s="171">
        <f t="shared" si="118"/>
        <v>0</v>
      </c>
      <c r="H153" s="171">
        <f t="shared" si="118"/>
        <v>0</v>
      </c>
      <c r="I153" s="171">
        <f t="shared" si="118"/>
        <v>0</v>
      </c>
      <c r="J153" s="171">
        <f t="shared" si="118"/>
        <v>0</v>
      </c>
      <c r="K153" s="171">
        <f t="shared" si="118"/>
        <v>0</v>
      </c>
      <c r="L153" s="171">
        <f t="shared" si="118"/>
        <v>0</v>
      </c>
      <c r="M153" s="171">
        <f t="shared" si="118"/>
        <v>0</v>
      </c>
      <c r="N153" s="171">
        <f t="shared" si="118"/>
        <v>0</v>
      </c>
      <c r="O153" s="171">
        <f t="shared" si="118"/>
        <v>0</v>
      </c>
      <c r="P153" s="171">
        <f t="shared" si="118"/>
        <v>0</v>
      </c>
      <c r="Q153" s="171">
        <f t="shared" si="118"/>
        <v>0</v>
      </c>
      <c r="R153" s="171">
        <f t="shared" si="118"/>
        <v>0</v>
      </c>
      <c r="S153" s="171">
        <f t="shared" si="118"/>
        <v>0</v>
      </c>
      <c r="T153" s="171">
        <f t="shared" si="118"/>
        <v>0</v>
      </c>
      <c r="U153" s="171">
        <f t="shared" si="118"/>
        <v>0</v>
      </c>
      <c r="V153" s="171">
        <f t="shared" si="118"/>
        <v>0</v>
      </c>
      <c r="W153" s="171">
        <f t="shared" si="118"/>
        <v>0</v>
      </c>
      <c r="X153" s="171">
        <f t="shared" si="118"/>
        <v>0</v>
      </c>
      <c r="Y153" s="171">
        <f t="shared" si="118"/>
        <v>0</v>
      </c>
      <c r="Z153" s="171">
        <f t="shared" si="118"/>
        <v>0</v>
      </c>
      <c r="AA153" s="171">
        <f t="shared" si="118"/>
        <v>0</v>
      </c>
      <c r="AB153" s="171">
        <f t="shared" si="118"/>
        <v>0</v>
      </c>
      <c r="AC153" s="171">
        <f t="shared" si="118"/>
        <v>0</v>
      </c>
      <c r="AD153" s="171">
        <f t="shared" si="118"/>
        <v>0</v>
      </c>
      <c r="AE153" s="171">
        <f t="shared" si="118"/>
        <v>0</v>
      </c>
      <c r="AF153" s="171">
        <f t="shared" si="118"/>
        <v>0</v>
      </c>
      <c r="AG153" s="171">
        <f t="shared" si="118"/>
        <v>0</v>
      </c>
      <c r="AH153" s="171">
        <f t="shared" si="118"/>
        <v>0</v>
      </c>
      <c r="AI153" s="171">
        <f t="shared" si="118"/>
        <v>0</v>
      </c>
      <c r="AJ153" s="171">
        <f t="shared" ref="AJ153:BO153" si="119">IF(AJ126="",1,0)*IF(AJ99="",1,0)*SUM(AJ45)*IF(AJ72="",0,1)</f>
        <v>0</v>
      </c>
      <c r="AK153" s="171">
        <f t="shared" si="119"/>
        <v>0</v>
      </c>
      <c r="AL153" s="171">
        <f t="shared" si="119"/>
        <v>0</v>
      </c>
      <c r="AM153" s="171">
        <f t="shared" si="119"/>
        <v>0</v>
      </c>
      <c r="AN153" s="171">
        <f t="shared" si="119"/>
        <v>0</v>
      </c>
      <c r="AO153" s="171">
        <f t="shared" si="119"/>
        <v>0</v>
      </c>
      <c r="AP153" s="171">
        <f t="shared" si="119"/>
        <v>0</v>
      </c>
      <c r="AQ153" s="171">
        <f t="shared" si="119"/>
        <v>0</v>
      </c>
      <c r="AR153" s="171">
        <f t="shared" si="119"/>
        <v>0</v>
      </c>
      <c r="AS153" s="171">
        <f t="shared" si="119"/>
        <v>0</v>
      </c>
      <c r="AT153" s="171">
        <f t="shared" si="119"/>
        <v>0</v>
      </c>
      <c r="AU153" s="171">
        <f t="shared" si="119"/>
        <v>0</v>
      </c>
      <c r="AV153" s="171">
        <f t="shared" si="119"/>
        <v>0</v>
      </c>
      <c r="AW153" s="171">
        <f t="shared" si="119"/>
        <v>0</v>
      </c>
      <c r="AX153" s="171">
        <f t="shared" si="119"/>
        <v>0</v>
      </c>
      <c r="AY153" s="171">
        <f t="shared" si="119"/>
        <v>0</v>
      </c>
      <c r="AZ153" s="171">
        <f t="shared" si="119"/>
        <v>0</v>
      </c>
      <c r="BA153" s="171">
        <f t="shared" si="119"/>
        <v>0</v>
      </c>
      <c r="BB153" s="171">
        <f t="shared" si="119"/>
        <v>0</v>
      </c>
      <c r="BC153" s="171">
        <f t="shared" si="119"/>
        <v>0</v>
      </c>
      <c r="BD153" s="171">
        <f t="shared" si="119"/>
        <v>0</v>
      </c>
      <c r="BE153" s="171">
        <f t="shared" si="119"/>
        <v>0</v>
      </c>
      <c r="BF153" s="171">
        <f t="shared" si="119"/>
        <v>0</v>
      </c>
      <c r="BG153" s="171">
        <f t="shared" si="119"/>
        <v>0</v>
      </c>
      <c r="BH153" s="171">
        <f t="shared" si="119"/>
        <v>0</v>
      </c>
      <c r="BI153" s="171">
        <f t="shared" si="119"/>
        <v>0</v>
      </c>
      <c r="BJ153" s="171">
        <f t="shared" si="119"/>
        <v>0</v>
      </c>
      <c r="BK153" s="171">
        <f t="shared" si="119"/>
        <v>0</v>
      </c>
      <c r="BL153" s="171">
        <f t="shared" si="119"/>
        <v>0</v>
      </c>
      <c r="BM153" s="171">
        <f t="shared" si="119"/>
        <v>0</v>
      </c>
      <c r="BN153" s="171">
        <f t="shared" si="119"/>
        <v>0</v>
      </c>
      <c r="BO153" s="171">
        <f t="shared" si="119"/>
        <v>0</v>
      </c>
      <c r="BP153" s="171">
        <f t="shared" ref="BP153:CS153" si="120">IF(BP126="",1,0)*IF(BP99="",1,0)*SUM(BP45)*IF(BP72="",0,1)</f>
        <v>0</v>
      </c>
      <c r="BQ153" s="171">
        <f t="shared" si="120"/>
        <v>0</v>
      </c>
      <c r="BR153" s="171">
        <f t="shared" si="120"/>
        <v>0</v>
      </c>
      <c r="BS153" s="171">
        <f t="shared" si="120"/>
        <v>0</v>
      </c>
      <c r="BT153" s="171">
        <f t="shared" si="120"/>
        <v>0</v>
      </c>
      <c r="BU153" s="171">
        <f t="shared" si="120"/>
        <v>0</v>
      </c>
      <c r="BV153" s="171">
        <f t="shared" si="120"/>
        <v>0</v>
      </c>
      <c r="BW153" s="171">
        <f t="shared" si="120"/>
        <v>0</v>
      </c>
      <c r="BX153" s="171">
        <f t="shared" si="120"/>
        <v>0</v>
      </c>
      <c r="BY153" s="171">
        <f t="shared" si="120"/>
        <v>0</v>
      </c>
      <c r="BZ153" s="171">
        <f t="shared" si="120"/>
        <v>0</v>
      </c>
      <c r="CA153" s="171">
        <f t="shared" si="120"/>
        <v>0</v>
      </c>
      <c r="CB153" s="171">
        <f t="shared" si="120"/>
        <v>0</v>
      </c>
      <c r="CC153" s="171">
        <f t="shared" si="120"/>
        <v>0</v>
      </c>
      <c r="CD153" s="171">
        <f t="shared" si="120"/>
        <v>0</v>
      </c>
      <c r="CE153" s="171">
        <f t="shared" si="120"/>
        <v>0</v>
      </c>
      <c r="CF153" s="171">
        <f t="shared" si="120"/>
        <v>0</v>
      </c>
      <c r="CG153" s="171">
        <f t="shared" si="120"/>
        <v>0</v>
      </c>
      <c r="CH153" s="171">
        <f t="shared" si="120"/>
        <v>0</v>
      </c>
      <c r="CI153" s="171">
        <f t="shared" si="120"/>
        <v>0</v>
      </c>
      <c r="CJ153" s="171">
        <f t="shared" si="120"/>
        <v>0</v>
      </c>
      <c r="CK153" s="171">
        <f t="shared" si="120"/>
        <v>0</v>
      </c>
      <c r="CL153" s="171">
        <f t="shared" si="120"/>
        <v>0</v>
      </c>
      <c r="CM153" s="171">
        <f t="shared" si="120"/>
        <v>0</v>
      </c>
      <c r="CN153" s="171">
        <f t="shared" si="120"/>
        <v>0</v>
      </c>
      <c r="CO153" s="171">
        <f t="shared" si="120"/>
        <v>0</v>
      </c>
      <c r="CP153" s="171">
        <f t="shared" si="120"/>
        <v>0</v>
      </c>
      <c r="CQ153" s="171">
        <f t="shared" si="120"/>
        <v>0</v>
      </c>
      <c r="CR153" s="171">
        <f t="shared" si="120"/>
        <v>0</v>
      </c>
      <c r="CS153" s="172">
        <f t="shared" si="120"/>
        <v>0</v>
      </c>
      <c r="CT153" s="85" t="s">
        <v>54</v>
      </c>
    </row>
    <row r="154" spans="1:98" hidden="1" x14ac:dyDescent="0.25">
      <c r="A154" s="97">
        <v>0</v>
      </c>
      <c r="B154" s="90">
        <f t="shared" si="108"/>
        <v>2000</v>
      </c>
      <c r="C154" s="101"/>
      <c r="D154" s="171">
        <f t="shared" ref="D154:AI154" si="121">IF(D127="",1,0)*IF(D100="",1,0)*SUM(D46)*IF(D73="",0,1)</f>
        <v>0</v>
      </c>
      <c r="E154" s="171">
        <f t="shared" si="121"/>
        <v>0</v>
      </c>
      <c r="F154" s="171">
        <f t="shared" si="121"/>
        <v>0</v>
      </c>
      <c r="G154" s="171">
        <f t="shared" si="121"/>
        <v>0</v>
      </c>
      <c r="H154" s="171">
        <f t="shared" si="121"/>
        <v>0</v>
      </c>
      <c r="I154" s="171">
        <f t="shared" si="121"/>
        <v>0</v>
      </c>
      <c r="J154" s="171">
        <f t="shared" si="121"/>
        <v>0</v>
      </c>
      <c r="K154" s="171">
        <f t="shared" si="121"/>
        <v>0</v>
      </c>
      <c r="L154" s="171">
        <f t="shared" si="121"/>
        <v>0</v>
      </c>
      <c r="M154" s="171">
        <f t="shared" si="121"/>
        <v>0</v>
      </c>
      <c r="N154" s="171">
        <f t="shared" si="121"/>
        <v>0</v>
      </c>
      <c r="O154" s="171">
        <f t="shared" si="121"/>
        <v>0</v>
      </c>
      <c r="P154" s="171">
        <f t="shared" si="121"/>
        <v>0</v>
      </c>
      <c r="Q154" s="171">
        <f t="shared" si="121"/>
        <v>0</v>
      </c>
      <c r="R154" s="171">
        <f t="shared" si="121"/>
        <v>0</v>
      </c>
      <c r="S154" s="171">
        <f t="shared" si="121"/>
        <v>0</v>
      </c>
      <c r="T154" s="171">
        <f t="shared" si="121"/>
        <v>0</v>
      </c>
      <c r="U154" s="171">
        <f t="shared" si="121"/>
        <v>0</v>
      </c>
      <c r="V154" s="171">
        <f t="shared" si="121"/>
        <v>0</v>
      </c>
      <c r="W154" s="171">
        <f t="shared" si="121"/>
        <v>0</v>
      </c>
      <c r="X154" s="171">
        <f t="shared" si="121"/>
        <v>0</v>
      </c>
      <c r="Y154" s="171">
        <f t="shared" si="121"/>
        <v>0</v>
      </c>
      <c r="Z154" s="171">
        <f t="shared" si="121"/>
        <v>0</v>
      </c>
      <c r="AA154" s="171">
        <f t="shared" si="121"/>
        <v>0</v>
      </c>
      <c r="AB154" s="171">
        <f t="shared" si="121"/>
        <v>0</v>
      </c>
      <c r="AC154" s="171">
        <f t="shared" si="121"/>
        <v>0</v>
      </c>
      <c r="AD154" s="171">
        <f t="shared" si="121"/>
        <v>0</v>
      </c>
      <c r="AE154" s="171">
        <f t="shared" si="121"/>
        <v>0</v>
      </c>
      <c r="AF154" s="171">
        <f t="shared" si="121"/>
        <v>0</v>
      </c>
      <c r="AG154" s="171">
        <f t="shared" si="121"/>
        <v>0</v>
      </c>
      <c r="AH154" s="171">
        <f t="shared" si="121"/>
        <v>0</v>
      </c>
      <c r="AI154" s="171">
        <f t="shared" si="121"/>
        <v>0</v>
      </c>
      <c r="AJ154" s="171">
        <f t="shared" ref="AJ154:BO154" si="122">IF(AJ127="",1,0)*IF(AJ100="",1,0)*SUM(AJ46)*IF(AJ73="",0,1)</f>
        <v>0</v>
      </c>
      <c r="AK154" s="171">
        <f t="shared" si="122"/>
        <v>0</v>
      </c>
      <c r="AL154" s="171">
        <f t="shared" si="122"/>
        <v>0</v>
      </c>
      <c r="AM154" s="171">
        <f t="shared" si="122"/>
        <v>0</v>
      </c>
      <c r="AN154" s="171">
        <f t="shared" si="122"/>
        <v>0</v>
      </c>
      <c r="AO154" s="171">
        <f t="shared" si="122"/>
        <v>0</v>
      </c>
      <c r="AP154" s="171">
        <f t="shared" si="122"/>
        <v>0</v>
      </c>
      <c r="AQ154" s="171">
        <f t="shared" si="122"/>
        <v>0</v>
      </c>
      <c r="AR154" s="171">
        <f t="shared" si="122"/>
        <v>0</v>
      </c>
      <c r="AS154" s="171">
        <f t="shared" si="122"/>
        <v>0</v>
      </c>
      <c r="AT154" s="171">
        <f t="shared" si="122"/>
        <v>0</v>
      </c>
      <c r="AU154" s="171">
        <f t="shared" si="122"/>
        <v>0</v>
      </c>
      <c r="AV154" s="171">
        <f t="shared" si="122"/>
        <v>0</v>
      </c>
      <c r="AW154" s="171">
        <f t="shared" si="122"/>
        <v>0</v>
      </c>
      <c r="AX154" s="171">
        <f t="shared" si="122"/>
        <v>0</v>
      </c>
      <c r="AY154" s="171">
        <f t="shared" si="122"/>
        <v>0</v>
      </c>
      <c r="AZ154" s="171">
        <f t="shared" si="122"/>
        <v>0</v>
      </c>
      <c r="BA154" s="171">
        <f t="shared" si="122"/>
        <v>0</v>
      </c>
      <c r="BB154" s="171">
        <f t="shared" si="122"/>
        <v>0</v>
      </c>
      <c r="BC154" s="171">
        <f t="shared" si="122"/>
        <v>0</v>
      </c>
      <c r="BD154" s="171">
        <f t="shared" si="122"/>
        <v>0</v>
      </c>
      <c r="BE154" s="171">
        <f t="shared" si="122"/>
        <v>0</v>
      </c>
      <c r="BF154" s="171">
        <f t="shared" si="122"/>
        <v>0</v>
      </c>
      <c r="BG154" s="171">
        <f t="shared" si="122"/>
        <v>0</v>
      </c>
      <c r="BH154" s="171">
        <f t="shared" si="122"/>
        <v>0</v>
      </c>
      <c r="BI154" s="171">
        <f t="shared" si="122"/>
        <v>0</v>
      </c>
      <c r="BJ154" s="171">
        <f t="shared" si="122"/>
        <v>0</v>
      </c>
      <c r="BK154" s="171">
        <f t="shared" si="122"/>
        <v>0</v>
      </c>
      <c r="BL154" s="171">
        <f t="shared" si="122"/>
        <v>0</v>
      </c>
      <c r="BM154" s="171">
        <f t="shared" si="122"/>
        <v>0</v>
      </c>
      <c r="BN154" s="171">
        <f t="shared" si="122"/>
        <v>0</v>
      </c>
      <c r="BO154" s="171">
        <f t="shared" si="122"/>
        <v>0</v>
      </c>
      <c r="BP154" s="171">
        <f t="shared" ref="BP154:CS154" si="123">IF(BP127="",1,0)*IF(BP100="",1,0)*SUM(BP46)*IF(BP73="",0,1)</f>
        <v>0</v>
      </c>
      <c r="BQ154" s="171">
        <f t="shared" si="123"/>
        <v>0</v>
      </c>
      <c r="BR154" s="171">
        <f t="shared" si="123"/>
        <v>0</v>
      </c>
      <c r="BS154" s="171">
        <f t="shared" si="123"/>
        <v>0</v>
      </c>
      <c r="BT154" s="171">
        <f t="shared" si="123"/>
        <v>0</v>
      </c>
      <c r="BU154" s="171">
        <f t="shared" si="123"/>
        <v>0</v>
      </c>
      <c r="BV154" s="171">
        <f t="shared" si="123"/>
        <v>0</v>
      </c>
      <c r="BW154" s="171">
        <f t="shared" si="123"/>
        <v>0</v>
      </c>
      <c r="BX154" s="171">
        <f t="shared" si="123"/>
        <v>0</v>
      </c>
      <c r="BY154" s="171">
        <f t="shared" si="123"/>
        <v>0</v>
      </c>
      <c r="BZ154" s="171">
        <f t="shared" si="123"/>
        <v>0</v>
      </c>
      <c r="CA154" s="171">
        <f t="shared" si="123"/>
        <v>0</v>
      </c>
      <c r="CB154" s="171">
        <f t="shared" si="123"/>
        <v>0</v>
      </c>
      <c r="CC154" s="171">
        <f t="shared" si="123"/>
        <v>0</v>
      </c>
      <c r="CD154" s="171">
        <f t="shared" si="123"/>
        <v>0</v>
      </c>
      <c r="CE154" s="171">
        <f t="shared" si="123"/>
        <v>0</v>
      </c>
      <c r="CF154" s="171">
        <f t="shared" si="123"/>
        <v>0</v>
      </c>
      <c r="CG154" s="171">
        <f t="shared" si="123"/>
        <v>0</v>
      </c>
      <c r="CH154" s="171">
        <f t="shared" si="123"/>
        <v>0</v>
      </c>
      <c r="CI154" s="171">
        <f t="shared" si="123"/>
        <v>0</v>
      </c>
      <c r="CJ154" s="171">
        <f t="shared" si="123"/>
        <v>0</v>
      </c>
      <c r="CK154" s="171">
        <f t="shared" si="123"/>
        <v>0</v>
      </c>
      <c r="CL154" s="171">
        <f t="shared" si="123"/>
        <v>0</v>
      </c>
      <c r="CM154" s="171">
        <f t="shared" si="123"/>
        <v>0</v>
      </c>
      <c r="CN154" s="171">
        <f t="shared" si="123"/>
        <v>0</v>
      </c>
      <c r="CO154" s="171">
        <f t="shared" si="123"/>
        <v>0</v>
      </c>
      <c r="CP154" s="171">
        <f t="shared" si="123"/>
        <v>0</v>
      </c>
      <c r="CQ154" s="171">
        <f t="shared" si="123"/>
        <v>0</v>
      </c>
      <c r="CR154" s="171">
        <f t="shared" si="123"/>
        <v>0</v>
      </c>
      <c r="CS154" s="172">
        <f t="shared" si="123"/>
        <v>0</v>
      </c>
      <c r="CT154" s="85" t="s">
        <v>54</v>
      </c>
    </row>
    <row r="155" spans="1:98" hidden="1" x14ac:dyDescent="0.25">
      <c r="A155" s="97">
        <v>0</v>
      </c>
      <c r="B155" s="90">
        <f t="shared" si="108"/>
        <v>2001</v>
      </c>
      <c r="C155" s="101"/>
      <c r="D155" s="171">
        <f t="shared" ref="D155:AI155" si="124">IF(D128="",1,0)*IF(D101="",1,0)*SUM(D47)*IF(D74="",0,1)</f>
        <v>0</v>
      </c>
      <c r="E155" s="171">
        <f t="shared" si="124"/>
        <v>0</v>
      </c>
      <c r="F155" s="171">
        <f t="shared" si="124"/>
        <v>0</v>
      </c>
      <c r="G155" s="171">
        <f t="shared" si="124"/>
        <v>0</v>
      </c>
      <c r="H155" s="171">
        <f t="shared" si="124"/>
        <v>0</v>
      </c>
      <c r="I155" s="171">
        <f t="shared" si="124"/>
        <v>0</v>
      </c>
      <c r="J155" s="171">
        <f t="shared" si="124"/>
        <v>0</v>
      </c>
      <c r="K155" s="171">
        <f t="shared" si="124"/>
        <v>0</v>
      </c>
      <c r="L155" s="171">
        <f t="shared" si="124"/>
        <v>0</v>
      </c>
      <c r="M155" s="171">
        <f t="shared" si="124"/>
        <v>0</v>
      </c>
      <c r="N155" s="171">
        <f t="shared" si="124"/>
        <v>0</v>
      </c>
      <c r="O155" s="171">
        <f t="shared" si="124"/>
        <v>0</v>
      </c>
      <c r="P155" s="171">
        <f t="shared" si="124"/>
        <v>0</v>
      </c>
      <c r="Q155" s="171">
        <f t="shared" si="124"/>
        <v>0</v>
      </c>
      <c r="R155" s="171">
        <f t="shared" si="124"/>
        <v>0</v>
      </c>
      <c r="S155" s="171">
        <f t="shared" si="124"/>
        <v>0</v>
      </c>
      <c r="T155" s="171">
        <f t="shared" si="124"/>
        <v>0</v>
      </c>
      <c r="U155" s="171">
        <f t="shared" si="124"/>
        <v>0</v>
      </c>
      <c r="V155" s="171">
        <f t="shared" si="124"/>
        <v>0</v>
      </c>
      <c r="W155" s="171">
        <f t="shared" si="124"/>
        <v>0</v>
      </c>
      <c r="X155" s="171">
        <f t="shared" si="124"/>
        <v>0</v>
      </c>
      <c r="Y155" s="171">
        <f t="shared" si="124"/>
        <v>0</v>
      </c>
      <c r="Z155" s="171">
        <f t="shared" si="124"/>
        <v>0</v>
      </c>
      <c r="AA155" s="171">
        <f t="shared" si="124"/>
        <v>0</v>
      </c>
      <c r="AB155" s="171">
        <f t="shared" si="124"/>
        <v>0</v>
      </c>
      <c r="AC155" s="171">
        <f t="shared" si="124"/>
        <v>0</v>
      </c>
      <c r="AD155" s="171">
        <f t="shared" si="124"/>
        <v>0</v>
      </c>
      <c r="AE155" s="171">
        <f t="shared" si="124"/>
        <v>0</v>
      </c>
      <c r="AF155" s="171">
        <f t="shared" si="124"/>
        <v>0</v>
      </c>
      <c r="AG155" s="171">
        <f t="shared" si="124"/>
        <v>0</v>
      </c>
      <c r="AH155" s="171">
        <f t="shared" si="124"/>
        <v>0</v>
      </c>
      <c r="AI155" s="171">
        <f t="shared" si="124"/>
        <v>0</v>
      </c>
      <c r="AJ155" s="171">
        <f t="shared" ref="AJ155:BO155" si="125">IF(AJ128="",1,0)*IF(AJ101="",1,0)*SUM(AJ47)*IF(AJ74="",0,1)</f>
        <v>0</v>
      </c>
      <c r="AK155" s="171">
        <f t="shared" si="125"/>
        <v>0</v>
      </c>
      <c r="AL155" s="171">
        <f t="shared" si="125"/>
        <v>0</v>
      </c>
      <c r="AM155" s="171">
        <f t="shared" si="125"/>
        <v>0</v>
      </c>
      <c r="AN155" s="171">
        <f t="shared" si="125"/>
        <v>0</v>
      </c>
      <c r="AO155" s="171">
        <f t="shared" si="125"/>
        <v>0</v>
      </c>
      <c r="AP155" s="171">
        <f t="shared" si="125"/>
        <v>0</v>
      </c>
      <c r="AQ155" s="171">
        <f t="shared" si="125"/>
        <v>0</v>
      </c>
      <c r="AR155" s="171">
        <f t="shared" si="125"/>
        <v>0</v>
      </c>
      <c r="AS155" s="171">
        <f t="shared" si="125"/>
        <v>0</v>
      </c>
      <c r="AT155" s="171">
        <f t="shared" si="125"/>
        <v>0</v>
      </c>
      <c r="AU155" s="171">
        <f t="shared" si="125"/>
        <v>0</v>
      </c>
      <c r="AV155" s="171">
        <f t="shared" si="125"/>
        <v>0</v>
      </c>
      <c r="AW155" s="171">
        <f t="shared" si="125"/>
        <v>0</v>
      </c>
      <c r="AX155" s="171">
        <f t="shared" si="125"/>
        <v>0</v>
      </c>
      <c r="AY155" s="171">
        <f t="shared" si="125"/>
        <v>0</v>
      </c>
      <c r="AZ155" s="171">
        <f t="shared" si="125"/>
        <v>0</v>
      </c>
      <c r="BA155" s="171">
        <f t="shared" si="125"/>
        <v>0</v>
      </c>
      <c r="BB155" s="171">
        <f t="shared" si="125"/>
        <v>0</v>
      </c>
      <c r="BC155" s="171">
        <f t="shared" si="125"/>
        <v>0</v>
      </c>
      <c r="BD155" s="171">
        <f t="shared" si="125"/>
        <v>0</v>
      </c>
      <c r="BE155" s="171">
        <f t="shared" si="125"/>
        <v>0</v>
      </c>
      <c r="BF155" s="171">
        <f t="shared" si="125"/>
        <v>0</v>
      </c>
      <c r="BG155" s="171">
        <f t="shared" si="125"/>
        <v>0</v>
      </c>
      <c r="BH155" s="171">
        <f t="shared" si="125"/>
        <v>0</v>
      </c>
      <c r="BI155" s="171">
        <f t="shared" si="125"/>
        <v>0</v>
      </c>
      <c r="BJ155" s="171">
        <f t="shared" si="125"/>
        <v>0</v>
      </c>
      <c r="BK155" s="171">
        <f t="shared" si="125"/>
        <v>0</v>
      </c>
      <c r="BL155" s="171">
        <f t="shared" si="125"/>
        <v>0</v>
      </c>
      <c r="BM155" s="171">
        <f t="shared" si="125"/>
        <v>0</v>
      </c>
      <c r="BN155" s="171">
        <f t="shared" si="125"/>
        <v>0</v>
      </c>
      <c r="BO155" s="171">
        <f t="shared" si="125"/>
        <v>0</v>
      </c>
      <c r="BP155" s="171">
        <f t="shared" ref="BP155:CS155" si="126">IF(BP128="",1,0)*IF(BP101="",1,0)*SUM(BP47)*IF(BP74="",0,1)</f>
        <v>0</v>
      </c>
      <c r="BQ155" s="171">
        <f t="shared" si="126"/>
        <v>0</v>
      </c>
      <c r="BR155" s="171">
        <f t="shared" si="126"/>
        <v>0</v>
      </c>
      <c r="BS155" s="171">
        <f t="shared" si="126"/>
        <v>0</v>
      </c>
      <c r="BT155" s="171">
        <f t="shared" si="126"/>
        <v>0</v>
      </c>
      <c r="BU155" s="171">
        <f t="shared" si="126"/>
        <v>0</v>
      </c>
      <c r="BV155" s="171">
        <f t="shared" si="126"/>
        <v>0</v>
      </c>
      <c r="BW155" s="171">
        <f t="shared" si="126"/>
        <v>0</v>
      </c>
      <c r="BX155" s="171">
        <f t="shared" si="126"/>
        <v>0</v>
      </c>
      <c r="BY155" s="171">
        <f t="shared" si="126"/>
        <v>0</v>
      </c>
      <c r="BZ155" s="171">
        <f t="shared" si="126"/>
        <v>0</v>
      </c>
      <c r="CA155" s="171">
        <f t="shared" si="126"/>
        <v>0</v>
      </c>
      <c r="CB155" s="171">
        <f t="shared" si="126"/>
        <v>0</v>
      </c>
      <c r="CC155" s="171">
        <f t="shared" si="126"/>
        <v>0</v>
      </c>
      <c r="CD155" s="171">
        <f t="shared" si="126"/>
        <v>0</v>
      </c>
      <c r="CE155" s="171">
        <f t="shared" si="126"/>
        <v>0</v>
      </c>
      <c r="CF155" s="171">
        <f t="shared" si="126"/>
        <v>0</v>
      </c>
      <c r="CG155" s="171">
        <f t="shared" si="126"/>
        <v>0</v>
      </c>
      <c r="CH155" s="171">
        <f t="shared" si="126"/>
        <v>0</v>
      </c>
      <c r="CI155" s="171">
        <f t="shared" si="126"/>
        <v>0</v>
      </c>
      <c r="CJ155" s="171">
        <f t="shared" si="126"/>
        <v>0</v>
      </c>
      <c r="CK155" s="171">
        <f t="shared" si="126"/>
        <v>0</v>
      </c>
      <c r="CL155" s="171">
        <f t="shared" si="126"/>
        <v>0</v>
      </c>
      <c r="CM155" s="171">
        <f t="shared" si="126"/>
        <v>0</v>
      </c>
      <c r="CN155" s="171">
        <f t="shared" si="126"/>
        <v>0</v>
      </c>
      <c r="CO155" s="171">
        <f t="shared" si="126"/>
        <v>0</v>
      </c>
      <c r="CP155" s="171">
        <f t="shared" si="126"/>
        <v>0</v>
      </c>
      <c r="CQ155" s="171">
        <f t="shared" si="126"/>
        <v>0</v>
      </c>
      <c r="CR155" s="171">
        <f t="shared" si="126"/>
        <v>0</v>
      </c>
      <c r="CS155" s="172">
        <f t="shared" si="126"/>
        <v>0</v>
      </c>
      <c r="CT155" s="85" t="s">
        <v>54</v>
      </c>
    </row>
    <row r="156" spans="1:98" hidden="1" x14ac:dyDescent="0.25">
      <c r="A156" s="97">
        <v>0</v>
      </c>
      <c r="B156" s="90">
        <f t="shared" si="108"/>
        <v>2002</v>
      </c>
      <c r="C156" s="101"/>
      <c r="D156" s="171">
        <f t="shared" ref="D156:AI156" si="127">IF(D129="",1,0)*IF(D102="",1,0)*SUM(D48)*IF(D75="",0,1)</f>
        <v>0</v>
      </c>
      <c r="E156" s="171">
        <f t="shared" si="127"/>
        <v>0</v>
      </c>
      <c r="F156" s="171">
        <f t="shared" si="127"/>
        <v>0</v>
      </c>
      <c r="G156" s="171">
        <f t="shared" si="127"/>
        <v>0</v>
      </c>
      <c r="H156" s="171">
        <f t="shared" si="127"/>
        <v>0</v>
      </c>
      <c r="I156" s="171">
        <f t="shared" si="127"/>
        <v>0</v>
      </c>
      <c r="J156" s="171">
        <f t="shared" si="127"/>
        <v>0</v>
      </c>
      <c r="K156" s="171">
        <f t="shared" si="127"/>
        <v>0</v>
      </c>
      <c r="L156" s="171">
        <f t="shared" si="127"/>
        <v>0</v>
      </c>
      <c r="M156" s="171">
        <f t="shared" si="127"/>
        <v>0</v>
      </c>
      <c r="N156" s="171">
        <f t="shared" si="127"/>
        <v>0</v>
      </c>
      <c r="O156" s="171">
        <f t="shared" si="127"/>
        <v>0</v>
      </c>
      <c r="P156" s="171">
        <f t="shared" si="127"/>
        <v>0</v>
      </c>
      <c r="Q156" s="171">
        <f t="shared" si="127"/>
        <v>0</v>
      </c>
      <c r="R156" s="171">
        <f t="shared" si="127"/>
        <v>0</v>
      </c>
      <c r="S156" s="171">
        <f t="shared" si="127"/>
        <v>0</v>
      </c>
      <c r="T156" s="171">
        <f t="shared" si="127"/>
        <v>0</v>
      </c>
      <c r="U156" s="171">
        <f t="shared" si="127"/>
        <v>0</v>
      </c>
      <c r="V156" s="171">
        <f t="shared" si="127"/>
        <v>0</v>
      </c>
      <c r="W156" s="171">
        <f t="shared" si="127"/>
        <v>0</v>
      </c>
      <c r="X156" s="171">
        <f t="shared" si="127"/>
        <v>0</v>
      </c>
      <c r="Y156" s="171">
        <f t="shared" si="127"/>
        <v>0</v>
      </c>
      <c r="Z156" s="171">
        <f t="shared" si="127"/>
        <v>0</v>
      </c>
      <c r="AA156" s="171">
        <f t="shared" si="127"/>
        <v>0</v>
      </c>
      <c r="AB156" s="171">
        <f t="shared" si="127"/>
        <v>0</v>
      </c>
      <c r="AC156" s="171">
        <f t="shared" si="127"/>
        <v>0</v>
      </c>
      <c r="AD156" s="171">
        <f t="shared" si="127"/>
        <v>0</v>
      </c>
      <c r="AE156" s="171">
        <f t="shared" si="127"/>
        <v>0</v>
      </c>
      <c r="AF156" s="171">
        <f t="shared" si="127"/>
        <v>0</v>
      </c>
      <c r="AG156" s="171">
        <f t="shared" si="127"/>
        <v>0</v>
      </c>
      <c r="AH156" s="171">
        <f t="shared" si="127"/>
        <v>0</v>
      </c>
      <c r="AI156" s="171">
        <f t="shared" si="127"/>
        <v>0</v>
      </c>
      <c r="AJ156" s="171">
        <f t="shared" ref="AJ156:BO156" si="128">IF(AJ129="",1,0)*IF(AJ102="",1,0)*SUM(AJ48)*IF(AJ75="",0,1)</f>
        <v>0</v>
      </c>
      <c r="AK156" s="171">
        <f t="shared" si="128"/>
        <v>0</v>
      </c>
      <c r="AL156" s="171">
        <f t="shared" si="128"/>
        <v>0</v>
      </c>
      <c r="AM156" s="171">
        <f t="shared" si="128"/>
        <v>0</v>
      </c>
      <c r="AN156" s="171">
        <f t="shared" si="128"/>
        <v>0</v>
      </c>
      <c r="AO156" s="171">
        <f t="shared" si="128"/>
        <v>0</v>
      </c>
      <c r="AP156" s="171">
        <f t="shared" si="128"/>
        <v>0</v>
      </c>
      <c r="AQ156" s="171">
        <f t="shared" si="128"/>
        <v>0</v>
      </c>
      <c r="AR156" s="171">
        <f t="shared" si="128"/>
        <v>0</v>
      </c>
      <c r="AS156" s="171">
        <f t="shared" si="128"/>
        <v>0</v>
      </c>
      <c r="AT156" s="171">
        <f t="shared" si="128"/>
        <v>0</v>
      </c>
      <c r="AU156" s="171">
        <f t="shared" si="128"/>
        <v>0</v>
      </c>
      <c r="AV156" s="171">
        <f t="shared" si="128"/>
        <v>0</v>
      </c>
      <c r="AW156" s="171">
        <f t="shared" si="128"/>
        <v>0</v>
      </c>
      <c r="AX156" s="171">
        <f t="shared" si="128"/>
        <v>0</v>
      </c>
      <c r="AY156" s="171">
        <f t="shared" si="128"/>
        <v>0</v>
      </c>
      <c r="AZ156" s="171">
        <f t="shared" si="128"/>
        <v>0</v>
      </c>
      <c r="BA156" s="171">
        <f t="shared" si="128"/>
        <v>0</v>
      </c>
      <c r="BB156" s="171">
        <f t="shared" si="128"/>
        <v>0</v>
      </c>
      <c r="BC156" s="171">
        <f t="shared" si="128"/>
        <v>0</v>
      </c>
      <c r="BD156" s="171">
        <f t="shared" si="128"/>
        <v>0</v>
      </c>
      <c r="BE156" s="171">
        <f t="shared" si="128"/>
        <v>0</v>
      </c>
      <c r="BF156" s="171">
        <f t="shared" si="128"/>
        <v>0</v>
      </c>
      <c r="BG156" s="171">
        <f t="shared" si="128"/>
        <v>0</v>
      </c>
      <c r="BH156" s="171">
        <f t="shared" si="128"/>
        <v>0</v>
      </c>
      <c r="BI156" s="171">
        <f t="shared" si="128"/>
        <v>0</v>
      </c>
      <c r="BJ156" s="171">
        <f t="shared" si="128"/>
        <v>0</v>
      </c>
      <c r="BK156" s="171">
        <f t="shared" si="128"/>
        <v>0</v>
      </c>
      <c r="BL156" s="171">
        <f t="shared" si="128"/>
        <v>0</v>
      </c>
      <c r="BM156" s="171">
        <f t="shared" si="128"/>
        <v>0</v>
      </c>
      <c r="BN156" s="171">
        <f t="shared" si="128"/>
        <v>0</v>
      </c>
      <c r="BO156" s="171">
        <f t="shared" si="128"/>
        <v>0</v>
      </c>
      <c r="BP156" s="171">
        <f t="shared" ref="BP156:CS156" si="129">IF(BP129="",1,0)*IF(BP102="",1,0)*SUM(BP48)*IF(BP75="",0,1)</f>
        <v>0</v>
      </c>
      <c r="BQ156" s="171">
        <f t="shared" si="129"/>
        <v>0</v>
      </c>
      <c r="BR156" s="171">
        <f t="shared" si="129"/>
        <v>0</v>
      </c>
      <c r="BS156" s="171">
        <f t="shared" si="129"/>
        <v>0</v>
      </c>
      <c r="BT156" s="171">
        <f t="shared" si="129"/>
        <v>0</v>
      </c>
      <c r="BU156" s="171">
        <f t="shared" si="129"/>
        <v>0</v>
      </c>
      <c r="BV156" s="171">
        <f t="shared" si="129"/>
        <v>0</v>
      </c>
      <c r="BW156" s="171">
        <f t="shared" si="129"/>
        <v>0</v>
      </c>
      <c r="BX156" s="171">
        <f t="shared" si="129"/>
        <v>0</v>
      </c>
      <c r="BY156" s="171">
        <f t="shared" si="129"/>
        <v>0</v>
      </c>
      <c r="BZ156" s="171">
        <f t="shared" si="129"/>
        <v>0</v>
      </c>
      <c r="CA156" s="171">
        <f t="shared" si="129"/>
        <v>0</v>
      </c>
      <c r="CB156" s="171">
        <f t="shared" si="129"/>
        <v>0</v>
      </c>
      <c r="CC156" s="171">
        <f t="shared" si="129"/>
        <v>0</v>
      </c>
      <c r="CD156" s="171">
        <f t="shared" si="129"/>
        <v>0</v>
      </c>
      <c r="CE156" s="171">
        <f t="shared" si="129"/>
        <v>0</v>
      </c>
      <c r="CF156" s="171">
        <f t="shared" si="129"/>
        <v>0</v>
      </c>
      <c r="CG156" s="171">
        <f t="shared" si="129"/>
        <v>0</v>
      </c>
      <c r="CH156" s="171">
        <f t="shared" si="129"/>
        <v>0</v>
      </c>
      <c r="CI156" s="171">
        <f t="shared" si="129"/>
        <v>0</v>
      </c>
      <c r="CJ156" s="171">
        <f t="shared" si="129"/>
        <v>0</v>
      </c>
      <c r="CK156" s="171">
        <f t="shared" si="129"/>
        <v>0</v>
      </c>
      <c r="CL156" s="171">
        <f t="shared" si="129"/>
        <v>0</v>
      </c>
      <c r="CM156" s="171">
        <f t="shared" si="129"/>
        <v>0</v>
      </c>
      <c r="CN156" s="171">
        <f t="shared" si="129"/>
        <v>0</v>
      </c>
      <c r="CO156" s="171">
        <f t="shared" si="129"/>
        <v>0</v>
      </c>
      <c r="CP156" s="171">
        <f t="shared" si="129"/>
        <v>0</v>
      </c>
      <c r="CQ156" s="171">
        <f t="shared" si="129"/>
        <v>0</v>
      </c>
      <c r="CR156" s="171">
        <f t="shared" si="129"/>
        <v>0</v>
      </c>
      <c r="CS156" s="172">
        <f t="shared" si="129"/>
        <v>0</v>
      </c>
      <c r="CT156" s="85" t="s">
        <v>54</v>
      </c>
    </row>
    <row r="157" spans="1:98" hidden="1" x14ac:dyDescent="0.25">
      <c r="A157" s="97">
        <v>0</v>
      </c>
      <c r="B157" s="90">
        <f t="shared" si="108"/>
        <v>2003</v>
      </c>
      <c r="C157" s="101"/>
      <c r="D157" s="171">
        <f t="shared" ref="D157:AI157" si="130">IF(D130="",1,0)*IF(D103="",1,0)*SUM(D49)*IF(D76="",0,1)</f>
        <v>0</v>
      </c>
      <c r="E157" s="171">
        <f t="shared" si="130"/>
        <v>0</v>
      </c>
      <c r="F157" s="171">
        <f t="shared" si="130"/>
        <v>0</v>
      </c>
      <c r="G157" s="171">
        <f t="shared" si="130"/>
        <v>0</v>
      </c>
      <c r="H157" s="171">
        <f t="shared" si="130"/>
        <v>0</v>
      </c>
      <c r="I157" s="171">
        <f t="shared" si="130"/>
        <v>0</v>
      </c>
      <c r="J157" s="171">
        <f t="shared" si="130"/>
        <v>0</v>
      </c>
      <c r="K157" s="171">
        <f t="shared" si="130"/>
        <v>0</v>
      </c>
      <c r="L157" s="171">
        <f t="shared" si="130"/>
        <v>0</v>
      </c>
      <c r="M157" s="171">
        <f t="shared" si="130"/>
        <v>0</v>
      </c>
      <c r="N157" s="171">
        <f t="shared" si="130"/>
        <v>0</v>
      </c>
      <c r="O157" s="171">
        <f t="shared" si="130"/>
        <v>0</v>
      </c>
      <c r="P157" s="171">
        <f t="shared" si="130"/>
        <v>0</v>
      </c>
      <c r="Q157" s="171">
        <f t="shared" si="130"/>
        <v>0</v>
      </c>
      <c r="R157" s="171">
        <f t="shared" si="130"/>
        <v>0</v>
      </c>
      <c r="S157" s="171">
        <f t="shared" si="130"/>
        <v>0</v>
      </c>
      <c r="T157" s="171">
        <f t="shared" si="130"/>
        <v>0</v>
      </c>
      <c r="U157" s="171">
        <f t="shared" si="130"/>
        <v>0</v>
      </c>
      <c r="V157" s="171">
        <f t="shared" si="130"/>
        <v>0</v>
      </c>
      <c r="W157" s="171">
        <f t="shared" si="130"/>
        <v>0</v>
      </c>
      <c r="X157" s="171">
        <f t="shared" si="130"/>
        <v>0</v>
      </c>
      <c r="Y157" s="171">
        <f t="shared" si="130"/>
        <v>0</v>
      </c>
      <c r="Z157" s="171">
        <f t="shared" si="130"/>
        <v>0</v>
      </c>
      <c r="AA157" s="171">
        <f t="shared" si="130"/>
        <v>0</v>
      </c>
      <c r="AB157" s="171">
        <f t="shared" si="130"/>
        <v>0</v>
      </c>
      <c r="AC157" s="171">
        <f t="shared" si="130"/>
        <v>0</v>
      </c>
      <c r="AD157" s="171">
        <f t="shared" si="130"/>
        <v>0</v>
      </c>
      <c r="AE157" s="171">
        <f t="shared" si="130"/>
        <v>0</v>
      </c>
      <c r="AF157" s="171">
        <f t="shared" si="130"/>
        <v>0</v>
      </c>
      <c r="AG157" s="171">
        <f t="shared" si="130"/>
        <v>0</v>
      </c>
      <c r="AH157" s="171">
        <f t="shared" si="130"/>
        <v>0</v>
      </c>
      <c r="AI157" s="171">
        <f t="shared" si="130"/>
        <v>0</v>
      </c>
      <c r="AJ157" s="171">
        <f t="shared" ref="AJ157:BO157" si="131">IF(AJ130="",1,0)*IF(AJ103="",1,0)*SUM(AJ49)*IF(AJ76="",0,1)</f>
        <v>0</v>
      </c>
      <c r="AK157" s="171">
        <f t="shared" si="131"/>
        <v>0</v>
      </c>
      <c r="AL157" s="171">
        <f t="shared" si="131"/>
        <v>0</v>
      </c>
      <c r="AM157" s="171">
        <f t="shared" si="131"/>
        <v>0</v>
      </c>
      <c r="AN157" s="171">
        <f t="shared" si="131"/>
        <v>0</v>
      </c>
      <c r="AO157" s="171">
        <f t="shared" si="131"/>
        <v>0</v>
      </c>
      <c r="AP157" s="171">
        <f t="shared" si="131"/>
        <v>0</v>
      </c>
      <c r="AQ157" s="171">
        <f t="shared" si="131"/>
        <v>0</v>
      </c>
      <c r="AR157" s="171">
        <f t="shared" si="131"/>
        <v>0</v>
      </c>
      <c r="AS157" s="171">
        <f t="shared" si="131"/>
        <v>0</v>
      </c>
      <c r="AT157" s="171">
        <f t="shared" si="131"/>
        <v>0</v>
      </c>
      <c r="AU157" s="171">
        <f t="shared" si="131"/>
        <v>0</v>
      </c>
      <c r="AV157" s="171">
        <f t="shared" si="131"/>
        <v>0</v>
      </c>
      <c r="AW157" s="171">
        <f t="shared" si="131"/>
        <v>0</v>
      </c>
      <c r="AX157" s="171">
        <f t="shared" si="131"/>
        <v>0</v>
      </c>
      <c r="AY157" s="171">
        <f t="shared" si="131"/>
        <v>0</v>
      </c>
      <c r="AZ157" s="171">
        <f t="shared" si="131"/>
        <v>0</v>
      </c>
      <c r="BA157" s="171">
        <f t="shared" si="131"/>
        <v>0</v>
      </c>
      <c r="BB157" s="171">
        <f t="shared" si="131"/>
        <v>0</v>
      </c>
      <c r="BC157" s="171">
        <f t="shared" si="131"/>
        <v>0</v>
      </c>
      <c r="BD157" s="171">
        <f t="shared" si="131"/>
        <v>0</v>
      </c>
      <c r="BE157" s="171">
        <f t="shared" si="131"/>
        <v>0</v>
      </c>
      <c r="BF157" s="171">
        <f t="shared" si="131"/>
        <v>0</v>
      </c>
      <c r="BG157" s="171">
        <f t="shared" si="131"/>
        <v>0</v>
      </c>
      <c r="BH157" s="171">
        <f t="shared" si="131"/>
        <v>0</v>
      </c>
      <c r="BI157" s="171">
        <f t="shared" si="131"/>
        <v>0</v>
      </c>
      <c r="BJ157" s="171">
        <f t="shared" si="131"/>
        <v>0</v>
      </c>
      <c r="BK157" s="171">
        <f t="shared" si="131"/>
        <v>0</v>
      </c>
      <c r="BL157" s="171">
        <f t="shared" si="131"/>
        <v>0</v>
      </c>
      <c r="BM157" s="171">
        <f t="shared" si="131"/>
        <v>0</v>
      </c>
      <c r="BN157" s="171">
        <f t="shared" si="131"/>
        <v>0</v>
      </c>
      <c r="BO157" s="171">
        <f t="shared" si="131"/>
        <v>0</v>
      </c>
      <c r="BP157" s="171">
        <f t="shared" ref="BP157:CS157" si="132">IF(BP130="",1,0)*IF(BP103="",1,0)*SUM(BP49)*IF(BP76="",0,1)</f>
        <v>0</v>
      </c>
      <c r="BQ157" s="171">
        <f t="shared" si="132"/>
        <v>0</v>
      </c>
      <c r="BR157" s="171">
        <f t="shared" si="132"/>
        <v>0</v>
      </c>
      <c r="BS157" s="171">
        <f t="shared" si="132"/>
        <v>0</v>
      </c>
      <c r="BT157" s="171">
        <f t="shared" si="132"/>
        <v>0</v>
      </c>
      <c r="BU157" s="171">
        <f t="shared" si="132"/>
        <v>0</v>
      </c>
      <c r="BV157" s="171">
        <f t="shared" si="132"/>
        <v>0</v>
      </c>
      <c r="BW157" s="171">
        <f t="shared" si="132"/>
        <v>0</v>
      </c>
      <c r="BX157" s="171">
        <f t="shared" si="132"/>
        <v>0</v>
      </c>
      <c r="BY157" s="171">
        <f t="shared" si="132"/>
        <v>0</v>
      </c>
      <c r="BZ157" s="171">
        <f t="shared" si="132"/>
        <v>0</v>
      </c>
      <c r="CA157" s="171">
        <f t="shared" si="132"/>
        <v>0</v>
      </c>
      <c r="CB157" s="171">
        <f t="shared" si="132"/>
        <v>0</v>
      </c>
      <c r="CC157" s="171">
        <f t="shared" si="132"/>
        <v>0</v>
      </c>
      <c r="CD157" s="171">
        <f t="shared" si="132"/>
        <v>0</v>
      </c>
      <c r="CE157" s="171">
        <f t="shared" si="132"/>
        <v>0</v>
      </c>
      <c r="CF157" s="171">
        <f t="shared" si="132"/>
        <v>0</v>
      </c>
      <c r="CG157" s="171">
        <f t="shared" si="132"/>
        <v>0</v>
      </c>
      <c r="CH157" s="171">
        <f t="shared" si="132"/>
        <v>0</v>
      </c>
      <c r="CI157" s="171">
        <f t="shared" si="132"/>
        <v>0</v>
      </c>
      <c r="CJ157" s="171">
        <f t="shared" si="132"/>
        <v>0</v>
      </c>
      <c r="CK157" s="171">
        <f t="shared" si="132"/>
        <v>0</v>
      </c>
      <c r="CL157" s="171">
        <f t="shared" si="132"/>
        <v>0</v>
      </c>
      <c r="CM157" s="171">
        <f t="shared" si="132"/>
        <v>0</v>
      </c>
      <c r="CN157" s="171">
        <f t="shared" si="132"/>
        <v>0</v>
      </c>
      <c r="CO157" s="171">
        <f t="shared" si="132"/>
        <v>0</v>
      </c>
      <c r="CP157" s="171">
        <f t="shared" si="132"/>
        <v>0</v>
      </c>
      <c r="CQ157" s="171">
        <f t="shared" si="132"/>
        <v>0</v>
      </c>
      <c r="CR157" s="171">
        <f t="shared" si="132"/>
        <v>0</v>
      </c>
      <c r="CS157" s="172">
        <f t="shared" si="132"/>
        <v>0</v>
      </c>
      <c r="CT157" s="85" t="s">
        <v>54</v>
      </c>
    </row>
    <row r="158" spans="1:98" hidden="1" x14ac:dyDescent="0.25">
      <c r="A158" s="97">
        <v>0</v>
      </c>
      <c r="B158" s="90">
        <f t="shared" si="108"/>
        <v>2004</v>
      </c>
      <c r="C158" s="101"/>
      <c r="D158" s="171">
        <f t="shared" ref="D158:AI158" si="133">IF(D131="",1,0)*IF(D104="",1,0)*SUM(D50)*IF(D77="",0,1)</f>
        <v>0</v>
      </c>
      <c r="E158" s="171">
        <f t="shared" si="133"/>
        <v>0</v>
      </c>
      <c r="F158" s="171">
        <f t="shared" si="133"/>
        <v>0</v>
      </c>
      <c r="G158" s="171">
        <f t="shared" si="133"/>
        <v>0</v>
      </c>
      <c r="H158" s="171">
        <f t="shared" si="133"/>
        <v>0</v>
      </c>
      <c r="I158" s="171">
        <f t="shared" si="133"/>
        <v>0</v>
      </c>
      <c r="J158" s="171">
        <f t="shared" si="133"/>
        <v>0</v>
      </c>
      <c r="K158" s="171">
        <f t="shared" si="133"/>
        <v>0</v>
      </c>
      <c r="L158" s="171">
        <f t="shared" si="133"/>
        <v>0</v>
      </c>
      <c r="M158" s="171">
        <f t="shared" si="133"/>
        <v>0</v>
      </c>
      <c r="N158" s="171">
        <f t="shared" si="133"/>
        <v>0</v>
      </c>
      <c r="O158" s="171">
        <f t="shared" si="133"/>
        <v>0</v>
      </c>
      <c r="P158" s="171">
        <f t="shared" si="133"/>
        <v>0</v>
      </c>
      <c r="Q158" s="171">
        <f t="shared" si="133"/>
        <v>0</v>
      </c>
      <c r="R158" s="171">
        <f t="shared" si="133"/>
        <v>0</v>
      </c>
      <c r="S158" s="171">
        <f t="shared" si="133"/>
        <v>0</v>
      </c>
      <c r="T158" s="171">
        <f t="shared" si="133"/>
        <v>0</v>
      </c>
      <c r="U158" s="171">
        <f t="shared" si="133"/>
        <v>0</v>
      </c>
      <c r="V158" s="171">
        <f t="shared" si="133"/>
        <v>0</v>
      </c>
      <c r="W158" s="171">
        <f t="shared" si="133"/>
        <v>0</v>
      </c>
      <c r="X158" s="171">
        <f t="shared" si="133"/>
        <v>0</v>
      </c>
      <c r="Y158" s="171">
        <f t="shared" si="133"/>
        <v>0</v>
      </c>
      <c r="Z158" s="171">
        <f t="shared" si="133"/>
        <v>0</v>
      </c>
      <c r="AA158" s="171">
        <f t="shared" si="133"/>
        <v>0</v>
      </c>
      <c r="AB158" s="171">
        <f t="shared" si="133"/>
        <v>0</v>
      </c>
      <c r="AC158" s="171">
        <f t="shared" si="133"/>
        <v>0</v>
      </c>
      <c r="AD158" s="171">
        <f t="shared" si="133"/>
        <v>0</v>
      </c>
      <c r="AE158" s="171">
        <f t="shared" si="133"/>
        <v>0</v>
      </c>
      <c r="AF158" s="171">
        <f t="shared" si="133"/>
        <v>0</v>
      </c>
      <c r="AG158" s="171">
        <f t="shared" si="133"/>
        <v>0</v>
      </c>
      <c r="AH158" s="171">
        <f t="shared" si="133"/>
        <v>0</v>
      </c>
      <c r="AI158" s="171">
        <f t="shared" si="133"/>
        <v>0</v>
      </c>
      <c r="AJ158" s="171">
        <f t="shared" ref="AJ158:BO158" si="134">IF(AJ131="",1,0)*IF(AJ104="",1,0)*SUM(AJ50)*IF(AJ77="",0,1)</f>
        <v>0</v>
      </c>
      <c r="AK158" s="171">
        <f t="shared" si="134"/>
        <v>0</v>
      </c>
      <c r="AL158" s="171">
        <f t="shared" si="134"/>
        <v>0</v>
      </c>
      <c r="AM158" s="171">
        <f t="shared" si="134"/>
        <v>0</v>
      </c>
      <c r="AN158" s="171">
        <f t="shared" si="134"/>
        <v>0</v>
      </c>
      <c r="AO158" s="171">
        <f t="shared" si="134"/>
        <v>0</v>
      </c>
      <c r="AP158" s="171">
        <f t="shared" si="134"/>
        <v>0</v>
      </c>
      <c r="AQ158" s="171">
        <f t="shared" si="134"/>
        <v>0</v>
      </c>
      <c r="AR158" s="171">
        <f t="shared" si="134"/>
        <v>0</v>
      </c>
      <c r="AS158" s="171">
        <f t="shared" si="134"/>
        <v>0</v>
      </c>
      <c r="AT158" s="171">
        <f t="shared" si="134"/>
        <v>0</v>
      </c>
      <c r="AU158" s="171">
        <f t="shared" si="134"/>
        <v>0</v>
      </c>
      <c r="AV158" s="171">
        <f t="shared" si="134"/>
        <v>0</v>
      </c>
      <c r="AW158" s="171">
        <f t="shared" si="134"/>
        <v>0</v>
      </c>
      <c r="AX158" s="171">
        <f t="shared" si="134"/>
        <v>0</v>
      </c>
      <c r="AY158" s="171">
        <f t="shared" si="134"/>
        <v>0</v>
      </c>
      <c r="AZ158" s="171">
        <f t="shared" si="134"/>
        <v>0</v>
      </c>
      <c r="BA158" s="171">
        <f t="shared" si="134"/>
        <v>0</v>
      </c>
      <c r="BB158" s="171">
        <f t="shared" si="134"/>
        <v>0</v>
      </c>
      <c r="BC158" s="171">
        <f t="shared" si="134"/>
        <v>0</v>
      </c>
      <c r="BD158" s="171">
        <f t="shared" si="134"/>
        <v>0</v>
      </c>
      <c r="BE158" s="171">
        <f t="shared" si="134"/>
        <v>0</v>
      </c>
      <c r="BF158" s="171">
        <f t="shared" si="134"/>
        <v>0</v>
      </c>
      <c r="BG158" s="171">
        <f t="shared" si="134"/>
        <v>0</v>
      </c>
      <c r="BH158" s="171">
        <f t="shared" si="134"/>
        <v>0</v>
      </c>
      <c r="BI158" s="171">
        <f t="shared" si="134"/>
        <v>0</v>
      </c>
      <c r="BJ158" s="171">
        <f t="shared" si="134"/>
        <v>0</v>
      </c>
      <c r="BK158" s="171">
        <f t="shared" si="134"/>
        <v>0</v>
      </c>
      <c r="BL158" s="171">
        <f t="shared" si="134"/>
        <v>0</v>
      </c>
      <c r="BM158" s="171">
        <f t="shared" si="134"/>
        <v>0</v>
      </c>
      <c r="BN158" s="171">
        <f t="shared" si="134"/>
        <v>0</v>
      </c>
      <c r="BO158" s="171">
        <f t="shared" si="134"/>
        <v>0</v>
      </c>
      <c r="BP158" s="171">
        <f t="shared" ref="BP158:CS158" si="135">IF(BP131="",1,0)*IF(BP104="",1,0)*SUM(BP50)*IF(BP77="",0,1)</f>
        <v>0</v>
      </c>
      <c r="BQ158" s="171">
        <f t="shared" si="135"/>
        <v>0</v>
      </c>
      <c r="BR158" s="171">
        <f t="shared" si="135"/>
        <v>0</v>
      </c>
      <c r="BS158" s="171">
        <f t="shared" si="135"/>
        <v>0</v>
      </c>
      <c r="BT158" s="171">
        <f t="shared" si="135"/>
        <v>0</v>
      </c>
      <c r="BU158" s="171">
        <f t="shared" si="135"/>
        <v>0</v>
      </c>
      <c r="BV158" s="171">
        <f t="shared" si="135"/>
        <v>0</v>
      </c>
      <c r="BW158" s="171">
        <f t="shared" si="135"/>
        <v>0</v>
      </c>
      <c r="BX158" s="171">
        <f t="shared" si="135"/>
        <v>0</v>
      </c>
      <c r="BY158" s="171">
        <f t="shared" si="135"/>
        <v>0</v>
      </c>
      <c r="BZ158" s="171">
        <f t="shared" si="135"/>
        <v>0</v>
      </c>
      <c r="CA158" s="171">
        <f t="shared" si="135"/>
        <v>0</v>
      </c>
      <c r="CB158" s="171">
        <f t="shared" si="135"/>
        <v>0</v>
      </c>
      <c r="CC158" s="171">
        <f t="shared" si="135"/>
        <v>0</v>
      </c>
      <c r="CD158" s="171">
        <f t="shared" si="135"/>
        <v>0</v>
      </c>
      <c r="CE158" s="171">
        <f t="shared" si="135"/>
        <v>0</v>
      </c>
      <c r="CF158" s="171">
        <f t="shared" si="135"/>
        <v>0</v>
      </c>
      <c r="CG158" s="171">
        <f t="shared" si="135"/>
        <v>0</v>
      </c>
      <c r="CH158" s="171">
        <f t="shared" si="135"/>
        <v>0</v>
      </c>
      <c r="CI158" s="171">
        <f t="shared" si="135"/>
        <v>0</v>
      </c>
      <c r="CJ158" s="171">
        <f t="shared" si="135"/>
        <v>0</v>
      </c>
      <c r="CK158" s="171">
        <f t="shared" si="135"/>
        <v>0</v>
      </c>
      <c r="CL158" s="171">
        <f t="shared" si="135"/>
        <v>0</v>
      </c>
      <c r="CM158" s="171">
        <f t="shared" si="135"/>
        <v>0</v>
      </c>
      <c r="CN158" s="171">
        <f t="shared" si="135"/>
        <v>0</v>
      </c>
      <c r="CO158" s="171">
        <f t="shared" si="135"/>
        <v>0</v>
      </c>
      <c r="CP158" s="171">
        <f t="shared" si="135"/>
        <v>0</v>
      </c>
      <c r="CQ158" s="171">
        <f t="shared" si="135"/>
        <v>0</v>
      </c>
      <c r="CR158" s="171">
        <f t="shared" si="135"/>
        <v>0</v>
      </c>
      <c r="CS158" s="172">
        <f t="shared" si="135"/>
        <v>0</v>
      </c>
      <c r="CT158" s="85" t="s">
        <v>54</v>
      </c>
    </row>
    <row r="159" spans="1:98" hidden="1" x14ac:dyDescent="0.25">
      <c r="A159" s="97">
        <v>0</v>
      </c>
      <c r="B159" s="90">
        <f t="shared" si="108"/>
        <v>2005</v>
      </c>
      <c r="C159" s="101"/>
      <c r="D159" s="171">
        <f t="shared" ref="D159:AI159" si="136">IF(D132="",1,0)*IF(D105="",1,0)*SUM(D51)*IF(D78="",0,1)</f>
        <v>0</v>
      </c>
      <c r="E159" s="171">
        <f t="shared" si="136"/>
        <v>0</v>
      </c>
      <c r="F159" s="171">
        <f t="shared" si="136"/>
        <v>0</v>
      </c>
      <c r="G159" s="171">
        <f t="shared" si="136"/>
        <v>0</v>
      </c>
      <c r="H159" s="171">
        <f t="shared" si="136"/>
        <v>0</v>
      </c>
      <c r="I159" s="171">
        <f t="shared" si="136"/>
        <v>0</v>
      </c>
      <c r="J159" s="171">
        <f t="shared" si="136"/>
        <v>0</v>
      </c>
      <c r="K159" s="171">
        <f t="shared" si="136"/>
        <v>0</v>
      </c>
      <c r="L159" s="171">
        <f t="shared" si="136"/>
        <v>0</v>
      </c>
      <c r="M159" s="171">
        <f t="shared" si="136"/>
        <v>0</v>
      </c>
      <c r="N159" s="171">
        <f t="shared" si="136"/>
        <v>0</v>
      </c>
      <c r="O159" s="171">
        <f t="shared" si="136"/>
        <v>0</v>
      </c>
      <c r="P159" s="171">
        <f t="shared" si="136"/>
        <v>0</v>
      </c>
      <c r="Q159" s="171">
        <f t="shared" si="136"/>
        <v>0</v>
      </c>
      <c r="R159" s="171">
        <f t="shared" si="136"/>
        <v>0</v>
      </c>
      <c r="S159" s="171">
        <f t="shared" si="136"/>
        <v>0</v>
      </c>
      <c r="T159" s="171">
        <f t="shared" si="136"/>
        <v>0</v>
      </c>
      <c r="U159" s="171">
        <f t="shared" si="136"/>
        <v>0</v>
      </c>
      <c r="V159" s="171">
        <f t="shared" si="136"/>
        <v>0</v>
      </c>
      <c r="W159" s="171">
        <f t="shared" si="136"/>
        <v>0</v>
      </c>
      <c r="X159" s="171">
        <f t="shared" si="136"/>
        <v>0</v>
      </c>
      <c r="Y159" s="171">
        <f t="shared" si="136"/>
        <v>0</v>
      </c>
      <c r="Z159" s="171">
        <f t="shared" si="136"/>
        <v>0</v>
      </c>
      <c r="AA159" s="171">
        <f t="shared" si="136"/>
        <v>0</v>
      </c>
      <c r="AB159" s="171">
        <f t="shared" si="136"/>
        <v>0</v>
      </c>
      <c r="AC159" s="171">
        <f t="shared" si="136"/>
        <v>0</v>
      </c>
      <c r="AD159" s="171">
        <f t="shared" si="136"/>
        <v>0</v>
      </c>
      <c r="AE159" s="171">
        <f t="shared" si="136"/>
        <v>0</v>
      </c>
      <c r="AF159" s="171">
        <f t="shared" si="136"/>
        <v>0</v>
      </c>
      <c r="AG159" s="171">
        <f t="shared" si="136"/>
        <v>0</v>
      </c>
      <c r="AH159" s="171">
        <f t="shared" si="136"/>
        <v>0</v>
      </c>
      <c r="AI159" s="171">
        <f t="shared" si="136"/>
        <v>0</v>
      </c>
      <c r="AJ159" s="171">
        <f t="shared" ref="AJ159:BO159" si="137">IF(AJ132="",1,0)*IF(AJ105="",1,0)*SUM(AJ51)*IF(AJ78="",0,1)</f>
        <v>0</v>
      </c>
      <c r="AK159" s="171">
        <f t="shared" si="137"/>
        <v>0</v>
      </c>
      <c r="AL159" s="171">
        <f t="shared" si="137"/>
        <v>0</v>
      </c>
      <c r="AM159" s="171">
        <f t="shared" si="137"/>
        <v>0</v>
      </c>
      <c r="AN159" s="171">
        <f t="shared" si="137"/>
        <v>0</v>
      </c>
      <c r="AO159" s="171">
        <f t="shared" si="137"/>
        <v>0</v>
      </c>
      <c r="AP159" s="171">
        <f t="shared" si="137"/>
        <v>0</v>
      </c>
      <c r="AQ159" s="171">
        <f t="shared" si="137"/>
        <v>0</v>
      </c>
      <c r="AR159" s="171">
        <f t="shared" si="137"/>
        <v>0</v>
      </c>
      <c r="AS159" s="171">
        <f t="shared" si="137"/>
        <v>0</v>
      </c>
      <c r="AT159" s="171">
        <f t="shared" si="137"/>
        <v>0</v>
      </c>
      <c r="AU159" s="171">
        <f t="shared" si="137"/>
        <v>0</v>
      </c>
      <c r="AV159" s="171">
        <f t="shared" si="137"/>
        <v>0</v>
      </c>
      <c r="AW159" s="171">
        <f t="shared" si="137"/>
        <v>0</v>
      </c>
      <c r="AX159" s="171">
        <f t="shared" si="137"/>
        <v>0</v>
      </c>
      <c r="AY159" s="171">
        <f t="shared" si="137"/>
        <v>0</v>
      </c>
      <c r="AZ159" s="171">
        <f t="shared" si="137"/>
        <v>0</v>
      </c>
      <c r="BA159" s="171">
        <f t="shared" si="137"/>
        <v>0</v>
      </c>
      <c r="BB159" s="171">
        <f t="shared" si="137"/>
        <v>0</v>
      </c>
      <c r="BC159" s="171">
        <f t="shared" si="137"/>
        <v>0</v>
      </c>
      <c r="BD159" s="171">
        <f t="shared" si="137"/>
        <v>0</v>
      </c>
      <c r="BE159" s="171">
        <f t="shared" si="137"/>
        <v>0</v>
      </c>
      <c r="BF159" s="171">
        <f t="shared" si="137"/>
        <v>0</v>
      </c>
      <c r="BG159" s="171">
        <f t="shared" si="137"/>
        <v>0</v>
      </c>
      <c r="BH159" s="171">
        <f t="shared" si="137"/>
        <v>0</v>
      </c>
      <c r="BI159" s="171">
        <f t="shared" si="137"/>
        <v>0</v>
      </c>
      <c r="BJ159" s="171">
        <f t="shared" si="137"/>
        <v>0</v>
      </c>
      <c r="BK159" s="171">
        <f t="shared" si="137"/>
        <v>0</v>
      </c>
      <c r="BL159" s="171">
        <f t="shared" si="137"/>
        <v>0</v>
      </c>
      <c r="BM159" s="171">
        <f t="shared" si="137"/>
        <v>0</v>
      </c>
      <c r="BN159" s="171">
        <f t="shared" si="137"/>
        <v>0</v>
      </c>
      <c r="BO159" s="171">
        <f t="shared" si="137"/>
        <v>0</v>
      </c>
      <c r="BP159" s="171">
        <f t="shared" ref="BP159:CS159" si="138">IF(BP132="",1,0)*IF(BP105="",1,0)*SUM(BP51)*IF(BP78="",0,1)</f>
        <v>0</v>
      </c>
      <c r="BQ159" s="171">
        <f t="shared" si="138"/>
        <v>0</v>
      </c>
      <c r="BR159" s="171">
        <f t="shared" si="138"/>
        <v>0</v>
      </c>
      <c r="BS159" s="171">
        <f t="shared" si="138"/>
        <v>0</v>
      </c>
      <c r="BT159" s="171">
        <f t="shared" si="138"/>
        <v>0</v>
      </c>
      <c r="BU159" s="171">
        <f t="shared" si="138"/>
        <v>0</v>
      </c>
      <c r="BV159" s="171">
        <f t="shared" si="138"/>
        <v>0</v>
      </c>
      <c r="BW159" s="171">
        <f t="shared" si="138"/>
        <v>0</v>
      </c>
      <c r="BX159" s="171">
        <f t="shared" si="138"/>
        <v>0</v>
      </c>
      <c r="BY159" s="171">
        <f t="shared" si="138"/>
        <v>0</v>
      </c>
      <c r="BZ159" s="171">
        <f t="shared" si="138"/>
        <v>0</v>
      </c>
      <c r="CA159" s="171">
        <f t="shared" si="138"/>
        <v>0</v>
      </c>
      <c r="CB159" s="171">
        <f t="shared" si="138"/>
        <v>0</v>
      </c>
      <c r="CC159" s="171">
        <f t="shared" si="138"/>
        <v>0</v>
      </c>
      <c r="CD159" s="171">
        <f t="shared" si="138"/>
        <v>0</v>
      </c>
      <c r="CE159" s="171">
        <f t="shared" si="138"/>
        <v>0</v>
      </c>
      <c r="CF159" s="171">
        <f t="shared" si="138"/>
        <v>0</v>
      </c>
      <c r="CG159" s="171">
        <f t="shared" si="138"/>
        <v>0</v>
      </c>
      <c r="CH159" s="171">
        <f t="shared" si="138"/>
        <v>0</v>
      </c>
      <c r="CI159" s="171">
        <f t="shared" si="138"/>
        <v>0</v>
      </c>
      <c r="CJ159" s="171">
        <f t="shared" si="138"/>
        <v>0</v>
      </c>
      <c r="CK159" s="171">
        <f t="shared" si="138"/>
        <v>0</v>
      </c>
      <c r="CL159" s="171">
        <f t="shared" si="138"/>
        <v>0</v>
      </c>
      <c r="CM159" s="171">
        <f t="shared" si="138"/>
        <v>0</v>
      </c>
      <c r="CN159" s="171">
        <f t="shared" si="138"/>
        <v>0</v>
      </c>
      <c r="CO159" s="171">
        <f t="shared" si="138"/>
        <v>0</v>
      </c>
      <c r="CP159" s="171">
        <f t="shared" si="138"/>
        <v>0</v>
      </c>
      <c r="CQ159" s="171">
        <f t="shared" si="138"/>
        <v>0</v>
      </c>
      <c r="CR159" s="171">
        <f t="shared" si="138"/>
        <v>0</v>
      </c>
      <c r="CS159" s="172">
        <f t="shared" si="138"/>
        <v>0</v>
      </c>
      <c r="CT159" s="85" t="s">
        <v>54</v>
      </c>
    </row>
    <row r="160" spans="1:98" hidden="1" x14ac:dyDescent="0.25">
      <c r="A160" s="97">
        <v>0</v>
      </c>
      <c r="B160" s="90">
        <f t="shared" si="108"/>
        <v>2006</v>
      </c>
      <c r="C160" s="101"/>
      <c r="D160" s="171">
        <f t="shared" ref="D160:AI160" si="139">IF(D133="",1,0)*IF(D106="",1,0)*SUM(D52)*IF(D79="",0,1)</f>
        <v>0</v>
      </c>
      <c r="E160" s="171">
        <f t="shared" si="139"/>
        <v>0</v>
      </c>
      <c r="F160" s="171">
        <f t="shared" si="139"/>
        <v>0</v>
      </c>
      <c r="G160" s="171">
        <f t="shared" si="139"/>
        <v>0</v>
      </c>
      <c r="H160" s="171">
        <f t="shared" si="139"/>
        <v>0</v>
      </c>
      <c r="I160" s="171">
        <f t="shared" si="139"/>
        <v>0</v>
      </c>
      <c r="J160" s="171">
        <f t="shared" si="139"/>
        <v>0</v>
      </c>
      <c r="K160" s="171">
        <f t="shared" si="139"/>
        <v>0</v>
      </c>
      <c r="L160" s="171">
        <f t="shared" si="139"/>
        <v>0</v>
      </c>
      <c r="M160" s="171">
        <f t="shared" si="139"/>
        <v>0</v>
      </c>
      <c r="N160" s="171">
        <f t="shared" si="139"/>
        <v>0</v>
      </c>
      <c r="O160" s="171">
        <f t="shared" si="139"/>
        <v>0</v>
      </c>
      <c r="P160" s="171">
        <f t="shared" si="139"/>
        <v>0</v>
      </c>
      <c r="Q160" s="171">
        <f t="shared" si="139"/>
        <v>0</v>
      </c>
      <c r="R160" s="171">
        <f t="shared" si="139"/>
        <v>0</v>
      </c>
      <c r="S160" s="171">
        <f t="shared" si="139"/>
        <v>0</v>
      </c>
      <c r="T160" s="171">
        <f t="shared" si="139"/>
        <v>0</v>
      </c>
      <c r="U160" s="171">
        <f t="shared" si="139"/>
        <v>0</v>
      </c>
      <c r="V160" s="171">
        <f t="shared" si="139"/>
        <v>0</v>
      </c>
      <c r="W160" s="171">
        <f t="shared" si="139"/>
        <v>0</v>
      </c>
      <c r="X160" s="171">
        <f t="shared" si="139"/>
        <v>0</v>
      </c>
      <c r="Y160" s="171">
        <f t="shared" si="139"/>
        <v>0</v>
      </c>
      <c r="Z160" s="171">
        <f t="shared" si="139"/>
        <v>0</v>
      </c>
      <c r="AA160" s="171">
        <f t="shared" si="139"/>
        <v>0</v>
      </c>
      <c r="AB160" s="171">
        <f t="shared" si="139"/>
        <v>0</v>
      </c>
      <c r="AC160" s="171">
        <f t="shared" si="139"/>
        <v>0</v>
      </c>
      <c r="AD160" s="171">
        <f t="shared" si="139"/>
        <v>0</v>
      </c>
      <c r="AE160" s="171">
        <f t="shared" si="139"/>
        <v>0</v>
      </c>
      <c r="AF160" s="171">
        <f t="shared" si="139"/>
        <v>0</v>
      </c>
      <c r="AG160" s="171">
        <f t="shared" si="139"/>
        <v>0</v>
      </c>
      <c r="AH160" s="171">
        <f t="shared" si="139"/>
        <v>0</v>
      </c>
      <c r="AI160" s="171">
        <f t="shared" si="139"/>
        <v>0</v>
      </c>
      <c r="AJ160" s="171">
        <f t="shared" ref="AJ160:BO160" si="140">IF(AJ133="",1,0)*IF(AJ106="",1,0)*SUM(AJ52)*IF(AJ79="",0,1)</f>
        <v>0</v>
      </c>
      <c r="AK160" s="171">
        <f t="shared" si="140"/>
        <v>0</v>
      </c>
      <c r="AL160" s="171">
        <f t="shared" si="140"/>
        <v>0</v>
      </c>
      <c r="AM160" s="171">
        <f t="shared" si="140"/>
        <v>0</v>
      </c>
      <c r="AN160" s="171">
        <f t="shared" si="140"/>
        <v>0</v>
      </c>
      <c r="AO160" s="171">
        <f t="shared" si="140"/>
        <v>0</v>
      </c>
      <c r="AP160" s="171">
        <f t="shared" si="140"/>
        <v>0</v>
      </c>
      <c r="AQ160" s="171">
        <f t="shared" si="140"/>
        <v>0</v>
      </c>
      <c r="AR160" s="171">
        <f t="shared" si="140"/>
        <v>0</v>
      </c>
      <c r="AS160" s="171">
        <f t="shared" si="140"/>
        <v>0</v>
      </c>
      <c r="AT160" s="171">
        <f t="shared" si="140"/>
        <v>0</v>
      </c>
      <c r="AU160" s="171">
        <f t="shared" si="140"/>
        <v>0</v>
      </c>
      <c r="AV160" s="171">
        <f t="shared" si="140"/>
        <v>0</v>
      </c>
      <c r="AW160" s="171">
        <f t="shared" si="140"/>
        <v>0</v>
      </c>
      <c r="AX160" s="171">
        <f t="shared" si="140"/>
        <v>0</v>
      </c>
      <c r="AY160" s="171">
        <f t="shared" si="140"/>
        <v>0</v>
      </c>
      <c r="AZ160" s="171">
        <f t="shared" si="140"/>
        <v>0</v>
      </c>
      <c r="BA160" s="171">
        <f t="shared" si="140"/>
        <v>0</v>
      </c>
      <c r="BB160" s="171">
        <f t="shared" si="140"/>
        <v>0</v>
      </c>
      <c r="BC160" s="171">
        <f t="shared" si="140"/>
        <v>0</v>
      </c>
      <c r="BD160" s="171">
        <f t="shared" si="140"/>
        <v>0</v>
      </c>
      <c r="BE160" s="171">
        <f t="shared" si="140"/>
        <v>0</v>
      </c>
      <c r="BF160" s="171">
        <f t="shared" si="140"/>
        <v>0</v>
      </c>
      <c r="BG160" s="171">
        <f t="shared" si="140"/>
        <v>0</v>
      </c>
      <c r="BH160" s="171">
        <f t="shared" si="140"/>
        <v>0</v>
      </c>
      <c r="BI160" s="171">
        <f t="shared" si="140"/>
        <v>0</v>
      </c>
      <c r="BJ160" s="171">
        <f t="shared" si="140"/>
        <v>0</v>
      </c>
      <c r="BK160" s="171">
        <f t="shared" si="140"/>
        <v>0</v>
      </c>
      <c r="BL160" s="171">
        <f t="shared" si="140"/>
        <v>0</v>
      </c>
      <c r="BM160" s="171">
        <f t="shared" si="140"/>
        <v>0</v>
      </c>
      <c r="BN160" s="171">
        <f t="shared" si="140"/>
        <v>0</v>
      </c>
      <c r="BO160" s="171">
        <f t="shared" si="140"/>
        <v>0</v>
      </c>
      <c r="BP160" s="171">
        <f t="shared" ref="BP160:CS160" si="141">IF(BP133="",1,0)*IF(BP106="",1,0)*SUM(BP52)*IF(BP79="",0,1)</f>
        <v>0</v>
      </c>
      <c r="BQ160" s="171">
        <f t="shared" si="141"/>
        <v>0</v>
      </c>
      <c r="BR160" s="171">
        <f t="shared" si="141"/>
        <v>0</v>
      </c>
      <c r="BS160" s="171">
        <f t="shared" si="141"/>
        <v>0</v>
      </c>
      <c r="BT160" s="171">
        <f t="shared" si="141"/>
        <v>0</v>
      </c>
      <c r="BU160" s="171">
        <f t="shared" si="141"/>
        <v>0</v>
      </c>
      <c r="BV160" s="171">
        <f t="shared" si="141"/>
        <v>0</v>
      </c>
      <c r="BW160" s="171">
        <f t="shared" si="141"/>
        <v>0</v>
      </c>
      <c r="BX160" s="171">
        <f t="shared" si="141"/>
        <v>0</v>
      </c>
      <c r="BY160" s="171">
        <f t="shared" si="141"/>
        <v>0</v>
      </c>
      <c r="BZ160" s="171">
        <f t="shared" si="141"/>
        <v>0</v>
      </c>
      <c r="CA160" s="171">
        <f t="shared" si="141"/>
        <v>0</v>
      </c>
      <c r="CB160" s="171">
        <f t="shared" si="141"/>
        <v>0</v>
      </c>
      <c r="CC160" s="171">
        <f t="shared" si="141"/>
        <v>0</v>
      </c>
      <c r="CD160" s="171">
        <f t="shared" si="141"/>
        <v>0</v>
      </c>
      <c r="CE160" s="171">
        <f t="shared" si="141"/>
        <v>0</v>
      </c>
      <c r="CF160" s="171">
        <f t="shared" si="141"/>
        <v>0</v>
      </c>
      <c r="CG160" s="171">
        <f t="shared" si="141"/>
        <v>0</v>
      </c>
      <c r="CH160" s="171">
        <f t="shared" si="141"/>
        <v>0</v>
      </c>
      <c r="CI160" s="171">
        <f t="shared" si="141"/>
        <v>0</v>
      </c>
      <c r="CJ160" s="171">
        <f t="shared" si="141"/>
        <v>0</v>
      </c>
      <c r="CK160" s="171">
        <f t="shared" si="141"/>
        <v>0</v>
      </c>
      <c r="CL160" s="171">
        <f t="shared" si="141"/>
        <v>0</v>
      </c>
      <c r="CM160" s="171">
        <f t="shared" si="141"/>
        <v>0</v>
      </c>
      <c r="CN160" s="171">
        <f t="shared" si="141"/>
        <v>0</v>
      </c>
      <c r="CO160" s="171">
        <f t="shared" si="141"/>
        <v>0</v>
      </c>
      <c r="CP160" s="171">
        <f t="shared" si="141"/>
        <v>0</v>
      </c>
      <c r="CQ160" s="171">
        <f t="shared" si="141"/>
        <v>0</v>
      </c>
      <c r="CR160" s="171">
        <f t="shared" si="141"/>
        <v>0</v>
      </c>
      <c r="CS160" s="172">
        <f t="shared" si="141"/>
        <v>0</v>
      </c>
      <c r="CT160" s="85" t="s">
        <v>54</v>
      </c>
    </row>
    <row r="161" spans="1:98" hidden="1" x14ac:dyDescent="0.25">
      <c r="A161" s="97">
        <v>0</v>
      </c>
      <c r="B161" s="90">
        <f t="shared" si="108"/>
        <v>2007</v>
      </c>
      <c r="C161" s="101"/>
      <c r="D161" s="171">
        <f t="shared" ref="D161:AI161" si="142">IF(D134="",1,0)*IF(D107="",1,0)*SUM(D53)*IF(D80="",0,1)</f>
        <v>0</v>
      </c>
      <c r="E161" s="171">
        <f t="shared" si="142"/>
        <v>0</v>
      </c>
      <c r="F161" s="171">
        <f t="shared" si="142"/>
        <v>0</v>
      </c>
      <c r="G161" s="171">
        <f t="shared" si="142"/>
        <v>0</v>
      </c>
      <c r="H161" s="171">
        <f t="shared" si="142"/>
        <v>0</v>
      </c>
      <c r="I161" s="171">
        <f t="shared" si="142"/>
        <v>0</v>
      </c>
      <c r="J161" s="171">
        <f t="shared" si="142"/>
        <v>0</v>
      </c>
      <c r="K161" s="171">
        <f t="shared" si="142"/>
        <v>0</v>
      </c>
      <c r="L161" s="171">
        <f t="shared" si="142"/>
        <v>0</v>
      </c>
      <c r="M161" s="171">
        <f t="shared" si="142"/>
        <v>0</v>
      </c>
      <c r="N161" s="171">
        <f t="shared" si="142"/>
        <v>0</v>
      </c>
      <c r="O161" s="171">
        <f t="shared" si="142"/>
        <v>0</v>
      </c>
      <c r="P161" s="171">
        <f t="shared" si="142"/>
        <v>0</v>
      </c>
      <c r="Q161" s="171">
        <f t="shared" si="142"/>
        <v>0</v>
      </c>
      <c r="R161" s="171">
        <f t="shared" si="142"/>
        <v>0</v>
      </c>
      <c r="S161" s="171">
        <f t="shared" si="142"/>
        <v>0</v>
      </c>
      <c r="T161" s="171">
        <f t="shared" si="142"/>
        <v>0</v>
      </c>
      <c r="U161" s="171">
        <f t="shared" si="142"/>
        <v>0</v>
      </c>
      <c r="V161" s="171">
        <f t="shared" si="142"/>
        <v>0</v>
      </c>
      <c r="W161" s="171">
        <f t="shared" si="142"/>
        <v>0</v>
      </c>
      <c r="X161" s="171">
        <f t="shared" si="142"/>
        <v>0</v>
      </c>
      <c r="Y161" s="171">
        <f t="shared" si="142"/>
        <v>0</v>
      </c>
      <c r="Z161" s="171">
        <f t="shared" si="142"/>
        <v>0</v>
      </c>
      <c r="AA161" s="171">
        <f t="shared" si="142"/>
        <v>0</v>
      </c>
      <c r="AB161" s="171">
        <f t="shared" si="142"/>
        <v>0</v>
      </c>
      <c r="AC161" s="171">
        <f t="shared" si="142"/>
        <v>0</v>
      </c>
      <c r="AD161" s="171">
        <f t="shared" si="142"/>
        <v>0</v>
      </c>
      <c r="AE161" s="171">
        <f t="shared" si="142"/>
        <v>0</v>
      </c>
      <c r="AF161" s="171">
        <f t="shared" si="142"/>
        <v>0</v>
      </c>
      <c r="AG161" s="171">
        <f t="shared" si="142"/>
        <v>0</v>
      </c>
      <c r="AH161" s="171">
        <f t="shared" si="142"/>
        <v>0</v>
      </c>
      <c r="AI161" s="171">
        <f t="shared" si="142"/>
        <v>0</v>
      </c>
      <c r="AJ161" s="171">
        <f t="shared" ref="AJ161:BO161" si="143">IF(AJ134="",1,0)*IF(AJ107="",1,0)*SUM(AJ53)*IF(AJ80="",0,1)</f>
        <v>0</v>
      </c>
      <c r="AK161" s="171">
        <f t="shared" si="143"/>
        <v>0</v>
      </c>
      <c r="AL161" s="171">
        <f t="shared" si="143"/>
        <v>0</v>
      </c>
      <c r="AM161" s="171">
        <f t="shared" si="143"/>
        <v>0</v>
      </c>
      <c r="AN161" s="171">
        <f t="shared" si="143"/>
        <v>0</v>
      </c>
      <c r="AO161" s="171">
        <f t="shared" si="143"/>
        <v>0</v>
      </c>
      <c r="AP161" s="171">
        <f t="shared" si="143"/>
        <v>0</v>
      </c>
      <c r="AQ161" s="171">
        <f t="shared" si="143"/>
        <v>0</v>
      </c>
      <c r="AR161" s="171">
        <f t="shared" si="143"/>
        <v>0</v>
      </c>
      <c r="AS161" s="171">
        <f t="shared" si="143"/>
        <v>0</v>
      </c>
      <c r="AT161" s="171">
        <f t="shared" si="143"/>
        <v>0</v>
      </c>
      <c r="AU161" s="171">
        <f t="shared" si="143"/>
        <v>0</v>
      </c>
      <c r="AV161" s="171">
        <f t="shared" si="143"/>
        <v>0</v>
      </c>
      <c r="AW161" s="171">
        <f t="shared" si="143"/>
        <v>0</v>
      </c>
      <c r="AX161" s="171">
        <f t="shared" si="143"/>
        <v>0</v>
      </c>
      <c r="AY161" s="171">
        <f t="shared" si="143"/>
        <v>0</v>
      </c>
      <c r="AZ161" s="171">
        <f t="shared" si="143"/>
        <v>0</v>
      </c>
      <c r="BA161" s="171">
        <f t="shared" si="143"/>
        <v>0</v>
      </c>
      <c r="BB161" s="171">
        <f t="shared" si="143"/>
        <v>0</v>
      </c>
      <c r="BC161" s="171">
        <f t="shared" si="143"/>
        <v>0</v>
      </c>
      <c r="BD161" s="171">
        <f t="shared" si="143"/>
        <v>0</v>
      </c>
      <c r="BE161" s="171">
        <f t="shared" si="143"/>
        <v>0</v>
      </c>
      <c r="BF161" s="171">
        <f t="shared" si="143"/>
        <v>0</v>
      </c>
      <c r="BG161" s="171">
        <f t="shared" si="143"/>
        <v>0</v>
      </c>
      <c r="BH161" s="171">
        <f t="shared" si="143"/>
        <v>0</v>
      </c>
      <c r="BI161" s="171">
        <f t="shared" si="143"/>
        <v>0</v>
      </c>
      <c r="BJ161" s="171">
        <f t="shared" si="143"/>
        <v>0</v>
      </c>
      <c r="BK161" s="171">
        <f t="shared" si="143"/>
        <v>0</v>
      </c>
      <c r="BL161" s="171">
        <f t="shared" si="143"/>
        <v>0</v>
      </c>
      <c r="BM161" s="171">
        <f t="shared" si="143"/>
        <v>0</v>
      </c>
      <c r="BN161" s="171">
        <f t="shared" si="143"/>
        <v>0</v>
      </c>
      <c r="BO161" s="171">
        <f t="shared" si="143"/>
        <v>0</v>
      </c>
      <c r="BP161" s="171">
        <f t="shared" ref="BP161:CS161" si="144">IF(BP134="",1,0)*IF(BP107="",1,0)*SUM(BP53)*IF(BP80="",0,1)</f>
        <v>0</v>
      </c>
      <c r="BQ161" s="171">
        <f t="shared" si="144"/>
        <v>0</v>
      </c>
      <c r="BR161" s="171">
        <f t="shared" si="144"/>
        <v>0</v>
      </c>
      <c r="BS161" s="171">
        <f t="shared" si="144"/>
        <v>0</v>
      </c>
      <c r="BT161" s="171">
        <f t="shared" si="144"/>
        <v>0</v>
      </c>
      <c r="BU161" s="171">
        <f t="shared" si="144"/>
        <v>0</v>
      </c>
      <c r="BV161" s="171">
        <f t="shared" si="144"/>
        <v>0</v>
      </c>
      <c r="BW161" s="171">
        <f t="shared" si="144"/>
        <v>0</v>
      </c>
      <c r="BX161" s="171">
        <f t="shared" si="144"/>
        <v>0</v>
      </c>
      <c r="BY161" s="171">
        <f t="shared" si="144"/>
        <v>0</v>
      </c>
      <c r="BZ161" s="171">
        <f t="shared" si="144"/>
        <v>0</v>
      </c>
      <c r="CA161" s="171">
        <f t="shared" si="144"/>
        <v>0</v>
      </c>
      <c r="CB161" s="171">
        <f t="shared" si="144"/>
        <v>0</v>
      </c>
      <c r="CC161" s="171">
        <f t="shared" si="144"/>
        <v>0</v>
      </c>
      <c r="CD161" s="171">
        <f t="shared" si="144"/>
        <v>0</v>
      </c>
      <c r="CE161" s="171">
        <f t="shared" si="144"/>
        <v>0</v>
      </c>
      <c r="CF161" s="171">
        <f t="shared" si="144"/>
        <v>0</v>
      </c>
      <c r="CG161" s="171">
        <f t="shared" si="144"/>
        <v>0</v>
      </c>
      <c r="CH161" s="171">
        <f t="shared" si="144"/>
        <v>0</v>
      </c>
      <c r="CI161" s="171">
        <f t="shared" si="144"/>
        <v>0</v>
      </c>
      <c r="CJ161" s="171">
        <f t="shared" si="144"/>
        <v>0</v>
      </c>
      <c r="CK161" s="171">
        <f t="shared" si="144"/>
        <v>0</v>
      </c>
      <c r="CL161" s="171">
        <f t="shared" si="144"/>
        <v>0</v>
      </c>
      <c r="CM161" s="171">
        <f t="shared" si="144"/>
        <v>0</v>
      </c>
      <c r="CN161" s="171">
        <f t="shared" si="144"/>
        <v>0</v>
      </c>
      <c r="CO161" s="171">
        <f t="shared" si="144"/>
        <v>0</v>
      </c>
      <c r="CP161" s="171">
        <f t="shared" si="144"/>
        <v>0</v>
      </c>
      <c r="CQ161" s="171">
        <f t="shared" si="144"/>
        <v>0</v>
      </c>
      <c r="CR161" s="171">
        <f t="shared" si="144"/>
        <v>0</v>
      </c>
      <c r="CS161" s="172">
        <f t="shared" si="144"/>
        <v>0</v>
      </c>
      <c r="CT161" s="85" t="s">
        <v>54</v>
      </c>
    </row>
    <row r="162" spans="1:98" hidden="1" x14ac:dyDescent="0.25">
      <c r="A162" s="97">
        <v>0</v>
      </c>
      <c r="B162" s="90">
        <f t="shared" si="108"/>
        <v>2008</v>
      </c>
      <c r="C162" s="101"/>
      <c r="D162" s="171">
        <f t="shared" ref="D162:AI162" si="145">IF(D135="",1,0)*IF(D108="",1,0)*SUM(D54)*IF(D81="",0,1)</f>
        <v>0</v>
      </c>
      <c r="E162" s="171">
        <f t="shared" si="145"/>
        <v>0</v>
      </c>
      <c r="F162" s="171">
        <f t="shared" si="145"/>
        <v>0</v>
      </c>
      <c r="G162" s="171">
        <f t="shared" si="145"/>
        <v>0</v>
      </c>
      <c r="H162" s="171">
        <f t="shared" si="145"/>
        <v>0</v>
      </c>
      <c r="I162" s="171">
        <f t="shared" si="145"/>
        <v>0</v>
      </c>
      <c r="J162" s="171">
        <f t="shared" si="145"/>
        <v>0</v>
      </c>
      <c r="K162" s="171">
        <f t="shared" si="145"/>
        <v>0</v>
      </c>
      <c r="L162" s="171">
        <f t="shared" si="145"/>
        <v>0</v>
      </c>
      <c r="M162" s="171">
        <f t="shared" si="145"/>
        <v>0</v>
      </c>
      <c r="N162" s="171">
        <f t="shared" si="145"/>
        <v>0</v>
      </c>
      <c r="O162" s="171">
        <f t="shared" si="145"/>
        <v>0</v>
      </c>
      <c r="P162" s="171">
        <f t="shared" si="145"/>
        <v>0</v>
      </c>
      <c r="Q162" s="171">
        <f t="shared" si="145"/>
        <v>0</v>
      </c>
      <c r="R162" s="171">
        <f t="shared" si="145"/>
        <v>0</v>
      </c>
      <c r="S162" s="171">
        <f t="shared" si="145"/>
        <v>0</v>
      </c>
      <c r="T162" s="171">
        <f t="shared" si="145"/>
        <v>0</v>
      </c>
      <c r="U162" s="171">
        <f t="shared" si="145"/>
        <v>0</v>
      </c>
      <c r="V162" s="171">
        <f t="shared" si="145"/>
        <v>0</v>
      </c>
      <c r="W162" s="171">
        <f t="shared" si="145"/>
        <v>0</v>
      </c>
      <c r="X162" s="171">
        <f t="shared" si="145"/>
        <v>0</v>
      </c>
      <c r="Y162" s="171">
        <f t="shared" si="145"/>
        <v>0</v>
      </c>
      <c r="Z162" s="171">
        <f t="shared" si="145"/>
        <v>0</v>
      </c>
      <c r="AA162" s="171">
        <f t="shared" si="145"/>
        <v>0</v>
      </c>
      <c r="AB162" s="171">
        <f t="shared" si="145"/>
        <v>0</v>
      </c>
      <c r="AC162" s="171">
        <f t="shared" si="145"/>
        <v>0</v>
      </c>
      <c r="AD162" s="171">
        <f t="shared" si="145"/>
        <v>0</v>
      </c>
      <c r="AE162" s="171">
        <f t="shared" si="145"/>
        <v>0</v>
      </c>
      <c r="AF162" s="171">
        <f t="shared" si="145"/>
        <v>0</v>
      </c>
      <c r="AG162" s="171">
        <f t="shared" si="145"/>
        <v>0</v>
      </c>
      <c r="AH162" s="171">
        <f t="shared" si="145"/>
        <v>0</v>
      </c>
      <c r="AI162" s="171">
        <f t="shared" si="145"/>
        <v>0</v>
      </c>
      <c r="AJ162" s="171">
        <f t="shared" ref="AJ162:BO162" si="146">IF(AJ135="",1,0)*IF(AJ108="",1,0)*SUM(AJ54)*IF(AJ81="",0,1)</f>
        <v>0</v>
      </c>
      <c r="AK162" s="171">
        <f t="shared" si="146"/>
        <v>0</v>
      </c>
      <c r="AL162" s="171">
        <f t="shared" si="146"/>
        <v>0</v>
      </c>
      <c r="AM162" s="171">
        <f t="shared" si="146"/>
        <v>0</v>
      </c>
      <c r="AN162" s="171">
        <f t="shared" si="146"/>
        <v>0</v>
      </c>
      <c r="AO162" s="171">
        <f t="shared" si="146"/>
        <v>0</v>
      </c>
      <c r="AP162" s="171">
        <f t="shared" si="146"/>
        <v>0</v>
      </c>
      <c r="AQ162" s="171">
        <f t="shared" si="146"/>
        <v>0</v>
      </c>
      <c r="AR162" s="171">
        <f t="shared" si="146"/>
        <v>0</v>
      </c>
      <c r="AS162" s="171">
        <f t="shared" si="146"/>
        <v>0</v>
      </c>
      <c r="AT162" s="171">
        <f t="shared" si="146"/>
        <v>0</v>
      </c>
      <c r="AU162" s="171">
        <f t="shared" si="146"/>
        <v>0</v>
      </c>
      <c r="AV162" s="171">
        <f t="shared" si="146"/>
        <v>0</v>
      </c>
      <c r="AW162" s="171">
        <f t="shared" si="146"/>
        <v>0</v>
      </c>
      <c r="AX162" s="171">
        <f t="shared" si="146"/>
        <v>0</v>
      </c>
      <c r="AY162" s="171">
        <f t="shared" si="146"/>
        <v>0</v>
      </c>
      <c r="AZ162" s="171">
        <f t="shared" si="146"/>
        <v>0</v>
      </c>
      <c r="BA162" s="171">
        <f t="shared" si="146"/>
        <v>0</v>
      </c>
      <c r="BB162" s="171">
        <f t="shared" si="146"/>
        <v>0</v>
      </c>
      <c r="BC162" s="171">
        <f t="shared" si="146"/>
        <v>0</v>
      </c>
      <c r="BD162" s="171">
        <f t="shared" si="146"/>
        <v>0</v>
      </c>
      <c r="BE162" s="171">
        <f t="shared" si="146"/>
        <v>0</v>
      </c>
      <c r="BF162" s="171">
        <f t="shared" si="146"/>
        <v>0</v>
      </c>
      <c r="BG162" s="171">
        <f t="shared" si="146"/>
        <v>0</v>
      </c>
      <c r="BH162" s="171">
        <f t="shared" si="146"/>
        <v>0</v>
      </c>
      <c r="BI162" s="171">
        <f t="shared" si="146"/>
        <v>0</v>
      </c>
      <c r="BJ162" s="171">
        <f t="shared" si="146"/>
        <v>0</v>
      </c>
      <c r="BK162" s="171">
        <f t="shared" si="146"/>
        <v>0</v>
      </c>
      <c r="BL162" s="171">
        <f t="shared" si="146"/>
        <v>0</v>
      </c>
      <c r="BM162" s="171">
        <f t="shared" si="146"/>
        <v>0</v>
      </c>
      <c r="BN162" s="171">
        <f t="shared" si="146"/>
        <v>0</v>
      </c>
      <c r="BO162" s="171">
        <f t="shared" si="146"/>
        <v>0</v>
      </c>
      <c r="BP162" s="171">
        <f t="shared" ref="BP162:CS162" si="147">IF(BP135="",1,0)*IF(BP108="",1,0)*SUM(BP54)*IF(BP81="",0,1)</f>
        <v>0</v>
      </c>
      <c r="BQ162" s="171">
        <f t="shared" si="147"/>
        <v>0</v>
      </c>
      <c r="BR162" s="171">
        <f t="shared" si="147"/>
        <v>0</v>
      </c>
      <c r="BS162" s="171">
        <f t="shared" si="147"/>
        <v>0</v>
      </c>
      <c r="BT162" s="171">
        <f t="shared" si="147"/>
        <v>0</v>
      </c>
      <c r="BU162" s="171">
        <f t="shared" si="147"/>
        <v>0</v>
      </c>
      <c r="BV162" s="171">
        <f t="shared" si="147"/>
        <v>0</v>
      </c>
      <c r="BW162" s="171">
        <f t="shared" si="147"/>
        <v>0</v>
      </c>
      <c r="BX162" s="171">
        <f t="shared" si="147"/>
        <v>0</v>
      </c>
      <c r="BY162" s="171">
        <f t="shared" si="147"/>
        <v>0</v>
      </c>
      <c r="BZ162" s="171">
        <f t="shared" si="147"/>
        <v>0</v>
      </c>
      <c r="CA162" s="171">
        <f t="shared" si="147"/>
        <v>0</v>
      </c>
      <c r="CB162" s="171">
        <f t="shared" si="147"/>
        <v>0</v>
      </c>
      <c r="CC162" s="171">
        <f t="shared" si="147"/>
        <v>0</v>
      </c>
      <c r="CD162" s="171">
        <f t="shared" si="147"/>
        <v>0</v>
      </c>
      <c r="CE162" s="171">
        <f t="shared" si="147"/>
        <v>0</v>
      </c>
      <c r="CF162" s="171">
        <f t="shared" si="147"/>
        <v>0</v>
      </c>
      <c r="CG162" s="171">
        <f t="shared" si="147"/>
        <v>0</v>
      </c>
      <c r="CH162" s="171">
        <f t="shared" si="147"/>
        <v>0</v>
      </c>
      <c r="CI162" s="171">
        <f t="shared" si="147"/>
        <v>0</v>
      </c>
      <c r="CJ162" s="171">
        <f t="shared" si="147"/>
        <v>0</v>
      </c>
      <c r="CK162" s="171">
        <f t="shared" si="147"/>
        <v>0</v>
      </c>
      <c r="CL162" s="171">
        <f t="shared" si="147"/>
        <v>0</v>
      </c>
      <c r="CM162" s="171">
        <f t="shared" si="147"/>
        <v>0</v>
      </c>
      <c r="CN162" s="171">
        <f t="shared" si="147"/>
        <v>0</v>
      </c>
      <c r="CO162" s="171">
        <f t="shared" si="147"/>
        <v>0</v>
      </c>
      <c r="CP162" s="171">
        <f t="shared" si="147"/>
        <v>0</v>
      </c>
      <c r="CQ162" s="171">
        <f t="shared" si="147"/>
        <v>0</v>
      </c>
      <c r="CR162" s="171">
        <f t="shared" si="147"/>
        <v>0</v>
      </c>
      <c r="CS162" s="172">
        <f t="shared" si="147"/>
        <v>0</v>
      </c>
      <c r="CT162" s="85" t="s">
        <v>54</v>
      </c>
    </row>
    <row r="163" spans="1:98" hidden="1" x14ac:dyDescent="0.25">
      <c r="A163" s="97">
        <v>0</v>
      </c>
      <c r="B163" s="90">
        <f t="shared" si="108"/>
        <v>2009</v>
      </c>
      <c r="C163" s="101"/>
      <c r="D163" s="171">
        <f t="shared" ref="D163:AI163" si="148">IF(D136="",1,0)*IF(D109="",1,0)*SUM(D55)*IF(D82="",0,1)</f>
        <v>0</v>
      </c>
      <c r="E163" s="171">
        <f t="shared" si="148"/>
        <v>0</v>
      </c>
      <c r="F163" s="171">
        <f t="shared" si="148"/>
        <v>0</v>
      </c>
      <c r="G163" s="171">
        <f t="shared" si="148"/>
        <v>0</v>
      </c>
      <c r="H163" s="171">
        <f t="shared" si="148"/>
        <v>0</v>
      </c>
      <c r="I163" s="171">
        <f t="shared" si="148"/>
        <v>0</v>
      </c>
      <c r="J163" s="171">
        <f t="shared" si="148"/>
        <v>0</v>
      </c>
      <c r="K163" s="171">
        <f t="shared" si="148"/>
        <v>0</v>
      </c>
      <c r="L163" s="171">
        <f t="shared" si="148"/>
        <v>0</v>
      </c>
      <c r="M163" s="171">
        <f t="shared" si="148"/>
        <v>0</v>
      </c>
      <c r="N163" s="171">
        <f t="shared" si="148"/>
        <v>0</v>
      </c>
      <c r="O163" s="171">
        <f t="shared" si="148"/>
        <v>0</v>
      </c>
      <c r="P163" s="171">
        <f t="shared" si="148"/>
        <v>0</v>
      </c>
      <c r="Q163" s="171">
        <f t="shared" si="148"/>
        <v>0</v>
      </c>
      <c r="R163" s="171">
        <f t="shared" si="148"/>
        <v>0</v>
      </c>
      <c r="S163" s="171">
        <f t="shared" si="148"/>
        <v>0</v>
      </c>
      <c r="T163" s="171">
        <f t="shared" si="148"/>
        <v>0</v>
      </c>
      <c r="U163" s="171">
        <f t="shared" si="148"/>
        <v>0</v>
      </c>
      <c r="V163" s="171">
        <f t="shared" si="148"/>
        <v>0</v>
      </c>
      <c r="W163" s="171">
        <f t="shared" si="148"/>
        <v>0</v>
      </c>
      <c r="X163" s="171">
        <f t="shared" si="148"/>
        <v>0</v>
      </c>
      <c r="Y163" s="171">
        <f t="shared" si="148"/>
        <v>0</v>
      </c>
      <c r="Z163" s="171">
        <f t="shared" si="148"/>
        <v>0</v>
      </c>
      <c r="AA163" s="171">
        <f t="shared" si="148"/>
        <v>0</v>
      </c>
      <c r="AB163" s="171">
        <f t="shared" si="148"/>
        <v>0</v>
      </c>
      <c r="AC163" s="171">
        <f t="shared" si="148"/>
        <v>0</v>
      </c>
      <c r="AD163" s="171">
        <f t="shared" si="148"/>
        <v>0</v>
      </c>
      <c r="AE163" s="171">
        <f t="shared" si="148"/>
        <v>0</v>
      </c>
      <c r="AF163" s="171">
        <f t="shared" si="148"/>
        <v>0</v>
      </c>
      <c r="AG163" s="171">
        <f t="shared" si="148"/>
        <v>0</v>
      </c>
      <c r="AH163" s="171">
        <f t="shared" si="148"/>
        <v>0</v>
      </c>
      <c r="AI163" s="171">
        <f t="shared" si="148"/>
        <v>0</v>
      </c>
      <c r="AJ163" s="171">
        <f t="shared" ref="AJ163:BO163" si="149">IF(AJ136="",1,0)*IF(AJ109="",1,0)*SUM(AJ55)*IF(AJ82="",0,1)</f>
        <v>0</v>
      </c>
      <c r="AK163" s="171">
        <f t="shared" si="149"/>
        <v>0</v>
      </c>
      <c r="AL163" s="171">
        <f t="shared" si="149"/>
        <v>0</v>
      </c>
      <c r="AM163" s="171">
        <f t="shared" si="149"/>
        <v>0</v>
      </c>
      <c r="AN163" s="171">
        <f t="shared" si="149"/>
        <v>0</v>
      </c>
      <c r="AO163" s="171">
        <f t="shared" si="149"/>
        <v>0</v>
      </c>
      <c r="AP163" s="171">
        <f t="shared" si="149"/>
        <v>0</v>
      </c>
      <c r="AQ163" s="171">
        <f t="shared" si="149"/>
        <v>0</v>
      </c>
      <c r="AR163" s="171">
        <f t="shared" si="149"/>
        <v>0</v>
      </c>
      <c r="AS163" s="171">
        <f t="shared" si="149"/>
        <v>0</v>
      </c>
      <c r="AT163" s="171">
        <f t="shared" si="149"/>
        <v>0</v>
      </c>
      <c r="AU163" s="171">
        <f t="shared" si="149"/>
        <v>0</v>
      </c>
      <c r="AV163" s="171">
        <f t="shared" si="149"/>
        <v>0</v>
      </c>
      <c r="AW163" s="171">
        <f t="shared" si="149"/>
        <v>0</v>
      </c>
      <c r="AX163" s="171">
        <f t="shared" si="149"/>
        <v>0</v>
      </c>
      <c r="AY163" s="171">
        <f t="shared" si="149"/>
        <v>0</v>
      </c>
      <c r="AZ163" s="171">
        <f t="shared" si="149"/>
        <v>0</v>
      </c>
      <c r="BA163" s="171">
        <f t="shared" si="149"/>
        <v>0</v>
      </c>
      <c r="BB163" s="171">
        <f t="shared" si="149"/>
        <v>0</v>
      </c>
      <c r="BC163" s="171">
        <f t="shared" si="149"/>
        <v>0</v>
      </c>
      <c r="BD163" s="171">
        <f t="shared" si="149"/>
        <v>0</v>
      </c>
      <c r="BE163" s="171">
        <f t="shared" si="149"/>
        <v>0</v>
      </c>
      <c r="BF163" s="171">
        <f t="shared" si="149"/>
        <v>0</v>
      </c>
      <c r="BG163" s="171">
        <f t="shared" si="149"/>
        <v>0</v>
      </c>
      <c r="BH163" s="171">
        <f t="shared" si="149"/>
        <v>0</v>
      </c>
      <c r="BI163" s="171">
        <f t="shared" si="149"/>
        <v>0</v>
      </c>
      <c r="BJ163" s="171">
        <f t="shared" si="149"/>
        <v>0</v>
      </c>
      <c r="BK163" s="171">
        <f t="shared" si="149"/>
        <v>0</v>
      </c>
      <c r="BL163" s="171">
        <f t="shared" si="149"/>
        <v>0</v>
      </c>
      <c r="BM163" s="171">
        <f t="shared" si="149"/>
        <v>0</v>
      </c>
      <c r="BN163" s="171">
        <f t="shared" si="149"/>
        <v>0</v>
      </c>
      <c r="BO163" s="171">
        <f t="shared" si="149"/>
        <v>0</v>
      </c>
      <c r="BP163" s="171">
        <f t="shared" ref="BP163:CS163" si="150">IF(BP136="",1,0)*IF(BP109="",1,0)*SUM(BP55)*IF(BP82="",0,1)</f>
        <v>0</v>
      </c>
      <c r="BQ163" s="171">
        <f t="shared" si="150"/>
        <v>0</v>
      </c>
      <c r="BR163" s="171">
        <f t="shared" si="150"/>
        <v>0</v>
      </c>
      <c r="BS163" s="171">
        <f t="shared" si="150"/>
        <v>0</v>
      </c>
      <c r="BT163" s="171">
        <f t="shared" si="150"/>
        <v>0</v>
      </c>
      <c r="BU163" s="171">
        <f t="shared" si="150"/>
        <v>0</v>
      </c>
      <c r="BV163" s="171">
        <f t="shared" si="150"/>
        <v>0</v>
      </c>
      <c r="BW163" s="171">
        <f t="shared" si="150"/>
        <v>0</v>
      </c>
      <c r="BX163" s="171">
        <f t="shared" si="150"/>
        <v>0</v>
      </c>
      <c r="BY163" s="171">
        <f t="shared" si="150"/>
        <v>0</v>
      </c>
      <c r="BZ163" s="171">
        <f t="shared" si="150"/>
        <v>0</v>
      </c>
      <c r="CA163" s="171">
        <f t="shared" si="150"/>
        <v>0</v>
      </c>
      <c r="CB163" s="171">
        <f t="shared" si="150"/>
        <v>0</v>
      </c>
      <c r="CC163" s="171">
        <f t="shared" si="150"/>
        <v>0</v>
      </c>
      <c r="CD163" s="171">
        <f t="shared" si="150"/>
        <v>0</v>
      </c>
      <c r="CE163" s="171">
        <f t="shared" si="150"/>
        <v>0</v>
      </c>
      <c r="CF163" s="171">
        <f t="shared" si="150"/>
        <v>0</v>
      </c>
      <c r="CG163" s="171">
        <f t="shared" si="150"/>
        <v>0</v>
      </c>
      <c r="CH163" s="171">
        <f t="shared" si="150"/>
        <v>0</v>
      </c>
      <c r="CI163" s="171">
        <f t="shared" si="150"/>
        <v>0</v>
      </c>
      <c r="CJ163" s="171">
        <f t="shared" si="150"/>
        <v>0</v>
      </c>
      <c r="CK163" s="171">
        <f t="shared" si="150"/>
        <v>0</v>
      </c>
      <c r="CL163" s="171">
        <f t="shared" si="150"/>
        <v>0</v>
      </c>
      <c r="CM163" s="171">
        <f t="shared" si="150"/>
        <v>0</v>
      </c>
      <c r="CN163" s="171">
        <f t="shared" si="150"/>
        <v>0</v>
      </c>
      <c r="CO163" s="171">
        <f t="shared" si="150"/>
        <v>0</v>
      </c>
      <c r="CP163" s="171">
        <f t="shared" si="150"/>
        <v>0</v>
      </c>
      <c r="CQ163" s="171">
        <f t="shared" si="150"/>
        <v>0</v>
      </c>
      <c r="CR163" s="171">
        <f t="shared" si="150"/>
        <v>0</v>
      </c>
      <c r="CS163" s="172">
        <f t="shared" si="150"/>
        <v>0</v>
      </c>
      <c r="CT163" s="85" t="s">
        <v>54</v>
      </c>
    </row>
    <row r="164" spans="1:98" hidden="1" x14ac:dyDescent="0.25">
      <c r="A164" s="97">
        <v>0</v>
      </c>
      <c r="B164" s="90">
        <f t="shared" si="108"/>
        <v>2010</v>
      </c>
      <c r="C164" s="101"/>
      <c r="D164" s="171">
        <f t="shared" ref="D164:AI164" si="151">IF(D137="",1,0)*IF(D110="",1,0)*SUM(D56)*IF(D83="",0,1)</f>
        <v>1</v>
      </c>
      <c r="E164" s="171">
        <f t="shared" si="151"/>
        <v>1</v>
      </c>
      <c r="F164" s="171">
        <f t="shared" si="151"/>
        <v>1</v>
      </c>
      <c r="G164" s="171">
        <f t="shared" si="151"/>
        <v>1</v>
      </c>
      <c r="H164" s="171">
        <f t="shared" si="151"/>
        <v>1</v>
      </c>
      <c r="I164" s="171">
        <f t="shared" si="151"/>
        <v>1</v>
      </c>
      <c r="J164" s="171">
        <f t="shared" si="151"/>
        <v>1</v>
      </c>
      <c r="K164" s="171">
        <f t="shared" si="151"/>
        <v>1</v>
      </c>
      <c r="L164" s="171">
        <f t="shared" si="151"/>
        <v>1</v>
      </c>
      <c r="M164" s="171">
        <f t="shared" si="151"/>
        <v>0</v>
      </c>
      <c r="N164" s="171">
        <f t="shared" si="151"/>
        <v>0</v>
      </c>
      <c r="O164" s="171">
        <f t="shared" si="151"/>
        <v>0</v>
      </c>
      <c r="P164" s="171">
        <f t="shared" si="151"/>
        <v>0</v>
      </c>
      <c r="Q164" s="171">
        <f t="shared" si="151"/>
        <v>0</v>
      </c>
      <c r="R164" s="171">
        <f t="shared" si="151"/>
        <v>0</v>
      </c>
      <c r="S164" s="171">
        <f t="shared" si="151"/>
        <v>0</v>
      </c>
      <c r="T164" s="171">
        <f t="shared" si="151"/>
        <v>0</v>
      </c>
      <c r="U164" s="171">
        <f t="shared" si="151"/>
        <v>0</v>
      </c>
      <c r="V164" s="171">
        <f t="shared" si="151"/>
        <v>0</v>
      </c>
      <c r="W164" s="171">
        <f t="shared" si="151"/>
        <v>0</v>
      </c>
      <c r="X164" s="171">
        <f t="shared" si="151"/>
        <v>0</v>
      </c>
      <c r="Y164" s="171">
        <f t="shared" si="151"/>
        <v>0</v>
      </c>
      <c r="Z164" s="171">
        <f t="shared" si="151"/>
        <v>0</v>
      </c>
      <c r="AA164" s="171">
        <f t="shared" si="151"/>
        <v>0</v>
      </c>
      <c r="AB164" s="171">
        <f t="shared" si="151"/>
        <v>0</v>
      </c>
      <c r="AC164" s="171">
        <f t="shared" si="151"/>
        <v>0</v>
      </c>
      <c r="AD164" s="171">
        <f t="shared" si="151"/>
        <v>0</v>
      </c>
      <c r="AE164" s="171">
        <f t="shared" si="151"/>
        <v>0</v>
      </c>
      <c r="AF164" s="171">
        <f t="shared" si="151"/>
        <v>0</v>
      </c>
      <c r="AG164" s="171">
        <f t="shared" si="151"/>
        <v>0</v>
      </c>
      <c r="AH164" s="171">
        <f t="shared" si="151"/>
        <v>0</v>
      </c>
      <c r="AI164" s="171">
        <f t="shared" si="151"/>
        <v>0</v>
      </c>
      <c r="AJ164" s="171">
        <f t="shared" ref="AJ164:BO164" si="152">IF(AJ137="",1,0)*IF(AJ110="",1,0)*SUM(AJ56)*IF(AJ83="",0,1)</f>
        <v>0</v>
      </c>
      <c r="AK164" s="171">
        <f t="shared" si="152"/>
        <v>0</v>
      </c>
      <c r="AL164" s="171">
        <f t="shared" si="152"/>
        <v>0</v>
      </c>
      <c r="AM164" s="171">
        <f t="shared" si="152"/>
        <v>0</v>
      </c>
      <c r="AN164" s="171">
        <f t="shared" si="152"/>
        <v>0</v>
      </c>
      <c r="AO164" s="171">
        <f t="shared" si="152"/>
        <v>0</v>
      </c>
      <c r="AP164" s="171">
        <f t="shared" si="152"/>
        <v>0</v>
      </c>
      <c r="AQ164" s="171">
        <f t="shared" si="152"/>
        <v>0</v>
      </c>
      <c r="AR164" s="171">
        <f t="shared" si="152"/>
        <v>0</v>
      </c>
      <c r="AS164" s="171">
        <f t="shared" si="152"/>
        <v>0</v>
      </c>
      <c r="AT164" s="171">
        <f t="shared" si="152"/>
        <v>0</v>
      </c>
      <c r="AU164" s="171">
        <f t="shared" si="152"/>
        <v>0</v>
      </c>
      <c r="AV164" s="171">
        <f t="shared" si="152"/>
        <v>0</v>
      </c>
      <c r="AW164" s="171">
        <f t="shared" si="152"/>
        <v>0</v>
      </c>
      <c r="AX164" s="171">
        <f t="shared" si="152"/>
        <v>0</v>
      </c>
      <c r="AY164" s="171">
        <f t="shared" si="152"/>
        <v>0</v>
      </c>
      <c r="AZ164" s="171">
        <f t="shared" si="152"/>
        <v>0</v>
      </c>
      <c r="BA164" s="171">
        <f t="shared" si="152"/>
        <v>0</v>
      </c>
      <c r="BB164" s="171">
        <f t="shared" si="152"/>
        <v>0</v>
      </c>
      <c r="BC164" s="171">
        <f t="shared" si="152"/>
        <v>0</v>
      </c>
      <c r="BD164" s="171">
        <f t="shared" si="152"/>
        <v>0</v>
      </c>
      <c r="BE164" s="171">
        <f t="shared" si="152"/>
        <v>0</v>
      </c>
      <c r="BF164" s="171">
        <f t="shared" si="152"/>
        <v>0</v>
      </c>
      <c r="BG164" s="171">
        <f t="shared" si="152"/>
        <v>0</v>
      </c>
      <c r="BH164" s="171">
        <f t="shared" si="152"/>
        <v>0</v>
      </c>
      <c r="BI164" s="171">
        <f t="shared" si="152"/>
        <v>0</v>
      </c>
      <c r="BJ164" s="171">
        <f t="shared" si="152"/>
        <v>0</v>
      </c>
      <c r="BK164" s="171">
        <f t="shared" si="152"/>
        <v>0</v>
      </c>
      <c r="BL164" s="171">
        <f t="shared" si="152"/>
        <v>0</v>
      </c>
      <c r="BM164" s="171">
        <f t="shared" si="152"/>
        <v>0</v>
      </c>
      <c r="BN164" s="171">
        <f t="shared" si="152"/>
        <v>0</v>
      </c>
      <c r="BO164" s="171">
        <f t="shared" si="152"/>
        <v>0</v>
      </c>
      <c r="BP164" s="171">
        <f t="shared" ref="BP164:CS164" si="153">IF(BP137="",1,0)*IF(BP110="",1,0)*SUM(BP56)*IF(BP83="",0,1)</f>
        <v>0</v>
      </c>
      <c r="BQ164" s="171">
        <f t="shared" si="153"/>
        <v>0</v>
      </c>
      <c r="BR164" s="171">
        <f t="shared" si="153"/>
        <v>0</v>
      </c>
      <c r="BS164" s="171">
        <f t="shared" si="153"/>
        <v>0</v>
      </c>
      <c r="BT164" s="171">
        <f t="shared" si="153"/>
        <v>0</v>
      </c>
      <c r="BU164" s="171">
        <f t="shared" si="153"/>
        <v>0</v>
      </c>
      <c r="BV164" s="171">
        <f t="shared" si="153"/>
        <v>0</v>
      </c>
      <c r="BW164" s="171">
        <f t="shared" si="153"/>
        <v>0</v>
      </c>
      <c r="BX164" s="171">
        <f t="shared" si="153"/>
        <v>0</v>
      </c>
      <c r="BY164" s="171">
        <f t="shared" si="153"/>
        <v>0</v>
      </c>
      <c r="BZ164" s="171">
        <f t="shared" si="153"/>
        <v>0</v>
      </c>
      <c r="CA164" s="171">
        <f t="shared" si="153"/>
        <v>0</v>
      </c>
      <c r="CB164" s="171">
        <f t="shared" si="153"/>
        <v>0</v>
      </c>
      <c r="CC164" s="171">
        <f t="shared" si="153"/>
        <v>0</v>
      </c>
      <c r="CD164" s="171">
        <f t="shared" si="153"/>
        <v>0</v>
      </c>
      <c r="CE164" s="171">
        <f t="shared" si="153"/>
        <v>0</v>
      </c>
      <c r="CF164" s="171">
        <f t="shared" si="153"/>
        <v>0</v>
      </c>
      <c r="CG164" s="171">
        <f t="shared" si="153"/>
        <v>0</v>
      </c>
      <c r="CH164" s="171">
        <f t="shared" si="153"/>
        <v>0</v>
      </c>
      <c r="CI164" s="171">
        <f t="shared" si="153"/>
        <v>0</v>
      </c>
      <c r="CJ164" s="171">
        <f t="shared" si="153"/>
        <v>0</v>
      </c>
      <c r="CK164" s="171">
        <f t="shared" si="153"/>
        <v>0</v>
      </c>
      <c r="CL164" s="171">
        <f t="shared" si="153"/>
        <v>0</v>
      </c>
      <c r="CM164" s="171">
        <f t="shared" si="153"/>
        <v>0</v>
      </c>
      <c r="CN164" s="171">
        <f t="shared" si="153"/>
        <v>0</v>
      </c>
      <c r="CO164" s="171">
        <f t="shared" si="153"/>
        <v>0</v>
      </c>
      <c r="CP164" s="171">
        <f t="shared" si="153"/>
        <v>0</v>
      </c>
      <c r="CQ164" s="171">
        <f t="shared" si="153"/>
        <v>0</v>
      </c>
      <c r="CR164" s="171">
        <f t="shared" si="153"/>
        <v>0</v>
      </c>
      <c r="CS164" s="172">
        <f t="shared" si="153"/>
        <v>0</v>
      </c>
      <c r="CT164" s="85" t="s">
        <v>54</v>
      </c>
    </row>
    <row r="165" spans="1:98" hidden="1" x14ac:dyDescent="0.25">
      <c r="A165" s="97">
        <v>0</v>
      </c>
      <c r="B165" s="90">
        <f t="shared" si="108"/>
        <v>2011</v>
      </c>
      <c r="C165" s="101"/>
      <c r="D165" s="171">
        <f t="shared" ref="D165:AI165" si="154">IF(D138="",1,0)*IF(D111="",1,0)*SUM(D57)*IF(D84="",0,1)</f>
        <v>0</v>
      </c>
      <c r="E165" s="171">
        <f t="shared" si="154"/>
        <v>1</v>
      </c>
      <c r="F165" s="171">
        <f t="shared" si="154"/>
        <v>1</v>
      </c>
      <c r="G165" s="171">
        <f t="shared" si="154"/>
        <v>1</v>
      </c>
      <c r="H165" s="171">
        <f t="shared" si="154"/>
        <v>1</v>
      </c>
      <c r="I165" s="171">
        <f t="shared" si="154"/>
        <v>1</v>
      </c>
      <c r="J165" s="171">
        <f t="shared" si="154"/>
        <v>1</v>
      </c>
      <c r="K165" s="171">
        <f t="shared" si="154"/>
        <v>1</v>
      </c>
      <c r="L165" s="171">
        <f t="shared" si="154"/>
        <v>0</v>
      </c>
      <c r="M165" s="171">
        <f t="shared" si="154"/>
        <v>0</v>
      </c>
      <c r="N165" s="171">
        <f t="shared" si="154"/>
        <v>0</v>
      </c>
      <c r="O165" s="171">
        <f t="shared" si="154"/>
        <v>0</v>
      </c>
      <c r="P165" s="171">
        <f t="shared" si="154"/>
        <v>0</v>
      </c>
      <c r="Q165" s="171">
        <f t="shared" si="154"/>
        <v>0</v>
      </c>
      <c r="R165" s="171">
        <f t="shared" si="154"/>
        <v>0</v>
      </c>
      <c r="S165" s="171">
        <f t="shared" si="154"/>
        <v>0</v>
      </c>
      <c r="T165" s="171">
        <f t="shared" si="154"/>
        <v>0</v>
      </c>
      <c r="U165" s="171">
        <f t="shared" si="154"/>
        <v>0</v>
      </c>
      <c r="V165" s="171">
        <f t="shared" si="154"/>
        <v>0</v>
      </c>
      <c r="W165" s="171">
        <f t="shared" si="154"/>
        <v>0</v>
      </c>
      <c r="X165" s="171">
        <f t="shared" si="154"/>
        <v>0</v>
      </c>
      <c r="Y165" s="171">
        <f t="shared" si="154"/>
        <v>0</v>
      </c>
      <c r="Z165" s="171">
        <f t="shared" si="154"/>
        <v>0</v>
      </c>
      <c r="AA165" s="171">
        <f t="shared" si="154"/>
        <v>0</v>
      </c>
      <c r="AB165" s="171">
        <f t="shared" si="154"/>
        <v>0</v>
      </c>
      <c r="AC165" s="171">
        <f t="shared" si="154"/>
        <v>0</v>
      </c>
      <c r="AD165" s="171">
        <f t="shared" si="154"/>
        <v>0</v>
      </c>
      <c r="AE165" s="171">
        <f t="shared" si="154"/>
        <v>0</v>
      </c>
      <c r="AF165" s="171">
        <f t="shared" si="154"/>
        <v>0</v>
      </c>
      <c r="AG165" s="171">
        <f t="shared" si="154"/>
        <v>0</v>
      </c>
      <c r="AH165" s="171">
        <f t="shared" si="154"/>
        <v>0</v>
      </c>
      <c r="AI165" s="171">
        <f t="shared" si="154"/>
        <v>0</v>
      </c>
      <c r="AJ165" s="171">
        <f t="shared" ref="AJ165:BO165" si="155">IF(AJ138="",1,0)*IF(AJ111="",1,0)*SUM(AJ57)*IF(AJ84="",0,1)</f>
        <v>0</v>
      </c>
      <c r="AK165" s="171">
        <f t="shared" si="155"/>
        <v>0</v>
      </c>
      <c r="AL165" s="171">
        <f t="shared" si="155"/>
        <v>0</v>
      </c>
      <c r="AM165" s="171">
        <f t="shared" si="155"/>
        <v>0</v>
      </c>
      <c r="AN165" s="171">
        <f t="shared" si="155"/>
        <v>0</v>
      </c>
      <c r="AO165" s="171">
        <f t="shared" si="155"/>
        <v>0</v>
      </c>
      <c r="AP165" s="171">
        <f t="shared" si="155"/>
        <v>0</v>
      </c>
      <c r="AQ165" s="171">
        <f t="shared" si="155"/>
        <v>0</v>
      </c>
      <c r="AR165" s="171">
        <f t="shared" si="155"/>
        <v>0</v>
      </c>
      <c r="AS165" s="171">
        <f t="shared" si="155"/>
        <v>0</v>
      </c>
      <c r="AT165" s="171">
        <f t="shared" si="155"/>
        <v>0</v>
      </c>
      <c r="AU165" s="171">
        <f t="shared" si="155"/>
        <v>0</v>
      </c>
      <c r="AV165" s="171">
        <f t="shared" si="155"/>
        <v>0</v>
      </c>
      <c r="AW165" s="171">
        <f t="shared" si="155"/>
        <v>0</v>
      </c>
      <c r="AX165" s="171">
        <f t="shared" si="155"/>
        <v>0</v>
      </c>
      <c r="AY165" s="171">
        <f t="shared" si="155"/>
        <v>0</v>
      </c>
      <c r="AZ165" s="171">
        <f t="shared" si="155"/>
        <v>0</v>
      </c>
      <c r="BA165" s="171">
        <f t="shared" si="155"/>
        <v>0</v>
      </c>
      <c r="BB165" s="171">
        <f t="shared" si="155"/>
        <v>0</v>
      </c>
      <c r="BC165" s="171">
        <f t="shared" si="155"/>
        <v>0</v>
      </c>
      <c r="BD165" s="171">
        <f t="shared" si="155"/>
        <v>0</v>
      </c>
      <c r="BE165" s="171">
        <f t="shared" si="155"/>
        <v>0</v>
      </c>
      <c r="BF165" s="171">
        <f t="shared" si="155"/>
        <v>0</v>
      </c>
      <c r="BG165" s="171">
        <f t="shared" si="155"/>
        <v>0</v>
      </c>
      <c r="BH165" s="171">
        <f t="shared" si="155"/>
        <v>0</v>
      </c>
      <c r="BI165" s="171">
        <f t="shared" si="155"/>
        <v>0</v>
      </c>
      <c r="BJ165" s="171">
        <f t="shared" si="155"/>
        <v>0</v>
      </c>
      <c r="BK165" s="171">
        <f t="shared" si="155"/>
        <v>0</v>
      </c>
      <c r="BL165" s="171">
        <f t="shared" si="155"/>
        <v>0</v>
      </c>
      <c r="BM165" s="171">
        <f t="shared" si="155"/>
        <v>0</v>
      </c>
      <c r="BN165" s="171">
        <f t="shared" si="155"/>
        <v>0</v>
      </c>
      <c r="BO165" s="171">
        <f t="shared" si="155"/>
        <v>0</v>
      </c>
      <c r="BP165" s="171">
        <f t="shared" ref="BP165:CS165" si="156">IF(BP138="",1,0)*IF(BP111="",1,0)*SUM(BP57)*IF(BP84="",0,1)</f>
        <v>0</v>
      </c>
      <c r="BQ165" s="171">
        <f t="shared" si="156"/>
        <v>0</v>
      </c>
      <c r="BR165" s="171">
        <f t="shared" si="156"/>
        <v>0</v>
      </c>
      <c r="BS165" s="171">
        <f t="shared" si="156"/>
        <v>0</v>
      </c>
      <c r="BT165" s="171">
        <f t="shared" si="156"/>
        <v>0</v>
      </c>
      <c r="BU165" s="171">
        <f t="shared" si="156"/>
        <v>0</v>
      </c>
      <c r="BV165" s="171">
        <f t="shared" si="156"/>
        <v>0</v>
      </c>
      <c r="BW165" s="171">
        <f t="shared" si="156"/>
        <v>0</v>
      </c>
      <c r="BX165" s="171">
        <f t="shared" si="156"/>
        <v>0</v>
      </c>
      <c r="BY165" s="171">
        <f t="shared" si="156"/>
        <v>0</v>
      </c>
      <c r="BZ165" s="171">
        <f t="shared" si="156"/>
        <v>0</v>
      </c>
      <c r="CA165" s="171">
        <f t="shared" si="156"/>
        <v>0</v>
      </c>
      <c r="CB165" s="171">
        <f t="shared" si="156"/>
        <v>0</v>
      </c>
      <c r="CC165" s="171">
        <f t="shared" si="156"/>
        <v>0</v>
      </c>
      <c r="CD165" s="171">
        <f t="shared" si="156"/>
        <v>0</v>
      </c>
      <c r="CE165" s="171">
        <f t="shared" si="156"/>
        <v>0</v>
      </c>
      <c r="CF165" s="171">
        <f t="shared" si="156"/>
        <v>0</v>
      </c>
      <c r="CG165" s="171">
        <f t="shared" si="156"/>
        <v>0</v>
      </c>
      <c r="CH165" s="171">
        <f t="shared" si="156"/>
        <v>0</v>
      </c>
      <c r="CI165" s="171">
        <f t="shared" si="156"/>
        <v>0</v>
      </c>
      <c r="CJ165" s="171">
        <f t="shared" si="156"/>
        <v>0</v>
      </c>
      <c r="CK165" s="171">
        <f t="shared" si="156"/>
        <v>0</v>
      </c>
      <c r="CL165" s="171">
        <f t="shared" si="156"/>
        <v>0</v>
      </c>
      <c r="CM165" s="171">
        <f t="shared" si="156"/>
        <v>0</v>
      </c>
      <c r="CN165" s="171">
        <f t="shared" si="156"/>
        <v>0</v>
      </c>
      <c r="CO165" s="171">
        <f t="shared" si="156"/>
        <v>0</v>
      </c>
      <c r="CP165" s="171">
        <f t="shared" si="156"/>
        <v>0</v>
      </c>
      <c r="CQ165" s="171">
        <f t="shared" si="156"/>
        <v>0</v>
      </c>
      <c r="CR165" s="171">
        <f t="shared" si="156"/>
        <v>0</v>
      </c>
      <c r="CS165" s="172">
        <f t="shared" si="156"/>
        <v>0</v>
      </c>
      <c r="CT165" s="85" t="s">
        <v>54</v>
      </c>
    </row>
    <row r="166" spans="1:98" hidden="1" x14ac:dyDescent="0.25">
      <c r="A166" s="97">
        <v>0</v>
      </c>
      <c r="B166" s="90">
        <f t="shared" si="108"/>
        <v>2012</v>
      </c>
      <c r="C166" s="101"/>
      <c r="D166" s="171">
        <f t="shared" ref="D166:AI166" si="157">IF(D139="",1,0)*IF(D112="",1,0)*SUM(D58)*IF(D85="",0,1)</f>
        <v>1</v>
      </c>
      <c r="E166" s="171">
        <f t="shared" si="157"/>
        <v>1</v>
      </c>
      <c r="F166" s="171">
        <f t="shared" si="157"/>
        <v>1</v>
      </c>
      <c r="G166" s="171">
        <f t="shared" si="157"/>
        <v>1</v>
      </c>
      <c r="H166" s="171">
        <f t="shared" si="157"/>
        <v>1</v>
      </c>
      <c r="I166" s="171">
        <f t="shared" si="157"/>
        <v>1</v>
      </c>
      <c r="J166" s="171">
        <f t="shared" si="157"/>
        <v>1</v>
      </c>
      <c r="K166" s="171">
        <f t="shared" si="157"/>
        <v>0</v>
      </c>
      <c r="L166" s="171">
        <f t="shared" si="157"/>
        <v>0</v>
      </c>
      <c r="M166" s="171">
        <f t="shared" si="157"/>
        <v>0</v>
      </c>
      <c r="N166" s="171">
        <f t="shared" si="157"/>
        <v>0</v>
      </c>
      <c r="O166" s="171">
        <f t="shared" si="157"/>
        <v>0</v>
      </c>
      <c r="P166" s="171">
        <f t="shared" si="157"/>
        <v>0</v>
      </c>
      <c r="Q166" s="171">
        <f t="shared" si="157"/>
        <v>0</v>
      </c>
      <c r="R166" s="171">
        <f t="shared" si="157"/>
        <v>0</v>
      </c>
      <c r="S166" s="171">
        <f t="shared" si="157"/>
        <v>0</v>
      </c>
      <c r="T166" s="171">
        <f t="shared" si="157"/>
        <v>0</v>
      </c>
      <c r="U166" s="171">
        <f t="shared" si="157"/>
        <v>0</v>
      </c>
      <c r="V166" s="171">
        <f t="shared" si="157"/>
        <v>0</v>
      </c>
      <c r="W166" s="171">
        <f t="shared" si="157"/>
        <v>0</v>
      </c>
      <c r="X166" s="171">
        <f t="shared" si="157"/>
        <v>0</v>
      </c>
      <c r="Y166" s="171">
        <f t="shared" si="157"/>
        <v>0</v>
      </c>
      <c r="Z166" s="171">
        <f t="shared" si="157"/>
        <v>0</v>
      </c>
      <c r="AA166" s="171">
        <f t="shared" si="157"/>
        <v>0</v>
      </c>
      <c r="AB166" s="171">
        <f t="shared" si="157"/>
        <v>0</v>
      </c>
      <c r="AC166" s="171">
        <f t="shared" si="157"/>
        <v>0</v>
      </c>
      <c r="AD166" s="171">
        <f t="shared" si="157"/>
        <v>0</v>
      </c>
      <c r="AE166" s="171">
        <f t="shared" si="157"/>
        <v>0</v>
      </c>
      <c r="AF166" s="171">
        <f t="shared" si="157"/>
        <v>0</v>
      </c>
      <c r="AG166" s="171">
        <f t="shared" si="157"/>
        <v>0</v>
      </c>
      <c r="AH166" s="171">
        <f t="shared" si="157"/>
        <v>0</v>
      </c>
      <c r="AI166" s="171">
        <f t="shared" si="157"/>
        <v>0</v>
      </c>
      <c r="AJ166" s="171">
        <f t="shared" ref="AJ166:BO166" si="158">IF(AJ139="",1,0)*IF(AJ112="",1,0)*SUM(AJ58)*IF(AJ85="",0,1)</f>
        <v>0</v>
      </c>
      <c r="AK166" s="171">
        <f t="shared" si="158"/>
        <v>0</v>
      </c>
      <c r="AL166" s="171">
        <f t="shared" si="158"/>
        <v>0</v>
      </c>
      <c r="AM166" s="171">
        <f t="shared" si="158"/>
        <v>0</v>
      </c>
      <c r="AN166" s="171">
        <f t="shared" si="158"/>
        <v>0</v>
      </c>
      <c r="AO166" s="171">
        <f t="shared" si="158"/>
        <v>0</v>
      </c>
      <c r="AP166" s="171">
        <f t="shared" si="158"/>
        <v>0</v>
      </c>
      <c r="AQ166" s="171">
        <f t="shared" si="158"/>
        <v>0</v>
      </c>
      <c r="AR166" s="171">
        <f t="shared" si="158"/>
        <v>0</v>
      </c>
      <c r="AS166" s="171">
        <f t="shared" si="158"/>
        <v>0</v>
      </c>
      <c r="AT166" s="171">
        <f t="shared" si="158"/>
        <v>0</v>
      </c>
      <c r="AU166" s="171">
        <f t="shared" si="158"/>
        <v>0</v>
      </c>
      <c r="AV166" s="171">
        <f t="shared" si="158"/>
        <v>0</v>
      </c>
      <c r="AW166" s="171">
        <f t="shared" si="158"/>
        <v>0</v>
      </c>
      <c r="AX166" s="171">
        <f t="shared" si="158"/>
        <v>0</v>
      </c>
      <c r="AY166" s="171">
        <f t="shared" si="158"/>
        <v>0</v>
      </c>
      <c r="AZ166" s="171">
        <f t="shared" si="158"/>
        <v>0</v>
      </c>
      <c r="BA166" s="171">
        <f t="shared" si="158"/>
        <v>0</v>
      </c>
      <c r="BB166" s="171">
        <f t="shared" si="158"/>
        <v>0</v>
      </c>
      <c r="BC166" s="171">
        <f t="shared" si="158"/>
        <v>0</v>
      </c>
      <c r="BD166" s="171">
        <f t="shared" si="158"/>
        <v>0</v>
      </c>
      <c r="BE166" s="171">
        <f t="shared" si="158"/>
        <v>0</v>
      </c>
      <c r="BF166" s="171">
        <f t="shared" si="158"/>
        <v>0</v>
      </c>
      <c r="BG166" s="171">
        <f t="shared" si="158"/>
        <v>0</v>
      </c>
      <c r="BH166" s="171">
        <f t="shared" si="158"/>
        <v>0</v>
      </c>
      <c r="BI166" s="171">
        <f t="shared" si="158"/>
        <v>0</v>
      </c>
      <c r="BJ166" s="171">
        <f t="shared" si="158"/>
        <v>0</v>
      </c>
      <c r="BK166" s="171">
        <f t="shared" si="158"/>
        <v>0</v>
      </c>
      <c r="BL166" s="171">
        <f t="shared" si="158"/>
        <v>0</v>
      </c>
      <c r="BM166" s="171">
        <f t="shared" si="158"/>
        <v>0</v>
      </c>
      <c r="BN166" s="171">
        <f t="shared" si="158"/>
        <v>0</v>
      </c>
      <c r="BO166" s="171">
        <f t="shared" si="158"/>
        <v>0</v>
      </c>
      <c r="BP166" s="171">
        <f t="shared" ref="BP166:CS166" si="159">IF(BP139="",1,0)*IF(BP112="",1,0)*SUM(BP58)*IF(BP85="",0,1)</f>
        <v>0</v>
      </c>
      <c r="BQ166" s="171">
        <f t="shared" si="159"/>
        <v>0</v>
      </c>
      <c r="BR166" s="171">
        <f t="shared" si="159"/>
        <v>0</v>
      </c>
      <c r="BS166" s="171">
        <f t="shared" si="159"/>
        <v>0</v>
      </c>
      <c r="BT166" s="171">
        <f t="shared" si="159"/>
        <v>0</v>
      </c>
      <c r="BU166" s="171">
        <f t="shared" si="159"/>
        <v>0</v>
      </c>
      <c r="BV166" s="171">
        <f t="shared" si="159"/>
        <v>0</v>
      </c>
      <c r="BW166" s="171">
        <f t="shared" si="159"/>
        <v>0</v>
      </c>
      <c r="BX166" s="171">
        <f t="shared" si="159"/>
        <v>0</v>
      </c>
      <c r="BY166" s="171">
        <f t="shared" si="159"/>
        <v>0</v>
      </c>
      <c r="BZ166" s="171">
        <f t="shared" si="159"/>
        <v>0</v>
      </c>
      <c r="CA166" s="171">
        <f t="shared" si="159"/>
        <v>0</v>
      </c>
      <c r="CB166" s="171">
        <f t="shared" si="159"/>
        <v>0</v>
      </c>
      <c r="CC166" s="171">
        <f t="shared" si="159"/>
        <v>0</v>
      </c>
      <c r="CD166" s="171">
        <f t="shared" si="159"/>
        <v>0</v>
      </c>
      <c r="CE166" s="171">
        <f t="shared" si="159"/>
        <v>0</v>
      </c>
      <c r="CF166" s="171">
        <f t="shared" si="159"/>
        <v>0</v>
      </c>
      <c r="CG166" s="171">
        <f t="shared" si="159"/>
        <v>0</v>
      </c>
      <c r="CH166" s="171">
        <f t="shared" si="159"/>
        <v>0</v>
      </c>
      <c r="CI166" s="171">
        <f t="shared" si="159"/>
        <v>0</v>
      </c>
      <c r="CJ166" s="171">
        <f t="shared" si="159"/>
        <v>0</v>
      </c>
      <c r="CK166" s="171">
        <f t="shared" si="159"/>
        <v>0</v>
      </c>
      <c r="CL166" s="171">
        <f t="shared" si="159"/>
        <v>0</v>
      </c>
      <c r="CM166" s="171">
        <f t="shared" si="159"/>
        <v>0</v>
      </c>
      <c r="CN166" s="171">
        <f t="shared" si="159"/>
        <v>0</v>
      </c>
      <c r="CO166" s="171">
        <f t="shared" si="159"/>
        <v>0</v>
      </c>
      <c r="CP166" s="171">
        <f t="shared" si="159"/>
        <v>0</v>
      </c>
      <c r="CQ166" s="171">
        <f t="shared" si="159"/>
        <v>0</v>
      </c>
      <c r="CR166" s="171">
        <f t="shared" si="159"/>
        <v>0</v>
      </c>
      <c r="CS166" s="172">
        <f t="shared" si="159"/>
        <v>0</v>
      </c>
      <c r="CT166" s="85" t="s">
        <v>54</v>
      </c>
    </row>
    <row r="167" spans="1:98" hidden="1" x14ac:dyDescent="0.25">
      <c r="A167" s="97">
        <v>0</v>
      </c>
      <c r="B167" s="90">
        <f t="shared" si="108"/>
        <v>2013</v>
      </c>
      <c r="C167" s="101"/>
      <c r="D167" s="171">
        <f t="shared" ref="D167:AI167" si="160">IF(D140="",1,0)*IF(D113="",1,0)*SUM(D59)*IF(D86="",0,1)</f>
        <v>0</v>
      </c>
      <c r="E167" s="171">
        <f t="shared" si="160"/>
        <v>0</v>
      </c>
      <c r="F167" s="171">
        <f t="shared" si="160"/>
        <v>0</v>
      </c>
      <c r="G167" s="171">
        <f t="shared" si="160"/>
        <v>0</v>
      </c>
      <c r="H167" s="171">
        <f t="shared" si="160"/>
        <v>0</v>
      </c>
      <c r="I167" s="171">
        <f t="shared" si="160"/>
        <v>0</v>
      </c>
      <c r="J167" s="171">
        <f t="shared" si="160"/>
        <v>0</v>
      </c>
      <c r="K167" s="171">
        <f t="shared" si="160"/>
        <v>0</v>
      </c>
      <c r="L167" s="171">
        <f t="shared" si="160"/>
        <v>0</v>
      </c>
      <c r="M167" s="171">
        <f t="shared" si="160"/>
        <v>0</v>
      </c>
      <c r="N167" s="171">
        <f t="shared" si="160"/>
        <v>0</v>
      </c>
      <c r="O167" s="171">
        <f t="shared" si="160"/>
        <v>0</v>
      </c>
      <c r="P167" s="171">
        <f t="shared" si="160"/>
        <v>0</v>
      </c>
      <c r="Q167" s="171">
        <f t="shared" si="160"/>
        <v>0</v>
      </c>
      <c r="R167" s="171">
        <f t="shared" si="160"/>
        <v>0</v>
      </c>
      <c r="S167" s="171">
        <f t="shared" si="160"/>
        <v>0</v>
      </c>
      <c r="T167" s="171">
        <f t="shared" si="160"/>
        <v>0</v>
      </c>
      <c r="U167" s="171">
        <f t="shared" si="160"/>
        <v>0</v>
      </c>
      <c r="V167" s="171">
        <f t="shared" si="160"/>
        <v>0</v>
      </c>
      <c r="W167" s="171">
        <f t="shared" si="160"/>
        <v>0</v>
      </c>
      <c r="X167" s="171">
        <f t="shared" si="160"/>
        <v>0</v>
      </c>
      <c r="Y167" s="171">
        <f t="shared" si="160"/>
        <v>0</v>
      </c>
      <c r="Z167" s="171">
        <f t="shared" si="160"/>
        <v>0</v>
      </c>
      <c r="AA167" s="171">
        <f t="shared" si="160"/>
        <v>0</v>
      </c>
      <c r="AB167" s="171">
        <f t="shared" si="160"/>
        <v>0</v>
      </c>
      <c r="AC167" s="171">
        <f t="shared" si="160"/>
        <v>0</v>
      </c>
      <c r="AD167" s="171">
        <f t="shared" si="160"/>
        <v>0</v>
      </c>
      <c r="AE167" s="171">
        <f t="shared" si="160"/>
        <v>0</v>
      </c>
      <c r="AF167" s="171">
        <f t="shared" si="160"/>
        <v>0</v>
      </c>
      <c r="AG167" s="171">
        <f t="shared" si="160"/>
        <v>0</v>
      </c>
      <c r="AH167" s="171">
        <f t="shared" si="160"/>
        <v>0</v>
      </c>
      <c r="AI167" s="171">
        <f t="shared" si="160"/>
        <v>0</v>
      </c>
      <c r="AJ167" s="171">
        <f t="shared" ref="AJ167:BO167" si="161">IF(AJ140="",1,0)*IF(AJ113="",1,0)*SUM(AJ59)*IF(AJ86="",0,1)</f>
        <v>0</v>
      </c>
      <c r="AK167" s="171">
        <f t="shared" si="161"/>
        <v>0</v>
      </c>
      <c r="AL167" s="171">
        <f t="shared" si="161"/>
        <v>0</v>
      </c>
      <c r="AM167" s="171">
        <f t="shared" si="161"/>
        <v>0</v>
      </c>
      <c r="AN167" s="171">
        <f t="shared" si="161"/>
        <v>0</v>
      </c>
      <c r="AO167" s="171">
        <f t="shared" si="161"/>
        <v>0</v>
      </c>
      <c r="AP167" s="171">
        <f t="shared" si="161"/>
        <v>0</v>
      </c>
      <c r="AQ167" s="171">
        <f t="shared" si="161"/>
        <v>0</v>
      </c>
      <c r="AR167" s="171">
        <f t="shared" si="161"/>
        <v>0</v>
      </c>
      <c r="AS167" s="171">
        <f t="shared" si="161"/>
        <v>0</v>
      </c>
      <c r="AT167" s="171">
        <f t="shared" si="161"/>
        <v>0</v>
      </c>
      <c r="AU167" s="171">
        <f t="shared" si="161"/>
        <v>0</v>
      </c>
      <c r="AV167" s="171">
        <f t="shared" si="161"/>
        <v>0</v>
      </c>
      <c r="AW167" s="171">
        <f t="shared" si="161"/>
        <v>0</v>
      </c>
      <c r="AX167" s="171">
        <f t="shared" si="161"/>
        <v>0</v>
      </c>
      <c r="AY167" s="171">
        <f t="shared" si="161"/>
        <v>0</v>
      </c>
      <c r="AZ167" s="171">
        <f t="shared" si="161"/>
        <v>0</v>
      </c>
      <c r="BA167" s="171">
        <f t="shared" si="161"/>
        <v>0</v>
      </c>
      <c r="BB167" s="171">
        <f t="shared" si="161"/>
        <v>0</v>
      </c>
      <c r="BC167" s="171">
        <f t="shared" si="161"/>
        <v>0</v>
      </c>
      <c r="BD167" s="171">
        <f t="shared" si="161"/>
        <v>0</v>
      </c>
      <c r="BE167" s="171">
        <f t="shared" si="161"/>
        <v>0</v>
      </c>
      <c r="BF167" s="171">
        <f t="shared" si="161"/>
        <v>0</v>
      </c>
      <c r="BG167" s="171">
        <f t="shared" si="161"/>
        <v>0</v>
      </c>
      <c r="BH167" s="171">
        <f t="shared" si="161"/>
        <v>0</v>
      </c>
      <c r="BI167" s="171">
        <f t="shared" si="161"/>
        <v>0</v>
      </c>
      <c r="BJ167" s="171">
        <f t="shared" si="161"/>
        <v>0</v>
      </c>
      <c r="BK167" s="171">
        <f t="shared" si="161"/>
        <v>0</v>
      </c>
      <c r="BL167" s="171">
        <f t="shared" si="161"/>
        <v>0</v>
      </c>
      <c r="BM167" s="171">
        <f t="shared" si="161"/>
        <v>0</v>
      </c>
      <c r="BN167" s="171">
        <f t="shared" si="161"/>
        <v>0</v>
      </c>
      <c r="BO167" s="171">
        <f t="shared" si="161"/>
        <v>0</v>
      </c>
      <c r="BP167" s="171">
        <f t="shared" ref="BP167:CS167" si="162">IF(BP140="",1,0)*IF(BP113="",1,0)*SUM(BP59)*IF(BP86="",0,1)</f>
        <v>0</v>
      </c>
      <c r="BQ167" s="171">
        <f t="shared" si="162"/>
        <v>0</v>
      </c>
      <c r="BR167" s="171">
        <f t="shared" si="162"/>
        <v>0</v>
      </c>
      <c r="BS167" s="171">
        <f t="shared" si="162"/>
        <v>0</v>
      </c>
      <c r="BT167" s="171">
        <f t="shared" si="162"/>
        <v>0</v>
      </c>
      <c r="BU167" s="171">
        <f t="shared" si="162"/>
        <v>0</v>
      </c>
      <c r="BV167" s="171">
        <f t="shared" si="162"/>
        <v>0</v>
      </c>
      <c r="BW167" s="171">
        <f t="shared" si="162"/>
        <v>0</v>
      </c>
      <c r="BX167" s="171">
        <f t="shared" si="162"/>
        <v>0</v>
      </c>
      <c r="BY167" s="171">
        <f t="shared" si="162"/>
        <v>0</v>
      </c>
      <c r="BZ167" s="171">
        <f t="shared" si="162"/>
        <v>0</v>
      </c>
      <c r="CA167" s="171">
        <f t="shared" si="162"/>
        <v>0</v>
      </c>
      <c r="CB167" s="171">
        <f t="shared" si="162"/>
        <v>0</v>
      </c>
      <c r="CC167" s="171">
        <f t="shared" si="162"/>
        <v>0</v>
      </c>
      <c r="CD167" s="171">
        <f t="shared" si="162"/>
        <v>0</v>
      </c>
      <c r="CE167" s="171">
        <f t="shared" si="162"/>
        <v>0</v>
      </c>
      <c r="CF167" s="171">
        <f t="shared" si="162"/>
        <v>0</v>
      </c>
      <c r="CG167" s="171">
        <f t="shared" si="162"/>
        <v>0</v>
      </c>
      <c r="CH167" s="171">
        <f t="shared" si="162"/>
        <v>0</v>
      </c>
      <c r="CI167" s="171">
        <f t="shared" si="162"/>
        <v>0</v>
      </c>
      <c r="CJ167" s="171">
        <f t="shared" si="162"/>
        <v>0</v>
      </c>
      <c r="CK167" s="171">
        <f t="shared" si="162"/>
        <v>0</v>
      </c>
      <c r="CL167" s="171">
        <f t="shared" si="162"/>
        <v>0</v>
      </c>
      <c r="CM167" s="171">
        <f t="shared" si="162"/>
        <v>0</v>
      </c>
      <c r="CN167" s="171">
        <f t="shared" si="162"/>
        <v>0</v>
      </c>
      <c r="CO167" s="171">
        <f t="shared" si="162"/>
        <v>0</v>
      </c>
      <c r="CP167" s="171">
        <f t="shared" si="162"/>
        <v>0</v>
      </c>
      <c r="CQ167" s="171">
        <f t="shared" si="162"/>
        <v>0</v>
      </c>
      <c r="CR167" s="171">
        <f t="shared" si="162"/>
        <v>0</v>
      </c>
      <c r="CS167" s="172">
        <f t="shared" si="162"/>
        <v>0</v>
      </c>
      <c r="CT167" s="11" t="s">
        <v>54</v>
      </c>
    </row>
    <row r="168" spans="1:98" hidden="1" x14ac:dyDescent="0.25">
      <c r="A168" s="97">
        <v>0</v>
      </c>
      <c r="B168" s="90">
        <f t="shared" si="108"/>
        <v>2014</v>
      </c>
      <c r="C168" s="101"/>
      <c r="D168" s="171">
        <f t="shared" ref="D168:AI168" si="163">IF(D141="",1,0)*IF(D114="",1,0)*SUM(D60)*IF(D87="",0,1)</f>
        <v>1</v>
      </c>
      <c r="E168" s="171">
        <f t="shared" si="163"/>
        <v>1</v>
      </c>
      <c r="F168" s="171">
        <f t="shared" si="163"/>
        <v>1</v>
      </c>
      <c r="G168" s="171">
        <f t="shared" si="163"/>
        <v>1</v>
      </c>
      <c r="H168" s="171">
        <f t="shared" si="163"/>
        <v>1</v>
      </c>
      <c r="I168" s="171">
        <f t="shared" si="163"/>
        <v>0</v>
      </c>
      <c r="J168" s="171">
        <f t="shared" si="163"/>
        <v>0</v>
      </c>
      <c r="K168" s="171">
        <f t="shared" si="163"/>
        <v>0</v>
      </c>
      <c r="L168" s="171">
        <f t="shared" si="163"/>
        <v>0</v>
      </c>
      <c r="M168" s="171">
        <f t="shared" si="163"/>
        <v>0</v>
      </c>
      <c r="N168" s="171">
        <f t="shared" si="163"/>
        <v>0</v>
      </c>
      <c r="O168" s="171">
        <f t="shared" si="163"/>
        <v>0</v>
      </c>
      <c r="P168" s="171">
        <f t="shared" si="163"/>
        <v>0</v>
      </c>
      <c r="Q168" s="171">
        <f t="shared" si="163"/>
        <v>0</v>
      </c>
      <c r="R168" s="171">
        <f t="shared" si="163"/>
        <v>0</v>
      </c>
      <c r="S168" s="171">
        <f t="shared" si="163"/>
        <v>0</v>
      </c>
      <c r="T168" s="171">
        <f t="shared" si="163"/>
        <v>0</v>
      </c>
      <c r="U168" s="171">
        <f t="shared" si="163"/>
        <v>0</v>
      </c>
      <c r="V168" s="171">
        <f t="shared" si="163"/>
        <v>0</v>
      </c>
      <c r="W168" s="171">
        <f t="shared" si="163"/>
        <v>0</v>
      </c>
      <c r="X168" s="171">
        <f t="shared" si="163"/>
        <v>0</v>
      </c>
      <c r="Y168" s="171">
        <f t="shared" si="163"/>
        <v>0</v>
      </c>
      <c r="Z168" s="171">
        <f t="shared" si="163"/>
        <v>0</v>
      </c>
      <c r="AA168" s="171">
        <f t="shared" si="163"/>
        <v>0</v>
      </c>
      <c r="AB168" s="171">
        <f t="shared" si="163"/>
        <v>0</v>
      </c>
      <c r="AC168" s="171">
        <f t="shared" si="163"/>
        <v>0</v>
      </c>
      <c r="AD168" s="171">
        <f t="shared" si="163"/>
        <v>0</v>
      </c>
      <c r="AE168" s="171">
        <f t="shared" si="163"/>
        <v>0</v>
      </c>
      <c r="AF168" s="171">
        <f t="shared" si="163"/>
        <v>0</v>
      </c>
      <c r="AG168" s="171">
        <f t="shared" si="163"/>
        <v>0</v>
      </c>
      <c r="AH168" s="171">
        <f t="shared" si="163"/>
        <v>0</v>
      </c>
      <c r="AI168" s="171">
        <f t="shared" si="163"/>
        <v>0</v>
      </c>
      <c r="AJ168" s="171">
        <f t="shared" ref="AJ168:BO168" si="164">IF(AJ141="",1,0)*IF(AJ114="",1,0)*SUM(AJ60)*IF(AJ87="",0,1)</f>
        <v>0</v>
      </c>
      <c r="AK168" s="171">
        <f t="shared" si="164"/>
        <v>0</v>
      </c>
      <c r="AL168" s="171">
        <f t="shared" si="164"/>
        <v>0</v>
      </c>
      <c r="AM168" s="171">
        <f t="shared" si="164"/>
        <v>0</v>
      </c>
      <c r="AN168" s="171">
        <f t="shared" si="164"/>
        <v>0</v>
      </c>
      <c r="AO168" s="171">
        <f t="shared" si="164"/>
        <v>0</v>
      </c>
      <c r="AP168" s="171">
        <f t="shared" si="164"/>
        <v>0</v>
      </c>
      <c r="AQ168" s="171">
        <f t="shared" si="164"/>
        <v>0</v>
      </c>
      <c r="AR168" s="171">
        <f t="shared" si="164"/>
        <v>0</v>
      </c>
      <c r="AS168" s="171">
        <f t="shared" si="164"/>
        <v>0</v>
      </c>
      <c r="AT168" s="171">
        <f t="shared" si="164"/>
        <v>0</v>
      </c>
      <c r="AU168" s="171">
        <f t="shared" si="164"/>
        <v>0</v>
      </c>
      <c r="AV168" s="171">
        <f t="shared" si="164"/>
        <v>0</v>
      </c>
      <c r="AW168" s="171">
        <f t="shared" si="164"/>
        <v>0</v>
      </c>
      <c r="AX168" s="171">
        <f t="shared" si="164"/>
        <v>0</v>
      </c>
      <c r="AY168" s="171">
        <f t="shared" si="164"/>
        <v>0</v>
      </c>
      <c r="AZ168" s="171">
        <f t="shared" si="164"/>
        <v>0</v>
      </c>
      <c r="BA168" s="171">
        <f t="shared" si="164"/>
        <v>0</v>
      </c>
      <c r="BB168" s="171">
        <f t="shared" si="164"/>
        <v>0</v>
      </c>
      <c r="BC168" s="171">
        <f t="shared" si="164"/>
        <v>0</v>
      </c>
      <c r="BD168" s="171">
        <f t="shared" si="164"/>
        <v>0</v>
      </c>
      <c r="BE168" s="171">
        <f t="shared" si="164"/>
        <v>0</v>
      </c>
      <c r="BF168" s="171">
        <f t="shared" si="164"/>
        <v>0</v>
      </c>
      <c r="BG168" s="171">
        <f t="shared" si="164"/>
        <v>0</v>
      </c>
      <c r="BH168" s="171">
        <f t="shared" si="164"/>
        <v>0</v>
      </c>
      <c r="BI168" s="171">
        <f t="shared" si="164"/>
        <v>0</v>
      </c>
      <c r="BJ168" s="171">
        <f t="shared" si="164"/>
        <v>0</v>
      </c>
      <c r="BK168" s="171">
        <f t="shared" si="164"/>
        <v>0</v>
      </c>
      <c r="BL168" s="171">
        <f t="shared" si="164"/>
        <v>0</v>
      </c>
      <c r="BM168" s="171">
        <f t="shared" si="164"/>
        <v>0</v>
      </c>
      <c r="BN168" s="171">
        <f t="shared" si="164"/>
        <v>0</v>
      </c>
      <c r="BO168" s="171">
        <f t="shared" si="164"/>
        <v>0</v>
      </c>
      <c r="BP168" s="171">
        <f t="shared" ref="BP168:CS168" si="165">IF(BP141="",1,0)*IF(BP114="",1,0)*SUM(BP60)*IF(BP87="",0,1)</f>
        <v>0</v>
      </c>
      <c r="BQ168" s="171">
        <f t="shared" si="165"/>
        <v>0</v>
      </c>
      <c r="BR168" s="171">
        <f t="shared" si="165"/>
        <v>0</v>
      </c>
      <c r="BS168" s="171">
        <f t="shared" si="165"/>
        <v>0</v>
      </c>
      <c r="BT168" s="171">
        <f t="shared" si="165"/>
        <v>0</v>
      </c>
      <c r="BU168" s="171">
        <f t="shared" si="165"/>
        <v>0</v>
      </c>
      <c r="BV168" s="171">
        <f t="shared" si="165"/>
        <v>0</v>
      </c>
      <c r="BW168" s="171">
        <f t="shared" si="165"/>
        <v>0</v>
      </c>
      <c r="BX168" s="171">
        <f t="shared" si="165"/>
        <v>0</v>
      </c>
      <c r="BY168" s="171">
        <f t="shared" si="165"/>
        <v>0</v>
      </c>
      <c r="BZ168" s="171">
        <f t="shared" si="165"/>
        <v>0</v>
      </c>
      <c r="CA168" s="171">
        <f t="shared" si="165"/>
        <v>0</v>
      </c>
      <c r="CB168" s="171">
        <f t="shared" si="165"/>
        <v>0</v>
      </c>
      <c r="CC168" s="171">
        <f t="shared" si="165"/>
        <v>0</v>
      </c>
      <c r="CD168" s="171">
        <f t="shared" si="165"/>
        <v>0</v>
      </c>
      <c r="CE168" s="171">
        <f t="shared" si="165"/>
        <v>0</v>
      </c>
      <c r="CF168" s="171">
        <f t="shared" si="165"/>
        <v>0</v>
      </c>
      <c r="CG168" s="171">
        <f t="shared" si="165"/>
        <v>0</v>
      </c>
      <c r="CH168" s="171">
        <f t="shared" si="165"/>
        <v>0</v>
      </c>
      <c r="CI168" s="171">
        <f t="shared" si="165"/>
        <v>0</v>
      </c>
      <c r="CJ168" s="171">
        <f t="shared" si="165"/>
        <v>0</v>
      </c>
      <c r="CK168" s="171">
        <f t="shared" si="165"/>
        <v>0</v>
      </c>
      <c r="CL168" s="171">
        <f t="shared" si="165"/>
        <v>0</v>
      </c>
      <c r="CM168" s="171">
        <f t="shared" si="165"/>
        <v>0</v>
      </c>
      <c r="CN168" s="171">
        <f t="shared" si="165"/>
        <v>0</v>
      </c>
      <c r="CO168" s="171">
        <f t="shared" si="165"/>
        <v>0</v>
      </c>
      <c r="CP168" s="171">
        <f t="shared" si="165"/>
        <v>0</v>
      </c>
      <c r="CQ168" s="171">
        <f t="shared" si="165"/>
        <v>0</v>
      </c>
      <c r="CR168" s="171">
        <f t="shared" si="165"/>
        <v>0</v>
      </c>
      <c r="CS168" s="172">
        <f t="shared" si="165"/>
        <v>0</v>
      </c>
      <c r="CT168" s="11" t="s">
        <v>54</v>
      </c>
    </row>
    <row r="169" spans="1:98" hidden="1" x14ac:dyDescent="0.25">
      <c r="A169" s="97">
        <v>0</v>
      </c>
      <c r="B169" s="90">
        <f t="shared" si="108"/>
        <v>2015</v>
      </c>
      <c r="C169" s="101"/>
      <c r="D169" s="171">
        <f t="shared" ref="D169:AI169" si="166">IF(D142="",1,0)*IF(D115="",1,0)*SUM(D61)*IF(D88="",0,1)</f>
        <v>1</v>
      </c>
      <c r="E169" s="171">
        <f t="shared" si="166"/>
        <v>1</v>
      </c>
      <c r="F169" s="171">
        <f t="shared" si="166"/>
        <v>1</v>
      </c>
      <c r="G169" s="171">
        <f t="shared" si="166"/>
        <v>0</v>
      </c>
      <c r="H169" s="171">
        <f t="shared" si="166"/>
        <v>0</v>
      </c>
      <c r="I169" s="171">
        <f t="shared" si="166"/>
        <v>0</v>
      </c>
      <c r="J169" s="171">
        <f t="shared" si="166"/>
        <v>0</v>
      </c>
      <c r="K169" s="171">
        <f t="shared" si="166"/>
        <v>0</v>
      </c>
      <c r="L169" s="171">
        <f t="shared" si="166"/>
        <v>0</v>
      </c>
      <c r="M169" s="171">
        <f t="shared" si="166"/>
        <v>0</v>
      </c>
      <c r="N169" s="171">
        <f t="shared" si="166"/>
        <v>0</v>
      </c>
      <c r="O169" s="171">
        <f t="shared" si="166"/>
        <v>0</v>
      </c>
      <c r="P169" s="171">
        <f t="shared" si="166"/>
        <v>0</v>
      </c>
      <c r="Q169" s="171">
        <f t="shared" si="166"/>
        <v>0</v>
      </c>
      <c r="R169" s="171">
        <f t="shared" si="166"/>
        <v>0</v>
      </c>
      <c r="S169" s="171">
        <f t="shared" si="166"/>
        <v>0</v>
      </c>
      <c r="T169" s="171">
        <f t="shared" si="166"/>
        <v>0</v>
      </c>
      <c r="U169" s="171">
        <f t="shared" si="166"/>
        <v>0</v>
      </c>
      <c r="V169" s="171">
        <f t="shared" si="166"/>
        <v>0</v>
      </c>
      <c r="W169" s="171">
        <f t="shared" si="166"/>
        <v>0</v>
      </c>
      <c r="X169" s="171">
        <f t="shared" si="166"/>
        <v>0</v>
      </c>
      <c r="Y169" s="171">
        <f t="shared" si="166"/>
        <v>0</v>
      </c>
      <c r="Z169" s="171">
        <f t="shared" si="166"/>
        <v>0</v>
      </c>
      <c r="AA169" s="171">
        <f t="shared" si="166"/>
        <v>0</v>
      </c>
      <c r="AB169" s="171">
        <f t="shared" si="166"/>
        <v>0</v>
      </c>
      <c r="AC169" s="171">
        <f t="shared" si="166"/>
        <v>0</v>
      </c>
      <c r="AD169" s="171">
        <f t="shared" si="166"/>
        <v>0</v>
      </c>
      <c r="AE169" s="171">
        <f t="shared" si="166"/>
        <v>0</v>
      </c>
      <c r="AF169" s="171">
        <f t="shared" si="166"/>
        <v>0</v>
      </c>
      <c r="AG169" s="171">
        <f t="shared" si="166"/>
        <v>0</v>
      </c>
      <c r="AH169" s="171">
        <f t="shared" si="166"/>
        <v>0</v>
      </c>
      <c r="AI169" s="171">
        <f t="shared" si="166"/>
        <v>0</v>
      </c>
      <c r="AJ169" s="171">
        <f t="shared" ref="AJ169:BO169" si="167">IF(AJ142="",1,0)*IF(AJ115="",1,0)*SUM(AJ61)*IF(AJ88="",0,1)</f>
        <v>0</v>
      </c>
      <c r="AK169" s="171">
        <f t="shared" si="167"/>
        <v>0</v>
      </c>
      <c r="AL169" s="171">
        <f t="shared" si="167"/>
        <v>0</v>
      </c>
      <c r="AM169" s="171">
        <f t="shared" si="167"/>
        <v>0</v>
      </c>
      <c r="AN169" s="171">
        <f t="shared" si="167"/>
        <v>0</v>
      </c>
      <c r="AO169" s="171">
        <f t="shared" si="167"/>
        <v>0</v>
      </c>
      <c r="AP169" s="171">
        <f t="shared" si="167"/>
        <v>0</v>
      </c>
      <c r="AQ169" s="171">
        <f t="shared" si="167"/>
        <v>0</v>
      </c>
      <c r="AR169" s="171">
        <f t="shared" si="167"/>
        <v>0</v>
      </c>
      <c r="AS169" s="171">
        <f t="shared" si="167"/>
        <v>0</v>
      </c>
      <c r="AT169" s="171">
        <f t="shared" si="167"/>
        <v>0</v>
      </c>
      <c r="AU169" s="171">
        <f t="shared" si="167"/>
        <v>0</v>
      </c>
      <c r="AV169" s="171">
        <f t="shared" si="167"/>
        <v>0</v>
      </c>
      <c r="AW169" s="171">
        <f t="shared" si="167"/>
        <v>0</v>
      </c>
      <c r="AX169" s="171">
        <f t="shared" si="167"/>
        <v>0</v>
      </c>
      <c r="AY169" s="171">
        <f t="shared" si="167"/>
        <v>0</v>
      </c>
      <c r="AZ169" s="171">
        <f t="shared" si="167"/>
        <v>0</v>
      </c>
      <c r="BA169" s="171">
        <f t="shared" si="167"/>
        <v>0</v>
      </c>
      <c r="BB169" s="171">
        <f t="shared" si="167"/>
        <v>0</v>
      </c>
      <c r="BC169" s="171">
        <f t="shared" si="167"/>
        <v>0</v>
      </c>
      <c r="BD169" s="171">
        <f t="shared" si="167"/>
        <v>0</v>
      </c>
      <c r="BE169" s="171">
        <f t="shared" si="167"/>
        <v>0</v>
      </c>
      <c r="BF169" s="171">
        <f t="shared" si="167"/>
        <v>0</v>
      </c>
      <c r="BG169" s="171">
        <f t="shared" si="167"/>
        <v>0</v>
      </c>
      <c r="BH169" s="171">
        <f t="shared" si="167"/>
        <v>0</v>
      </c>
      <c r="BI169" s="171">
        <f t="shared" si="167"/>
        <v>0</v>
      </c>
      <c r="BJ169" s="171">
        <f t="shared" si="167"/>
        <v>0</v>
      </c>
      <c r="BK169" s="171">
        <f t="shared" si="167"/>
        <v>0</v>
      </c>
      <c r="BL169" s="171">
        <f t="shared" si="167"/>
        <v>0</v>
      </c>
      <c r="BM169" s="171">
        <f t="shared" si="167"/>
        <v>0</v>
      </c>
      <c r="BN169" s="171">
        <f t="shared" si="167"/>
        <v>0</v>
      </c>
      <c r="BO169" s="171">
        <f t="shared" si="167"/>
        <v>0</v>
      </c>
      <c r="BP169" s="171">
        <f t="shared" ref="BP169:CS169" si="168">IF(BP142="",1,0)*IF(BP115="",1,0)*SUM(BP61)*IF(BP88="",0,1)</f>
        <v>0</v>
      </c>
      <c r="BQ169" s="171">
        <f t="shared" si="168"/>
        <v>0</v>
      </c>
      <c r="BR169" s="171">
        <f t="shared" si="168"/>
        <v>0</v>
      </c>
      <c r="BS169" s="171">
        <f t="shared" si="168"/>
        <v>0</v>
      </c>
      <c r="BT169" s="171">
        <f t="shared" si="168"/>
        <v>0</v>
      </c>
      <c r="BU169" s="171">
        <f t="shared" si="168"/>
        <v>0</v>
      </c>
      <c r="BV169" s="171">
        <f t="shared" si="168"/>
        <v>0</v>
      </c>
      <c r="BW169" s="171">
        <f t="shared" si="168"/>
        <v>0</v>
      </c>
      <c r="BX169" s="171">
        <f t="shared" si="168"/>
        <v>0</v>
      </c>
      <c r="BY169" s="171">
        <f t="shared" si="168"/>
        <v>0</v>
      </c>
      <c r="BZ169" s="171">
        <f t="shared" si="168"/>
        <v>0</v>
      </c>
      <c r="CA169" s="171">
        <f t="shared" si="168"/>
        <v>0</v>
      </c>
      <c r="CB169" s="171">
        <f t="shared" si="168"/>
        <v>0</v>
      </c>
      <c r="CC169" s="171">
        <f t="shared" si="168"/>
        <v>0</v>
      </c>
      <c r="CD169" s="171">
        <f t="shared" si="168"/>
        <v>0</v>
      </c>
      <c r="CE169" s="171">
        <f t="shared" si="168"/>
        <v>0</v>
      </c>
      <c r="CF169" s="171">
        <f t="shared" si="168"/>
        <v>0</v>
      </c>
      <c r="CG169" s="171">
        <f t="shared" si="168"/>
        <v>0</v>
      </c>
      <c r="CH169" s="171">
        <f t="shared" si="168"/>
        <v>0</v>
      </c>
      <c r="CI169" s="171">
        <f t="shared" si="168"/>
        <v>0</v>
      </c>
      <c r="CJ169" s="171">
        <f t="shared" si="168"/>
        <v>0</v>
      </c>
      <c r="CK169" s="171">
        <f t="shared" si="168"/>
        <v>0</v>
      </c>
      <c r="CL169" s="171">
        <f t="shared" si="168"/>
        <v>0</v>
      </c>
      <c r="CM169" s="171">
        <f t="shared" si="168"/>
        <v>0</v>
      </c>
      <c r="CN169" s="171">
        <f t="shared" si="168"/>
        <v>0</v>
      </c>
      <c r="CO169" s="171">
        <f t="shared" si="168"/>
        <v>0</v>
      </c>
      <c r="CP169" s="171">
        <f t="shared" si="168"/>
        <v>0</v>
      </c>
      <c r="CQ169" s="171">
        <f t="shared" si="168"/>
        <v>0</v>
      </c>
      <c r="CR169" s="171">
        <f t="shared" si="168"/>
        <v>0</v>
      </c>
      <c r="CS169" s="172">
        <f t="shared" si="168"/>
        <v>0</v>
      </c>
      <c r="CT169" s="11" t="s">
        <v>54</v>
      </c>
    </row>
    <row r="170" spans="1:98" hidden="1" x14ac:dyDescent="0.25">
      <c r="A170" s="97">
        <v>0</v>
      </c>
      <c r="B170" s="90">
        <f t="shared" si="108"/>
        <v>2016</v>
      </c>
      <c r="C170" s="101"/>
      <c r="D170" s="171">
        <f t="shared" ref="D170:AI170" si="169">IF(D143="",1,0)*IF(D116="",1,0)*SUM(D62)*IF(D89="",0,1)</f>
        <v>1</v>
      </c>
      <c r="E170" s="171">
        <f t="shared" si="169"/>
        <v>1</v>
      </c>
      <c r="F170" s="171">
        <f t="shared" si="169"/>
        <v>1</v>
      </c>
      <c r="G170" s="171">
        <f t="shared" si="169"/>
        <v>0</v>
      </c>
      <c r="H170" s="171">
        <f t="shared" si="169"/>
        <v>0</v>
      </c>
      <c r="I170" s="171">
        <f t="shared" si="169"/>
        <v>0</v>
      </c>
      <c r="J170" s="171">
        <f t="shared" si="169"/>
        <v>0</v>
      </c>
      <c r="K170" s="171">
        <f t="shared" si="169"/>
        <v>0</v>
      </c>
      <c r="L170" s="171">
        <f t="shared" si="169"/>
        <v>0</v>
      </c>
      <c r="M170" s="171">
        <f t="shared" si="169"/>
        <v>0</v>
      </c>
      <c r="N170" s="171">
        <f t="shared" si="169"/>
        <v>0</v>
      </c>
      <c r="O170" s="171">
        <f t="shared" si="169"/>
        <v>0</v>
      </c>
      <c r="P170" s="171">
        <f t="shared" si="169"/>
        <v>0</v>
      </c>
      <c r="Q170" s="171">
        <f t="shared" si="169"/>
        <v>0</v>
      </c>
      <c r="R170" s="171">
        <f t="shared" si="169"/>
        <v>0</v>
      </c>
      <c r="S170" s="171">
        <f t="shared" si="169"/>
        <v>0</v>
      </c>
      <c r="T170" s="171">
        <f t="shared" si="169"/>
        <v>0</v>
      </c>
      <c r="U170" s="171">
        <f t="shared" si="169"/>
        <v>0</v>
      </c>
      <c r="V170" s="171">
        <f t="shared" si="169"/>
        <v>0</v>
      </c>
      <c r="W170" s="171">
        <f t="shared" si="169"/>
        <v>0</v>
      </c>
      <c r="X170" s="171">
        <f t="shared" si="169"/>
        <v>0</v>
      </c>
      <c r="Y170" s="171">
        <f t="shared" si="169"/>
        <v>0</v>
      </c>
      <c r="Z170" s="171">
        <f t="shared" si="169"/>
        <v>0</v>
      </c>
      <c r="AA170" s="171">
        <f t="shared" si="169"/>
        <v>0</v>
      </c>
      <c r="AB170" s="171">
        <f t="shared" si="169"/>
        <v>0</v>
      </c>
      <c r="AC170" s="171">
        <f t="shared" si="169"/>
        <v>0</v>
      </c>
      <c r="AD170" s="171">
        <f t="shared" si="169"/>
        <v>0</v>
      </c>
      <c r="AE170" s="171">
        <f t="shared" si="169"/>
        <v>0</v>
      </c>
      <c r="AF170" s="171">
        <f t="shared" si="169"/>
        <v>0</v>
      </c>
      <c r="AG170" s="171">
        <f t="shared" si="169"/>
        <v>0</v>
      </c>
      <c r="AH170" s="171">
        <f t="shared" si="169"/>
        <v>0</v>
      </c>
      <c r="AI170" s="171">
        <f t="shared" si="169"/>
        <v>0</v>
      </c>
      <c r="AJ170" s="171">
        <f t="shared" ref="AJ170:BO170" si="170">IF(AJ143="",1,0)*IF(AJ116="",1,0)*SUM(AJ62)*IF(AJ89="",0,1)</f>
        <v>0</v>
      </c>
      <c r="AK170" s="171">
        <f t="shared" si="170"/>
        <v>0</v>
      </c>
      <c r="AL170" s="171">
        <f t="shared" si="170"/>
        <v>0</v>
      </c>
      <c r="AM170" s="171">
        <f t="shared" si="170"/>
        <v>0</v>
      </c>
      <c r="AN170" s="171">
        <f t="shared" si="170"/>
        <v>0</v>
      </c>
      <c r="AO170" s="171">
        <f t="shared" si="170"/>
        <v>0</v>
      </c>
      <c r="AP170" s="171">
        <f t="shared" si="170"/>
        <v>0</v>
      </c>
      <c r="AQ170" s="171">
        <f t="shared" si="170"/>
        <v>0</v>
      </c>
      <c r="AR170" s="171">
        <f t="shared" si="170"/>
        <v>0</v>
      </c>
      <c r="AS170" s="171">
        <f t="shared" si="170"/>
        <v>0</v>
      </c>
      <c r="AT170" s="171">
        <f t="shared" si="170"/>
        <v>0</v>
      </c>
      <c r="AU170" s="171">
        <f t="shared" si="170"/>
        <v>0</v>
      </c>
      <c r="AV170" s="171">
        <f t="shared" si="170"/>
        <v>0</v>
      </c>
      <c r="AW170" s="171">
        <f t="shared" si="170"/>
        <v>0</v>
      </c>
      <c r="AX170" s="171">
        <f t="shared" si="170"/>
        <v>0</v>
      </c>
      <c r="AY170" s="171">
        <f t="shared" si="170"/>
        <v>0</v>
      </c>
      <c r="AZ170" s="171">
        <f t="shared" si="170"/>
        <v>0</v>
      </c>
      <c r="BA170" s="171">
        <f t="shared" si="170"/>
        <v>0</v>
      </c>
      <c r="BB170" s="171">
        <f t="shared" si="170"/>
        <v>0</v>
      </c>
      <c r="BC170" s="171">
        <f t="shared" si="170"/>
        <v>0</v>
      </c>
      <c r="BD170" s="171">
        <f t="shared" si="170"/>
        <v>0</v>
      </c>
      <c r="BE170" s="171">
        <f t="shared" si="170"/>
        <v>0</v>
      </c>
      <c r="BF170" s="171">
        <f t="shared" si="170"/>
        <v>0</v>
      </c>
      <c r="BG170" s="171">
        <f t="shared" si="170"/>
        <v>0</v>
      </c>
      <c r="BH170" s="171">
        <f t="shared" si="170"/>
        <v>0</v>
      </c>
      <c r="BI170" s="171">
        <f t="shared" si="170"/>
        <v>0</v>
      </c>
      <c r="BJ170" s="171">
        <f t="shared" si="170"/>
        <v>0</v>
      </c>
      <c r="BK170" s="171">
        <f t="shared" si="170"/>
        <v>0</v>
      </c>
      <c r="BL170" s="171">
        <f t="shared" si="170"/>
        <v>0</v>
      </c>
      <c r="BM170" s="171">
        <f t="shared" si="170"/>
        <v>0</v>
      </c>
      <c r="BN170" s="171">
        <f t="shared" si="170"/>
        <v>0</v>
      </c>
      <c r="BO170" s="171">
        <f t="shared" si="170"/>
        <v>0</v>
      </c>
      <c r="BP170" s="171">
        <f t="shared" ref="BP170:CS170" si="171">IF(BP143="",1,0)*IF(BP116="",1,0)*SUM(BP62)*IF(BP89="",0,1)</f>
        <v>0</v>
      </c>
      <c r="BQ170" s="171">
        <f t="shared" si="171"/>
        <v>0</v>
      </c>
      <c r="BR170" s="171">
        <f t="shared" si="171"/>
        <v>0</v>
      </c>
      <c r="BS170" s="171">
        <f t="shared" si="171"/>
        <v>0</v>
      </c>
      <c r="BT170" s="171">
        <f t="shared" si="171"/>
        <v>0</v>
      </c>
      <c r="BU170" s="171">
        <f t="shared" si="171"/>
        <v>0</v>
      </c>
      <c r="BV170" s="171">
        <f t="shared" si="171"/>
        <v>0</v>
      </c>
      <c r="BW170" s="171">
        <f t="shared" si="171"/>
        <v>0</v>
      </c>
      <c r="BX170" s="171">
        <f t="shared" si="171"/>
        <v>0</v>
      </c>
      <c r="BY170" s="171">
        <f t="shared" si="171"/>
        <v>0</v>
      </c>
      <c r="BZ170" s="171">
        <f t="shared" si="171"/>
        <v>0</v>
      </c>
      <c r="CA170" s="171">
        <f t="shared" si="171"/>
        <v>0</v>
      </c>
      <c r="CB170" s="171">
        <f t="shared" si="171"/>
        <v>0</v>
      </c>
      <c r="CC170" s="171">
        <f t="shared" si="171"/>
        <v>0</v>
      </c>
      <c r="CD170" s="171">
        <f t="shared" si="171"/>
        <v>0</v>
      </c>
      <c r="CE170" s="171">
        <f t="shared" si="171"/>
        <v>0</v>
      </c>
      <c r="CF170" s="171">
        <f t="shared" si="171"/>
        <v>0</v>
      </c>
      <c r="CG170" s="171">
        <f t="shared" si="171"/>
        <v>0</v>
      </c>
      <c r="CH170" s="171">
        <f t="shared" si="171"/>
        <v>0</v>
      </c>
      <c r="CI170" s="171">
        <f t="shared" si="171"/>
        <v>0</v>
      </c>
      <c r="CJ170" s="171">
        <f t="shared" si="171"/>
        <v>0</v>
      </c>
      <c r="CK170" s="171">
        <f t="shared" si="171"/>
        <v>0</v>
      </c>
      <c r="CL170" s="171">
        <f t="shared" si="171"/>
        <v>0</v>
      </c>
      <c r="CM170" s="171">
        <f t="shared" si="171"/>
        <v>0</v>
      </c>
      <c r="CN170" s="171">
        <f t="shared" si="171"/>
        <v>0</v>
      </c>
      <c r="CO170" s="171">
        <f t="shared" si="171"/>
        <v>0</v>
      </c>
      <c r="CP170" s="171">
        <f t="shared" si="171"/>
        <v>0</v>
      </c>
      <c r="CQ170" s="171">
        <f t="shared" si="171"/>
        <v>0</v>
      </c>
      <c r="CR170" s="171">
        <f t="shared" si="171"/>
        <v>0</v>
      </c>
      <c r="CS170" s="172">
        <f t="shared" si="171"/>
        <v>0</v>
      </c>
      <c r="CT170" s="11" t="s">
        <v>54</v>
      </c>
    </row>
    <row r="171" spans="1:98" hidden="1" x14ac:dyDescent="0.25">
      <c r="A171" s="97">
        <v>0</v>
      </c>
      <c r="B171" s="90">
        <f t="shared" si="108"/>
        <v>2017</v>
      </c>
      <c r="C171" s="101"/>
      <c r="D171" s="171">
        <f t="shared" ref="D171:AI171" si="172">IF(D144="",1,0)*IF(D117="",1,0)*SUM(D63)*IF(D90="",0,1)</f>
        <v>0</v>
      </c>
      <c r="E171" s="171">
        <f t="shared" si="172"/>
        <v>1</v>
      </c>
      <c r="F171" s="171">
        <f t="shared" si="172"/>
        <v>0</v>
      </c>
      <c r="G171" s="171">
        <f t="shared" si="172"/>
        <v>0</v>
      </c>
      <c r="H171" s="171">
        <f t="shared" si="172"/>
        <v>0</v>
      </c>
      <c r="I171" s="171">
        <f t="shared" si="172"/>
        <v>0</v>
      </c>
      <c r="J171" s="171">
        <f t="shared" si="172"/>
        <v>0</v>
      </c>
      <c r="K171" s="171">
        <f t="shared" si="172"/>
        <v>0</v>
      </c>
      <c r="L171" s="171">
        <f t="shared" si="172"/>
        <v>0</v>
      </c>
      <c r="M171" s="171">
        <f t="shared" si="172"/>
        <v>0</v>
      </c>
      <c r="N171" s="171">
        <f t="shared" si="172"/>
        <v>0</v>
      </c>
      <c r="O171" s="171">
        <f t="shared" si="172"/>
        <v>0</v>
      </c>
      <c r="P171" s="171">
        <f t="shared" si="172"/>
        <v>0</v>
      </c>
      <c r="Q171" s="171">
        <f t="shared" si="172"/>
        <v>0</v>
      </c>
      <c r="R171" s="171">
        <f t="shared" si="172"/>
        <v>0</v>
      </c>
      <c r="S171" s="171">
        <f t="shared" si="172"/>
        <v>0</v>
      </c>
      <c r="T171" s="171">
        <f t="shared" si="172"/>
        <v>0</v>
      </c>
      <c r="U171" s="171">
        <f t="shared" si="172"/>
        <v>0</v>
      </c>
      <c r="V171" s="171">
        <f t="shared" si="172"/>
        <v>0</v>
      </c>
      <c r="W171" s="171">
        <f t="shared" si="172"/>
        <v>0</v>
      </c>
      <c r="X171" s="171">
        <f t="shared" si="172"/>
        <v>0</v>
      </c>
      <c r="Y171" s="171">
        <f t="shared" si="172"/>
        <v>0</v>
      </c>
      <c r="Z171" s="171">
        <f t="shared" si="172"/>
        <v>0</v>
      </c>
      <c r="AA171" s="171">
        <f t="shared" si="172"/>
        <v>0</v>
      </c>
      <c r="AB171" s="171">
        <f t="shared" si="172"/>
        <v>0</v>
      </c>
      <c r="AC171" s="171">
        <f t="shared" si="172"/>
        <v>0</v>
      </c>
      <c r="AD171" s="171">
        <f t="shared" si="172"/>
        <v>0</v>
      </c>
      <c r="AE171" s="171">
        <f t="shared" si="172"/>
        <v>0</v>
      </c>
      <c r="AF171" s="171">
        <f t="shared" si="172"/>
        <v>0</v>
      </c>
      <c r="AG171" s="171">
        <f t="shared" si="172"/>
        <v>0</v>
      </c>
      <c r="AH171" s="171">
        <f t="shared" si="172"/>
        <v>0</v>
      </c>
      <c r="AI171" s="171">
        <f t="shared" si="172"/>
        <v>0</v>
      </c>
      <c r="AJ171" s="171">
        <f t="shared" ref="AJ171:BO171" si="173">IF(AJ144="",1,0)*IF(AJ117="",1,0)*SUM(AJ63)*IF(AJ90="",0,1)</f>
        <v>0</v>
      </c>
      <c r="AK171" s="171">
        <f t="shared" si="173"/>
        <v>0</v>
      </c>
      <c r="AL171" s="171">
        <f t="shared" si="173"/>
        <v>0</v>
      </c>
      <c r="AM171" s="171">
        <f t="shared" si="173"/>
        <v>0</v>
      </c>
      <c r="AN171" s="171">
        <f t="shared" si="173"/>
        <v>0</v>
      </c>
      <c r="AO171" s="171">
        <f t="shared" si="173"/>
        <v>0</v>
      </c>
      <c r="AP171" s="171">
        <f t="shared" si="173"/>
        <v>0</v>
      </c>
      <c r="AQ171" s="171">
        <f t="shared" si="173"/>
        <v>0</v>
      </c>
      <c r="AR171" s="171">
        <f t="shared" si="173"/>
        <v>0</v>
      </c>
      <c r="AS171" s="171">
        <f t="shared" si="173"/>
        <v>0</v>
      </c>
      <c r="AT171" s="171">
        <f t="shared" si="173"/>
        <v>0</v>
      </c>
      <c r="AU171" s="171">
        <f t="shared" si="173"/>
        <v>0</v>
      </c>
      <c r="AV171" s="171">
        <f t="shared" si="173"/>
        <v>0</v>
      </c>
      <c r="AW171" s="171">
        <f t="shared" si="173"/>
        <v>0</v>
      </c>
      <c r="AX171" s="171">
        <f t="shared" si="173"/>
        <v>0</v>
      </c>
      <c r="AY171" s="171">
        <f t="shared" si="173"/>
        <v>0</v>
      </c>
      <c r="AZ171" s="171">
        <f t="shared" si="173"/>
        <v>0</v>
      </c>
      <c r="BA171" s="171">
        <f t="shared" si="173"/>
        <v>0</v>
      </c>
      <c r="BB171" s="171">
        <f t="shared" si="173"/>
        <v>0</v>
      </c>
      <c r="BC171" s="171">
        <f t="shared" si="173"/>
        <v>0</v>
      </c>
      <c r="BD171" s="171">
        <f t="shared" si="173"/>
        <v>0</v>
      </c>
      <c r="BE171" s="171">
        <f t="shared" si="173"/>
        <v>0</v>
      </c>
      <c r="BF171" s="171">
        <f t="shared" si="173"/>
        <v>0</v>
      </c>
      <c r="BG171" s="171">
        <f t="shared" si="173"/>
        <v>0</v>
      </c>
      <c r="BH171" s="171">
        <f t="shared" si="173"/>
        <v>0</v>
      </c>
      <c r="BI171" s="171">
        <f t="shared" si="173"/>
        <v>0</v>
      </c>
      <c r="BJ171" s="171">
        <f t="shared" si="173"/>
        <v>0</v>
      </c>
      <c r="BK171" s="171">
        <f t="shared" si="173"/>
        <v>0</v>
      </c>
      <c r="BL171" s="171">
        <f t="shared" si="173"/>
        <v>0</v>
      </c>
      <c r="BM171" s="171">
        <f t="shared" si="173"/>
        <v>0</v>
      </c>
      <c r="BN171" s="171">
        <f t="shared" si="173"/>
        <v>0</v>
      </c>
      <c r="BO171" s="171">
        <f t="shared" si="173"/>
        <v>0</v>
      </c>
      <c r="BP171" s="171">
        <f t="shared" ref="BP171:CS171" si="174">IF(BP144="",1,0)*IF(BP117="",1,0)*SUM(BP63)*IF(BP90="",0,1)</f>
        <v>0</v>
      </c>
      <c r="BQ171" s="171">
        <f t="shared" si="174"/>
        <v>0</v>
      </c>
      <c r="BR171" s="171">
        <f t="shared" si="174"/>
        <v>0</v>
      </c>
      <c r="BS171" s="171">
        <f t="shared" si="174"/>
        <v>0</v>
      </c>
      <c r="BT171" s="171">
        <f t="shared" si="174"/>
        <v>0</v>
      </c>
      <c r="BU171" s="171">
        <f t="shared" si="174"/>
        <v>0</v>
      </c>
      <c r="BV171" s="171">
        <f t="shared" si="174"/>
        <v>0</v>
      </c>
      <c r="BW171" s="171">
        <f t="shared" si="174"/>
        <v>0</v>
      </c>
      <c r="BX171" s="171">
        <f t="shared" si="174"/>
        <v>0</v>
      </c>
      <c r="BY171" s="171">
        <f t="shared" si="174"/>
        <v>0</v>
      </c>
      <c r="BZ171" s="171">
        <f t="shared" si="174"/>
        <v>0</v>
      </c>
      <c r="CA171" s="171">
        <f t="shared" si="174"/>
        <v>0</v>
      </c>
      <c r="CB171" s="171">
        <f t="shared" si="174"/>
        <v>0</v>
      </c>
      <c r="CC171" s="171">
        <f t="shared" si="174"/>
        <v>0</v>
      </c>
      <c r="CD171" s="171">
        <f t="shared" si="174"/>
        <v>0</v>
      </c>
      <c r="CE171" s="171">
        <f t="shared" si="174"/>
        <v>0</v>
      </c>
      <c r="CF171" s="171">
        <f t="shared" si="174"/>
        <v>0</v>
      </c>
      <c r="CG171" s="171">
        <f t="shared" si="174"/>
        <v>0</v>
      </c>
      <c r="CH171" s="171">
        <f t="shared" si="174"/>
        <v>0</v>
      </c>
      <c r="CI171" s="171">
        <f t="shared" si="174"/>
        <v>0</v>
      </c>
      <c r="CJ171" s="171">
        <f t="shared" si="174"/>
        <v>0</v>
      </c>
      <c r="CK171" s="171">
        <f t="shared" si="174"/>
        <v>0</v>
      </c>
      <c r="CL171" s="171">
        <f t="shared" si="174"/>
        <v>0</v>
      </c>
      <c r="CM171" s="171">
        <f t="shared" si="174"/>
        <v>0</v>
      </c>
      <c r="CN171" s="171">
        <f t="shared" si="174"/>
        <v>0</v>
      </c>
      <c r="CO171" s="171">
        <f t="shared" si="174"/>
        <v>0</v>
      </c>
      <c r="CP171" s="171">
        <f t="shared" si="174"/>
        <v>0</v>
      </c>
      <c r="CQ171" s="171">
        <f t="shared" si="174"/>
        <v>0</v>
      </c>
      <c r="CR171" s="171">
        <f t="shared" si="174"/>
        <v>0</v>
      </c>
      <c r="CS171" s="172">
        <f t="shared" si="174"/>
        <v>0</v>
      </c>
      <c r="CT171" s="11" t="s">
        <v>54</v>
      </c>
    </row>
    <row r="172" spans="1:98" hidden="1" x14ac:dyDescent="0.25">
      <c r="A172" s="97">
        <v>0</v>
      </c>
      <c r="B172" s="90">
        <f t="shared" si="108"/>
        <v>2018</v>
      </c>
      <c r="C172" s="101"/>
      <c r="D172" s="171">
        <f t="shared" ref="D172:AI172" si="175">IF(D145="",1,0)*IF(D118="",1,0)*SUM(D64)*IF(D91="",0,1)</f>
        <v>1</v>
      </c>
      <c r="E172" s="171">
        <f t="shared" si="175"/>
        <v>0</v>
      </c>
      <c r="F172" s="171">
        <f t="shared" si="175"/>
        <v>0</v>
      </c>
      <c r="G172" s="171">
        <f t="shared" si="175"/>
        <v>0</v>
      </c>
      <c r="H172" s="171">
        <f t="shared" si="175"/>
        <v>0</v>
      </c>
      <c r="I172" s="171">
        <f t="shared" si="175"/>
        <v>0</v>
      </c>
      <c r="J172" s="171">
        <f t="shared" si="175"/>
        <v>0</v>
      </c>
      <c r="K172" s="171">
        <f t="shared" si="175"/>
        <v>0</v>
      </c>
      <c r="L172" s="171">
        <f t="shared" si="175"/>
        <v>0</v>
      </c>
      <c r="M172" s="171">
        <f t="shared" si="175"/>
        <v>0</v>
      </c>
      <c r="N172" s="171">
        <f t="shared" si="175"/>
        <v>0</v>
      </c>
      <c r="O172" s="171">
        <f t="shared" si="175"/>
        <v>0</v>
      </c>
      <c r="P172" s="171">
        <f t="shared" si="175"/>
        <v>0</v>
      </c>
      <c r="Q172" s="171">
        <f t="shared" si="175"/>
        <v>0</v>
      </c>
      <c r="R172" s="171">
        <f t="shared" si="175"/>
        <v>0</v>
      </c>
      <c r="S172" s="171">
        <f t="shared" si="175"/>
        <v>0</v>
      </c>
      <c r="T172" s="171">
        <f t="shared" si="175"/>
        <v>0</v>
      </c>
      <c r="U172" s="171">
        <f t="shared" si="175"/>
        <v>0</v>
      </c>
      <c r="V172" s="171">
        <f t="shared" si="175"/>
        <v>0</v>
      </c>
      <c r="W172" s="171">
        <f t="shared" si="175"/>
        <v>0</v>
      </c>
      <c r="X172" s="171">
        <f t="shared" si="175"/>
        <v>0</v>
      </c>
      <c r="Y172" s="171">
        <f t="shared" si="175"/>
        <v>0</v>
      </c>
      <c r="Z172" s="171">
        <f t="shared" si="175"/>
        <v>0</v>
      </c>
      <c r="AA172" s="171">
        <f t="shared" si="175"/>
        <v>0</v>
      </c>
      <c r="AB172" s="171">
        <f t="shared" si="175"/>
        <v>0</v>
      </c>
      <c r="AC172" s="171">
        <f t="shared" si="175"/>
        <v>0</v>
      </c>
      <c r="AD172" s="171">
        <f t="shared" si="175"/>
        <v>0</v>
      </c>
      <c r="AE172" s="171">
        <f t="shared" si="175"/>
        <v>0</v>
      </c>
      <c r="AF172" s="171">
        <f t="shared" si="175"/>
        <v>0</v>
      </c>
      <c r="AG172" s="171">
        <f t="shared" si="175"/>
        <v>0</v>
      </c>
      <c r="AH172" s="171">
        <f t="shared" si="175"/>
        <v>0</v>
      </c>
      <c r="AI172" s="171">
        <f t="shared" si="175"/>
        <v>0</v>
      </c>
      <c r="AJ172" s="171">
        <f t="shared" ref="AJ172:BO172" si="176">IF(AJ145="",1,0)*IF(AJ118="",1,0)*SUM(AJ64)*IF(AJ91="",0,1)</f>
        <v>0</v>
      </c>
      <c r="AK172" s="171">
        <f t="shared" si="176"/>
        <v>0</v>
      </c>
      <c r="AL172" s="171">
        <f t="shared" si="176"/>
        <v>0</v>
      </c>
      <c r="AM172" s="171">
        <f t="shared" si="176"/>
        <v>0</v>
      </c>
      <c r="AN172" s="171">
        <f t="shared" si="176"/>
        <v>0</v>
      </c>
      <c r="AO172" s="171">
        <f t="shared" si="176"/>
        <v>0</v>
      </c>
      <c r="AP172" s="171">
        <f t="shared" si="176"/>
        <v>0</v>
      </c>
      <c r="AQ172" s="171">
        <f t="shared" si="176"/>
        <v>0</v>
      </c>
      <c r="AR172" s="171">
        <f t="shared" si="176"/>
        <v>0</v>
      </c>
      <c r="AS172" s="171">
        <f t="shared" si="176"/>
        <v>0</v>
      </c>
      <c r="AT172" s="171">
        <f t="shared" si="176"/>
        <v>0</v>
      </c>
      <c r="AU172" s="171">
        <f t="shared" si="176"/>
        <v>0</v>
      </c>
      <c r="AV172" s="171">
        <f t="shared" si="176"/>
        <v>0</v>
      </c>
      <c r="AW172" s="171">
        <f t="shared" si="176"/>
        <v>0</v>
      </c>
      <c r="AX172" s="171">
        <f t="shared" si="176"/>
        <v>0</v>
      </c>
      <c r="AY172" s="171">
        <f t="shared" si="176"/>
        <v>0</v>
      </c>
      <c r="AZ172" s="171">
        <f t="shared" si="176"/>
        <v>0</v>
      </c>
      <c r="BA172" s="171">
        <f t="shared" si="176"/>
        <v>0</v>
      </c>
      <c r="BB172" s="171">
        <f t="shared" si="176"/>
        <v>0</v>
      </c>
      <c r="BC172" s="171">
        <f t="shared" si="176"/>
        <v>0</v>
      </c>
      <c r="BD172" s="171">
        <f t="shared" si="176"/>
        <v>0</v>
      </c>
      <c r="BE172" s="171">
        <f t="shared" si="176"/>
        <v>0</v>
      </c>
      <c r="BF172" s="171">
        <f t="shared" si="176"/>
        <v>0</v>
      </c>
      <c r="BG172" s="171">
        <f t="shared" si="176"/>
        <v>0</v>
      </c>
      <c r="BH172" s="171">
        <f t="shared" si="176"/>
        <v>0</v>
      </c>
      <c r="BI172" s="171">
        <f t="shared" si="176"/>
        <v>0</v>
      </c>
      <c r="BJ172" s="171">
        <f t="shared" si="176"/>
        <v>0</v>
      </c>
      <c r="BK172" s="171">
        <f t="shared" si="176"/>
        <v>0</v>
      </c>
      <c r="BL172" s="171">
        <f t="shared" si="176"/>
        <v>0</v>
      </c>
      <c r="BM172" s="171">
        <f t="shared" si="176"/>
        <v>0</v>
      </c>
      <c r="BN172" s="171">
        <f t="shared" si="176"/>
        <v>0</v>
      </c>
      <c r="BO172" s="171">
        <f t="shared" si="176"/>
        <v>0</v>
      </c>
      <c r="BP172" s="171">
        <f t="shared" ref="BP172:CS172" si="177">IF(BP145="",1,0)*IF(BP118="",1,0)*SUM(BP64)*IF(BP91="",0,1)</f>
        <v>0</v>
      </c>
      <c r="BQ172" s="171">
        <f t="shared" si="177"/>
        <v>0</v>
      </c>
      <c r="BR172" s="171">
        <f t="shared" si="177"/>
        <v>0</v>
      </c>
      <c r="BS172" s="171">
        <f t="shared" si="177"/>
        <v>0</v>
      </c>
      <c r="BT172" s="171">
        <f t="shared" si="177"/>
        <v>0</v>
      </c>
      <c r="BU172" s="171">
        <f t="shared" si="177"/>
        <v>0</v>
      </c>
      <c r="BV172" s="171">
        <f t="shared" si="177"/>
        <v>0</v>
      </c>
      <c r="BW172" s="171">
        <f t="shared" si="177"/>
        <v>0</v>
      </c>
      <c r="BX172" s="171">
        <f t="shared" si="177"/>
        <v>0</v>
      </c>
      <c r="BY172" s="171">
        <f t="shared" si="177"/>
        <v>0</v>
      </c>
      <c r="BZ172" s="171">
        <f t="shared" si="177"/>
        <v>0</v>
      </c>
      <c r="CA172" s="171">
        <f t="shared" si="177"/>
        <v>0</v>
      </c>
      <c r="CB172" s="171">
        <f t="shared" si="177"/>
        <v>0</v>
      </c>
      <c r="CC172" s="171">
        <f t="shared" si="177"/>
        <v>0</v>
      </c>
      <c r="CD172" s="171">
        <f t="shared" si="177"/>
        <v>0</v>
      </c>
      <c r="CE172" s="171">
        <f t="shared" si="177"/>
        <v>0</v>
      </c>
      <c r="CF172" s="171">
        <f t="shared" si="177"/>
        <v>0</v>
      </c>
      <c r="CG172" s="171">
        <f t="shared" si="177"/>
        <v>0</v>
      </c>
      <c r="CH172" s="171">
        <f t="shared" si="177"/>
        <v>0</v>
      </c>
      <c r="CI172" s="171">
        <f t="shared" si="177"/>
        <v>0</v>
      </c>
      <c r="CJ172" s="171">
        <f t="shared" si="177"/>
        <v>0</v>
      </c>
      <c r="CK172" s="171">
        <f t="shared" si="177"/>
        <v>0</v>
      </c>
      <c r="CL172" s="171">
        <f t="shared" si="177"/>
        <v>0</v>
      </c>
      <c r="CM172" s="171">
        <f t="shared" si="177"/>
        <v>0</v>
      </c>
      <c r="CN172" s="171">
        <f t="shared" si="177"/>
        <v>0</v>
      </c>
      <c r="CO172" s="171">
        <f t="shared" si="177"/>
        <v>0</v>
      </c>
      <c r="CP172" s="171">
        <f t="shared" si="177"/>
        <v>0</v>
      </c>
      <c r="CQ172" s="171">
        <f t="shared" si="177"/>
        <v>0</v>
      </c>
      <c r="CR172" s="171">
        <f t="shared" si="177"/>
        <v>0</v>
      </c>
      <c r="CS172" s="172">
        <f t="shared" si="177"/>
        <v>0</v>
      </c>
      <c r="CT172" s="11" t="s">
        <v>54</v>
      </c>
    </row>
    <row r="173" spans="1:98" hidden="1" x14ac:dyDescent="0.25">
      <c r="A173" s="97">
        <v>0</v>
      </c>
      <c r="B173" s="91">
        <f t="shared" si="108"/>
        <v>2019</v>
      </c>
      <c r="C173" s="168"/>
      <c r="D173" s="173">
        <f t="shared" ref="D173:AI173" si="178">IF(D146="",1,0)*IF(D119="",1,0)*SUM(D65)*IF(D92="",0,1)</f>
        <v>0</v>
      </c>
      <c r="E173" s="173">
        <f t="shared" si="178"/>
        <v>0</v>
      </c>
      <c r="F173" s="173">
        <f t="shared" si="178"/>
        <v>0</v>
      </c>
      <c r="G173" s="173">
        <f t="shared" si="178"/>
        <v>0</v>
      </c>
      <c r="H173" s="173">
        <f t="shared" si="178"/>
        <v>0</v>
      </c>
      <c r="I173" s="173">
        <f t="shared" si="178"/>
        <v>0</v>
      </c>
      <c r="J173" s="173">
        <f t="shared" si="178"/>
        <v>0</v>
      </c>
      <c r="K173" s="173">
        <f t="shared" si="178"/>
        <v>0</v>
      </c>
      <c r="L173" s="173">
        <f t="shared" si="178"/>
        <v>0</v>
      </c>
      <c r="M173" s="173">
        <f t="shared" si="178"/>
        <v>0</v>
      </c>
      <c r="N173" s="173">
        <f t="shared" si="178"/>
        <v>0</v>
      </c>
      <c r="O173" s="173">
        <f t="shared" si="178"/>
        <v>0</v>
      </c>
      <c r="P173" s="173">
        <f t="shared" si="178"/>
        <v>0</v>
      </c>
      <c r="Q173" s="173">
        <f t="shared" si="178"/>
        <v>0</v>
      </c>
      <c r="R173" s="173">
        <f t="shared" si="178"/>
        <v>0</v>
      </c>
      <c r="S173" s="173">
        <f t="shared" si="178"/>
        <v>0</v>
      </c>
      <c r="T173" s="173">
        <f t="shared" si="178"/>
        <v>0</v>
      </c>
      <c r="U173" s="173">
        <f t="shared" si="178"/>
        <v>0</v>
      </c>
      <c r="V173" s="173">
        <f t="shared" si="178"/>
        <v>0</v>
      </c>
      <c r="W173" s="173">
        <f t="shared" si="178"/>
        <v>0</v>
      </c>
      <c r="X173" s="173">
        <f t="shared" si="178"/>
        <v>0</v>
      </c>
      <c r="Y173" s="173">
        <f t="shared" si="178"/>
        <v>0</v>
      </c>
      <c r="Z173" s="173">
        <f t="shared" si="178"/>
        <v>0</v>
      </c>
      <c r="AA173" s="173">
        <f t="shared" si="178"/>
        <v>0</v>
      </c>
      <c r="AB173" s="173">
        <f t="shared" si="178"/>
        <v>0</v>
      </c>
      <c r="AC173" s="173">
        <f t="shared" si="178"/>
        <v>0</v>
      </c>
      <c r="AD173" s="173">
        <f t="shared" si="178"/>
        <v>0</v>
      </c>
      <c r="AE173" s="173">
        <f t="shared" si="178"/>
        <v>0</v>
      </c>
      <c r="AF173" s="173">
        <f t="shared" si="178"/>
        <v>0</v>
      </c>
      <c r="AG173" s="173">
        <f t="shared" si="178"/>
        <v>0</v>
      </c>
      <c r="AH173" s="173">
        <f t="shared" si="178"/>
        <v>0</v>
      </c>
      <c r="AI173" s="173">
        <f t="shared" si="178"/>
        <v>0</v>
      </c>
      <c r="AJ173" s="173">
        <f t="shared" ref="AJ173:BO173" si="179">IF(AJ146="",1,0)*IF(AJ119="",1,0)*SUM(AJ65)*IF(AJ92="",0,1)</f>
        <v>0</v>
      </c>
      <c r="AK173" s="173">
        <f t="shared" si="179"/>
        <v>0</v>
      </c>
      <c r="AL173" s="173">
        <f t="shared" si="179"/>
        <v>0</v>
      </c>
      <c r="AM173" s="173">
        <f t="shared" si="179"/>
        <v>0</v>
      </c>
      <c r="AN173" s="173">
        <f t="shared" si="179"/>
        <v>0</v>
      </c>
      <c r="AO173" s="173">
        <f t="shared" si="179"/>
        <v>0</v>
      </c>
      <c r="AP173" s="173">
        <f t="shared" si="179"/>
        <v>0</v>
      </c>
      <c r="AQ173" s="173">
        <f t="shared" si="179"/>
        <v>0</v>
      </c>
      <c r="AR173" s="173">
        <f t="shared" si="179"/>
        <v>0</v>
      </c>
      <c r="AS173" s="173">
        <f t="shared" si="179"/>
        <v>0</v>
      </c>
      <c r="AT173" s="173">
        <f t="shared" si="179"/>
        <v>0</v>
      </c>
      <c r="AU173" s="173">
        <f t="shared" si="179"/>
        <v>0</v>
      </c>
      <c r="AV173" s="173">
        <f t="shared" si="179"/>
        <v>0</v>
      </c>
      <c r="AW173" s="173">
        <f t="shared" si="179"/>
        <v>0</v>
      </c>
      <c r="AX173" s="173">
        <f t="shared" si="179"/>
        <v>0</v>
      </c>
      <c r="AY173" s="173">
        <f t="shared" si="179"/>
        <v>0</v>
      </c>
      <c r="AZ173" s="173">
        <f t="shared" si="179"/>
        <v>0</v>
      </c>
      <c r="BA173" s="173">
        <f t="shared" si="179"/>
        <v>0</v>
      </c>
      <c r="BB173" s="173">
        <f t="shared" si="179"/>
        <v>0</v>
      </c>
      <c r="BC173" s="173">
        <f t="shared" si="179"/>
        <v>0</v>
      </c>
      <c r="BD173" s="173">
        <f t="shared" si="179"/>
        <v>0</v>
      </c>
      <c r="BE173" s="173">
        <f t="shared" si="179"/>
        <v>0</v>
      </c>
      <c r="BF173" s="173">
        <f t="shared" si="179"/>
        <v>0</v>
      </c>
      <c r="BG173" s="173">
        <f t="shared" si="179"/>
        <v>0</v>
      </c>
      <c r="BH173" s="173">
        <f t="shared" si="179"/>
        <v>0</v>
      </c>
      <c r="BI173" s="173">
        <f t="shared" si="179"/>
        <v>0</v>
      </c>
      <c r="BJ173" s="173">
        <f t="shared" si="179"/>
        <v>0</v>
      </c>
      <c r="BK173" s="173">
        <f t="shared" si="179"/>
        <v>0</v>
      </c>
      <c r="BL173" s="173">
        <f t="shared" si="179"/>
        <v>0</v>
      </c>
      <c r="BM173" s="173">
        <f t="shared" si="179"/>
        <v>0</v>
      </c>
      <c r="BN173" s="173">
        <f t="shared" si="179"/>
        <v>0</v>
      </c>
      <c r="BO173" s="173">
        <f t="shared" si="179"/>
        <v>0</v>
      </c>
      <c r="BP173" s="173">
        <f t="shared" ref="BP173:CS173" si="180">IF(BP146="",1,0)*IF(BP119="",1,0)*SUM(BP65)*IF(BP92="",0,1)</f>
        <v>0</v>
      </c>
      <c r="BQ173" s="173">
        <f t="shared" si="180"/>
        <v>0</v>
      </c>
      <c r="BR173" s="173">
        <f t="shared" si="180"/>
        <v>0</v>
      </c>
      <c r="BS173" s="173">
        <f t="shared" si="180"/>
        <v>0</v>
      </c>
      <c r="BT173" s="173">
        <f t="shared" si="180"/>
        <v>0</v>
      </c>
      <c r="BU173" s="173">
        <f t="shared" si="180"/>
        <v>0</v>
      </c>
      <c r="BV173" s="173">
        <f t="shared" si="180"/>
        <v>0</v>
      </c>
      <c r="BW173" s="173">
        <f t="shared" si="180"/>
        <v>0</v>
      </c>
      <c r="BX173" s="173">
        <f t="shared" si="180"/>
        <v>0</v>
      </c>
      <c r="BY173" s="173">
        <f t="shared" si="180"/>
        <v>0</v>
      </c>
      <c r="BZ173" s="173">
        <f t="shared" si="180"/>
        <v>0</v>
      </c>
      <c r="CA173" s="173">
        <f t="shared" si="180"/>
        <v>0</v>
      </c>
      <c r="CB173" s="173">
        <f t="shared" si="180"/>
        <v>0</v>
      </c>
      <c r="CC173" s="173">
        <f t="shared" si="180"/>
        <v>0</v>
      </c>
      <c r="CD173" s="173">
        <f t="shared" si="180"/>
        <v>0</v>
      </c>
      <c r="CE173" s="173">
        <f t="shared" si="180"/>
        <v>0</v>
      </c>
      <c r="CF173" s="173">
        <f t="shared" si="180"/>
        <v>0</v>
      </c>
      <c r="CG173" s="173">
        <f t="shared" si="180"/>
        <v>0</v>
      </c>
      <c r="CH173" s="173">
        <f t="shared" si="180"/>
        <v>0</v>
      </c>
      <c r="CI173" s="173">
        <f t="shared" si="180"/>
        <v>0</v>
      </c>
      <c r="CJ173" s="173">
        <f t="shared" si="180"/>
        <v>0</v>
      </c>
      <c r="CK173" s="173">
        <f t="shared" si="180"/>
        <v>0</v>
      </c>
      <c r="CL173" s="173">
        <f t="shared" si="180"/>
        <v>0</v>
      </c>
      <c r="CM173" s="173">
        <f t="shared" si="180"/>
        <v>0</v>
      </c>
      <c r="CN173" s="173">
        <f t="shared" si="180"/>
        <v>0</v>
      </c>
      <c r="CO173" s="173">
        <f t="shared" si="180"/>
        <v>0</v>
      </c>
      <c r="CP173" s="173">
        <f t="shared" si="180"/>
        <v>0</v>
      </c>
      <c r="CQ173" s="173">
        <f t="shared" si="180"/>
        <v>0</v>
      </c>
      <c r="CR173" s="173">
        <f t="shared" si="180"/>
        <v>0</v>
      </c>
      <c r="CS173" s="174">
        <f t="shared" si="180"/>
        <v>0</v>
      </c>
      <c r="CT173" s="11" t="s">
        <v>54</v>
      </c>
    </row>
    <row r="174" spans="1:98" hidden="1" x14ac:dyDescent="0.25">
      <c r="A174" s="97">
        <v>0</v>
      </c>
      <c r="B174" s="25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</row>
    <row r="175" spans="1:98" hidden="1" x14ac:dyDescent="0.25">
      <c r="A175" s="97">
        <v>0</v>
      </c>
      <c r="B175" s="25" t="s">
        <v>52</v>
      </c>
      <c r="D175" s="42">
        <f>SUM(D42:D65)+$D$8-MIN($B$42:$B$65)</f>
        <v>23</v>
      </c>
      <c r="E175" s="42">
        <f t="shared" ref="E175:BP175" si="181">SUM(E42:E65)+$D$8-MIN($B$42:$B$65)</f>
        <v>22</v>
      </c>
      <c r="F175" s="42">
        <f t="shared" si="181"/>
        <v>21</v>
      </c>
      <c r="G175" s="42">
        <f t="shared" si="181"/>
        <v>20</v>
      </c>
      <c r="H175" s="42">
        <f t="shared" si="181"/>
        <v>19</v>
      </c>
      <c r="I175" s="42">
        <f t="shared" si="181"/>
        <v>18</v>
      </c>
      <c r="J175" s="42">
        <f t="shared" si="181"/>
        <v>17</v>
      </c>
      <c r="K175" s="42">
        <f t="shared" si="181"/>
        <v>16</v>
      </c>
      <c r="L175" s="42">
        <f t="shared" si="181"/>
        <v>15</v>
      </c>
      <c r="M175" s="42">
        <f t="shared" si="181"/>
        <v>14</v>
      </c>
      <c r="N175" s="42">
        <f t="shared" si="181"/>
        <v>14</v>
      </c>
      <c r="O175" s="42">
        <f t="shared" si="181"/>
        <v>14</v>
      </c>
      <c r="P175" s="42">
        <f t="shared" si="181"/>
        <v>14</v>
      </c>
      <c r="Q175" s="42">
        <f t="shared" si="181"/>
        <v>14</v>
      </c>
      <c r="R175" s="42">
        <f t="shared" si="181"/>
        <v>14</v>
      </c>
      <c r="S175" s="42">
        <f t="shared" si="181"/>
        <v>14</v>
      </c>
      <c r="T175" s="42">
        <f t="shared" si="181"/>
        <v>14</v>
      </c>
      <c r="U175" s="42">
        <f t="shared" si="181"/>
        <v>14</v>
      </c>
      <c r="V175" s="42">
        <f t="shared" si="181"/>
        <v>14</v>
      </c>
      <c r="W175" s="42">
        <f t="shared" si="181"/>
        <v>14</v>
      </c>
      <c r="X175" s="42">
        <f t="shared" si="181"/>
        <v>14</v>
      </c>
      <c r="Y175" s="42">
        <f t="shared" si="181"/>
        <v>14</v>
      </c>
      <c r="Z175" s="42">
        <f t="shared" si="181"/>
        <v>14</v>
      </c>
      <c r="AA175" s="42">
        <f t="shared" si="181"/>
        <v>14</v>
      </c>
      <c r="AB175" s="42">
        <f t="shared" si="181"/>
        <v>14</v>
      </c>
      <c r="AC175" s="42">
        <f t="shared" si="181"/>
        <v>14</v>
      </c>
      <c r="AD175" s="42">
        <f t="shared" si="181"/>
        <v>14</v>
      </c>
      <c r="AE175" s="42">
        <f t="shared" si="181"/>
        <v>14</v>
      </c>
      <c r="AF175" s="42">
        <f t="shared" si="181"/>
        <v>14</v>
      </c>
      <c r="AG175" s="42">
        <f t="shared" si="181"/>
        <v>14</v>
      </c>
      <c r="AH175" s="42">
        <f t="shared" si="181"/>
        <v>14</v>
      </c>
      <c r="AI175" s="42">
        <f t="shared" si="181"/>
        <v>14</v>
      </c>
      <c r="AJ175" s="42">
        <f t="shared" si="181"/>
        <v>14</v>
      </c>
      <c r="AK175" s="42">
        <f t="shared" si="181"/>
        <v>14</v>
      </c>
      <c r="AL175" s="42">
        <f t="shared" si="181"/>
        <v>14</v>
      </c>
      <c r="AM175" s="42">
        <f t="shared" si="181"/>
        <v>14</v>
      </c>
      <c r="AN175" s="42">
        <f t="shared" si="181"/>
        <v>14</v>
      </c>
      <c r="AO175" s="42">
        <f t="shared" si="181"/>
        <v>14</v>
      </c>
      <c r="AP175" s="42">
        <f t="shared" si="181"/>
        <v>14</v>
      </c>
      <c r="AQ175" s="42">
        <f t="shared" si="181"/>
        <v>14</v>
      </c>
      <c r="AR175" s="42">
        <f t="shared" si="181"/>
        <v>14</v>
      </c>
      <c r="AS175" s="42">
        <f t="shared" si="181"/>
        <v>14</v>
      </c>
      <c r="AT175" s="42">
        <f t="shared" si="181"/>
        <v>14</v>
      </c>
      <c r="AU175" s="42">
        <f t="shared" si="181"/>
        <v>14</v>
      </c>
      <c r="AV175" s="42">
        <f t="shared" si="181"/>
        <v>14</v>
      </c>
      <c r="AW175" s="42">
        <f t="shared" si="181"/>
        <v>14</v>
      </c>
      <c r="AX175" s="42">
        <f t="shared" si="181"/>
        <v>14</v>
      </c>
      <c r="AY175" s="42">
        <f t="shared" si="181"/>
        <v>14</v>
      </c>
      <c r="AZ175" s="42">
        <f t="shared" si="181"/>
        <v>14</v>
      </c>
      <c r="BA175" s="42">
        <f t="shared" si="181"/>
        <v>14</v>
      </c>
      <c r="BB175" s="42">
        <f t="shared" si="181"/>
        <v>14</v>
      </c>
      <c r="BC175" s="42">
        <f t="shared" si="181"/>
        <v>14</v>
      </c>
      <c r="BD175" s="42">
        <f t="shared" si="181"/>
        <v>14</v>
      </c>
      <c r="BE175" s="42">
        <f t="shared" si="181"/>
        <v>14</v>
      </c>
      <c r="BF175" s="42">
        <f t="shared" si="181"/>
        <v>14</v>
      </c>
      <c r="BG175" s="42">
        <f t="shared" si="181"/>
        <v>14</v>
      </c>
      <c r="BH175" s="42">
        <f t="shared" si="181"/>
        <v>14</v>
      </c>
      <c r="BI175" s="42">
        <f t="shared" si="181"/>
        <v>14</v>
      </c>
      <c r="BJ175" s="42">
        <f t="shared" si="181"/>
        <v>14</v>
      </c>
      <c r="BK175" s="42">
        <f t="shared" si="181"/>
        <v>14</v>
      </c>
      <c r="BL175" s="42">
        <f t="shared" si="181"/>
        <v>14</v>
      </c>
      <c r="BM175" s="42">
        <f t="shared" si="181"/>
        <v>14</v>
      </c>
      <c r="BN175" s="42">
        <f t="shared" si="181"/>
        <v>14</v>
      </c>
      <c r="BO175" s="42">
        <f t="shared" si="181"/>
        <v>14</v>
      </c>
      <c r="BP175" s="42">
        <f t="shared" si="181"/>
        <v>14</v>
      </c>
      <c r="BQ175" s="42">
        <f t="shared" ref="BQ175:CS175" si="182">SUM(BQ42:BQ65)+$D$8-MIN($B$42:$B$65)</f>
        <v>14</v>
      </c>
      <c r="BR175" s="42">
        <f t="shared" si="182"/>
        <v>14</v>
      </c>
      <c r="BS175" s="42">
        <f t="shared" si="182"/>
        <v>14</v>
      </c>
      <c r="BT175" s="42">
        <f t="shared" si="182"/>
        <v>14</v>
      </c>
      <c r="BU175" s="42">
        <f t="shared" si="182"/>
        <v>14</v>
      </c>
      <c r="BV175" s="42">
        <f t="shared" si="182"/>
        <v>14</v>
      </c>
      <c r="BW175" s="42">
        <f t="shared" si="182"/>
        <v>14</v>
      </c>
      <c r="BX175" s="42">
        <f t="shared" si="182"/>
        <v>14</v>
      </c>
      <c r="BY175" s="42">
        <f t="shared" si="182"/>
        <v>14</v>
      </c>
      <c r="BZ175" s="42">
        <f t="shared" si="182"/>
        <v>14</v>
      </c>
      <c r="CA175" s="42">
        <f t="shared" si="182"/>
        <v>14</v>
      </c>
      <c r="CB175" s="42">
        <f t="shared" si="182"/>
        <v>14</v>
      </c>
      <c r="CC175" s="42">
        <f t="shared" si="182"/>
        <v>14</v>
      </c>
      <c r="CD175" s="42">
        <f t="shared" si="182"/>
        <v>14</v>
      </c>
      <c r="CE175" s="42">
        <f t="shared" si="182"/>
        <v>14</v>
      </c>
      <c r="CF175" s="42">
        <f t="shared" si="182"/>
        <v>14</v>
      </c>
      <c r="CG175" s="42">
        <f t="shared" si="182"/>
        <v>14</v>
      </c>
      <c r="CH175" s="42">
        <f t="shared" si="182"/>
        <v>14</v>
      </c>
      <c r="CI175" s="42">
        <f t="shared" si="182"/>
        <v>14</v>
      </c>
      <c r="CJ175" s="42">
        <f t="shared" si="182"/>
        <v>14</v>
      </c>
      <c r="CK175" s="42">
        <f t="shared" si="182"/>
        <v>14</v>
      </c>
      <c r="CL175" s="42">
        <f t="shared" si="182"/>
        <v>14</v>
      </c>
      <c r="CM175" s="42">
        <f t="shared" si="182"/>
        <v>14</v>
      </c>
      <c r="CN175" s="42">
        <f t="shared" si="182"/>
        <v>14</v>
      </c>
      <c r="CO175" s="42">
        <f t="shared" si="182"/>
        <v>14</v>
      </c>
      <c r="CP175" s="42">
        <f t="shared" si="182"/>
        <v>14</v>
      </c>
      <c r="CQ175" s="42">
        <f t="shared" si="182"/>
        <v>14</v>
      </c>
      <c r="CR175" s="42">
        <f t="shared" si="182"/>
        <v>14</v>
      </c>
      <c r="CS175" s="42">
        <f t="shared" si="182"/>
        <v>14</v>
      </c>
    </row>
    <row r="176" spans="1:98" hidden="1" x14ac:dyDescent="0.25">
      <c r="A176" s="97">
        <v>0</v>
      </c>
      <c r="C176" s="45" t="s">
        <v>3</v>
      </c>
      <c r="D176" s="40" t="str">
        <f t="shared" ref="D176:AI176" si="183">D186</f>
        <v>2 / 1</v>
      </c>
      <c r="E176" s="40" t="str">
        <f t="shared" si="183"/>
        <v>3 / 2</v>
      </c>
      <c r="F176" s="40" t="str">
        <f t="shared" si="183"/>
        <v>4 / 3</v>
      </c>
      <c r="G176" s="40" t="str">
        <f t="shared" si="183"/>
        <v>5 / 4</v>
      </c>
      <c r="H176" s="40" t="str">
        <f t="shared" si="183"/>
        <v>6 / 5</v>
      </c>
      <c r="I176" s="40" t="str">
        <f t="shared" si="183"/>
        <v>7 / 6</v>
      </c>
      <c r="J176" s="40" t="str">
        <f t="shared" si="183"/>
        <v>8 / 7</v>
      </c>
      <c r="K176" s="40" t="str">
        <f t="shared" si="183"/>
        <v>9 / 8</v>
      </c>
      <c r="L176" s="40" t="str">
        <f t="shared" si="183"/>
        <v>10 / 9</v>
      </c>
      <c r="M176" s="40" t="str">
        <f t="shared" si="183"/>
        <v>11 / 10</v>
      </c>
      <c r="N176" s="40" t="str">
        <f t="shared" si="183"/>
        <v>12 / 11</v>
      </c>
      <c r="O176" s="40" t="str">
        <f t="shared" si="183"/>
        <v>13 / 12</v>
      </c>
      <c r="P176" s="40" t="str">
        <f t="shared" si="183"/>
        <v>14 / 13</v>
      </c>
      <c r="Q176" s="40" t="str">
        <f t="shared" si="183"/>
        <v>15 / 14</v>
      </c>
      <c r="R176" s="40" t="str">
        <f t="shared" si="183"/>
        <v>16 / 15</v>
      </c>
      <c r="S176" s="40" t="str">
        <f t="shared" si="183"/>
        <v>17 / 16</v>
      </c>
      <c r="T176" s="40" t="str">
        <f t="shared" si="183"/>
        <v>18 / 17</v>
      </c>
      <c r="U176" s="40" t="str">
        <f t="shared" si="183"/>
        <v>19 / 18</v>
      </c>
      <c r="V176" s="40" t="str">
        <f t="shared" si="183"/>
        <v>20 / 19</v>
      </c>
      <c r="W176" s="40" t="str">
        <f t="shared" si="183"/>
        <v>21 / 20</v>
      </c>
      <c r="X176" s="40" t="str">
        <f t="shared" si="183"/>
        <v>22 / 21</v>
      </c>
      <c r="Y176" s="40" t="str">
        <f t="shared" si="183"/>
        <v>23 / 22</v>
      </c>
      <c r="Z176" s="40" t="str">
        <f t="shared" si="183"/>
        <v>24 / 23</v>
      </c>
      <c r="AA176" s="40" t="str">
        <f t="shared" si="183"/>
        <v>25 / 24</v>
      </c>
      <c r="AB176" s="40" t="str">
        <f t="shared" si="183"/>
        <v>26 / 25</v>
      </c>
      <c r="AC176" s="40" t="str">
        <f t="shared" si="183"/>
        <v>27 / 26</v>
      </c>
      <c r="AD176" s="40" t="str">
        <f t="shared" si="183"/>
        <v>28 / 27</v>
      </c>
      <c r="AE176" s="40" t="str">
        <f t="shared" si="183"/>
        <v>29 / 28</v>
      </c>
      <c r="AF176" s="40" t="str">
        <f t="shared" si="183"/>
        <v>30 / 29</v>
      </c>
      <c r="AG176" s="40" t="str">
        <f t="shared" si="183"/>
        <v>31 / 30</v>
      </c>
      <c r="AH176" s="40" t="str">
        <f t="shared" si="183"/>
        <v>32 / 31</v>
      </c>
      <c r="AI176" s="40" t="str">
        <f t="shared" si="183"/>
        <v>33 / 32</v>
      </c>
      <c r="AJ176" s="40" t="str">
        <f t="shared" ref="AJ176:BO176" si="184">AJ186</f>
        <v>34 / 33</v>
      </c>
      <c r="AK176" s="40" t="str">
        <f t="shared" si="184"/>
        <v>35 / 34</v>
      </c>
      <c r="AL176" s="40" t="str">
        <f t="shared" si="184"/>
        <v>36 / 35</v>
      </c>
      <c r="AM176" s="40" t="str">
        <f t="shared" si="184"/>
        <v>37 / 36</v>
      </c>
      <c r="AN176" s="40" t="str">
        <f t="shared" si="184"/>
        <v>38 / 37</v>
      </c>
      <c r="AO176" s="40" t="str">
        <f t="shared" si="184"/>
        <v>39 / 38</v>
      </c>
      <c r="AP176" s="40" t="str">
        <f t="shared" si="184"/>
        <v>40 / 39</v>
      </c>
      <c r="AQ176" s="40" t="str">
        <f t="shared" si="184"/>
        <v>41 / 40</v>
      </c>
      <c r="AR176" s="40" t="str">
        <f t="shared" si="184"/>
        <v>42 / 41</v>
      </c>
      <c r="AS176" s="40" t="str">
        <f t="shared" si="184"/>
        <v>43 / 42</v>
      </c>
      <c r="AT176" s="40" t="str">
        <f t="shared" si="184"/>
        <v>44 / 43</v>
      </c>
      <c r="AU176" s="40" t="str">
        <f t="shared" si="184"/>
        <v>45 / 44</v>
      </c>
      <c r="AV176" s="40" t="str">
        <f t="shared" si="184"/>
        <v>46 / 45</v>
      </c>
      <c r="AW176" s="40" t="str">
        <f t="shared" si="184"/>
        <v>47 / 46</v>
      </c>
      <c r="AX176" s="40" t="str">
        <f t="shared" si="184"/>
        <v>48 / 47</v>
      </c>
      <c r="AY176" s="40" t="str">
        <f t="shared" si="184"/>
        <v>49 / 48</v>
      </c>
      <c r="AZ176" s="40" t="str">
        <f t="shared" si="184"/>
        <v>50 / 49</v>
      </c>
      <c r="BA176" s="40" t="str">
        <f t="shared" si="184"/>
        <v>51 / 50</v>
      </c>
      <c r="BB176" s="40" t="str">
        <f t="shared" si="184"/>
        <v>52 / 51</v>
      </c>
      <c r="BC176" s="40" t="str">
        <f t="shared" si="184"/>
        <v>53 / 52</v>
      </c>
      <c r="BD176" s="40" t="str">
        <f t="shared" si="184"/>
        <v>54 / 53</v>
      </c>
      <c r="BE176" s="40" t="str">
        <f t="shared" si="184"/>
        <v>55 / 54</v>
      </c>
      <c r="BF176" s="40" t="str">
        <f t="shared" si="184"/>
        <v>56 / 55</v>
      </c>
      <c r="BG176" s="40" t="str">
        <f t="shared" si="184"/>
        <v>57 / 56</v>
      </c>
      <c r="BH176" s="40" t="str">
        <f t="shared" si="184"/>
        <v>58 / 57</v>
      </c>
      <c r="BI176" s="40" t="str">
        <f t="shared" si="184"/>
        <v>59 / 58</v>
      </c>
      <c r="BJ176" s="40" t="str">
        <f t="shared" si="184"/>
        <v>60 / 59</v>
      </c>
      <c r="BK176" s="40" t="str">
        <f t="shared" si="184"/>
        <v>61 / 60</v>
      </c>
      <c r="BL176" s="40" t="str">
        <f t="shared" si="184"/>
        <v>62 / 61</v>
      </c>
      <c r="BM176" s="40" t="str">
        <f t="shared" si="184"/>
        <v>63 / 62</v>
      </c>
      <c r="BN176" s="40" t="str">
        <f t="shared" si="184"/>
        <v>64 / 63</v>
      </c>
      <c r="BO176" s="40" t="str">
        <f t="shared" si="184"/>
        <v>65 / 64</v>
      </c>
      <c r="BP176" s="40" t="str">
        <f t="shared" ref="BP176:CS176" si="185">BP186</f>
        <v>66 / 65</v>
      </c>
      <c r="BQ176" s="40" t="str">
        <f t="shared" si="185"/>
        <v>67 / 66</v>
      </c>
      <c r="BR176" s="40" t="str">
        <f t="shared" si="185"/>
        <v>68 / 67</v>
      </c>
      <c r="BS176" s="40" t="str">
        <f t="shared" si="185"/>
        <v>69 / 68</v>
      </c>
      <c r="BT176" s="40" t="str">
        <f t="shared" si="185"/>
        <v>70 / 69</v>
      </c>
      <c r="BU176" s="40" t="str">
        <f t="shared" si="185"/>
        <v>71 / 70</v>
      </c>
      <c r="BV176" s="40" t="str">
        <f t="shared" si="185"/>
        <v>72 / 71</v>
      </c>
      <c r="BW176" s="40" t="str">
        <f t="shared" si="185"/>
        <v>73 / 72</v>
      </c>
      <c r="BX176" s="40" t="str">
        <f t="shared" si="185"/>
        <v>74 / 73</v>
      </c>
      <c r="BY176" s="40" t="str">
        <f t="shared" si="185"/>
        <v>75 / 74</v>
      </c>
      <c r="BZ176" s="40" t="str">
        <f t="shared" si="185"/>
        <v>76 / 75</v>
      </c>
      <c r="CA176" s="40" t="str">
        <f t="shared" si="185"/>
        <v>77 / 76</v>
      </c>
      <c r="CB176" s="40" t="str">
        <f t="shared" si="185"/>
        <v>78 / 77</v>
      </c>
      <c r="CC176" s="40" t="str">
        <f t="shared" si="185"/>
        <v>79 / 78</v>
      </c>
      <c r="CD176" s="40" t="str">
        <f t="shared" si="185"/>
        <v>80 / 79</v>
      </c>
      <c r="CE176" s="40" t="str">
        <f t="shared" si="185"/>
        <v>81 / 80</v>
      </c>
      <c r="CF176" s="40" t="str">
        <f t="shared" si="185"/>
        <v>82 / 81</v>
      </c>
      <c r="CG176" s="40" t="str">
        <f t="shared" si="185"/>
        <v>83 / 82</v>
      </c>
      <c r="CH176" s="40" t="str">
        <f t="shared" si="185"/>
        <v>84 / 83</v>
      </c>
      <c r="CI176" s="40" t="str">
        <f t="shared" si="185"/>
        <v>85 / 84</v>
      </c>
      <c r="CJ176" s="40" t="str">
        <f t="shared" si="185"/>
        <v>86 / 85</v>
      </c>
      <c r="CK176" s="40" t="str">
        <f t="shared" si="185"/>
        <v>87 / 86</v>
      </c>
      <c r="CL176" s="40" t="str">
        <f t="shared" si="185"/>
        <v>88 / 87</v>
      </c>
      <c r="CM176" s="40" t="str">
        <f t="shared" si="185"/>
        <v>89 / 88</v>
      </c>
      <c r="CN176" s="40" t="str">
        <f t="shared" si="185"/>
        <v>90 / 89</v>
      </c>
      <c r="CO176" s="40" t="str">
        <f t="shared" si="185"/>
        <v>91 / 90</v>
      </c>
      <c r="CP176" s="40" t="str">
        <f t="shared" si="185"/>
        <v>92 / 91</v>
      </c>
      <c r="CQ176" s="40" t="str">
        <f t="shared" si="185"/>
        <v>93 / 92</v>
      </c>
      <c r="CR176" s="40" t="str">
        <f t="shared" si="185"/>
        <v>94 / 93</v>
      </c>
      <c r="CS176" s="40" t="str">
        <f t="shared" si="185"/>
        <v>95 / 94</v>
      </c>
    </row>
    <row r="177" spans="1:101" hidden="1" x14ac:dyDescent="0.25">
      <c r="A177" s="97">
        <v>0</v>
      </c>
      <c r="C177" s="25" t="s">
        <v>4</v>
      </c>
      <c r="D177" s="44">
        <f t="shared" ref="D177:AI177" si="186">IF(SUM(D150:D173)=0,1,AVERAGEIFS(D$69:D$92,D$150:D$173,1))</f>
        <v>2.6268815962328227</v>
      </c>
      <c r="E177" s="44">
        <f t="shared" si="186"/>
        <v>16.522905933842303</v>
      </c>
      <c r="F177" s="44">
        <f t="shared" si="186"/>
        <v>0.86824330372052394</v>
      </c>
      <c r="G177" s="44">
        <f t="shared" si="186"/>
        <v>0.88410178025147346</v>
      </c>
      <c r="H177" s="44">
        <f t="shared" si="186"/>
        <v>0.88783367251807033</v>
      </c>
      <c r="I177" s="44">
        <f t="shared" si="186"/>
        <v>0.92181859275716738</v>
      </c>
      <c r="J177" s="44">
        <f t="shared" si="186"/>
        <v>0.98801150584362418</v>
      </c>
      <c r="K177" s="44">
        <f t="shared" si="186"/>
        <v>0.98585364716294022</v>
      </c>
      <c r="L177" s="44">
        <f t="shared" si="186"/>
        <v>0.99961951322065556</v>
      </c>
      <c r="M177" s="44">
        <f t="shared" si="186"/>
        <v>1</v>
      </c>
      <c r="N177" s="44">
        <f t="shared" si="186"/>
        <v>1</v>
      </c>
      <c r="O177" s="44">
        <f t="shared" si="186"/>
        <v>1</v>
      </c>
      <c r="P177" s="44">
        <f t="shared" si="186"/>
        <v>1</v>
      </c>
      <c r="Q177" s="44">
        <f t="shared" si="186"/>
        <v>1</v>
      </c>
      <c r="R177" s="44">
        <f t="shared" si="186"/>
        <v>1</v>
      </c>
      <c r="S177" s="44">
        <f t="shared" si="186"/>
        <v>1</v>
      </c>
      <c r="T177" s="44">
        <f t="shared" si="186"/>
        <v>1</v>
      </c>
      <c r="U177" s="44">
        <f t="shared" si="186"/>
        <v>1</v>
      </c>
      <c r="V177" s="44">
        <f t="shared" si="186"/>
        <v>1</v>
      </c>
      <c r="W177" s="44">
        <f t="shared" si="186"/>
        <v>1</v>
      </c>
      <c r="X177" s="44">
        <f t="shared" si="186"/>
        <v>1</v>
      </c>
      <c r="Y177" s="44">
        <f t="shared" si="186"/>
        <v>1</v>
      </c>
      <c r="Z177" s="44">
        <f t="shared" si="186"/>
        <v>1</v>
      </c>
      <c r="AA177" s="44">
        <f t="shared" si="186"/>
        <v>1</v>
      </c>
      <c r="AB177" s="44">
        <f t="shared" si="186"/>
        <v>1</v>
      </c>
      <c r="AC177" s="44">
        <f t="shared" si="186"/>
        <v>1</v>
      </c>
      <c r="AD177" s="44">
        <f t="shared" si="186"/>
        <v>1</v>
      </c>
      <c r="AE177" s="44">
        <f t="shared" si="186"/>
        <v>1</v>
      </c>
      <c r="AF177" s="44">
        <f t="shared" si="186"/>
        <v>1</v>
      </c>
      <c r="AG177" s="44">
        <f t="shared" si="186"/>
        <v>1</v>
      </c>
      <c r="AH177" s="44">
        <f t="shared" si="186"/>
        <v>1</v>
      </c>
      <c r="AI177" s="44">
        <f t="shared" si="186"/>
        <v>1</v>
      </c>
      <c r="AJ177" s="44">
        <f t="shared" ref="AJ177:BO177" si="187">IF(SUM(AJ150:AJ173)=0,1,AVERAGEIFS(AJ$69:AJ$92,AJ$150:AJ$173,1))</f>
        <v>1</v>
      </c>
      <c r="AK177" s="44">
        <f t="shared" si="187"/>
        <v>1</v>
      </c>
      <c r="AL177" s="44">
        <f t="shared" si="187"/>
        <v>1</v>
      </c>
      <c r="AM177" s="44">
        <f t="shared" si="187"/>
        <v>1</v>
      </c>
      <c r="AN177" s="44">
        <f t="shared" si="187"/>
        <v>1</v>
      </c>
      <c r="AO177" s="44">
        <f t="shared" si="187"/>
        <v>1</v>
      </c>
      <c r="AP177" s="44">
        <f t="shared" si="187"/>
        <v>1</v>
      </c>
      <c r="AQ177" s="44">
        <f t="shared" si="187"/>
        <v>1</v>
      </c>
      <c r="AR177" s="44">
        <f t="shared" si="187"/>
        <v>1</v>
      </c>
      <c r="AS177" s="44">
        <f t="shared" si="187"/>
        <v>1</v>
      </c>
      <c r="AT177" s="44">
        <f t="shared" si="187"/>
        <v>1</v>
      </c>
      <c r="AU177" s="44">
        <f t="shared" si="187"/>
        <v>1</v>
      </c>
      <c r="AV177" s="44">
        <f t="shared" si="187"/>
        <v>1</v>
      </c>
      <c r="AW177" s="44">
        <f t="shared" si="187"/>
        <v>1</v>
      </c>
      <c r="AX177" s="44">
        <f t="shared" si="187"/>
        <v>1</v>
      </c>
      <c r="AY177" s="44">
        <f t="shared" si="187"/>
        <v>1</v>
      </c>
      <c r="AZ177" s="44">
        <f t="shared" si="187"/>
        <v>1</v>
      </c>
      <c r="BA177" s="44">
        <f t="shared" si="187"/>
        <v>1</v>
      </c>
      <c r="BB177" s="44">
        <f t="shared" si="187"/>
        <v>1</v>
      </c>
      <c r="BC177" s="44">
        <f t="shared" si="187"/>
        <v>1</v>
      </c>
      <c r="BD177" s="44">
        <f t="shared" si="187"/>
        <v>1</v>
      </c>
      <c r="BE177" s="44">
        <f t="shared" si="187"/>
        <v>1</v>
      </c>
      <c r="BF177" s="44">
        <f t="shared" si="187"/>
        <v>1</v>
      </c>
      <c r="BG177" s="44">
        <f t="shared" si="187"/>
        <v>1</v>
      </c>
      <c r="BH177" s="44">
        <f t="shared" si="187"/>
        <v>1</v>
      </c>
      <c r="BI177" s="44">
        <f t="shared" si="187"/>
        <v>1</v>
      </c>
      <c r="BJ177" s="44">
        <f t="shared" si="187"/>
        <v>1</v>
      </c>
      <c r="BK177" s="44">
        <f t="shared" si="187"/>
        <v>1</v>
      </c>
      <c r="BL177" s="44">
        <f t="shared" si="187"/>
        <v>1</v>
      </c>
      <c r="BM177" s="44">
        <f t="shared" si="187"/>
        <v>1</v>
      </c>
      <c r="BN177" s="44">
        <f t="shared" si="187"/>
        <v>1</v>
      </c>
      <c r="BO177" s="44">
        <f t="shared" si="187"/>
        <v>1</v>
      </c>
      <c r="BP177" s="44">
        <f t="shared" ref="BP177:CS177" si="188">IF(SUM(BP150:BP173)=0,1,AVERAGEIFS(BP$69:BP$92,BP$150:BP$173,1))</f>
        <v>1</v>
      </c>
      <c r="BQ177" s="44">
        <f t="shared" si="188"/>
        <v>1</v>
      </c>
      <c r="BR177" s="44">
        <f t="shared" si="188"/>
        <v>1</v>
      </c>
      <c r="BS177" s="44">
        <f t="shared" si="188"/>
        <v>1</v>
      </c>
      <c r="BT177" s="44">
        <f t="shared" si="188"/>
        <v>1</v>
      </c>
      <c r="BU177" s="44">
        <f t="shared" si="188"/>
        <v>1</v>
      </c>
      <c r="BV177" s="44">
        <f t="shared" si="188"/>
        <v>1</v>
      </c>
      <c r="BW177" s="44">
        <f t="shared" si="188"/>
        <v>1</v>
      </c>
      <c r="BX177" s="44">
        <f t="shared" si="188"/>
        <v>1</v>
      </c>
      <c r="BY177" s="44">
        <f t="shared" si="188"/>
        <v>1</v>
      </c>
      <c r="BZ177" s="44">
        <f t="shared" si="188"/>
        <v>1</v>
      </c>
      <c r="CA177" s="44">
        <f t="shared" si="188"/>
        <v>1</v>
      </c>
      <c r="CB177" s="44">
        <f t="shared" si="188"/>
        <v>1</v>
      </c>
      <c r="CC177" s="44">
        <f t="shared" si="188"/>
        <v>1</v>
      </c>
      <c r="CD177" s="44">
        <f t="shared" si="188"/>
        <v>1</v>
      </c>
      <c r="CE177" s="44">
        <f t="shared" si="188"/>
        <v>1</v>
      </c>
      <c r="CF177" s="44">
        <f t="shared" si="188"/>
        <v>1</v>
      </c>
      <c r="CG177" s="44">
        <f t="shared" si="188"/>
        <v>1</v>
      </c>
      <c r="CH177" s="44">
        <f t="shared" si="188"/>
        <v>1</v>
      </c>
      <c r="CI177" s="44">
        <f t="shared" si="188"/>
        <v>1</v>
      </c>
      <c r="CJ177" s="44">
        <f t="shared" si="188"/>
        <v>1</v>
      </c>
      <c r="CK177" s="44">
        <f t="shared" si="188"/>
        <v>1</v>
      </c>
      <c r="CL177" s="44">
        <f t="shared" si="188"/>
        <v>1</v>
      </c>
      <c r="CM177" s="44">
        <f t="shared" si="188"/>
        <v>1</v>
      </c>
      <c r="CN177" s="44">
        <f t="shared" si="188"/>
        <v>1</v>
      </c>
      <c r="CO177" s="44">
        <f t="shared" si="188"/>
        <v>1</v>
      </c>
      <c r="CP177" s="44">
        <f t="shared" si="188"/>
        <v>1</v>
      </c>
      <c r="CQ177" s="44">
        <f t="shared" si="188"/>
        <v>1</v>
      </c>
      <c r="CR177" s="44">
        <f t="shared" si="188"/>
        <v>1</v>
      </c>
      <c r="CS177" s="44">
        <f t="shared" si="188"/>
        <v>1</v>
      </c>
    </row>
    <row r="178" spans="1:101" hidden="1" x14ac:dyDescent="0.25">
      <c r="A178" s="97">
        <v>0</v>
      </c>
      <c r="C178" s="43">
        <v>5</v>
      </c>
      <c r="D178" s="44">
        <f t="shared" ref="D178:AI178" ca="1" si="189">IF(SUM(OFFSET(D150,D175-5,0,5))=0,1,AVERAGEIFS(OFFSET(D69,D175-5,0,5),OFFSET(D150,D175-5,0,5),1))</f>
        <v>3.2401447298537507</v>
      </c>
      <c r="E178" s="44">
        <f t="shared" ca="1" si="189"/>
        <v>24.861489447803038</v>
      </c>
      <c r="F178" s="44">
        <f t="shared" ca="1" si="189"/>
        <v>0.7957230710182116</v>
      </c>
      <c r="G178" s="44">
        <f t="shared" ca="1" si="189"/>
        <v>0.84302188390197175</v>
      </c>
      <c r="H178" s="44">
        <f t="shared" ca="1" si="189"/>
        <v>0.88783367251807033</v>
      </c>
      <c r="I178" s="44">
        <f t="shared" ca="1" si="189"/>
        <v>0.92181859275716738</v>
      </c>
      <c r="J178" s="44">
        <f t="shared" ca="1" si="189"/>
        <v>0.98801150584362418</v>
      </c>
      <c r="K178" s="44">
        <f t="shared" ca="1" si="189"/>
        <v>0.98585364716294022</v>
      </c>
      <c r="L178" s="44">
        <f t="shared" ca="1" si="189"/>
        <v>0.99961951322065556</v>
      </c>
      <c r="M178" s="44">
        <f t="shared" ca="1" si="189"/>
        <v>1</v>
      </c>
      <c r="N178" s="44">
        <f t="shared" ca="1" si="189"/>
        <v>1</v>
      </c>
      <c r="O178" s="44">
        <f t="shared" ca="1" si="189"/>
        <v>1</v>
      </c>
      <c r="P178" s="44">
        <f t="shared" ca="1" si="189"/>
        <v>1</v>
      </c>
      <c r="Q178" s="44">
        <f t="shared" ca="1" si="189"/>
        <v>1</v>
      </c>
      <c r="R178" s="44">
        <f t="shared" ca="1" si="189"/>
        <v>1</v>
      </c>
      <c r="S178" s="44">
        <f t="shared" ca="1" si="189"/>
        <v>1</v>
      </c>
      <c r="T178" s="44">
        <f t="shared" ca="1" si="189"/>
        <v>1</v>
      </c>
      <c r="U178" s="44">
        <f t="shared" ca="1" si="189"/>
        <v>1</v>
      </c>
      <c r="V178" s="44">
        <f t="shared" ca="1" si="189"/>
        <v>1</v>
      </c>
      <c r="W178" s="44">
        <f t="shared" ca="1" si="189"/>
        <v>1</v>
      </c>
      <c r="X178" s="44">
        <f t="shared" ca="1" si="189"/>
        <v>1</v>
      </c>
      <c r="Y178" s="44">
        <f t="shared" ca="1" si="189"/>
        <v>1</v>
      </c>
      <c r="Z178" s="44">
        <f t="shared" ca="1" si="189"/>
        <v>1</v>
      </c>
      <c r="AA178" s="44">
        <f t="shared" ca="1" si="189"/>
        <v>1</v>
      </c>
      <c r="AB178" s="44">
        <f t="shared" ca="1" si="189"/>
        <v>1</v>
      </c>
      <c r="AC178" s="44">
        <f t="shared" ca="1" si="189"/>
        <v>1</v>
      </c>
      <c r="AD178" s="44">
        <f t="shared" ca="1" si="189"/>
        <v>1</v>
      </c>
      <c r="AE178" s="44">
        <f t="shared" ca="1" si="189"/>
        <v>1</v>
      </c>
      <c r="AF178" s="44">
        <f t="shared" ca="1" si="189"/>
        <v>1</v>
      </c>
      <c r="AG178" s="44">
        <f t="shared" ca="1" si="189"/>
        <v>1</v>
      </c>
      <c r="AH178" s="44">
        <f t="shared" ca="1" si="189"/>
        <v>1</v>
      </c>
      <c r="AI178" s="44">
        <f t="shared" ca="1" si="189"/>
        <v>1</v>
      </c>
      <c r="AJ178" s="44">
        <f t="shared" ref="AJ178:BO178" ca="1" si="190">IF(SUM(OFFSET(AJ150,AJ175-5,0,5))=0,1,AVERAGEIFS(OFFSET(AJ69,AJ175-5,0,5),OFFSET(AJ150,AJ175-5,0,5),1))</f>
        <v>1</v>
      </c>
      <c r="AK178" s="44">
        <f t="shared" ca="1" si="190"/>
        <v>1</v>
      </c>
      <c r="AL178" s="44">
        <f t="shared" ca="1" si="190"/>
        <v>1</v>
      </c>
      <c r="AM178" s="44">
        <f t="shared" ca="1" si="190"/>
        <v>1</v>
      </c>
      <c r="AN178" s="44">
        <f t="shared" ca="1" si="190"/>
        <v>1</v>
      </c>
      <c r="AO178" s="44">
        <f t="shared" ca="1" si="190"/>
        <v>1</v>
      </c>
      <c r="AP178" s="44">
        <f t="shared" ca="1" si="190"/>
        <v>1</v>
      </c>
      <c r="AQ178" s="44">
        <f t="shared" ca="1" si="190"/>
        <v>1</v>
      </c>
      <c r="AR178" s="44">
        <f t="shared" ca="1" si="190"/>
        <v>1</v>
      </c>
      <c r="AS178" s="44">
        <f t="shared" ca="1" si="190"/>
        <v>1</v>
      </c>
      <c r="AT178" s="44">
        <f t="shared" ca="1" si="190"/>
        <v>1</v>
      </c>
      <c r="AU178" s="44">
        <f t="shared" ca="1" si="190"/>
        <v>1</v>
      </c>
      <c r="AV178" s="44">
        <f t="shared" ca="1" si="190"/>
        <v>1</v>
      </c>
      <c r="AW178" s="44">
        <f t="shared" ca="1" si="190"/>
        <v>1</v>
      </c>
      <c r="AX178" s="44">
        <f t="shared" ca="1" si="190"/>
        <v>1</v>
      </c>
      <c r="AY178" s="44">
        <f t="shared" ca="1" si="190"/>
        <v>1</v>
      </c>
      <c r="AZ178" s="44">
        <f t="shared" ca="1" si="190"/>
        <v>1</v>
      </c>
      <c r="BA178" s="44">
        <f t="shared" ca="1" si="190"/>
        <v>1</v>
      </c>
      <c r="BB178" s="44">
        <f t="shared" ca="1" si="190"/>
        <v>1</v>
      </c>
      <c r="BC178" s="44">
        <f t="shared" ca="1" si="190"/>
        <v>1</v>
      </c>
      <c r="BD178" s="44">
        <f t="shared" ca="1" si="190"/>
        <v>1</v>
      </c>
      <c r="BE178" s="44">
        <f t="shared" ca="1" si="190"/>
        <v>1</v>
      </c>
      <c r="BF178" s="44">
        <f t="shared" ca="1" si="190"/>
        <v>1</v>
      </c>
      <c r="BG178" s="44">
        <f t="shared" ca="1" si="190"/>
        <v>1</v>
      </c>
      <c r="BH178" s="44">
        <f t="shared" ca="1" si="190"/>
        <v>1</v>
      </c>
      <c r="BI178" s="44">
        <f t="shared" ca="1" si="190"/>
        <v>1</v>
      </c>
      <c r="BJ178" s="44">
        <f t="shared" ca="1" si="190"/>
        <v>1</v>
      </c>
      <c r="BK178" s="44">
        <f t="shared" ca="1" si="190"/>
        <v>1</v>
      </c>
      <c r="BL178" s="44">
        <f t="shared" ca="1" si="190"/>
        <v>1</v>
      </c>
      <c r="BM178" s="44">
        <f t="shared" ca="1" si="190"/>
        <v>1</v>
      </c>
      <c r="BN178" s="44">
        <f t="shared" ca="1" si="190"/>
        <v>1</v>
      </c>
      <c r="BO178" s="44">
        <f t="shared" ca="1" si="190"/>
        <v>1</v>
      </c>
      <c r="BP178" s="44">
        <f t="shared" ref="BP178:CS178" ca="1" si="191">IF(SUM(OFFSET(BP150,BP175-5,0,5))=0,1,AVERAGEIFS(OFFSET(BP69,BP175-5,0,5),OFFSET(BP150,BP175-5,0,5),1))</f>
        <v>1</v>
      </c>
      <c r="BQ178" s="44">
        <f t="shared" ca="1" si="191"/>
        <v>1</v>
      </c>
      <c r="BR178" s="44">
        <f t="shared" ca="1" si="191"/>
        <v>1</v>
      </c>
      <c r="BS178" s="44">
        <f t="shared" ca="1" si="191"/>
        <v>1</v>
      </c>
      <c r="BT178" s="44">
        <f t="shared" ca="1" si="191"/>
        <v>1</v>
      </c>
      <c r="BU178" s="44">
        <f t="shared" ca="1" si="191"/>
        <v>1</v>
      </c>
      <c r="BV178" s="44">
        <f t="shared" ca="1" si="191"/>
        <v>1</v>
      </c>
      <c r="BW178" s="44">
        <f t="shared" ca="1" si="191"/>
        <v>1</v>
      </c>
      <c r="BX178" s="44">
        <f t="shared" ca="1" si="191"/>
        <v>1</v>
      </c>
      <c r="BY178" s="44">
        <f t="shared" ca="1" si="191"/>
        <v>1</v>
      </c>
      <c r="BZ178" s="44">
        <f t="shared" ca="1" si="191"/>
        <v>1</v>
      </c>
      <c r="CA178" s="44">
        <f t="shared" ca="1" si="191"/>
        <v>1</v>
      </c>
      <c r="CB178" s="44">
        <f t="shared" ca="1" si="191"/>
        <v>1</v>
      </c>
      <c r="CC178" s="44">
        <f t="shared" ca="1" si="191"/>
        <v>1</v>
      </c>
      <c r="CD178" s="44">
        <f t="shared" ca="1" si="191"/>
        <v>1</v>
      </c>
      <c r="CE178" s="44">
        <f t="shared" ca="1" si="191"/>
        <v>1</v>
      </c>
      <c r="CF178" s="44">
        <f t="shared" ca="1" si="191"/>
        <v>1</v>
      </c>
      <c r="CG178" s="44">
        <f t="shared" ca="1" si="191"/>
        <v>1</v>
      </c>
      <c r="CH178" s="44">
        <f t="shared" ca="1" si="191"/>
        <v>1</v>
      </c>
      <c r="CI178" s="44">
        <f t="shared" ca="1" si="191"/>
        <v>1</v>
      </c>
      <c r="CJ178" s="44">
        <f t="shared" ca="1" si="191"/>
        <v>1</v>
      </c>
      <c r="CK178" s="44">
        <f t="shared" ca="1" si="191"/>
        <v>1</v>
      </c>
      <c r="CL178" s="44">
        <f t="shared" ca="1" si="191"/>
        <v>1</v>
      </c>
      <c r="CM178" s="44">
        <f t="shared" ca="1" si="191"/>
        <v>1</v>
      </c>
      <c r="CN178" s="44">
        <f t="shared" ca="1" si="191"/>
        <v>1</v>
      </c>
      <c r="CO178" s="44">
        <f t="shared" ca="1" si="191"/>
        <v>1</v>
      </c>
      <c r="CP178" s="44">
        <f t="shared" ca="1" si="191"/>
        <v>1</v>
      </c>
      <c r="CQ178" s="44">
        <f t="shared" ca="1" si="191"/>
        <v>1</v>
      </c>
      <c r="CR178" s="44">
        <f t="shared" ca="1" si="191"/>
        <v>1</v>
      </c>
      <c r="CS178" s="44">
        <f t="shared" ca="1" si="191"/>
        <v>1</v>
      </c>
    </row>
    <row r="179" spans="1:101" hidden="1" x14ac:dyDescent="0.25">
      <c r="A179" s="97">
        <v>0</v>
      </c>
      <c r="C179" s="43">
        <v>3</v>
      </c>
      <c r="D179" s="44">
        <f t="shared" ref="D179:AI179" ca="1" si="192">IF(SUM(OFFSET(D150,D175-3,0,3))=0,1,AVERAGEIFS(OFFSET(D69,D175-3,0,3),OFFSET(D150,D175-3,0,3),1))</f>
        <v>3.6340707765990712</v>
      </c>
      <c r="E179" s="44">
        <f t="shared" ca="1" si="192"/>
        <v>32.815319263737386</v>
      </c>
      <c r="F179" s="44">
        <f t="shared" ca="1" si="192"/>
        <v>0.64608505620822587</v>
      </c>
      <c r="G179" s="44">
        <f t="shared" ca="1" si="192"/>
        <v>0.98422838748282548</v>
      </c>
      <c r="H179" s="44">
        <f t="shared" ca="1" si="192"/>
        <v>0.81456619591071067</v>
      </c>
      <c r="I179" s="44">
        <f t="shared" ca="1" si="192"/>
        <v>0.88526842573846887</v>
      </c>
      <c r="J179" s="44">
        <f t="shared" ca="1" si="192"/>
        <v>0.98801150584362418</v>
      </c>
      <c r="K179" s="44">
        <f t="shared" ca="1" si="192"/>
        <v>0.98585364716294022</v>
      </c>
      <c r="L179" s="44">
        <f t="shared" ca="1" si="192"/>
        <v>0.99961951322065556</v>
      </c>
      <c r="M179" s="44">
        <f t="shared" ca="1" si="192"/>
        <v>1</v>
      </c>
      <c r="N179" s="44">
        <f t="shared" ca="1" si="192"/>
        <v>1</v>
      </c>
      <c r="O179" s="44">
        <f t="shared" ca="1" si="192"/>
        <v>1</v>
      </c>
      <c r="P179" s="44">
        <f t="shared" ca="1" si="192"/>
        <v>1</v>
      </c>
      <c r="Q179" s="44">
        <f t="shared" ca="1" si="192"/>
        <v>1</v>
      </c>
      <c r="R179" s="44">
        <f t="shared" ca="1" si="192"/>
        <v>1</v>
      </c>
      <c r="S179" s="44">
        <f t="shared" ca="1" si="192"/>
        <v>1</v>
      </c>
      <c r="T179" s="44">
        <f t="shared" ca="1" si="192"/>
        <v>1</v>
      </c>
      <c r="U179" s="44">
        <f t="shared" ca="1" si="192"/>
        <v>1</v>
      </c>
      <c r="V179" s="44">
        <f t="shared" ca="1" si="192"/>
        <v>1</v>
      </c>
      <c r="W179" s="44">
        <f t="shared" ca="1" si="192"/>
        <v>1</v>
      </c>
      <c r="X179" s="44">
        <f t="shared" ca="1" si="192"/>
        <v>1</v>
      </c>
      <c r="Y179" s="44">
        <f t="shared" ca="1" si="192"/>
        <v>1</v>
      </c>
      <c r="Z179" s="44">
        <f t="shared" ca="1" si="192"/>
        <v>1</v>
      </c>
      <c r="AA179" s="44">
        <f t="shared" ca="1" si="192"/>
        <v>1</v>
      </c>
      <c r="AB179" s="44">
        <f t="shared" ca="1" si="192"/>
        <v>1</v>
      </c>
      <c r="AC179" s="44">
        <f t="shared" ca="1" si="192"/>
        <v>1</v>
      </c>
      <c r="AD179" s="44">
        <f t="shared" ca="1" si="192"/>
        <v>1</v>
      </c>
      <c r="AE179" s="44">
        <f t="shared" ca="1" si="192"/>
        <v>1</v>
      </c>
      <c r="AF179" s="44">
        <f t="shared" ca="1" si="192"/>
        <v>1</v>
      </c>
      <c r="AG179" s="44">
        <f t="shared" ca="1" si="192"/>
        <v>1</v>
      </c>
      <c r="AH179" s="44">
        <f t="shared" ca="1" si="192"/>
        <v>1</v>
      </c>
      <c r="AI179" s="44">
        <f t="shared" ca="1" si="192"/>
        <v>1</v>
      </c>
      <c r="AJ179" s="44">
        <f t="shared" ref="AJ179:BO179" ca="1" si="193">IF(SUM(OFFSET(AJ150,AJ175-3,0,3))=0,1,AVERAGEIFS(OFFSET(AJ69,AJ175-3,0,3),OFFSET(AJ150,AJ175-3,0,3),1))</f>
        <v>1</v>
      </c>
      <c r="AK179" s="44">
        <f t="shared" ca="1" si="193"/>
        <v>1</v>
      </c>
      <c r="AL179" s="44">
        <f t="shared" ca="1" si="193"/>
        <v>1</v>
      </c>
      <c r="AM179" s="44">
        <f t="shared" ca="1" si="193"/>
        <v>1</v>
      </c>
      <c r="AN179" s="44">
        <f t="shared" ca="1" si="193"/>
        <v>1</v>
      </c>
      <c r="AO179" s="44">
        <f t="shared" ca="1" si="193"/>
        <v>1</v>
      </c>
      <c r="AP179" s="44">
        <f t="shared" ca="1" si="193"/>
        <v>1</v>
      </c>
      <c r="AQ179" s="44">
        <f t="shared" ca="1" si="193"/>
        <v>1</v>
      </c>
      <c r="AR179" s="44">
        <f t="shared" ca="1" si="193"/>
        <v>1</v>
      </c>
      <c r="AS179" s="44">
        <f t="shared" ca="1" si="193"/>
        <v>1</v>
      </c>
      <c r="AT179" s="44">
        <f t="shared" ca="1" si="193"/>
        <v>1</v>
      </c>
      <c r="AU179" s="44">
        <f t="shared" ca="1" si="193"/>
        <v>1</v>
      </c>
      <c r="AV179" s="44">
        <f t="shared" ca="1" si="193"/>
        <v>1</v>
      </c>
      <c r="AW179" s="44">
        <f t="shared" ca="1" si="193"/>
        <v>1</v>
      </c>
      <c r="AX179" s="44">
        <f t="shared" ca="1" si="193"/>
        <v>1</v>
      </c>
      <c r="AY179" s="44">
        <f t="shared" ca="1" si="193"/>
        <v>1</v>
      </c>
      <c r="AZ179" s="44">
        <f t="shared" ca="1" si="193"/>
        <v>1</v>
      </c>
      <c r="BA179" s="44">
        <f t="shared" ca="1" si="193"/>
        <v>1</v>
      </c>
      <c r="BB179" s="44">
        <f t="shared" ca="1" si="193"/>
        <v>1</v>
      </c>
      <c r="BC179" s="44">
        <f t="shared" ca="1" si="193"/>
        <v>1</v>
      </c>
      <c r="BD179" s="44">
        <f t="shared" ca="1" si="193"/>
        <v>1</v>
      </c>
      <c r="BE179" s="44">
        <f t="shared" ca="1" si="193"/>
        <v>1</v>
      </c>
      <c r="BF179" s="44">
        <f t="shared" ca="1" si="193"/>
        <v>1</v>
      </c>
      <c r="BG179" s="44">
        <f t="shared" ca="1" si="193"/>
        <v>1</v>
      </c>
      <c r="BH179" s="44">
        <f t="shared" ca="1" si="193"/>
        <v>1</v>
      </c>
      <c r="BI179" s="44">
        <f t="shared" ca="1" si="193"/>
        <v>1</v>
      </c>
      <c r="BJ179" s="44">
        <f t="shared" ca="1" si="193"/>
        <v>1</v>
      </c>
      <c r="BK179" s="44">
        <f t="shared" ca="1" si="193"/>
        <v>1</v>
      </c>
      <c r="BL179" s="44">
        <f t="shared" ca="1" si="193"/>
        <v>1</v>
      </c>
      <c r="BM179" s="44">
        <f t="shared" ca="1" si="193"/>
        <v>1</v>
      </c>
      <c r="BN179" s="44">
        <f t="shared" ca="1" si="193"/>
        <v>1</v>
      </c>
      <c r="BO179" s="44">
        <f t="shared" ca="1" si="193"/>
        <v>1</v>
      </c>
      <c r="BP179" s="44">
        <f t="shared" ref="BP179:CS179" ca="1" si="194">IF(SUM(OFFSET(BP150,BP175-3,0,3))=0,1,AVERAGEIFS(OFFSET(BP69,BP175-3,0,3),OFFSET(BP150,BP175-3,0,3),1))</f>
        <v>1</v>
      </c>
      <c r="BQ179" s="44">
        <f t="shared" ca="1" si="194"/>
        <v>1</v>
      </c>
      <c r="BR179" s="44">
        <f t="shared" ca="1" si="194"/>
        <v>1</v>
      </c>
      <c r="BS179" s="44">
        <f t="shared" ca="1" si="194"/>
        <v>1</v>
      </c>
      <c r="BT179" s="44">
        <f t="shared" ca="1" si="194"/>
        <v>1</v>
      </c>
      <c r="BU179" s="44">
        <f t="shared" ca="1" si="194"/>
        <v>1</v>
      </c>
      <c r="BV179" s="44">
        <f t="shared" ca="1" si="194"/>
        <v>1</v>
      </c>
      <c r="BW179" s="44">
        <f t="shared" ca="1" si="194"/>
        <v>1</v>
      </c>
      <c r="BX179" s="44">
        <f t="shared" ca="1" si="194"/>
        <v>1</v>
      </c>
      <c r="BY179" s="44">
        <f t="shared" ca="1" si="194"/>
        <v>1</v>
      </c>
      <c r="BZ179" s="44">
        <f t="shared" ca="1" si="194"/>
        <v>1</v>
      </c>
      <c r="CA179" s="44">
        <f t="shared" ca="1" si="194"/>
        <v>1</v>
      </c>
      <c r="CB179" s="44">
        <f t="shared" ca="1" si="194"/>
        <v>1</v>
      </c>
      <c r="CC179" s="44">
        <f t="shared" ca="1" si="194"/>
        <v>1</v>
      </c>
      <c r="CD179" s="44">
        <f t="shared" ca="1" si="194"/>
        <v>1</v>
      </c>
      <c r="CE179" s="44">
        <f t="shared" ca="1" si="194"/>
        <v>1</v>
      </c>
      <c r="CF179" s="44">
        <f t="shared" ca="1" si="194"/>
        <v>1</v>
      </c>
      <c r="CG179" s="44">
        <f t="shared" ca="1" si="194"/>
        <v>1</v>
      </c>
      <c r="CH179" s="44">
        <f t="shared" ca="1" si="194"/>
        <v>1</v>
      </c>
      <c r="CI179" s="44">
        <f t="shared" ca="1" si="194"/>
        <v>1</v>
      </c>
      <c r="CJ179" s="44">
        <f t="shared" ca="1" si="194"/>
        <v>1</v>
      </c>
      <c r="CK179" s="44">
        <f t="shared" ca="1" si="194"/>
        <v>1</v>
      </c>
      <c r="CL179" s="44">
        <f t="shared" ca="1" si="194"/>
        <v>1</v>
      </c>
      <c r="CM179" s="44">
        <f t="shared" ca="1" si="194"/>
        <v>1</v>
      </c>
      <c r="CN179" s="44">
        <f t="shared" ca="1" si="194"/>
        <v>1</v>
      </c>
      <c r="CO179" s="44">
        <f t="shared" ca="1" si="194"/>
        <v>1</v>
      </c>
      <c r="CP179" s="44">
        <f t="shared" ca="1" si="194"/>
        <v>1</v>
      </c>
      <c r="CQ179" s="44">
        <f t="shared" ca="1" si="194"/>
        <v>1</v>
      </c>
      <c r="CR179" s="44">
        <f t="shared" ca="1" si="194"/>
        <v>1</v>
      </c>
      <c r="CS179" s="44">
        <f t="shared" ca="1" si="194"/>
        <v>1</v>
      </c>
    </row>
    <row r="180" spans="1:101" hidden="1" x14ac:dyDescent="0.25">
      <c r="A180" s="97">
        <v>0</v>
      </c>
      <c r="B180" s="25" t="s">
        <v>7</v>
      </c>
      <c r="C180" s="46">
        <f>C190</f>
        <v>5</v>
      </c>
      <c r="D180" s="44">
        <f t="shared" ref="D180:AI180" ca="1" si="195">IF(SUM(OFFSET(D150,D175-$C$180,0,$C$180))=0,1,AVERAGEIFS(OFFSET(D69,D175-$C$180,0,$C$180),OFFSET(D150,D175-$C$180,0,$C$180),1))</f>
        <v>3.2401447298537507</v>
      </c>
      <c r="E180" s="44">
        <f t="shared" ca="1" si="195"/>
        <v>24.861489447803038</v>
      </c>
      <c r="F180" s="44">
        <f t="shared" ca="1" si="195"/>
        <v>0.7957230710182116</v>
      </c>
      <c r="G180" s="44">
        <f t="shared" ca="1" si="195"/>
        <v>0.84302188390197175</v>
      </c>
      <c r="H180" s="44">
        <f t="shared" ca="1" si="195"/>
        <v>0.88783367251807033</v>
      </c>
      <c r="I180" s="44">
        <f t="shared" ca="1" si="195"/>
        <v>0.92181859275716738</v>
      </c>
      <c r="J180" s="44">
        <f t="shared" ca="1" si="195"/>
        <v>0.98801150584362418</v>
      </c>
      <c r="K180" s="44">
        <f t="shared" ca="1" si="195"/>
        <v>0.98585364716294022</v>
      </c>
      <c r="L180" s="44">
        <f t="shared" ca="1" si="195"/>
        <v>0.99961951322065556</v>
      </c>
      <c r="M180" s="44">
        <f t="shared" ca="1" si="195"/>
        <v>1</v>
      </c>
      <c r="N180" s="44">
        <f t="shared" ca="1" si="195"/>
        <v>1</v>
      </c>
      <c r="O180" s="44">
        <f t="shared" ca="1" si="195"/>
        <v>1</v>
      </c>
      <c r="P180" s="44">
        <f t="shared" ca="1" si="195"/>
        <v>1</v>
      </c>
      <c r="Q180" s="44">
        <f t="shared" ca="1" si="195"/>
        <v>1</v>
      </c>
      <c r="R180" s="44">
        <f t="shared" ca="1" si="195"/>
        <v>1</v>
      </c>
      <c r="S180" s="44">
        <f t="shared" ca="1" si="195"/>
        <v>1</v>
      </c>
      <c r="T180" s="44">
        <f t="shared" ca="1" si="195"/>
        <v>1</v>
      </c>
      <c r="U180" s="44">
        <f t="shared" ca="1" si="195"/>
        <v>1</v>
      </c>
      <c r="V180" s="44">
        <f t="shared" ca="1" si="195"/>
        <v>1</v>
      </c>
      <c r="W180" s="44">
        <f t="shared" ca="1" si="195"/>
        <v>1</v>
      </c>
      <c r="X180" s="44">
        <f t="shared" ca="1" si="195"/>
        <v>1</v>
      </c>
      <c r="Y180" s="44">
        <f t="shared" ca="1" si="195"/>
        <v>1</v>
      </c>
      <c r="Z180" s="44">
        <f t="shared" ca="1" si="195"/>
        <v>1</v>
      </c>
      <c r="AA180" s="44">
        <f t="shared" ca="1" si="195"/>
        <v>1</v>
      </c>
      <c r="AB180" s="44">
        <f t="shared" ca="1" si="195"/>
        <v>1</v>
      </c>
      <c r="AC180" s="44">
        <f t="shared" ca="1" si="195"/>
        <v>1</v>
      </c>
      <c r="AD180" s="44">
        <f t="shared" ca="1" si="195"/>
        <v>1</v>
      </c>
      <c r="AE180" s="44">
        <f t="shared" ca="1" si="195"/>
        <v>1</v>
      </c>
      <c r="AF180" s="44">
        <f t="shared" ca="1" si="195"/>
        <v>1</v>
      </c>
      <c r="AG180" s="44">
        <f t="shared" ca="1" si="195"/>
        <v>1</v>
      </c>
      <c r="AH180" s="44">
        <f t="shared" ca="1" si="195"/>
        <v>1</v>
      </c>
      <c r="AI180" s="44">
        <f t="shared" ca="1" si="195"/>
        <v>1</v>
      </c>
      <c r="AJ180" s="44">
        <f t="shared" ref="AJ180:BO180" ca="1" si="196">IF(SUM(OFFSET(AJ150,AJ175-$C$180,0,$C$180))=0,1,AVERAGEIFS(OFFSET(AJ69,AJ175-$C$180,0,$C$180),OFFSET(AJ150,AJ175-$C$180,0,$C$180),1))</f>
        <v>1</v>
      </c>
      <c r="AK180" s="44">
        <f t="shared" ca="1" si="196"/>
        <v>1</v>
      </c>
      <c r="AL180" s="44">
        <f t="shared" ca="1" si="196"/>
        <v>1</v>
      </c>
      <c r="AM180" s="44">
        <f t="shared" ca="1" si="196"/>
        <v>1</v>
      </c>
      <c r="AN180" s="44">
        <f t="shared" ca="1" si="196"/>
        <v>1</v>
      </c>
      <c r="AO180" s="44">
        <f t="shared" ca="1" si="196"/>
        <v>1</v>
      </c>
      <c r="AP180" s="44">
        <f t="shared" ca="1" si="196"/>
        <v>1</v>
      </c>
      <c r="AQ180" s="44">
        <f t="shared" ca="1" si="196"/>
        <v>1</v>
      </c>
      <c r="AR180" s="44">
        <f t="shared" ca="1" si="196"/>
        <v>1</v>
      </c>
      <c r="AS180" s="44">
        <f t="shared" ca="1" si="196"/>
        <v>1</v>
      </c>
      <c r="AT180" s="44">
        <f t="shared" ca="1" si="196"/>
        <v>1</v>
      </c>
      <c r="AU180" s="44">
        <f t="shared" ca="1" si="196"/>
        <v>1</v>
      </c>
      <c r="AV180" s="44">
        <f t="shared" ca="1" si="196"/>
        <v>1</v>
      </c>
      <c r="AW180" s="44">
        <f t="shared" ca="1" si="196"/>
        <v>1</v>
      </c>
      <c r="AX180" s="44">
        <f t="shared" ca="1" si="196"/>
        <v>1</v>
      </c>
      <c r="AY180" s="44">
        <f t="shared" ca="1" si="196"/>
        <v>1</v>
      </c>
      <c r="AZ180" s="44">
        <f t="shared" ca="1" si="196"/>
        <v>1</v>
      </c>
      <c r="BA180" s="44">
        <f t="shared" ca="1" si="196"/>
        <v>1</v>
      </c>
      <c r="BB180" s="44">
        <f t="shared" ca="1" si="196"/>
        <v>1</v>
      </c>
      <c r="BC180" s="44">
        <f t="shared" ca="1" si="196"/>
        <v>1</v>
      </c>
      <c r="BD180" s="44">
        <f t="shared" ca="1" si="196"/>
        <v>1</v>
      </c>
      <c r="BE180" s="44">
        <f t="shared" ca="1" si="196"/>
        <v>1</v>
      </c>
      <c r="BF180" s="44">
        <f t="shared" ca="1" si="196"/>
        <v>1</v>
      </c>
      <c r="BG180" s="44">
        <f t="shared" ca="1" si="196"/>
        <v>1</v>
      </c>
      <c r="BH180" s="44">
        <f t="shared" ca="1" si="196"/>
        <v>1</v>
      </c>
      <c r="BI180" s="44">
        <f t="shared" ca="1" si="196"/>
        <v>1</v>
      </c>
      <c r="BJ180" s="44">
        <f t="shared" ca="1" si="196"/>
        <v>1</v>
      </c>
      <c r="BK180" s="44">
        <f t="shared" ca="1" si="196"/>
        <v>1</v>
      </c>
      <c r="BL180" s="44">
        <f t="shared" ca="1" si="196"/>
        <v>1</v>
      </c>
      <c r="BM180" s="44">
        <f t="shared" ca="1" si="196"/>
        <v>1</v>
      </c>
      <c r="BN180" s="44">
        <f t="shared" ca="1" si="196"/>
        <v>1</v>
      </c>
      <c r="BO180" s="44">
        <f t="shared" ca="1" si="196"/>
        <v>1</v>
      </c>
      <c r="BP180" s="44">
        <f t="shared" ref="BP180:CS180" ca="1" si="197">IF(SUM(OFFSET(BP150,BP175-$C$180,0,$C$180))=0,1,AVERAGEIFS(OFFSET(BP69,BP175-$C$180,0,$C$180),OFFSET(BP150,BP175-$C$180,0,$C$180),1))</f>
        <v>1</v>
      </c>
      <c r="BQ180" s="44">
        <f t="shared" ca="1" si="197"/>
        <v>1</v>
      </c>
      <c r="BR180" s="44">
        <f t="shared" ca="1" si="197"/>
        <v>1</v>
      </c>
      <c r="BS180" s="44">
        <f t="shared" ca="1" si="197"/>
        <v>1</v>
      </c>
      <c r="BT180" s="44">
        <f t="shared" ca="1" si="197"/>
        <v>1</v>
      </c>
      <c r="BU180" s="44">
        <f t="shared" ca="1" si="197"/>
        <v>1</v>
      </c>
      <c r="BV180" s="44">
        <f t="shared" ca="1" si="197"/>
        <v>1</v>
      </c>
      <c r="BW180" s="44">
        <f t="shared" ca="1" si="197"/>
        <v>1</v>
      </c>
      <c r="BX180" s="44">
        <f t="shared" ca="1" si="197"/>
        <v>1</v>
      </c>
      <c r="BY180" s="44">
        <f t="shared" ca="1" si="197"/>
        <v>1</v>
      </c>
      <c r="BZ180" s="44">
        <f t="shared" ca="1" si="197"/>
        <v>1</v>
      </c>
      <c r="CA180" s="44">
        <f t="shared" ca="1" si="197"/>
        <v>1</v>
      </c>
      <c r="CB180" s="44">
        <f t="shared" ca="1" si="197"/>
        <v>1</v>
      </c>
      <c r="CC180" s="44">
        <f t="shared" ca="1" si="197"/>
        <v>1</v>
      </c>
      <c r="CD180" s="44">
        <f t="shared" ca="1" si="197"/>
        <v>1</v>
      </c>
      <c r="CE180" s="44">
        <f t="shared" ca="1" si="197"/>
        <v>1</v>
      </c>
      <c r="CF180" s="44">
        <f t="shared" ca="1" si="197"/>
        <v>1</v>
      </c>
      <c r="CG180" s="44">
        <f t="shared" ca="1" si="197"/>
        <v>1</v>
      </c>
      <c r="CH180" s="44">
        <f t="shared" ca="1" si="197"/>
        <v>1</v>
      </c>
      <c r="CI180" s="44">
        <f t="shared" ca="1" si="197"/>
        <v>1</v>
      </c>
      <c r="CJ180" s="44">
        <f t="shared" ca="1" si="197"/>
        <v>1</v>
      </c>
      <c r="CK180" s="44">
        <f t="shared" ca="1" si="197"/>
        <v>1</v>
      </c>
      <c r="CL180" s="44">
        <f t="shared" ca="1" si="197"/>
        <v>1</v>
      </c>
      <c r="CM180" s="44">
        <f t="shared" ca="1" si="197"/>
        <v>1</v>
      </c>
      <c r="CN180" s="44">
        <f t="shared" ca="1" si="197"/>
        <v>1</v>
      </c>
      <c r="CO180" s="44">
        <f t="shared" ca="1" si="197"/>
        <v>1</v>
      </c>
      <c r="CP180" s="44">
        <f t="shared" ca="1" si="197"/>
        <v>1</v>
      </c>
      <c r="CQ180" s="44">
        <f t="shared" ca="1" si="197"/>
        <v>1</v>
      </c>
      <c r="CR180" s="44">
        <f t="shared" ca="1" si="197"/>
        <v>1</v>
      </c>
      <c r="CS180" s="44">
        <f t="shared" ca="1" si="197"/>
        <v>1</v>
      </c>
    </row>
    <row r="181" spans="1:101" hidden="1" x14ac:dyDescent="0.25">
      <c r="A181" s="97">
        <v>0</v>
      </c>
      <c r="C181" s="25" t="s">
        <v>8</v>
      </c>
      <c r="D181" s="44">
        <f t="shared" ref="D181:AI181" si="198">IF(SUMIFS(C$14:C$37,D$150:D$173,1)=0,1,SUMIFS(D$14:D$37,D$150:D$173,1)/SUMIFS(C$14:C$37,D$150:D$173,1))</f>
        <v>1.5792440463498683</v>
      </c>
      <c r="E181" s="44">
        <f t="shared" si="198"/>
        <v>2.3376749041165144</v>
      </c>
      <c r="F181" s="44">
        <f t="shared" si="198"/>
        <v>1.0903257682087955</v>
      </c>
      <c r="G181" s="44">
        <f t="shared" si="198"/>
        <v>0.95427891107412277</v>
      </c>
      <c r="H181" s="44">
        <f t="shared" si="198"/>
        <v>0.89407926985368669</v>
      </c>
      <c r="I181" s="44">
        <f t="shared" si="198"/>
        <v>0.94616911345932386</v>
      </c>
      <c r="J181" s="44">
        <f t="shared" si="198"/>
        <v>0.99034441142001306</v>
      </c>
      <c r="K181" s="44">
        <f t="shared" si="198"/>
        <v>0.97454520569425318</v>
      </c>
      <c r="L181" s="44">
        <f t="shared" si="198"/>
        <v>0.99961951322065556</v>
      </c>
      <c r="M181" s="44">
        <f t="shared" si="198"/>
        <v>1</v>
      </c>
      <c r="N181" s="44">
        <f t="shared" si="198"/>
        <v>1</v>
      </c>
      <c r="O181" s="44">
        <f t="shared" si="198"/>
        <v>1</v>
      </c>
      <c r="P181" s="44">
        <f t="shared" si="198"/>
        <v>1</v>
      </c>
      <c r="Q181" s="44">
        <f t="shared" si="198"/>
        <v>1</v>
      </c>
      <c r="R181" s="44">
        <f t="shared" si="198"/>
        <v>1</v>
      </c>
      <c r="S181" s="44">
        <f t="shared" si="198"/>
        <v>1</v>
      </c>
      <c r="T181" s="44">
        <f t="shared" si="198"/>
        <v>1</v>
      </c>
      <c r="U181" s="44">
        <f t="shared" si="198"/>
        <v>1</v>
      </c>
      <c r="V181" s="44">
        <f t="shared" si="198"/>
        <v>1</v>
      </c>
      <c r="W181" s="44">
        <f t="shared" si="198"/>
        <v>1</v>
      </c>
      <c r="X181" s="44">
        <f t="shared" si="198"/>
        <v>1</v>
      </c>
      <c r="Y181" s="44">
        <f t="shared" si="198"/>
        <v>1</v>
      </c>
      <c r="Z181" s="44">
        <f t="shared" si="198"/>
        <v>1</v>
      </c>
      <c r="AA181" s="44">
        <f t="shared" si="198"/>
        <v>1</v>
      </c>
      <c r="AB181" s="44">
        <f t="shared" si="198"/>
        <v>1</v>
      </c>
      <c r="AC181" s="44">
        <f t="shared" si="198"/>
        <v>1</v>
      </c>
      <c r="AD181" s="44">
        <f t="shared" si="198"/>
        <v>1</v>
      </c>
      <c r="AE181" s="44">
        <f t="shared" si="198"/>
        <v>1</v>
      </c>
      <c r="AF181" s="44">
        <f t="shared" si="198"/>
        <v>1</v>
      </c>
      <c r="AG181" s="44">
        <f t="shared" si="198"/>
        <v>1</v>
      </c>
      <c r="AH181" s="44">
        <f t="shared" si="198"/>
        <v>1</v>
      </c>
      <c r="AI181" s="44">
        <f t="shared" si="198"/>
        <v>1</v>
      </c>
      <c r="AJ181" s="44">
        <f t="shared" ref="AJ181:BO181" si="199">IF(SUMIFS(AI$14:AI$37,AJ$150:AJ$173,1)=0,1,SUMIFS(AJ$14:AJ$37,AJ$150:AJ$173,1)/SUMIFS(AI$14:AI$37,AJ$150:AJ$173,1))</f>
        <v>1</v>
      </c>
      <c r="AK181" s="44">
        <f t="shared" si="199"/>
        <v>1</v>
      </c>
      <c r="AL181" s="44">
        <f t="shared" si="199"/>
        <v>1</v>
      </c>
      <c r="AM181" s="44">
        <f t="shared" si="199"/>
        <v>1</v>
      </c>
      <c r="AN181" s="44">
        <f t="shared" si="199"/>
        <v>1</v>
      </c>
      <c r="AO181" s="44">
        <f t="shared" si="199"/>
        <v>1</v>
      </c>
      <c r="AP181" s="44">
        <f t="shared" si="199"/>
        <v>1</v>
      </c>
      <c r="AQ181" s="44">
        <f t="shared" si="199"/>
        <v>1</v>
      </c>
      <c r="AR181" s="44">
        <f t="shared" si="199"/>
        <v>1</v>
      </c>
      <c r="AS181" s="44">
        <f t="shared" si="199"/>
        <v>1</v>
      </c>
      <c r="AT181" s="44">
        <f t="shared" si="199"/>
        <v>1</v>
      </c>
      <c r="AU181" s="44">
        <f t="shared" si="199"/>
        <v>1</v>
      </c>
      <c r="AV181" s="44">
        <f t="shared" si="199"/>
        <v>1</v>
      </c>
      <c r="AW181" s="44">
        <f t="shared" si="199"/>
        <v>1</v>
      </c>
      <c r="AX181" s="44">
        <f t="shared" si="199"/>
        <v>1</v>
      </c>
      <c r="AY181" s="44">
        <f t="shared" si="199"/>
        <v>1</v>
      </c>
      <c r="AZ181" s="44">
        <f t="shared" si="199"/>
        <v>1</v>
      </c>
      <c r="BA181" s="44">
        <f t="shared" si="199"/>
        <v>1</v>
      </c>
      <c r="BB181" s="44">
        <f t="shared" si="199"/>
        <v>1</v>
      </c>
      <c r="BC181" s="44">
        <f t="shared" si="199"/>
        <v>1</v>
      </c>
      <c r="BD181" s="44">
        <f t="shared" si="199"/>
        <v>1</v>
      </c>
      <c r="BE181" s="44">
        <f t="shared" si="199"/>
        <v>1</v>
      </c>
      <c r="BF181" s="44">
        <f t="shared" si="199"/>
        <v>1</v>
      </c>
      <c r="BG181" s="44">
        <f t="shared" si="199"/>
        <v>1</v>
      </c>
      <c r="BH181" s="44">
        <f t="shared" si="199"/>
        <v>1</v>
      </c>
      <c r="BI181" s="44">
        <f t="shared" si="199"/>
        <v>1</v>
      </c>
      <c r="BJ181" s="44">
        <f t="shared" si="199"/>
        <v>1</v>
      </c>
      <c r="BK181" s="44">
        <f t="shared" si="199"/>
        <v>1</v>
      </c>
      <c r="BL181" s="44">
        <f t="shared" si="199"/>
        <v>1</v>
      </c>
      <c r="BM181" s="44">
        <f t="shared" si="199"/>
        <v>1</v>
      </c>
      <c r="BN181" s="44">
        <f t="shared" si="199"/>
        <v>1</v>
      </c>
      <c r="BO181" s="44">
        <f t="shared" si="199"/>
        <v>1</v>
      </c>
      <c r="BP181" s="44">
        <f t="shared" ref="BP181:CS181" si="200">IF(SUMIFS(BO$14:BO$37,BP$150:BP$173,1)=0,1,SUMIFS(BP$14:BP$37,BP$150:BP$173,1)/SUMIFS(BO$14:BO$37,BP$150:BP$173,1))</f>
        <v>1</v>
      </c>
      <c r="BQ181" s="44">
        <f t="shared" si="200"/>
        <v>1</v>
      </c>
      <c r="BR181" s="44">
        <f t="shared" si="200"/>
        <v>1</v>
      </c>
      <c r="BS181" s="44">
        <f t="shared" si="200"/>
        <v>1</v>
      </c>
      <c r="BT181" s="44">
        <f t="shared" si="200"/>
        <v>1</v>
      </c>
      <c r="BU181" s="44">
        <f t="shared" si="200"/>
        <v>1</v>
      </c>
      <c r="BV181" s="44">
        <f t="shared" si="200"/>
        <v>1</v>
      </c>
      <c r="BW181" s="44">
        <f t="shared" si="200"/>
        <v>1</v>
      </c>
      <c r="BX181" s="44">
        <f t="shared" si="200"/>
        <v>1</v>
      </c>
      <c r="BY181" s="44">
        <f t="shared" si="200"/>
        <v>1</v>
      </c>
      <c r="BZ181" s="44">
        <f t="shared" si="200"/>
        <v>1</v>
      </c>
      <c r="CA181" s="44">
        <f t="shared" si="200"/>
        <v>1</v>
      </c>
      <c r="CB181" s="44">
        <f t="shared" si="200"/>
        <v>1</v>
      </c>
      <c r="CC181" s="44">
        <f t="shared" si="200"/>
        <v>1</v>
      </c>
      <c r="CD181" s="44">
        <f t="shared" si="200"/>
        <v>1</v>
      </c>
      <c r="CE181" s="44">
        <f t="shared" si="200"/>
        <v>1</v>
      </c>
      <c r="CF181" s="44">
        <f t="shared" si="200"/>
        <v>1</v>
      </c>
      <c r="CG181" s="44">
        <f t="shared" si="200"/>
        <v>1</v>
      </c>
      <c r="CH181" s="44">
        <f t="shared" si="200"/>
        <v>1</v>
      </c>
      <c r="CI181" s="44">
        <f t="shared" si="200"/>
        <v>1</v>
      </c>
      <c r="CJ181" s="44">
        <f t="shared" si="200"/>
        <v>1</v>
      </c>
      <c r="CK181" s="44">
        <f t="shared" si="200"/>
        <v>1</v>
      </c>
      <c r="CL181" s="44">
        <f t="shared" si="200"/>
        <v>1</v>
      </c>
      <c r="CM181" s="44">
        <f t="shared" si="200"/>
        <v>1</v>
      </c>
      <c r="CN181" s="44">
        <f t="shared" si="200"/>
        <v>1</v>
      </c>
      <c r="CO181" s="44">
        <f t="shared" si="200"/>
        <v>1</v>
      </c>
      <c r="CP181" s="44">
        <f t="shared" si="200"/>
        <v>1</v>
      </c>
      <c r="CQ181" s="44">
        <f t="shared" si="200"/>
        <v>1</v>
      </c>
      <c r="CR181" s="44">
        <f t="shared" si="200"/>
        <v>1</v>
      </c>
      <c r="CS181" s="44">
        <f t="shared" si="200"/>
        <v>1</v>
      </c>
    </row>
    <row r="182" spans="1:101" hidden="1" x14ac:dyDescent="0.25">
      <c r="A182" s="97">
        <v>0</v>
      </c>
      <c r="C182" s="47">
        <v>5</v>
      </c>
      <c r="D182" s="44">
        <f t="shared" ref="D182:AI182" ca="1" si="201">IF(SUMIFS(OFFSET(C13,D175-5,0,5),OFFSET(D149,D175-5,0,5),1)=0,1,SUMIFS(OFFSET(D13,D175-5,0,5),OFFSET(D149,D175-5,0,5),1)/SUMIFS(OFFSET(C13,D175-5,0,5),OFFSET(D149,D175-5,0,5),1))</f>
        <v>4.0910291902495741</v>
      </c>
      <c r="E182" s="44">
        <f t="shared" ca="1" si="201"/>
        <v>1.4111874157613349</v>
      </c>
      <c r="F182" s="44">
        <f t="shared" ca="1" si="201"/>
        <v>1.0499476022108365</v>
      </c>
      <c r="G182" s="44">
        <f t="shared" ca="1" si="201"/>
        <v>0.95427891107412277</v>
      </c>
      <c r="H182" s="44">
        <f t="shared" ca="1" si="201"/>
        <v>0.88574313100025359</v>
      </c>
      <c r="I182" s="44">
        <f t="shared" ca="1" si="201"/>
        <v>0.94616911345932386</v>
      </c>
      <c r="J182" s="44">
        <f t="shared" ca="1" si="201"/>
        <v>0.99968397140105913</v>
      </c>
      <c r="K182" s="44">
        <f t="shared" ca="1" si="201"/>
        <v>0.97170729432588032</v>
      </c>
      <c r="L182" s="44">
        <f t="shared" ca="1" si="201"/>
        <v>1</v>
      </c>
      <c r="M182" s="44">
        <f t="shared" ca="1" si="201"/>
        <v>1</v>
      </c>
      <c r="N182" s="44">
        <f t="shared" ca="1" si="201"/>
        <v>1</v>
      </c>
      <c r="O182" s="44">
        <f t="shared" ca="1" si="201"/>
        <v>1</v>
      </c>
      <c r="P182" s="44">
        <f t="shared" ca="1" si="201"/>
        <v>1</v>
      </c>
      <c r="Q182" s="44">
        <f t="shared" ca="1" si="201"/>
        <v>1</v>
      </c>
      <c r="R182" s="44">
        <f t="shared" ca="1" si="201"/>
        <v>1</v>
      </c>
      <c r="S182" s="44">
        <f t="shared" ca="1" si="201"/>
        <v>1</v>
      </c>
      <c r="T182" s="44">
        <f t="shared" ca="1" si="201"/>
        <v>1</v>
      </c>
      <c r="U182" s="44">
        <f t="shared" ca="1" si="201"/>
        <v>1</v>
      </c>
      <c r="V182" s="44">
        <f t="shared" ca="1" si="201"/>
        <v>1</v>
      </c>
      <c r="W182" s="44">
        <f t="shared" ca="1" si="201"/>
        <v>1</v>
      </c>
      <c r="X182" s="44">
        <f t="shared" ca="1" si="201"/>
        <v>1</v>
      </c>
      <c r="Y182" s="44">
        <f t="shared" ca="1" si="201"/>
        <v>1</v>
      </c>
      <c r="Z182" s="44">
        <f t="shared" ca="1" si="201"/>
        <v>1</v>
      </c>
      <c r="AA182" s="44">
        <f t="shared" ca="1" si="201"/>
        <v>1</v>
      </c>
      <c r="AB182" s="44">
        <f t="shared" ca="1" si="201"/>
        <v>1</v>
      </c>
      <c r="AC182" s="44">
        <f t="shared" ca="1" si="201"/>
        <v>1</v>
      </c>
      <c r="AD182" s="44">
        <f t="shared" ca="1" si="201"/>
        <v>1</v>
      </c>
      <c r="AE182" s="44">
        <f t="shared" ca="1" si="201"/>
        <v>1</v>
      </c>
      <c r="AF182" s="44">
        <f t="shared" ca="1" si="201"/>
        <v>1</v>
      </c>
      <c r="AG182" s="44">
        <f t="shared" ca="1" si="201"/>
        <v>1</v>
      </c>
      <c r="AH182" s="44">
        <f t="shared" ca="1" si="201"/>
        <v>1</v>
      </c>
      <c r="AI182" s="44">
        <f t="shared" ca="1" si="201"/>
        <v>1</v>
      </c>
      <c r="AJ182" s="44">
        <f t="shared" ref="AJ182:BO182" ca="1" si="202">IF(SUMIFS(OFFSET(AI13,AJ175-5,0,5),OFFSET(AJ149,AJ175-5,0,5),1)=0,1,SUMIFS(OFFSET(AJ13,AJ175-5,0,5),OFFSET(AJ149,AJ175-5,0,5),1)/SUMIFS(OFFSET(AI13,AJ175-5,0,5),OFFSET(AJ149,AJ175-5,0,5),1))</f>
        <v>1</v>
      </c>
      <c r="AK182" s="44">
        <f t="shared" ca="1" si="202"/>
        <v>1</v>
      </c>
      <c r="AL182" s="44">
        <f t="shared" ca="1" si="202"/>
        <v>1</v>
      </c>
      <c r="AM182" s="44">
        <f t="shared" ca="1" si="202"/>
        <v>1</v>
      </c>
      <c r="AN182" s="44">
        <f t="shared" ca="1" si="202"/>
        <v>1</v>
      </c>
      <c r="AO182" s="44">
        <f t="shared" ca="1" si="202"/>
        <v>1</v>
      </c>
      <c r="AP182" s="44">
        <f t="shared" ca="1" si="202"/>
        <v>1</v>
      </c>
      <c r="AQ182" s="44">
        <f t="shared" ca="1" si="202"/>
        <v>1</v>
      </c>
      <c r="AR182" s="44">
        <f t="shared" ca="1" si="202"/>
        <v>1</v>
      </c>
      <c r="AS182" s="44">
        <f t="shared" ca="1" si="202"/>
        <v>1</v>
      </c>
      <c r="AT182" s="44">
        <f t="shared" ca="1" si="202"/>
        <v>1</v>
      </c>
      <c r="AU182" s="44">
        <f t="shared" ca="1" si="202"/>
        <v>1</v>
      </c>
      <c r="AV182" s="44">
        <f t="shared" ca="1" si="202"/>
        <v>1</v>
      </c>
      <c r="AW182" s="44">
        <f t="shared" ca="1" si="202"/>
        <v>1</v>
      </c>
      <c r="AX182" s="44">
        <f t="shared" ca="1" si="202"/>
        <v>1</v>
      </c>
      <c r="AY182" s="44">
        <f t="shared" ca="1" si="202"/>
        <v>1</v>
      </c>
      <c r="AZ182" s="44">
        <f t="shared" ca="1" si="202"/>
        <v>1</v>
      </c>
      <c r="BA182" s="44">
        <f t="shared" ca="1" si="202"/>
        <v>1</v>
      </c>
      <c r="BB182" s="44">
        <f t="shared" ca="1" si="202"/>
        <v>1</v>
      </c>
      <c r="BC182" s="44">
        <f t="shared" ca="1" si="202"/>
        <v>1</v>
      </c>
      <c r="BD182" s="44">
        <f t="shared" ca="1" si="202"/>
        <v>1</v>
      </c>
      <c r="BE182" s="44">
        <f t="shared" ca="1" si="202"/>
        <v>1</v>
      </c>
      <c r="BF182" s="44">
        <f t="shared" ca="1" si="202"/>
        <v>1</v>
      </c>
      <c r="BG182" s="44">
        <f t="shared" ca="1" si="202"/>
        <v>1</v>
      </c>
      <c r="BH182" s="44">
        <f t="shared" ca="1" si="202"/>
        <v>1</v>
      </c>
      <c r="BI182" s="44">
        <f t="shared" ca="1" si="202"/>
        <v>1</v>
      </c>
      <c r="BJ182" s="44">
        <f t="shared" ca="1" si="202"/>
        <v>1</v>
      </c>
      <c r="BK182" s="44">
        <f t="shared" ca="1" si="202"/>
        <v>1</v>
      </c>
      <c r="BL182" s="44">
        <f t="shared" ca="1" si="202"/>
        <v>1</v>
      </c>
      <c r="BM182" s="44">
        <f t="shared" ca="1" si="202"/>
        <v>1</v>
      </c>
      <c r="BN182" s="44">
        <f t="shared" ca="1" si="202"/>
        <v>1</v>
      </c>
      <c r="BO182" s="44">
        <f t="shared" ca="1" si="202"/>
        <v>1</v>
      </c>
      <c r="BP182" s="44">
        <f t="shared" ref="BP182:CS182" ca="1" si="203">IF(SUMIFS(OFFSET(BO13,BP175-5,0,5),OFFSET(BP149,BP175-5,0,5),1)=0,1,SUMIFS(OFFSET(BP13,BP175-5,0,5),OFFSET(BP149,BP175-5,0,5),1)/SUMIFS(OFFSET(BO13,BP175-5,0,5),OFFSET(BP149,BP175-5,0,5),1))</f>
        <v>1</v>
      </c>
      <c r="BQ182" s="44">
        <f t="shared" ca="1" si="203"/>
        <v>1</v>
      </c>
      <c r="BR182" s="44">
        <f t="shared" ca="1" si="203"/>
        <v>1</v>
      </c>
      <c r="BS182" s="44">
        <f t="shared" ca="1" si="203"/>
        <v>1</v>
      </c>
      <c r="BT182" s="44">
        <f t="shared" ca="1" si="203"/>
        <v>1</v>
      </c>
      <c r="BU182" s="44">
        <f t="shared" ca="1" si="203"/>
        <v>1</v>
      </c>
      <c r="BV182" s="44">
        <f t="shared" ca="1" si="203"/>
        <v>1</v>
      </c>
      <c r="BW182" s="44">
        <f t="shared" ca="1" si="203"/>
        <v>1</v>
      </c>
      <c r="BX182" s="44">
        <f t="shared" ca="1" si="203"/>
        <v>1</v>
      </c>
      <c r="BY182" s="44">
        <f t="shared" ca="1" si="203"/>
        <v>1</v>
      </c>
      <c r="BZ182" s="44">
        <f t="shared" ca="1" si="203"/>
        <v>1</v>
      </c>
      <c r="CA182" s="44">
        <f t="shared" ca="1" si="203"/>
        <v>1</v>
      </c>
      <c r="CB182" s="44">
        <f t="shared" ca="1" si="203"/>
        <v>1</v>
      </c>
      <c r="CC182" s="44">
        <f t="shared" ca="1" si="203"/>
        <v>1</v>
      </c>
      <c r="CD182" s="44">
        <f t="shared" ca="1" si="203"/>
        <v>1</v>
      </c>
      <c r="CE182" s="44">
        <f t="shared" ca="1" si="203"/>
        <v>1</v>
      </c>
      <c r="CF182" s="44">
        <f t="shared" ca="1" si="203"/>
        <v>1</v>
      </c>
      <c r="CG182" s="44">
        <f t="shared" ca="1" si="203"/>
        <v>1</v>
      </c>
      <c r="CH182" s="44">
        <f t="shared" ca="1" si="203"/>
        <v>1</v>
      </c>
      <c r="CI182" s="44">
        <f t="shared" ca="1" si="203"/>
        <v>1</v>
      </c>
      <c r="CJ182" s="44">
        <f t="shared" ca="1" si="203"/>
        <v>1</v>
      </c>
      <c r="CK182" s="44">
        <f t="shared" ca="1" si="203"/>
        <v>1</v>
      </c>
      <c r="CL182" s="44">
        <f t="shared" ca="1" si="203"/>
        <v>1</v>
      </c>
      <c r="CM182" s="44">
        <f t="shared" ca="1" si="203"/>
        <v>1</v>
      </c>
      <c r="CN182" s="44">
        <f t="shared" ca="1" si="203"/>
        <v>1</v>
      </c>
      <c r="CO182" s="44">
        <f t="shared" ca="1" si="203"/>
        <v>1</v>
      </c>
      <c r="CP182" s="44">
        <f t="shared" ca="1" si="203"/>
        <v>1</v>
      </c>
      <c r="CQ182" s="44">
        <f t="shared" ca="1" si="203"/>
        <v>1</v>
      </c>
      <c r="CR182" s="44">
        <f t="shared" ca="1" si="203"/>
        <v>1</v>
      </c>
      <c r="CS182" s="44">
        <f t="shared" ca="1" si="203"/>
        <v>1</v>
      </c>
    </row>
    <row r="183" spans="1:101" hidden="1" x14ac:dyDescent="0.25">
      <c r="A183" s="97">
        <v>0</v>
      </c>
      <c r="C183" s="47">
        <v>3</v>
      </c>
      <c r="D183" s="44">
        <f t="shared" ref="D183:AI183" ca="1" si="204">IF(SUMIFS(OFFSET(C13,D175-3,0,3),OFFSET(D149,D175-3,0,3),1)=0,1,SUMIFS(OFFSET(D13,D175-3,0,3),OFFSET(D149,D175-3,0,3),1)/SUMIFS(OFFSET(C13,D175-3,0,3),OFFSET(D149,D175-3,0,3),1))</f>
        <v>3.0571475561960697</v>
      </c>
      <c r="E183" s="44">
        <f t="shared" ca="1" si="204"/>
        <v>1.037019720343815</v>
      </c>
      <c r="F183" s="44">
        <f t="shared" ca="1" si="204"/>
        <v>0.9745572946725729</v>
      </c>
      <c r="G183" s="44">
        <f t="shared" ca="1" si="204"/>
        <v>0.99194832289861901</v>
      </c>
      <c r="H183" s="44">
        <f t="shared" ca="1" si="204"/>
        <v>0.74109870090581453</v>
      </c>
      <c r="I183" s="44">
        <f t="shared" ca="1" si="204"/>
        <v>0.94616911345932386</v>
      </c>
      <c r="J183" s="44">
        <f t="shared" ca="1" si="204"/>
        <v>0.99968397140105913</v>
      </c>
      <c r="K183" s="44">
        <f t="shared" ca="1" si="204"/>
        <v>0.97170729432588032</v>
      </c>
      <c r="L183" s="44">
        <f t="shared" ca="1" si="204"/>
        <v>1</v>
      </c>
      <c r="M183" s="44">
        <f t="shared" ca="1" si="204"/>
        <v>1</v>
      </c>
      <c r="N183" s="44">
        <f t="shared" ca="1" si="204"/>
        <v>1</v>
      </c>
      <c r="O183" s="44">
        <f t="shared" ca="1" si="204"/>
        <v>1</v>
      </c>
      <c r="P183" s="44">
        <f t="shared" ca="1" si="204"/>
        <v>1</v>
      </c>
      <c r="Q183" s="44">
        <f t="shared" ca="1" si="204"/>
        <v>1</v>
      </c>
      <c r="R183" s="44">
        <f t="shared" ca="1" si="204"/>
        <v>1</v>
      </c>
      <c r="S183" s="44">
        <f t="shared" ca="1" si="204"/>
        <v>1</v>
      </c>
      <c r="T183" s="44">
        <f t="shared" ca="1" si="204"/>
        <v>1</v>
      </c>
      <c r="U183" s="44">
        <f t="shared" ca="1" si="204"/>
        <v>1</v>
      </c>
      <c r="V183" s="44">
        <f t="shared" ca="1" si="204"/>
        <v>1</v>
      </c>
      <c r="W183" s="44">
        <f t="shared" ca="1" si="204"/>
        <v>1</v>
      </c>
      <c r="X183" s="44">
        <f t="shared" ca="1" si="204"/>
        <v>1</v>
      </c>
      <c r="Y183" s="44">
        <f t="shared" ca="1" si="204"/>
        <v>1</v>
      </c>
      <c r="Z183" s="44">
        <f t="shared" ca="1" si="204"/>
        <v>1</v>
      </c>
      <c r="AA183" s="44">
        <f t="shared" ca="1" si="204"/>
        <v>1</v>
      </c>
      <c r="AB183" s="44">
        <f t="shared" ca="1" si="204"/>
        <v>1</v>
      </c>
      <c r="AC183" s="44">
        <f t="shared" ca="1" si="204"/>
        <v>1</v>
      </c>
      <c r="AD183" s="44">
        <f t="shared" ca="1" si="204"/>
        <v>1</v>
      </c>
      <c r="AE183" s="44">
        <f t="shared" ca="1" si="204"/>
        <v>1</v>
      </c>
      <c r="AF183" s="44">
        <f t="shared" ca="1" si="204"/>
        <v>1</v>
      </c>
      <c r="AG183" s="44">
        <f t="shared" ca="1" si="204"/>
        <v>1</v>
      </c>
      <c r="AH183" s="44">
        <f t="shared" ca="1" si="204"/>
        <v>1</v>
      </c>
      <c r="AI183" s="44">
        <f t="shared" ca="1" si="204"/>
        <v>1</v>
      </c>
      <c r="AJ183" s="44">
        <f t="shared" ref="AJ183:BO183" ca="1" si="205">IF(SUMIFS(OFFSET(AI13,AJ175-3,0,3),OFFSET(AJ149,AJ175-3,0,3),1)=0,1,SUMIFS(OFFSET(AJ13,AJ175-3,0,3),OFFSET(AJ149,AJ175-3,0,3),1)/SUMIFS(OFFSET(AI13,AJ175-3,0,3),OFFSET(AJ149,AJ175-3,0,3),1))</f>
        <v>1</v>
      </c>
      <c r="AK183" s="44">
        <f t="shared" ca="1" si="205"/>
        <v>1</v>
      </c>
      <c r="AL183" s="44">
        <f t="shared" ca="1" si="205"/>
        <v>1</v>
      </c>
      <c r="AM183" s="44">
        <f t="shared" ca="1" si="205"/>
        <v>1</v>
      </c>
      <c r="AN183" s="44">
        <f t="shared" ca="1" si="205"/>
        <v>1</v>
      </c>
      <c r="AO183" s="44">
        <f t="shared" ca="1" si="205"/>
        <v>1</v>
      </c>
      <c r="AP183" s="44">
        <f t="shared" ca="1" si="205"/>
        <v>1</v>
      </c>
      <c r="AQ183" s="44">
        <f t="shared" ca="1" si="205"/>
        <v>1</v>
      </c>
      <c r="AR183" s="44">
        <f t="shared" ca="1" si="205"/>
        <v>1</v>
      </c>
      <c r="AS183" s="44">
        <f t="shared" ca="1" si="205"/>
        <v>1</v>
      </c>
      <c r="AT183" s="44">
        <f t="shared" ca="1" si="205"/>
        <v>1</v>
      </c>
      <c r="AU183" s="44">
        <f t="shared" ca="1" si="205"/>
        <v>1</v>
      </c>
      <c r="AV183" s="44">
        <f t="shared" ca="1" si="205"/>
        <v>1</v>
      </c>
      <c r="AW183" s="44">
        <f t="shared" ca="1" si="205"/>
        <v>1</v>
      </c>
      <c r="AX183" s="44">
        <f t="shared" ca="1" si="205"/>
        <v>1</v>
      </c>
      <c r="AY183" s="44">
        <f t="shared" ca="1" si="205"/>
        <v>1</v>
      </c>
      <c r="AZ183" s="44">
        <f t="shared" ca="1" si="205"/>
        <v>1</v>
      </c>
      <c r="BA183" s="44">
        <f t="shared" ca="1" si="205"/>
        <v>1</v>
      </c>
      <c r="BB183" s="44">
        <f t="shared" ca="1" si="205"/>
        <v>1</v>
      </c>
      <c r="BC183" s="44">
        <f t="shared" ca="1" si="205"/>
        <v>1</v>
      </c>
      <c r="BD183" s="44">
        <f t="shared" ca="1" si="205"/>
        <v>1</v>
      </c>
      <c r="BE183" s="44">
        <f t="shared" ca="1" si="205"/>
        <v>1</v>
      </c>
      <c r="BF183" s="44">
        <f t="shared" ca="1" si="205"/>
        <v>1</v>
      </c>
      <c r="BG183" s="44">
        <f t="shared" ca="1" si="205"/>
        <v>1</v>
      </c>
      <c r="BH183" s="44">
        <f t="shared" ca="1" si="205"/>
        <v>1</v>
      </c>
      <c r="BI183" s="44">
        <f t="shared" ca="1" si="205"/>
        <v>1</v>
      </c>
      <c r="BJ183" s="44">
        <f t="shared" ca="1" si="205"/>
        <v>1</v>
      </c>
      <c r="BK183" s="44">
        <f t="shared" ca="1" si="205"/>
        <v>1</v>
      </c>
      <c r="BL183" s="44">
        <f t="shared" ca="1" si="205"/>
        <v>1</v>
      </c>
      <c r="BM183" s="44">
        <f t="shared" ca="1" si="205"/>
        <v>1</v>
      </c>
      <c r="BN183" s="44">
        <f t="shared" ca="1" si="205"/>
        <v>1</v>
      </c>
      <c r="BO183" s="44">
        <f t="shared" ca="1" si="205"/>
        <v>1</v>
      </c>
      <c r="BP183" s="44">
        <f t="shared" ref="BP183:CS183" ca="1" si="206">IF(SUMIFS(OFFSET(BO13,BP175-3,0,3),OFFSET(BP149,BP175-3,0,3),1)=0,1,SUMIFS(OFFSET(BP13,BP175-3,0,3),OFFSET(BP149,BP175-3,0,3),1)/SUMIFS(OFFSET(BO13,BP175-3,0,3),OFFSET(BP149,BP175-3,0,3),1))</f>
        <v>1</v>
      </c>
      <c r="BQ183" s="44">
        <f t="shared" ca="1" si="206"/>
        <v>1</v>
      </c>
      <c r="BR183" s="44">
        <f t="shared" ca="1" si="206"/>
        <v>1</v>
      </c>
      <c r="BS183" s="44">
        <f t="shared" ca="1" si="206"/>
        <v>1</v>
      </c>
      <c r="BT183" s="44">
        <f t="shared" ca="1" si="206"/>
        <v>1</v>
      </c>
      <c r="BU183" s="44">
        <f t="shared" ca="1" si="206"/>
        <v>1</v>
      </c>
      <c r="BV183" s="44">
        <f t="shared" ca="1" si="206"/>
        <v>1</v>
      </c>
      <c r="BW183" s="44">
        <f t="shared" ca="1" si="206"/>
        <v>1</v>
      </c>
      <c r="BX183" s="44">
        <f t="shared" ca="1" si="206"/>
        <v>1</v>
      </c>
      <c r="BY183" s="44">
        <f t="shared" ca="1" si="206"/>
        <v>1</v>
      </c>
      <c r="BZ183" s="44">
        <f t="shared" ca="1" si="206"/>
        <v>1</v>
      </c>
      <c r="CA183" s="44">
        <f t="shared" ca="1" si="206"/>
        <v>1</v>
      </c>
      <c r="CB183" s="44">
        <f t="shared" ca="1" si="206"/>
        <v>1</v>
      </c>
      <c r="CC183" s="44">
        <f t="shared" ca="1" si="206"/>
        <v>1</v>
      </c>
      <c r="CD183" s="44">
        <f t="shared" ca="1" si="206"/>
        <v>1</v>
      </c>
      <c r="CE183" s="44">
        <f t="shared" ca="1" si="206"/>
        <v>1</v>
      </c>
      <c r="CF183" s="44">
        <f t="shared" ca="1" si="206"/>
        <v>1</v>
      </c>
      <c r="CG183" s="44">
        <f t="shared" ca="1" si="206"/>
        <v>1</v>
      </c>
      <c r="CH183" s="44">
        <f t="shared" ca="1" si="206"/>
        <v>1</v>
      </c>
      <c r="CI183" s="44">
        <f t="shared" ca="1" si="206"/>
        <v>1</v>
      </c>
      <c r="CJ183" s="44">
        <f t="shared" ca="1" si="206"/>
        <v>1</v>
      </c>
      <c r="CK183" s="44">
        <f t="shared" ca="1" si="206"/>
        <v>1</v>
      </c>
      <c r="CL183" s="44">
        <f t="shared" ca="1" si="206"/>
        <v>1</v>
      </c>
      <c r="CM183" s="44">
        <f t="shared" ca="1" si="206"/>
        <v>1</v>
      </c>
      <c r="CN183" s="44">
        <f t="shared" ca="1" si="206"/>
        <v>1</v>
      </c>
      <c r="CO183" s="44">
        <f t="shared" ca="1" si="206"/>
        <v>1</v>
      </c>
      <c r="CP183" s="44">
        <f t="shared" ca="1" si="206"/>
        <v>1</v>
      </c>
      <c r="CQ183" s="44">
        <f t="shared" ca="1" si="206"/>
        <v>1</v>
      </c>
      <c r="CR183" s="44">
        <f t="shared" ca="1" si="206"/>
        <v>1</v>
      </c>
      <c r="CS183" s="44">
        <f t="shared" ca="1" si="206"/>
        <v>1</v>
      </c>
    </row>
    <row r="184" spans="1:101" hidden="1" x14ac:dyDescent="0.25">
      <c r="A184" s="97">
        <v>0</v>
      </c>
      <c r="B184" s="25" t="s">
        <v>11</v>
      </c>
      <c r="C184" s="46">
        <f>C194</f>
        <v>10</v>
      </c>
      <c r="D184" s="44">
        <f t="shared" ref="D184:AI184" ca="1" si="207">IF(SUMIFS(OFFSET(C13,D175-$C$184,0,$C$184),OFFSET(D149,D175-$C$184,0,$C$184),1)=0,1,SUMIFS(OFFSET(D13,D175-$C$184,0,$C$184),OFFSET(D149,D175-$C$184,0,$C$184),1)/SUMIFS(OFFSET(C13,D175-$C$184,0,$C$184),OFFSET(D149,D175-$C$184,0,$C$184),1))</f>
        <v>2.4828978653430118</v>
      </c>
      <c r="E184" s="44">
        <f t="shared" ca="1" si="207"/>
        <v>1.9118996336271383</v>
      </c>
      <c r="F184" s="44">
        <f t="shared" ca="1" si="207"/>
        <v>1.1064559259063504</v>
      </c>
      <c r="G184" s="44">
        <f t="shared" ca="1" si="207"/>
        <v>0.95427891107412277</v>
      </c>
      <c r="H184" s="44">
        <f t="shared" ca="1" si="207"/>
        <v>0.88574313100025359</v>
      </c>
      <c r="I184" s="44">
        <f t="shared" ca="1" si="207"/>
        <v>0.94616911345932386</v>
      </c>
      <c r="J184" s="44">
        <f t="shared" ca="1" si="207"/>
        <v>0.99968397140105913</v>
      </c>
      <c r="K184" s="44">
        <f t="shared" ca="1" si="207"/>
        <v>0.97170729432588032</v>
      </c>
      <c r="L184" s="44">
        <f t="shared" ca="1" si="207"/>
        <v>1</v>
      </c>
      <c r="M184" s="44">
        <f t="shared" ca="1" si="207"/>
        <v>1</v>
      </c>
      <c r="N184" s="44">
        <f t="shared" ca="1" si="207"/>
        <v>1</v>
      </c>
      <c r="O184" s="44">
        <f t="shared" ca="1" si="207"/>
        <v>1</v>
      </c>
      <c r="P184" s="44">
        <f t="shared" ca="1" si="207"/>
        <v>1</v>
      </c>
      <c r="Q184" s="44">
        <f t="shared" ca="1" si="207"/>
        <v>1</v>
      </c>
      <c r="R184" s="44">
        <f t="shared" ca="1" si="207"/>
        <v>1</v>
      </c>
      <c r="S184" s="44">
        <f t="shared" ca="1" si="207"/>
        <v>1</v>
      </c>
      <c r="T184" s="44">
        <f t="shared" ca="1" si="207"/>
        <v>1</v>
      </c>
      <c r="U184" s="44">
        <f t="shared" ca="1" si="207"/>
        <v>1</v>
      </c>
      <c r="V184" s="44">
        <f t="shared" ca="1" si="207"/>
        <v>1</v>
      </c>
      <c r="W184" s="44">
        <f t="shared" ca="1" si="207"/>
        <v>1</v>
      </c>
      <c r="X184" s="44">
        <f t="shared" ca="1" si="207"/>
        <v>1</v>
      </c>
      <c r="Y184" s="44">
        <f t="shared" ca="1" si="207"/>
        <v>1</v>
      </c>
      <c r="Z184" s="44">
        <f t="shared" ca="1" si="207"/>
        <v>1</v>
      </c>
      <c r="AA184" s="44">
        <f t="shared" ca="1" si="207"/>
        <v>1</v>
      </c>
      <c r="AB184" s="44">
        <f t="shared" ca="1" si="207"/>
        <v>1</v>
      </c>
      <c r="AC184" s="44">
        <f t="shared" ca="1" si="207"/>
        <v>1</v>
      </c>
      <c r="AD184" s="44">
        <f t="shared" ca="1" si="207"/>
        <v>1</v>
      </c>
      <c r="AE184" s="44">
        <f t="shared" ca="1" si="207"/>
        <v>1</v>
      </c>
      <c r="AF184" s="44">
        <f t="shared" ca="1" si="207"/>
        <v>1</v>
      </c>
      <c r="AG184" s="44">
        <f t="shared" ca="1" si="207"/>
        <v>1</v>
      </c>
      <c r="AH184" s="44">
        <f t="shared" ca="1" si="207"/>
        <v>1</v>
      </c>
      <c r="AI184" s="44">
        <f t="shared" ca="1" si="207"/>
        <v>1</v>
      </c>
      <c r="AJ184" s="44">
        <f t="shared" ref="AJ184:BO184" ca="1" si="208">IF(SUMIFS(OFFSET(AI13,AJ175-$C$184,0,$C$184),OFFSET(AJ149,AJ175-$C$184,0,$C$184),1)=0,1,SUMIFS(OFFSET(AJ13,AJ175-$C$184,0,$C$184),OFFSET(AJ149,AJ175-$C$184,0,$C$184),1)/SUMIFS(OFFSET(AI13,AJ175-$C$184,0,$C$184),OFFSET(AJ149,AJ175-$C$184,0,$C$184),1))</f>
        <v>1</v>
      </c>
      <c r="AK184" s="44">
        <f t="shared" ca="1" si="208"/>
        <v>1</v>
      </c>
      <c r="AL184" s="44">
        <f t="shared" ca="1" si="208"/>
        <v>1</v>
      </c>
      <c r="AM184" s="44">
        <f t="shared" ca="1" si="208"/>
        <v>1</v>
      </c>
      <c r="AN184" s="44">
        <f t="shared" ca="1" si="208"/>
        <v>1</v>
      </c>
      <c r="AO184" s="44">
        <f t="shared" ca="1" si="208"/>
        <v>1</v>
      </c>
      <c r="AP184" s="44">
        <f t="shared" ca="1" si="208"/>
        <v>1</v>
      </c>
      <c r="AQ184" s="44">
        <f t="shared" ca="1" si="208"/>
        <v>1</v>
      </c>
      <c r="AR184" s="44">
        <f t="shared" ca="1" si="208"/>
        <v>1</v>
      </c>
      <c r="AS184" s="44">
        <f t="shared" ca="1" si="208"/>
        <v>1</v>
      </c>
      <c r="AT184" s="44">
        <f t="shared" ca="1" si="208"/>
        <v>1</v>
      </c>
      <c r="AU184" s="44">
        <f t="shared" ca="1" si="208"/>
        <v>1</v>
      </c>
      <c r="AV184" s="44">
        <f t="shared" ca="1" si="208"/>
        <v>1</v>
      </c>
      <c r="AW184" s="44">
        <f t="shared" ca="1" si="208"/>
        <v>1</v>
      </c>
      <c r="AX184" s="44">
        <f t="shared" ca="1" si="208"/>
        <v>1</v>
      </c>
      <c r="AY184" s="44">
        <f t="shared" ca="1" si="208"/>
        <v>1</v>
      </c>
      <c r="AZ184" s="44">
        <f t="shared" ca="1" si="208"/>
        <v>1</v>
      </c>
      <c r="BA184" s="44">
        <f t="shared" ca="1" si="208"/>
        <v>1</v>
      </c>
      <c r="BB184" s="44">
        <f t="shared" ca="1" si="208"/>
        <v>1</v>
      </c>
      <c r="BC184" s="44">
        <f t="shared" ca="1" si="208"/>
        <v>1</v>
      </c>
      <c r="BD184" s="44">
        <f t="shared" ca="1" si="208"/>
        <v>1</v>
      </c>
      <c r="BE184" s="44">
        <f t="shared" ca="1" si="208"/>
        <v>1</v>
      </c>
      <c r="BF184" s="44">
        <f t="shared" ca="1" si="208"/>
        <v>1</v>
      </c>
      <c r="BG184" s="44">
        <f t="shared" ca="1" si="208"/>
        <v>1</v>
      </c>
      <c r="BH184" s="44">
        <f t="shared" ca="1" si="208"/>
        <v>1</v>
      </c>
      <c r="BI184" s="44">
        <f t="shared" ca="1" si="208"/>
        <v>1</v>
      </c>
      <c r="BJ184" s="44">
        <f t="shared" ca="1" si="208"/>
        <v>1</v>
      </c>
      <c r="BK184" s="44">
        <f t="shared" ca="1" si="208"/>
        <v>1</v>
      </c>
      <c r="BL184" s="44">
        <f t="shared" ca="1" si="208"/>
        <v>1</v>
      </c>
      <c r="BM184" s="44">
        <f t="shared" ca="1" si="208"/>
        <v>1</v>
      </c>
      <c r="BN184" s="44">
        <f t="shared" ca="1" si="208"/>
        <v>1</v>
      </c>
      <c r="BO184" s="44">
        <f t="shared" ca="1" si="208"/>
        <v>1</v>
      </c>
      <c r="BP184" s="44">
        <f t="shared" ref="BP184:CS184" ca="1" si="209">IF(SUMIFS(OFFSET(BO13,BP175-$C$184,0,$C$184),OFFSET(BP149,BP175-$C$184,0,$C$184),1)=0,1,SUMIFS(OFFSET(BP13,BP175-$C$184,0,$C$184),OFFSET(BP149,BP175-$C$184,0,$C$184),1)/SUMIFS(OFFSET(BO13,BP175-$C$184,0,$C$184),OFFSET(BP149,BP175-$C$184,0,$C$184),1))</f>
        <v>1</v>
      </c>
      <c r="BQ184" s="44">
        <f t="shared" ca="1" si="209"/>
        <v>1</v>
      </c>
      <c r="BR184" s="44">
        <f t="shared" ca="1" si="209"/>
        <v>1</v>
      </c>
      <c r="BS184" s="44">
        <f t="shared" ca="1" si="209"/>
        <v>1</v>
      </c>
      <c r="BT184" s="44">
        <f t="shared" ca="1" si="209"/>
        <v>1</v>
      </c>
      <c r="BU184" s="44">
        <f t="shared" ca="1" si="209"/>
        <v>1</v>
      </c>
      <c r="BV184" s="44">
        <f t="shared" ca="1" si="209"/>
        <v>1</v>
      </c>
      <c r="BW184" s="44">
        <f t="shared" ca="1" si="209"/>
        <v>1</v>
      </c>
      <c r="BX184" s="44">
        <f t="shared" ca="1" si="209"/>
        <v>1</v>
      </c>
      <c r="BY184" s="44">
        <f t="shared" ca="1" si="209"/>
        <v>1</v>
      </c>
      <c r="BZ184" s="44">
        <f t="shared" ca="1" si="209"/>
        <v>1</v>
      </c>
      <c r="CA184" s="44">
        <f t="shared" ca="1" si="209"/>
        <v>1</v>
      </c>
      <c r="CB184" s="44">
        <f t="shared" ca="1" si="209"/>
        <v>1</v>
      </c>
      <c r="CC184" s="44">
        <f t="shared" ca="1" si="209"/>
        <v>1</v>
      </c>
      <c r="CD184" s="44">
        <f t="shared" ca="1" si="209"/>
        <v>1</v>
      </c>
      <c r="CE184" s="44">
        <f t="shared" ca="1" si="209"/>
        <v>1</v>
      </c>
      <c r="CF184" s="44">
        <f t="shared" ca="1" si="209"/>
        <v>1</v>
      </c>
      <c r="CG184" s="44">
        <f t="shared" ca="1" si="209"/>
        <v>1</v>
      </c>
      <c r="CH184" s="44">
        <f t="shared" ca="1" si="209"/>
        <v>1</v>
      </c>
      <c r="CI184" s="44">
        <f t="shared" ca="1" si="209"/>
        <v>1</v>
      </c>
      <c r="CJ184" s="44">
        <f t="shared" ca="1" si="209"/>
        <v>1</v>
      </c>
      <c r="CK184" s="44">
        <f t="shared" ca="1" si="209"/>
        <v>1</v>
      </c>
      <c r="CL184" s="44">
        <f t="shared" ca="1" si="209"/>
        <v>1</v>
      </c>
      <c r="CM184" s="44">
        <f t="shared" ca="1" si="209"/>
        <v>1</v>
      </c>
      <c r="CN184" s="44">
        <f t="shared" ca="1" si="209"/>
        <v>1</v>
      </c>
      <c r="CO184" s="44">
        <f t="shared" ca="1" si="209"/>
        <v>1</v>
      </c>
      <c r="CP184" s="44">
        <f t="shared" ca="1" si="209"/>
        <v>1</v>
      </c>
      <c r="CQ184" s="44">
        <f t="shared" ca="1" si="209"/>
        <v>1</v>
      </c>
      <c r="CR184" s="44">
        <f t="shared" ca="1" si="209"/>
        <v>1</v>
      </c>
      <c r="CS184" s="44">
        <f t="shared" ca="1" si="209"/>
        <v>1</v>
      </c>
    </row>
    <row r="185" spans="1:101" ht="19.5" thickBot="1" x14ac:dyDescent="0.35">
      <c r="A185" s="187">
        <v>1</v>
      </c>
      <c r="B185" s="188" t="s">
        <v>61</v>
      </c>
      <c r="C185" s="189"/>
      <c r="D185" s="190"/>
      <c r="E185" s="190"/>
      <c r="F185" s="190"/>
      <c r="G185" s="190"/>
      <c r="H185" s="190"/>
      <c r="I185" s="190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  <c r="Z185" s="190"/>
      <c r="AA185" s="190"/>
      <c r="AB185" s="190"/>
      <c r="AC185" s="190"/>
      <c r="AD185" s="190"/>
      <c r="AE185" s="190"/>
      <c r="AF185" s="190"/>
      <c r="AG185" s="190"/>
      <c r="AH185" s="190"/>
      <c r="AI185" s="190"/>
      <c r="AJ185" s="190"/>
      <c r="AK185" s="190"/>
      <c r="AL185" s="190"/>
      <c r="AM185" s="190"/>
      <c r="AN185" s="190"/>
      <c r="AO185" s="190"/>
      <c r="AP185" s="190"/>
      <c r="AQ185" s="190"/>
      <c r="AR185" s="190"/>
      <c r="AS185" s="190"/>
      <c r="AT185" s="190"/>
      <c r="AU185" s="190"/>
      <c r="AV185" s="190"/>
      <c r="AW185" s="190"/>
      <c r="AX185" s="190"/>
      <c r="AY185" s="190"/>
      <c r="AZ185" s="190"/>
      <c r="BA185" s="190"/>
      <c r="BB185" s="190"/>
      <c r="BC185" s="190"/>
      <c r="BD185" s="190"/>
      <c r="BE185" s="190"/>
      <c r="BF185" s="190"/>
      <c r="BG185" s="190"/>
      <c r="BH185" s="190"/>
      <c r="BI185" s="190"/>
      <c r="BJ185" s="190"/>
      <c r="BK185" s="190"/>
      <c r="BL185" s="190"/>
      <c r="BM185" s="190"/>
      <c r="BN185" s="190"/>
      <c r="BO185" s="190"/>
      <c r="BP185" s="190"/>
      <c r="BQ185" s="190"/>
      <c r="BR185" s="190"/>
      <c r="BS185" s="190"/>
      <c r="BT185" s="190"/>
      <c r="BU185" s="190"/>
      <c r="BV185" s="190"/>
      <c r="BW185" s="190"/>
      <c r="BX185" s="190"/>
      <c r="BY185" s="190"/>
      <c r="BZ185" s="190"/>
      <c r="CA185" s="190"/>
      <c r="CB185" s="190"/>
      <c r="CC185" s="190"/>
      <c r="CD185" s="190"/>
      <c r="CE185" s="190"/>
      <c r="CF185" s="190"/>
      <c r="CG185" s="190"/>
      <c r="CH185" s="190"/>
      <c r="CI185" s="190"/>
      <c r="CJ185" s="190"/>
      <c r="CK185" s="190"/>
      <c r="CL185" s="190"/>
      <c r="CM185" s="190"/>
      <c r="CN185" s="190"/>
      <c r="CO185" s="190"/>
      <c r="CP185" s="190"/>
      <c r="CQ185" s="190"/>
      <c r="CR185" s="190"/>
      <c r="CS185" s="190"/>
      <c r="CT185" s="189"/>
      <c r="CU185" s="189"/>
      <c r="CV185" s="189"/>
      <c r="CW185" s="189"/>
    </row>
    <row r="186" spans="1:101" x14ac:dyDescent="0.25">
      <c r="A186" s="97">
        <v>1</v>
      </c>
      <c r="B186" s="126" t="s">
        <v>3</v>
      </c>
      <c r="C186" s="127"/>
      <c r="D186" s="128" t="str">
        <f t="shared" ref="D186:AI186" si="210">D68</f>
        <v>2 / 1</v>
      </c>
      <c r="E186" s="128" t="str">
        <f t="shared" si="210"/>
        <v>3 / 2</v>
      </c>
      <c r="F186" s="128" t="str">
        <f t="shared" si="210"/>
        <v>4 / 3</v>
      </c>
      <c r="G186" s="128" t="str">
        <f t="shared" si="210"/>
        <v>5 / 4</v>
      </c>
      <c r="H186" s="128" t="str">
        <f t="shared" si="210"/>
        <v>6 / 5</v>
      </c>
      <c r="I186" s="128" t="str">
        <f t="shared" si="210"/>
        <v>7 / 6</v>
      </c>
      <c r="J186" s="128" t="str">
        <f t="shared" si="210"/>
        <v>8 / 7</v>
      </c>
      <c r="K186" s="128" t="str">
        <f t="shared" si="210"/>
        <v>9 / 8</v>
      </c>
      <c r="L186" s="128" t="str">
        <f t="shared" si="210"/>
        <v>10 / 9</v>
      </c>
      <c r="M186" s="128" t="str">
        <f t="shared" si="210"/>
        <v>11 / 10</v>
      </c>
      <c r="N186" s="128" t="str">
        <f t="shared" si="210"/>
        <v>12 / 11</v>
      </c>
      <c r="O186" s="128" t="str">
        <f t="shared" si="210"/>
        <v>13 / 12</v>
      </c>
      <c r="P186" s="128" t="str">
        <f t="shared" si="210"/>
        <v>14 / 13</v>
      </c>
      <c r="Q186" s="128" t="str">
        <f t="shared" si="210"/>
        <v>15 / 14</v>
      </c>
      <c r="R186" s="128" t="str">
        <f t="shared" si="210"/>
        <v>16 / 15</v>
      </c>
      <c r="S186" s="128" t="str">
        <f t="shared" si="210"/>
        <v>17 / 16</v>
      </c>
      <c r="T186" s="128" t="str">
        <f t="shared" si="210"/>
        <v>18 / 17</v>
      </c>
      <c r="U186" s="128" t="str">
        <f t="shared" si="210"/>
        <v>19 / 18</v>
      </c>
      <c r="V186" s="128" t="str">
        <f t="shared" si="210"/>
        <v>20 / 19</v>
      </c>
      <c r="W186" s="128" t="str">
        <f t="shared" si="210"/>
        <v>21 / 20</v>
      </c>
      <c r="X186" s="128" t="str">
        <f t="shared" si="210"/>
        <v>22 / 21</v>
      </c>
      <c r="Y186" s="128" t="str">
        <f t="shared" si="210"/>
        <v>23 / 22</v>
      </c>
      <c r="Z186" s="128" t="str">
        <f t="shared" si="210"/>
        <v>24 / 23</v>
      </c>
      <c r="AA186" s="128" t="str">
        <f t="shared" si="210"/>
        <v>25 / 24</v>
      </c>
      <c r="AB186" s="128" t="str">
        <f t="shared" si="210"/>
        <v>26 / 25</v>
      </c>
      <c r="AC186" s="128" t="str">
        <f t="shared" si="210"/>
        <v>27 / 26</v>
      </c>
      <c r="AD186" s="128" t="str">
        <f t="shared" si="210"/>
        <v>28 / 27</v>
      </c>
      <c r="AE186" s="128" t="str">
        <f t="shared" si="210"/>
        <v>29 / 28</v>
      </c>
      <c r="AF186" s="128" t="str">
        <f t="shared" si="210"/>
        <v>30 / 29</v>
      </c>
      <c r="AG186" s="128" t="str">
        <f t="shared" si="210"/>
        <v>31 / 30</v>
      </c>
      <c r="AH186" s="128" t="str">
        <f t="shared" si="210"/>
        <v>32 / 31</v>
      </c>
      <c r="AI186" s="128" t="str">
        <f t="shared" si="210"/>
        <v>33 / 32</v>
      </c>
      <c r="AJ186" s="128" t="str">
        <f t="shared" ref="AJ186:BO186" si="211">AJ68</f>
        <v>34 / 33</v>
      </c>
      <c r="AK186" s="128" t="str">
        <f t="shared" si="211"/>
        <v>35 / 34</v>
      </c>
      <c r="AL186" s="128" t="str">
        <f t="shared" si="211"/>
        <v>36 / 35</v>
      </c>
      <c r="AM186" s="128" t="str">
        <f t="shared" si="211"/>
        <v>37 / 36</v>
      </c>
      <c r="AN186" s="128" t="str">
        <f t="shared" si="211"/>
        <v>38 / 37</v>
      </c>
      <c r="AO186" s="128" t="str">
        <f t="shared" si="211"/>
        <v>39 / 38</v>
      </c>
      <c r="AP186" s="128" t="str">
        <f t="shared" si="211"/>
        <v>40 / 39</v>
      </c>
      <c r="AQ186" s="128" t="str">
        <f t="shared" si="211"/>
        <v>41 / 40</v>
      </c>
      <c r="AR186" s="128" t="str">
        <f t="shared" si="211"/>
        <v>42 / 41</v>
      </c>
      <c r="AS186" s="128" t="str">
        <f t="shared" si="211"/>
        <v>43 / 42</v>
      </c>
      <c r="AT186" s="128" t="str">
        <f t="shared" si="211"/>
        <v>44 / 43</v>
      </c>
      <c r="AU186" s="128" t="str">
        <f t="shared" si="211"/>
        <v>45 / 44</v>
      </c>
      <c r="AV186" s="128" t="str">
        <f t="shared" si="211"/>
        <v>46 / 45</v>
      </c>
      <c r="AW186" s="128" t="str">
        <f t="shared" si="211"/>
        <v>47 / 46</v>
      </c>
      <c r="AX186" s="128" t="str">
        <f t="shared" si="211"/>
        <v>48 / 47</v>
      </c>
      <c r="AY186" s="128" t="str">
        <f t="shared" si="211"/>
        <v>49 / 48</v>
      </c>
      <c r="AZ186" s="128" t="str">
        <f t="shared" si="211"/>
        <v>50 / 49</v>
      </c>
      <c r="BA186" s="128" t="str">
        <f t="shared" si="211"/>
        <v>51 / 50</v>
      </c>
      <c r="BB186" s="128" t="str">
        <f t="shared" si="211"/>
        <v>52 / 51</v>
      </c>
      <c r="BC186" s="128" t="str">
        <f t="shared" si="211"/>
        <v>53 / 52</v>
      </c>
      <c r="BD186" s="128" t="str">
        <f t="shared" si="211"/>
        <v>54 / 53</v>
      </c>
      <c r="BE186" s="128" t="str">
        <f t="shared" si="211"/>
        <v>55 / 54</v>
      </c>
      <c r="BF186" s="128" t="str">
        <f t="shared" si="211"/>
        <v>56 / 55</v>
      </c>
      <c r="BG186" s="128" t="str">
        <f t="shared" si="211"/>
        <v>57 / 56</v>
      </c>
      <c r="BH186" s="128" t="str">
        <f t="shared" si="211"/>
        <v>58 / 57</v>
      </c>
      <c r="BI186" s="128" t="str">
        <f t="shared" si="211"/>
        <v>59 / 58</v>
      </c>
      <c r="BJ186" s="128" t="str">
        <f t="shared" si="211"/>
        <v>60 / 59</v>
      </c>
      <c r="BK186" s="128" t="str">
        <f t="shared" si="211"/>
        <v>61 / 60</v>
      </c>
      <c r="BL186" s="128" t="str">
        <f t="shared" si="211"/>
        <v>62 / 61</v>
      </c>
      <c r="BM186" s="128" t="str">
        <f t="shared" si="211"/>
        <v>63 / 62</v>
      </c>
      <c r="BN186" s="128" t="str">
        <f t="shared" si="211"/>
        <v>64 / 63</v>
      </c>
      <c r="BO186" s="128" t="str">
        <f t="shared" si="211"/>
        <v>65 / 64</v>
      </c>
      <c r="BP186" s="128" t="str">
        <f t="shared" ref="BP186:CS186" si="212">BP68</f>
        <v>66 / 65</v>
      </c>
      <c r="BQ186" s="128" t="str">
        <f t="shared" si="212"/>
        <v>67 / 66</v>
      </c>
      <c r="BR186" s="128" t="str">
        <f t="shared" si="212"/>
        <v>68 / 67</v>
      </c>
      <c r="BS186" s="128" t="str">
        <f t="shared" si="212"/>
        <v>69 / 68</v>
      </c>
      <c r="BT186" s="128" t="str">
        <f t="shared" si="212"/>
        <v>70 / 69</v>
      </c>
      <c r="BU186" s="128" t="str">
        <f t="shared" si="212"/>
        <v>71 / 70</v>
      </c>
      <c r="BV186" s="128" t="str">
        <f t="shared" si="212"/>
        <v>72 / 71</v>
      </c>
      <c r="BW186" s="128" t="str">
        <f t="shared" si="212"/>
        <v>73 / 72</v>
      </c>
      <c r="BX186" s="128" t="str">
        <f t="shared" si="212"/>
        <v>74 / 73</v>
      </c>
      <c r="BY186" s="128" t="str">
        <f t="shared" si="212"/>
        <v>75 / 74</v>
      </c>
      <c r="BZ186" s="128" t="str">
        <f t="shared" si="212"/>
        <v>76 / 75</v>
      </c>
      <c r="CA186" s="128" t="str">
        <f t="shared" si="212"/>
        <v>77 / 76</v>
      </c>
      <c r="CB186" s="128" t="str">
        <f t="shared" si="212"/>
        <v>78 / 77</v>
      </c>
      <c r="CC186" s="128" t="str">
        <f t="shared" si="212"/>
        <v>79 / 78</v>
      </c>
      <c r="CD186" s="128" t="str">
        <f t="shared" si="212"/>
        <v>80 / 79</v>
      </c>
      <c r="CE186" s="128" t="str">
        <f t="shared" si="212"/>
        <v>81 / 80</v>
      </c>
      <c r="CF186" s="128" t="str">
        <f t="shared" si="212"/>
        <v>82 / 81</v>
      </c>
      <c r="CG186" s="128" t="str">
        <f t="shared" si="212"/>
        <v>83 / 82</v>
      </c>
      <c r="CH186" s="128" t="str">
        <f t="shared" si="212"/>
        <v>84 / 83</v>
      </c>
      <c r="CI186" s="128" t="str">
        <f t="shared" si="212"/>
        <v>85 / 84</v>
      </c>
      <c r="CJ186" s="128" t="str">
        <f t="shared" si="212"/>
        <v>86 / 85</v>
      </c>
      <c r="CK186" s="128" t="str">
        <f t="shared" si="212"/>
        <v>87 / 86</v>
      </c>
      <c r="CL186" s="128" t="str">
        <f t="shared" si="212"/>
        <v>88 / 87</v>
      </c>
      <c r="CM186" s="128" t="str">
        <f t="shared" si="212"/>
        <v>89 / 88</v>
      </c>
      <c r="CN186" s="128" t="str">
        <f t="shared" si="212"/>
        <v>90 / 89</v>
      </c>
      <c r="CO186" s="128" t="str">
        <f t="shared" si="212"/>
        <v>91 / 90</v>
      </c>
      <c r="CP186" s="128" t="str">
        <f t="shared" si="212"/>
        <v>92 / 91</v>
      </c>
      <c r="CQ186" s="128" t="str">
        <f t="shared" si="212"/>
        <v>93 / 92</v>
      </c>
      <c r="CR186" s="128" t="str">
        <f t="shared" si="212"/>
        <v>94 / 93</v>
      </c>
      <c r="CS186" s="129" t="str">
        <f t="shared" si="212"/>
        <v>95 / 94</v>
      </c>
      <c r="CT186" s="38" t="s">
        <v>15</v>
      </c>
      <c r="CU186" s="82"/>
      <c r="CV186" s="82"/>
    </row>
    <row r="187" spans="1:101" x14ac:dyDescent="0.25">
      <c r="A187" s="97">
        <v>1</v>
      </c>
      <c r="B187" s="130" t="s">
        <v>4</v>
      </c>
      <c r="C187" s="101"/>
      <c r="D187" s="106">
        <f t="shared" ref="D187:AI187" si="213">IF(ISERROR(D177),1,D177)</f>
        <v>2.6268815962328227</v>
      </c>
      <c r="E187" s="100">
        <f t="shared" si="213"/>
        <v>16.522905933842303</v>
      </c>
      <c r="F187" s="100">
        <f t="shared" si="213"/>
        <v>0.86824330372052394</v>
      </c>
      <c r="G187" s="100">
        <f t="shared" si="213"/>
        <v>0.88410178025147346</v>
      </c>
      <c r="H187" s="100">
        <f t="shared" si="213"/>
        <v>0.88783367251807033</v>
      </c>
      <c r="I187" s="100">
        <f t="shared" si="213"/>
        <v>0.92181859275716738</v>
      </c>
      <c r="J187" s="100">
        <f t="shared" si="213"/>
        <v>0.98801150584362418</v>
      </c>
      <c r="K187" s="100">
        <f t="shared" si="213"/>
        <v>0.98585364716294022</v>
      </c>
      <c r="L187" s="100">
        <f t="shared" si="213"/>
        <v>0.99961951322065556</v>
      </c>
      <c r="M187" s="100">
        <f t="shared" si="213"/>
        <v>1</v>
      </c>
      <c r="N187" s="100">
        <f t="shared" si="213"/>
        <v>1</v>
      </c>
      <c r="O187" s="100">
        <f t="shared" si="213"/>
        <v>1</v>
      </c>
      <c r="P187" s="100">
        <f t="shared" si="213"/>
        <v>1</v>
      </c>
      <c r="Q187" s="100">
        <f t="shared" si="213"/>
        <v>1</v>
      </c>
      <c r="R187" s="100">
        <f t="shared" si="213"/>
        <v>1</v>
      </c>
      <c r="S187" s="100">
        <f t="shared" si="213"/>
        <v>1</v>
      </c>
      <c r="T187" s="100">
        <f t="shared" si="213"/>
        <v>1</v>
      </c>
      <c r="U187" s="100">
        <f t="shared" si="213"/>
        <v>1</v>
      </c>
      <c r="V187" s="100">
        <f t="shared" si="213"/>
        <v>1</v>
      </c>
      <c r="W187" s="100">
        <f t="shared" si="213"/>
        <v>1</v>
      </c>
      <c r="X187" s="100">
        <f t="shared" si="213"/>
        <v>1</v>
      </c>
      <c r="Y187" s="100">
        <f t="shared" si="213"/>
        <v>1</v>
      </c>
      <c r="Z187" s="100">
        <f t="shared" si="213"/>
        <v>1</v>
      </c>
      <c r="AA187" s="100">
        <f t="shared" si="213"/>
        <v>1</v>
      </c>
      <c r="AB187" s="100">
        <f t="shared" si="213"/>
        <v>1</v>
      </c>
      <c r="AC187" s="100">
        <f t="shared" si="213"/>
        <v>1</v>
      </c>
      <c r="AD187" s="100">
        <f t="shared" si="213"/>
        <v>1</v>
      </c>
      <c r="AE187" s="100">
        <f t="shared" si="213"/>
        <v>1</v>
      </c>
      <c r="AF187" s="100">
        <f t="shared" si="213"/>
        <v>1</v>
      </c>
      <c r="AG187" s="100">
        <f t="shared" si="213"/>
        <v>1</v>
      </c>
      <c r="AH187" s="100">
        <f t="shared" si="213"/>
        <v>1</v>
      </c>
      <c r="AI187" s="100">
        <f t="shared" si="213"/>
        <v>1</v>
      </c>
      <c r="AJ187" s="100">
        <f t="shared" ref="AJ187:BO187" si="214">IF(ISERROR(AJ177),1,AJ177)</f>
        <v>1</v>
      </c>
      <c r="AK187" s="100">
        <f t="shared" si="214"/>
        <v>1</v>
      </c>
      <c r="AL187" s="100">
        <f t="shared" si="214"/>
        <v>1</v>
      </c>
      <c r="AM187" s="100">
        <f t="shared" si="214"/>
        <v>1</v>
      </c>
      <c r="AN187" s="100">
        <f t="shared" si="214"/>
        <v>1</v>
      </c>
      <c r="AO187" s="100">
        <f t="shared" si="214"/>
        <v>1</v>
      </c>
      <c r="AP187" s="100">
        <f t="shared" si="214"/>
        <v>1</v>
      </c>
      <c r="AQ187" s="100">
        <f t="shared" si="214"/>
        <v>1</v>
      </c>
      <c r="AR187" s="100">
        <f t="shared" si="214"/>
        <v>1</v>
      </c>
      <c r="AS187" s="100">
        <f t="shared" si="214"/>
        <v>1</v>
      </c>
      <c r="AT187" s="100">
        <f t="shared" si="214"/>
        <v>1</v>
      </c>
      <c r="AU187" s="100">
        <f t="shared" si="214"/>
        <v>1</v>
      </c>
      <c r="AV187" s="100">
        <f t="shared" si="214"/>
        <v>1</v>
      </c>
      <c r="AW187" s="100">
        <f t="shared" si="214"/>
        <v>1</v>
      </c>
      <c r="AX187" s="100">
        <f t="shared" si="214"/>
        <v>1</v>
      </c>
      <c r="AY187" s="100">
        <f t="shared" si="214"/>
        <v>1</v>
      </c>
      <c r="AZ187" s="100">
        <f t="shared" si="214"/>
        <v>1</v>
      </c>
      <c r="BA187" s="100">
        <f t="shared" si="214"/>
        <v>1</v>
      </c>
      <c r="BB187" s="100">
        <f t="shared" si="214"/>
        <v>1</v>
      </c>
      <c r="BC187" s="100">
        <f t="shared" si="214"/>
        <v>1</v>
      </c>
      <c r="BD187" s="100">
        <f t="shared" si="214"/>
        <v>1</v>
      </c>
      <c r="BE187" s="100">
        <f t="shared" si="214"/>
        <v>1</v>
      </c>
      <c r="BF187" s="100">
        <f t="shared" si="214"/>
        <v>1</v>
      </c>
      <c r="BG187" s="100">
        <f t="shared" si="214"/>
        <v>1</v>
      </c>
      <c r="BH187" s="100">
        <f t="shared" si="214"/>
        <v>1</v>
      </c>
      <c r="BI187" s="100">
        <f t="shared" si="214"/>
        <v>1</v>
      </c>
      <c r="BJ187" s="100">
        <f t="shared" si="214"/>
        <v>1</v>
      </c>
      <c r="BK187" s="100">
        <f t="shared" si="214"/>
        <v>1</v>
      </c>
      <c r="BL187" s="100">
        <f t="shared" si="214"/>
        <v>1</v>
      </c>
      <c r="BM187" s="100">
        <f t="shared" si="214"/>
        <v>1</v>
      </c>
      <c r="BN187" s="100">
        <f t="shared" si="214"/>
        <v>1</v>
      </c>
      <c r="BO187" s="100">
        <f t="shared" si="214"/>
        <v>1</v>
      </c>
      <c r="BP187" s="100">
        <f t="shared" ref="BP187:CS187" si="215">IF(ISERROR(BP177),1,BP177)</f>
        <v>1</v>
      </c>
      <c r="BQ187" s="100">
        <f t="shared" si="215"/>
        <v>1</v>
      </c>
      <c r="BR187" s="100">
        <f t="shared" si="215"/>
        <v>1</v>
      </c>
      <c r="BS187" s="100">
        <f t="shared" si="215"/>
        <v>1</v>
      </c>
      <c r="BT187" s="100">
        <f t="shared" si="215"/>
        <v>1</v>
      </c>
      <c r="BU187" s="100">
        <f t="shared" si="215"/>
        <v>1</v>
      </c>
      <c r="BV187" s="100">
        <f t="shared" si="215"/>
        <v>1</v>
      </c>
      <c r="BW187" s="100">
        <f t="shared" si="215"/>
        <v>1</v>
      </c>
      <c r="BX187" s="100">
        <f t="shared" si="215"/>
        <v>1</v>
      </c>
      <c r="BY187" s="100">
        <f t="shared" si="215"/>
        <v>1</v>
      </c>
      <c r="BZ187" s="100">
        <f t="shared" si="215"/>
        <v>1</v>
      </c>
      <c r="CA187" s="100">
        <f t="shared" si="215"/>
        <v>1</v>
      </c>
      <c r="CB187" s="100">
        <f t="shared" si="215"/>
        <v>1</v>
      </c>
      <c r="CC187" s="100">
        <f t="shared" si="215"/>
        <v>1</v>
      </c>
      <c r="CD187" s="100">
        <f t="shared" si="215"/>
        <v>1</v>
      </c>
      <c r="CE187" s="100">
        <f t="shared" si="215"/>
        <v>1</v>
      </c>
      <c r="CF187" s="100">
        <f t="shared" si="215"/>
        <v>1</v>
      </c>
      <c r="CG187" s="100">
        <f t="shared" si="215"/>
        <v>1</v>
      </c>
      <c r="CH187" s="100">
        <f t="shared" si="215"/>
        <v>1</v>
      </c>
      <c r="CI187" s="100">
        <f t="shared" si="215"/>
        <v>1</v>
      </c>
      <c r="CJ187" s="100">
        <f t="shared" si="215"/>
        <v>1</v>
      </c>
      <c r="CK187" s="100">
        <f t="shared" si="215"/>
        <v>1</v>
      </c>
      <c r="CL187" s="100">
        <f t="shared" si="215"/>
        <v>1</v>
      </c>
      <c r="CM187" s="100">
        <f t="shared" si="215"/>
        <v>1</v>
      </c>
      <c r="CN187" s="100">
        <f t="shared" si="215"/>
        <v>1</v>
      </c>
      <c r="CO187" s="100">
        <f t="shared" si="215"/>
        <v>1</v>
      </c>
      <c r="CP187" s="100">
        <f t="shared" si="215"/>
        <v>1</v>
      </c>
      <c r="CQ187" s="100">
        <f t="shared" si="215"/>
        <v>1</v>
      </c>
      <c r="CR187" s="100">
        <f t="shared" si="215"/>
        <v>1</v>
      </c>
      <c r="CS187" s="131">
        <f t="shared" si="215"/>
        <v>1</v>
      </c>
      <c r="CT187" s="211">
        <v>1</v>
      </c>
      <c r="CU187" s="44"/>
      <c r="CV187" s="44"/>
    </row>
    <row r="188" spans="1:101" x14ac:dyDescent="0.25">
      <c r="A188" s="97">
        <f t="shared" ref="A188:A195" si="216">A187+1</f>
        <v>2</v>
      </c>
      <c r="B188" s="132" t="s">
        <v>5</v>
      </c>
      <c r="C188" s="101"/>
      <c r="D188" s="107">
        <f t="shared" ref="D188:AI188" ca="1" si="217">IF(ISERROR(D178),1,D178)</f>
        <v>3.2401447298537507</v>
      </c>
      <c r="E188" s="102">
        <f t="shared" ca="1" si="217"/>
        <v>24.861489447803038</v>
      </c>
      <c r="F188" s="102">
        <f t="shared" ca="1" si="217"/>
        <v>0.7957230710182116</v>
      </c>
      <c r="G188" s="102">
        <f t="shared" ca="1" si="217"/>
        <v>0.84302188390197175</v>
      </c>
      <c r="H188" s="102">
        <f t="shared" ca="1" si="217"/>
        <v>0.88783367251807033</v>
      </c>
      <c r="I188" s="102">
        <f t="shared" ca="1" si="217"/>
        <v>0.92181859275716738</v>
      </c>
      <c r="J188" s="102">
        <f t="shared" ca="1" si="217"/>
        <v>0.98801150584362418</v>
      </c>
      <c r="K188" s="102">
        <f t="shared" ca="1" si="217"/>
        <v>0.98585364716294022</v>
      </c>
      <c r="L188" s="102">
        <f t="shared" ca="1" si="217"/>
        <v>0.99961951322065556</v>
      </c>
      <c r="M188" s="102">
        <f t="shared" ca="1" si="217"/>
        <v>1</v>
      </c>
      <c r="N188" s="102">
        <f t="shared" ca="1" si="217"/>
        <v>1</v>
      </c>
      <c r="O188" s="102">
        <f t="shared" ca="1" si="217"/>
        <v>1</v>
      </c>
      <c r="P188" s="102">
        <f t="shared" ca="1" si="217"/>
        <v>1</v>
      </c>
      <c r="Q188" s="102">
        <f t="shared" ca="1" si="217"/>
        <v>1</v>
      </c>
      <c r="R188" s="102">
        <f t="shared" ca="1" si="217"/>
        <v>1</v>
      </c>
      <c r="S188" s="102">
        <f t="shared" ca="1" si="217"/>
        <v>1</v>
      </c>
      <c r="T188" s="102">
        <f t="shared" ca="1" si="217"/>
        <v>1</v>
      </c>
      <c r="U188" s="102">
        <f t="shared" ca="1" si="217"/>
        <v>1</v>
      </c>
      <c r="V188" s="102">
        <f t="shared" ca="1" si="217"/>
        <v>1</v>
      </c>
      <c r="W188" s="102">
        <f t="shared" ca="1" si="217"/>
        <v>1</v>
      </c>
      <c r="X188" s="102">
        <f t="shared" ca="1" si="217"/>
        <v>1</v>
      </c>
      <c r="Y188" s="102">
        <f t="shared" ca="1" si="217"/>
        <v>1</v>
      </c>
      <c r="Z188" s="102">
        <f t="shared" ca="1" si="217"/>
        <v>1</v>
      </c>
      <c r="AA188" s="102">
        <f t="shared" ca="1" si="217"/>
        <v>1</v>
      </c>
      <c r="AB188" s="102">
        <f t="shared" ca="1" si="217"/>
        <v>1</v>
      </c>
      <c r="AC188" s="102">
        <f t="shared" ca="1" si="217"/>
        <v>1</v>
      </c>
      <c r="AD188" s="102">
        <f t="shared" ca="1" si="217"/>
        <v>1</v>
      </c>
      <c r="AE188" s="102">
        <f t="shared" ca="1" si="217"/>
        <v>1</v>
      </c>
      <c r="AF188" s="102">
        <f t="shared" ca="1" si="217"/>
        <v>1</v>
      </c>
      <c r="AG188" s="102">
        <f t="shared" ca="1" si="217"/>
        <v>1</v>
      </c>
      <c r="AH188" s="102">
        <f t="shared" ca="1" si="217"/>
        <v>1</v>
      </c>
      <c r="AI188" s="102">
        <f t="shared" ca="1" si="217"/>
        <v>1</v>
      </c>
      <c r="AJ188" s="102">
        <f t="shared" ref="AJ188:BO188" ca="1" si="218">IF(ISERROR(AJ178),1,AJ178)</f>
        <v>1</v>
      </c>
      <c r="AK188" s="102">
        <f t="shared" ca="1" si="218"/>
        <v>1</v>
      </c>
      <c r="AL188" s="102">
        <f t="shared" ca="1" si="218"/>
        <v>1</v>
      </c>
      <c r="AM188" s="102">
        <f t="shared" ca="1" si="218"/>
        <v>1</v>
      </c>
      <c r="AN188" s="102">
        <f t="shared" ca="1" si="218"/>
        <v>1</v>
      </c>
      <c r="AO188" s="102">
        <f t="shared" ca="1" si="218"/>
        <v>1</v>
      </c>
      <c r="AP188" s="102">
        <f t="shared" ca="1" si="218"/>
        <v>1</v>
      </c>
      <c r="AQ188" s="102">
        <f t="shared" ca="1" si="218"/>
        <v>1</v>
      </c>
      <c r="AR188" s="102">
        <f t="shared" ca="1" si="218"/>
        <v>1</v>
      </c>
      <c r="AS188" s="102">
        <f t="shared" ca="1" si="218"/>
        <v>1</v>
      </c>
      <c r="AT188" s="102">
        <f t="shared" ca="1" si="218"/>
        <v>1</v>
      </c>
      <c r="AU188" s="102">
        <f t="shared" ca="1" si="218"/>
        <v>1</v>
      </c>
      <c r="AV188" s="102">
        <f t="shared" ca="1" si="218"/>
        <v>1</v>
      </c>
      <c r="AW188" s="102">
        <f t="shared" ca="1" si="218"/>
        <v>1</v>
      </c>
      <c r="AX188" s="102">
        <f t="shared" ca="1" si="218"/>
        <v>1</v>
      </c>
      <c r="AY188" s="102">
        <f t="shared" ca="1" si="218"/>
        <v>1</v>
      </c>
      <c r="AZ188" s="102">
        <f t="shared" ca="1" si="218"/>
        <v>1</v>
      </c>
      <c r="BA188" s="102">
        <f t="shared" ca="1" si="218"/>
        <v>1</v>
      </c>
      <c r="BB188" s="102">
        <f t="shared" ca="1" si="218"/>
        <v>1</v>
      </c>
      <c r="BC188" s="102">
        <f t="shared" ca="1" si="218"/>
        <v>1</v>
      </c>
      <c r="BD188" s="102">
        <f t="shared" ca="1" si="218"/>
        <v>1</v>
      </c>
      <c r="BE188" s="102">
        <f t="shared" ca="1" si="218"/>
        <v>1</v>
      </c>
      <c r="BF188" s="102">
        <f t="shared" ca="1" si="218"/>
        <v>1</v>
      </c>
      <c r="BG188" s="102">
        <f t="shared" ca="1" si="218"/>
        <v>1</v>
      </c>
      <c r="BH188" s="102">
        <f t="shared" ca="1" si="218"/>
        <v>1</v>
      </c>
      <c r="BI188" s="102">
        <f t="shared" ca="1" si="218"/>
        <v>1</v>
      </c>
      <c r="BJ188" s="102">
        <f t="shared" ca="1" si="218"/>
        <v>1</v>
      </c>
      <c r="BK188" s="102">
        <f t="shared" ca="1" si="218"/>
        <v>1</v>
      </c>
      <c r="BL188" s="102">
        <f t="shared" ca="1" si="218"/>
        <v>1</v>
      </c>
      <c r="BM188" s="102">
        <f t="shared" ca="1" si="218"/>
        <v>1</v>
      </c>
      <c r="BN188" s="102">
        <f t="shared" ca="1" si="218"/>
        <v>1</v>
      </c>
      <c r="BO188" s="102">
        <f t="shared" ca="1" si="218"/>
        <v>1</v>
      </c>
      <c r="BP188" s="102">
        <f t="shared" ref="BP188:CS188" ca="1" si="219">IF(ISERROR(BP178),1,BP178)</f>
        <v>1</v>
      </c>
      <c r="BQ188" s="102">
        <f t="shared" ca="1" si="219"/>
        <v>1</v>
      </c>
      <c r="BR188" s="102">
        <f t="shared" ca="1" si="219"/>
        <v>1</v>
      </c>
      <c r="BS188" s="102">
        <f t="shared" ca="1" si="219"/>
        <v>1</v>
      </c>
      <c r="BT188" s="102">
        <f t="shared" ca="1" si="219"/>
        <v>1</v>
      </c>
      <c r="BU188" s="102">
        <f t="shared" ca="1" si="219"/>
        <v>1</v>
      </c>
      <c r="BV188" s="102">
        <f t="shared" ca="1" si="219"/>
        <v>1</v>
      </c>
      <c r="BW188" s="102">
        <f t="shared" ca="1" si="219"/>
        <v>1</v>
      </c>
      <c r="BX188" s="102">
        <f t="shared" ca="1" si="219"/>
        <v>1</v>
      </c>
      <c r="BY188" s="102">
        <f t="shared" ca="1" si="219"/>
        <v>1</v>
      </c>
      <c r="BZ188" s="102">
        <f t="shared" ca="1" si="219"/>
        <v>1</v>
      </c>
      <c r="CA188" s="102">
        <f t="shared" ca="1" si="219"/>
        <v>1</v>
      </c>
      <c r="CB188" s="102">
        <f t="shared" ca="1" si="219"/>
        <v>1</v>
      </c>
      <c r="CC188" s="102">
        <f t="shared" ca="1" si="219"/>
        <v>1</v>
      </c>
      <c r="CD188" s="102">
        <f t="shared" ca="1" si="219"/>
        <v>1</v>
      </c>
      <c r="CE188" s="102">
        <f t="shared" ca="1" si="219"/>
        <v>1</v>
      </c>
      <c r="CF188" s="102">
        <f t="shared" ca="1" si="219"/>
        <v>1</v>
      </c>
      <c r="CG188" s="102">
        <f t="shared" ca="1" si="219"/>
        <v>1</v>
      </c>
      <c r="CH188" s="102">
        <f t="shared" ca="1" si="219"/>
        <v>1</v>
      </c>
      <c r="CI188" s="102">
        <f t="shared" ca="1" si="219"/>
        <v>1</v>
      </c>
      <c r="CJ188" s="102">
        <f t="shared" ca="1" si="219"/>
        <v>1</v>
      </c>
      <c r="CK188" s="102">
        <f t="shared" ca="1" si="219"/>
        <v>1</v>
      </c>
      <c r="CL188" s="102">
        <f t="shared" ca="1" si="219"/>
        <v>1</v>
      </c>
      <c r="CM188" s="102">
        <f t="shared" ca="1" si="219"/>
        <v>1</v>
      </c>
      <c r="CN188" s="102">
        <f t="shared" ca="1" si="219"/>
        <v>1</v>
      </c>
      <c r="CO188" s="102">
        <f t="shared" ca="1" si="219"/>
        <v>1</v>
      </c>
      <c r="CP188" s="102">
        <f t="shared" ca="1" si="219"/>
        <v>1</v>
      </c>
      <c r="CQ188" s="102">
        <f t="shared" ca="1" si="219"/>
        <v>1</v>
      </c>
      <c r="CR188" s="102">
        <f t="shared" ca="1" si="219"/>
        <v>1</v>
      </c>
      <c r="CS188" s="133">
        <f t="shared" ca="1" si="219"/>
        <v>1</v>
      </c>
      <c r="CT188" s="212">
        <v>1</v>
      </c>
      <c r="CU188" s="44"/>
      <c r="CV188" s="44"/>
    </row>
    <row r="189" spans="1:101" x14ac:dyDescent="0.25">
      <c r="A189" s="97">
        <f t="shared" si="216"/>
        <v>3</v>
      </c>
      <c r="B189" s="132" t="s">
        <v>6</v>
      </c>
      <c r="C189" s="101"/>
      <c r="D189" s="107">
        <f t="shared" ref="D189:AI189" ca="1" si="220">IF(ISERROR(D179),1,D179)</f>
        <v>3.6340707765990712</v>
      </c>
      <c r="E189" s="102">
        <f t="shared" ca="1" si="220"/>
        <v>32.815319263737386</v>
      </c>
      <c r="F189" s="102">
        <f t="shared" ca="1" si="220"/>
        <v>0.64608505620822587</v>
      </c>
      <c r="G189" s="102">
        <f t="shared" ca="1" si="220"/>
        <v>0.98422838748282548</v>
      </c>
      <c r="H189" s="102">
        <f t="shared" ca="1" si="220"/>
        <v>0.81456619591071067</v>
      </c>
      <c r="I189" s="102">
        <f t="shared" ca="1" si="220"/>
        <v>0.88526842573846887</v>
      </c>
      <c r="J189" s="102">
        <f t="shared" ca="1" si="220"/>
        <v>0.98801150584362418</v>
      </c>
      <c r="K189" s="102">
        <f t="shared" ca="1" si="220"/>
        <v>0.98585364716294022</v>
      </c>
      <c r="L189" s="102">
        <f t="shared" ca="1" si="220"/>
        <v>0.99961951322065556</v>
      </c>
      <c r="M189" s="102">
        <f t="shared" ca="1" si="220"/>
        <v>1</v>
      </c>
      <c r="N189" s="102">
        <f t="shared" ca="1" si="220"/>
        <v>1</v>
      </c>
      <c r="O189" s="102">
        <f t="shared" ca="1" si="220"/>
        <v>1</v>
      </c>
      <c r="P189" s="102">
        <f t="shared" ca="1" si="220"/>
        <v>1</v>
      </c>
      <c r="Q189" s="102">
        <f t="shared" ca="1" si="220"/>
        <v>1</v>
      </c>
      <c r="R189" s="102">
        <f t="shared" ca="1" si="220"/>
        <v>1</v>
      </c>
      <c r="S189" s="102">
        <f t="shared" ca="1" si="220"/>
        <v>1</v>
      </c>
      <c r="T189" s="102">
        <f t="shared" ca="1" si="220"/>
        <v>1</v>
      </c>
      <c r="U189" s="102">
        <f t="shared" ca="1" si="220"/>
        <v>1</v>
      </c>
      <c r="V189" s="102">
        <f t="shared" ca="1" si="220"/>
        <v>1</v>
      </c>
      <c r="W189" s="102">
        <f t="shared" ca="1" si="220"/>
        <v>1</v>
      </c>
      <c r="X189" s="102">
        <f t="shared" ca="1" si="220"/>
        <v>1</v>
      </c>
      <c r="Y189" s="102">
        <f t="shared" ca="1" si="220"/>
        <v>1</v>
      </c>
      <c r="Z189" s="102">
        <f t="shared" ca="1" si="220"/>
        <v>1</v>
      </c>
      <c r="AA189" s="102">
        <f t="shared" ca="1" si="220"/>
        <v>1</v>
      </c>
      <c r="AB189" s="102">
        <f t="shared" ca="1" si="220"/>
        <v>1</v>
      </c>
      <c r="AC189" s="102">
        <f t="shared" ca="1" si="220"/>
        <v>1</v>
      </c>
      <c r="AD189" s="102">
        <f t="shared" ca="1" si="220"/>
        <v>1</v>
      </c>
      <c r="AE189" s="102">
        <f t="shared" ca="1" si="220"/>
        <v>1</v>
      </c>
      <c r="AF189" s="102">
        <f t="shared" ca="1" si="220"/>
        <v>1</v>
      </c>
      <c r="AG189" s="102">
        <f t="shared" ca="1" si="220"/>
        <v>1</v>
      </c>
      <c r="AH189" s="102">
        <f t="shared" ca="1" si="220"/>
        <v>1</v>
      </c>
      <c r="AI189" s="102">
        <f t="shared" ca="1" si="220"/>
        <v>1</v>
      </c>
      <c r="AJ189" s="102">
        <f t="shared" ref="AJ189:BO189" ca="1" si="221">IF(ISERROR(AJ179),1,AJ179)</f>
        <v>1</v>
      </c>
      <c r="AK189" s="102">
        <f t="shared" ca="1" si="221"/>
        <v>1</v>
      </c>
      <c r="AL189" s="102">
        <f t="shared" ca="1" si="221"/>
        <v>1</v>
      </c>
      <c r="AM189" s="102">
        <f t="shared" ca="1" si="221"/>
        <v>1</v>
      </c>
      <c r="AN189" s="102">
        <f t="shared" ca="1" si="221"/>
        <v>1</v>
      </c>
      <c r="AO189" s="102">
        <f t="shared" ca="1" si="221"/>
        <v>1</v>
      </c>
      <c r="AP189" s="102">
        <f t="shared" ca="1" si="221"/>
        <v>1</v>
      </c>
      <c r="AQ189" s="102">
        <f t="shared" ca="1" si="221"/>
        <v>1</v>
      </c>
      <c r="AR189" s="102">
        <f t="shared" ca="1" si="221"/>
        <v>1</v>
      </c>
      <c r="AS189" s="102">
        <f t="shared" ca="1" si="221"/>
        <v>1</v>
      </c>
      <c r="AT189" s="102">
        <f t="shared" ca="1" si="221"/>
        <v>1</v>
      </c>
      <c r="AU189" s="102">
        <f t="shared" ca="1" si="221"/>
        <v>1</v>
      </c>
      <c r="AV189" s="102">
        <f t="shared" ca="1" si="221"/>
        <v>1</v>
      </c>
      <c r="AW189" s="102">
        <f t="shared" ca="1" si="221"/>
        <v>1</v>
      </c>
      <c r="AX189" s="102">
        <f t="shared" ca="1" si="221"/>
        <v>1</v>
      </c>
      <c r="AY189" s="102">
        <f t="shared" ca="1" si="221"/>
        <v>1</v>
      </c>
      <c r="AZ189" s="102">
        <f t="shared" ca="1" si="221"/>
        <v>1</v>
      </c>
      <c r="BA189" s="102">
        <f t="shared" ca="1" si="221"/>
        <v>1</v>
      </c>
      <c r="BB189" s="102">
        <f t="shared" ca="1" si="221"/>
        <v>1</v>
      </c>
      <c r="BC189" s="102">
        <f t="shared" ca="1" si="221"/>
        <v>1</v>
      </c>
      <c r="BD189" s="102">
        <f t="shared" ca="1" si="221"/>
        <v>1</v>
      </c>
      <c r="BE189" s="102">
        <f t="shared" ca="1" si="221"/>
        <v>1</v>
      </c>
      <c r="BF189" s="102">
        <f t="shared" ca="1" si="221"/>
        <v>1</v>
      </c>
      <c r="BG189" s="102">
        <f t="shared" ca="1" si="221"/>
        <v>1</v>
      </c>
      <c r="BH189" s="102">
        <f t="shared" ca="1" si="221"/>
        <v>1</v>
      </c>
      <c r="BI189" s="102">
        <f t="shared" ca="1" si="221"/>
        <v>1</v>
      </c>
      <c r="BJ189" s="102">
        <f t="shared" ca="1" si="221"/>
        <v>1</v>
      </c>
      <c r="BK189" s="102">
        <f t="shared" ca="1" si="221"/>
        <v>1</v>
      </c>
      <c r="BL189" s="102">
        <f t="shared" ca="1" si="221"/>
        <v>1</v>
      </c>
      <c r="BM189" s="102">
        <f t="shared" ca="1" si="221"/>
        <v>1</v>
      </c>
      <c r="BN189" s="102">
        <f t="shared" ca="1" si="221"/>
        <v>1</v>
      </c>
      <c r="BO189" s="102">
        <f t="shared" ca="1" si="221"/>
        <v>1</v>
      </c>
      <c r="BP189" s="102">
        <f t="shared" ref="BP189:CS189" ca="1" si="222">IF(ISERROR(BP179),1,BP179)</f>
        <v>1</v>
      </c>
      <c r="BQ189" s="102">
        <f t="shared" ca="1" si="222"/>
        <v>1</v>
      </c>
      <c r="BR189" s="102">
        <f t="shared" ca="1" si="222"/>
        <v>1</v>
      </c>
      <c r="BS189" s="102">
        <f t="shared" ca="1" si="222"/>
        <v>1</v>
      </c>
      <c r="BT189" s="102">
        <f t="shared" ca="1" si="222"/>
        <v>1</v>
      </c>
      <c r="BU189" s="102">
        <f t="shared" ca="1" si="222"/>
        <v>1</v>
      </c>
      <c r="BV189" s="102">
        <f t="shared" ca="1" si="222"/>
        <v>1</v>
      </c>
      <c r="BW189" s="102">
        <f t="shared" ca="1" si="222"/>
        <v>1</v>
      </c>
      <c r="BX189" s="102">
        <f t="shared" ca="1" si="222"/>
        <v>1</v>
      </c>
      <c r="BY189" s="102">
        <f t="shared" ca="1" si="222"/>
        <v>1</v>
      </c>
      <c r="BZ189" s="102">
        <f t="shared" ca="1" si="222"/>
        <v>1</v>
      </c>
      <c r="CA189" s="102">
        <f t="shared" ca="1" si="222"/>
        <v>1</v>
      </c>
      <c r="CB189" s="102">
        <f t="shared" ca="1" si="222"/>
        <v>1</v>
      </c>
      <c r="CC189" s="102">
        <f t="shared" ca="1" si="222"/>
        <v>1</v>
      </c>
      <c r="CD189" s="102">
        <f t="shared" ca="1" si="222"/>
        <v>1</v>
      </c>
      <c r="CE189" s="102">
        <f t="shared" ca="1" si="222"/>
        <v>1</v>
      </c>
      <c r="CF189" s="102">
        <f t="shared" ca="1" si="222"/>
        <v>1</v>
      </c>
      <c r="CG189" s="102">
        <f t="shared" ca="1" si="222"/>
        <v>1</v>
      </c>
      <c r="CH189" s="102">
        <f t="shared" ca="1" si="222"/>
        <v>1</v>
      </c>
      <c r="CI189" s="102">
        <f t="shared" ca="1" si="222"/>
        <v>1</v>
      </c>
      <c r="CJ189" s="102">
        <f t="shared" ca="1" si="222"/>
        <v>1</v>
      </c>
      <c r="CK189" s="102">
        <f t="shared" ca="1" si="222"/>
        <v>1</v>
      </c>
      <c r="CL189" s="102">
        <f t="shared" ca="1" si="222"/>
        <v>1</v>
      </c>
      <c r="CM189" s="102">
        <f t="shared" ca="1" si="222"/>
        <v>1</v>
      </c>
      <c r="CN189" s="102">
        <f t="shared" ca="1" si="222"/>
        <v>1</v>
      </c>
      <c r="CO189" s="102">
        <f t="shared" ca="1" si="222"/>
        <v>1</v>
      </c>
      <c r="CP189" s="102">
        <f t="shared" ca="1" si="222"/>
        <v>1</v>
      </c>
      <c r="CQ189" s="102">
        <f t="shared" ca="1" si="222"/>
        <v>1</v>
      </c>
      <c r="CR189" s="102">
        <f t="shared" ca="1" si="222"/>
        <v>1</v>
      </c>
      <c r="CS189" s="133">
        <f t="shared" ca="1" si="222"/>
        <v>1</v>
      </c>
      <c r="CT189" s="212">
        <v>1</v>
      </c>
      <c r="CU189" s="44"/>
      <c r="CV189" s="44"/>
    </row>
    <row r="190" spans="1:101" x14ac:dyDescent="0.25">
      <c r="A190" s="97">
        <f t="shared" si="216"/>
        <v>4</v>
      </c>
      <c r="B190" s="134" t="s">
        <v>7</v>
      </c>
      <c r="C190" s="105">
        <v>5</v>
      </c>
      <c r="D190" s="107">
        <f t="shared" ref="D190:AI190" ca="1" si="223">IF(ISERROR(D180),1,D180)</f>
        <v>3.2401447298537507</v>
      </c>
      <c r="E190" s="102">
        <f t="shared" ca="1" si="223"/>
        <v>24.861489447803038</v>
      </c>
      <c r="F190" s="102">
        <f t="shared" ca="1" si="223"/>
        <v>0.7957230710182116</v>
      </c>
      <c r="G190" s="102">
        <f t="shared" ca="1" si="223"/>
        <v>0.84302188390197175</v>
      </c>
      <c r="H190" s="102">
        <f t="shared" ca="1" si="223"/>
        <v>0.88783367251807033</v>
      </c>
      <c r="I190" s="102">
        <f t="shared" ca="1" si="223"/>
        <v>0.92181859275716738</v>
      </c>
      <c r="J190" s="102">
        <f t="shared" ca="1" si="223"/>
        <v>0.98801150584362418</v>
      </c>
      <c r="K190" s="102">
        <f t="shared" ca="1" si="223"/>
        <v>0.98585364716294022</v>
      </c>
      <c r="L190" s="102">
        <f t="shared" ca="1" si="223"/>
        <v>0.99961951322065556</v>
      </c>
      <c r="M190" s="102">
        <f t="shared" ca="1" si="223"/>
        <v>1</v>
      </c>
      <c r="N190" s="102">
        <f t="shared" ca="1" si="223"/>
        <v>1</v>
      </c>
      <c r="O190" s="102">
        <f t="shared" ca="1" si="223"/>
        <v>1</v>
      </c>
      <c r="P190" s="102">
        <f t="shared" ca="1" si="223"/>
        <v>1</v>
      </c>
      <c r="Q190" s="102">
        <f t="shared" ca="1" si="223"/>
        <v>1</v>
      </c>
      <c r="R190" s="102">
        <f t="shared" ca="1" si="223"/>
        <v>1</v>
      </c>
      <c r="S190" s="102">
        <f t="shared" ca="1" si="223"/>
        <v>1</v>
      </c>
      <c r="T190" s="102">
        <f t="shared" ca="1" si="223"/>
        <v>1</v>
      </c>
      <c r="U190" s="102">
        <f t="shared" ca="1" si="223"/>
        <v>1</v>
      </c>
      <c r="V190" s="102">
        <f t="shared" ca="1" si="223"/>
        <v>1</v>
      </c>
      <c r="W190" s="102">
        <f t="shared" ca="1" si="223"/>
        <v>1</v>
      </c>
      <c r="X190" s="102">
        <f t="shared" ca="1" si="223"/>
        <v>1</v>
      </c>
      <c r="Y190" s="102">
        <f t="shared" ca="1" si="223"/>
        <v>1</v>
      </c>
      <c r="Z190" s="102">
        <f t="shared" ca="1" si="223"/>
        <v>1</v>
      </c>
      <c r="AA190" s="102">
        <f t="shared" ca="1" si="223"/>
        <v>1</v>
      </c>
      <c r="AB190" s="102">
        <f t="shared" ca="1" si="223"/>
        <v>1</v>
      </c>
      <c r="AC190" s="102">
        <f t="shared" ca="1" si="223"/>
        <v>1</v>
      </c>
      <c r="AD190" s="102">
        <f t="shared" ca="1" si="223"/>
        <v>1</v>
      </c>
      <c r="AE190" s="102">
        <f t="shared" ca="1" si="223"/>
        <v>1</v>
      </c>
      <c r="AF190" s="102">
        <f t="shared" ca="1" si="223"/>
        <v>1</v>
      </c>
      <c r="AG190" s="102">
        <f t="shared" ca="1" si="223"/>
        <v>1</v>
      </c>
      <c r="AH190" s="102">
        <f t="shared" ca="1" si="223"/>
        <v>1</v>
      </c>
      <c r="AI190" s="102">
        <f t="shared" ca="1" si="223"/>
        <v>1</v>
      </c>
      <c r="AJ190" s="102">
        <f t="shared" ref="AJ190:BO190" ca="1" si="224">IF(ISERROR(AJ180),1,AJ180)</f>
        <v>1</v>
      </c>
      <c r="AK190" s="102">
        <f t="shared" ca="1" si="224"/>
        <v>1</v>
      </c>
      <c r="AL190" s="102">
        <f t="shared" ca="1" si="224"/>
        <v>1</v>
      </c>
      <c r="AM190" s="102">
        <f t="shared" ca="1" si="224"/>
        <v>1</v>
      </c>
      <c r="AN190" s="102">
        <f t="shared" ca="1" si="224"/>
        <v>1</v>
      </c>
      <c r="AO190" s="102">
        <f t="shared" ca="1" si="224"/>
        <v>1</v>
      </c>
      <c r="AP190" s="102">
        <f t="shared" ca="1" si="224"/>
        <v>1</v>
      </c>
      <c r="AQ190" s="102">
        <f t="shared" ca="1" si="224"/>
        <v>1</v>
      </c>
      <c r="AR190" s="102">
        <f t="shared" ca="1" si="224"/>
        <v>1</v>
      </c>
      <c r="AS190" s="102">
        <f t="shared" ca="1" si="224"/>
        <v>1</v>
      </c>
      <c r="AT190" s="102">
        <f t="shared" ca="1" si="224"/>
        <v>1</v>
      </c>
      <c r="AU190" s="102">
        <f t="shared" ca="1" si="224"/>
        <v>1</v>
      </c>
      <c r="AV190" s="102">
        <f t="shared" ca="1" si="224"/>
        <v>1</v>
      </c>
      <c r="AW190" s="102">
        <f t="shared" ca="1" si="224"/>
        <v>1</v>
      </c>
      <c r="AX190" s="102">
        <f t="shared" ca="1" si="224"/>
        <v>1</v>
      </c>
      <c r="AY190" s="102">
        <f t="shared" ca="1" si="224"/>
        <v>1</v>
      </c>
      <c r="AZ190" s="102">
        <f t="shared" ca="1" si="224"/>
        <v>1</v>
      </c>
      <c r="BA190" s="102">
        <f t="shared" ca="1" si="224"/>
        <v>1</v>
      </c>
      <c r="BB190" s="102">
        <f t="shared" ca="1" si="224"/>
        <v>1</v>
      </c>
      <c r="BC190" s="102">
        <f t="shared" ca="1" si="224"/>
        <v>1</v>
      </c>
      <c r="BD190" s="102">
        <f t="shared" ca="1" si="224"/>
        <v>1</v>
      </c>
      <c r="BE190" s="102">
        <f t="shared" ca="1" si="224"/>
        <v>1</v>
      </c>
      <c r="BF190" s="102">
        <f t="shared" ca="1" si="224"/>
        <v>1</v>
      </c>
      <c r="BG190" s="102">
        <f t="shared" ca="1" si="224"/>
        <v>1</v>
      </c>
      <c r="BH190" s="102">
        <f t="shared" ca="1" si="224"/>
        <v>1</v>
      </c>
      <c r="BI190" s="102">
        <f t="shared" ca="1" si="224"/>
        <v>1</v>
      </c>
      <c r="BJ190" s="102">
        <f t="shared" ca="1" si="224"/>
        <v>1</v>
      </c>
      <c r="BK190" s="102">
        <f t="shared" ca="1" si="224"/>
        <v>1</v>
      </c>
      <c r="BL190" s="102">
        <f t="shared" ca="1" si="224"/>
        <v>1</v>
      </c>
      <c r="BM190" s="102">
        <f t="shared" ca="1" si="224"/>
        <v>1</v>
      </c>
      <c r="BN190" s="102">
        <f t="shared" ca="1" si="224"/>
        <v>1</v>
      </c>
      <c r="BO190" s="102">
        <f t="shared" ca="1" si="224"/>
        <v>1</v>
      </c>
      <c r="BP190" s="102">
        <f t="shared" ref="BP190:CS190" ca="1" si="225">IF(ISERROR(BP180),1,BP180)</f>
        <v>1</v>
      </c>
      <c r="BQ190" s="102">
        <f t="shared" ca="1" si="225"/>
        <v>1</v>
      </c>
      <c r="BR190" s="102">
        <f t="shared" ca="1" si="225"/>
        <v>1</v>
      </c>
      <c r="BS190" s="102">
        <f t="shared" ca="1" si="225"/>
        <v>1</v>
      </c>
      <c r="BT190" s="102">
        <f t="shared" ca="1" si="225"/>
        <v>1</v>
      </c>
      <c r="BU190" s="102">
        <f t="shared" ca="1" si="225"/>
        <v>1</v>
      </c>
      <c r="BV190" s="102">
        <f t="shared" ca="1" si="225"/>
        <v>1</v>
      </c>
      <c r="BW190" s="102">
        <f t="shared" ca="1" si="225"/>
        <v>1</v>
      </c>
      <c r="BX190" s="102">
        <f t="shared" ca="1" si="225"/>
        <v>1</v>
      </c>
      <c r="BY190" s="102">
        <f t="shared" ca="1" si="225"/>
        <v>1</v>
      </c>
      <c r="BZ190" s="102">
        <f t="shared" ca="1" si="225"/>
        <v>1</v>
      </c>
      <c r="CA190" s="102">
        <f t="shared" ca="1" si="225"/>
        <v>1</v>
      </c>
      <c r="CB190" s="102">
        <f t="shared" ca="1" si="225"/>
        <v>1</v>
      </c>
      <c r="CC190" s="102">
        <f t="shared" ca="1" si="225"/>
        <v>1</v>
      </c>
      <c r="CD190" s="102">
        <f t="shared" ca="1" si="225"/>
        <v>1</v>
      </c>
      <c r="CE190" s="102">
        <f t="shared" ca="1" si="225"/>
        <v>1</v>
      </c>
      <c r="CF190" s="102">
        <f t="shared" ca="1" si="225"/>
        <v>1</v>
      </c>
      <c r="CG190" s="102">
        <f t="shared" ca="1" si="225"/>
        <v>1</v>
      </c>
      <c r="CH190" s="102">
        <f t="shared" ca="1" si="225"/>
        <v>1</v>
      </c>
      <c r="CI190" s="102">
        <f t="shared" ca="1" si="225"/>
        <v>1</v>
      </c>
      <c r="CJ190" s="102">
        <f t="shared" ca="1" si="225"/>
        <v>1</v>
      </c>
      <c r="CK190" s="102">
        <f t="shared" ca="1" si="225"/>
        <v>1</v>
      </c>
      <c r="CL190" s="102">
        <f t="shared" ca="1" si="225"/>
        <v>1</v>
      </c>
      <c r="CM190" s="102">
        <f t="shared" ca="1" si="225"/>
        <v>1</v>
      </c>
      <c r="CN190" s="102">
        <f t="shared" ca="1" si="225"/>
        <v>1</v>
      </c>
      <c r="CO190" s="102">
        <f t="shared" ca="1" si="225"/>
        <v>1</v>
      </c>
      <c r="CP190" s="102">
        <f t="shared" ca="1" si="225"/>
        <v>1</v>
      </c>
      <c r="CQ190" s="102">
        <f t="shared" ca="1" si="225"/>
        <v>1</v>
      </c>
      <c r="CR190" s="102">
        <f t="shared" ca="1" si="225"/>
        <v>1</v>
      </c>
      <c r="CS190" s="133">
        <f t="shared" ca="1" si="225"/>
        <v>1</v>
      </c>
      <c r="CT190" s="213">
        <v>1</v>
      </c>
      <c r="CU190" s="44"/>
      <c r="CV190" s="44"/>
    </row>
    <row r="191" spans="1:101" x14ac:dyDescent="0.25">
      <c r="A191" s="97">
        <f t="shared" si="216"/>
        <v>5</v>
      </c>
      <c r="B191" s="130" t="s">
        <v>8</v>
      </c>
      <c r="C191" s="101"/>
      <c r="D191" s="106">
        <f t="shared" ref="D191:AI191" si="226">IF(ISERROR(D181),1,D181)</f>
        <v>1.5792440463498683</v>
      </c>
      <c r="E191" s="100">
        <f t="shared" si="226"/>
        <v>2.3376749041165144</v>
      </c>
      <c r="F191" s="100">
        <f t="shared" si="226"/>
        <v>1.0903257682087955</v>
      </c>
      <c r="G191" s="100">
        <f t="shared" si="226"/>
        <v>0.95427891107412277</v>
      </c>
      <c r="H191" s="100">
        <f t="shared" si="226"/>
        <v>0.89407926985368669</v>
      </c>
      <c r="I191" s="100">
        <f t="shared" si="226"/>
        <v>0.94616911345932386</v>
      </c>
      <c r="J191" s="100">
        <f t="shared" si="226"/>
        <v>0.99034441142001306</v>
      </c>
      <c r="K191" s="100">
        <f t="shared" si="226"/>
        <v>0.97454520569425318</v>
      </c>
      <c r="L191" s="100">
        <f t="shared" si="226"/>
        <v>0.99961951322065556</v>
      </c>
      <c r="M191" s="100">
        <f t="shared" si="226"/>
        <v>1</v>
      </c>
      <c r="N191" s="100">
        <f t="shared" si="226"/>
        <v>1</v>
      </c>
      <c r="O191" s="100">
        <f t="shared" si="226"/>
        <v>1</v>
      </c>
      <c r="P191" s="100">
        <f t="shared" si="226"/>
        <v>1</v>
      </c>
      <c r="Q191" s="100">
        <f t="shared" si="226"/>
        <v>1</v>
      </c>
      <c r="R191" s="100">
        <f t="shared" si="226"/>
        <v>1</v>
      </c>
      <c r="S191" s="100">
        <f t="shared" si="226"/>
        <v>1</v>
      </c>
      <c r="T191" s="100">
        <f t="shared" si="226"/>
        <v>1</v>
      </c>
      <c r="U191" s="100">
        <f t="shared" si="226"/>
        <v>1</v>
      </c>
      <c r="V191" s="100">
        <f t="shared" si="226"/>
        <v>1</v>
      </c>
      <c r="W191" s="100">
        <f t="shared" si="226"/>
        <v>1</v>
      </c>
      <c r="X191" s="100">
        <f t="shared" si="226"/>
        <v>1</v>
      </c>
      <c r="Y191" s="100">
        <f t="shared" si="226"/>
        <v>1</v>
      </c>
      <c r="Z191" s="100">
        <f t="shared" si="226"/>
        <v>1</v>
      </c>
      <c r="AA191" s="100">
        <f t="shared" si="226"/>
        <v>1</v>
      </c>
      <c r="AB191" s="100">
        <f t="shared" si="226"/>
        <v>1</v>
      </c>
      <c r="AC191" s="100">
        <f t="shared" si="226"/>
        <v>1</v>
      </c>
      <c r="AD191" s="100">
        <f t="shared" si="226"/>
        <v>1</v>
      </c>
      <c r="AE191" s="100">
        <f t="shared" si="226"/>
        <v>1</v>
      </c>
      <c r="AF191" s="100">
        <f t="shared" si="226"/>
        <v>1</v>
      </c>
      <c r="AG191" s="100">
        <f t="shared" si="226"/>
        <v>1</v>
      </c>
      <c r="AH191" s="100">
        <f t="shared" si="226"/>
        <v>1</v>
      </c>
      <c r="AI191" s="100">
        <f t="shared" si="226"/>
        <v>1</v>
      </c>
      <c r="AJ191" s="100">
        <f t="shared" ref="AJ191:BO191" si="227">IF(ISERROR(AJ181),1,AJ181)</f>
        <v>1</v>
      </c>
      <c r="AK191" s="100">
        <f t="shared" si="227"/>
        <v>1</v>
      </c>
      <c r="AL191" s="100">
        <f t="shared" si="227"/>
        <v>1</v>
      </c>
      <c r="AM191" s="100">
        <f t="shared" si="227"/>
        <v>1</v>
      </c>
      <c r="AN191" s="100">
        <f t="shared" si="227"/>
        <v>1</v>
      </c>
      <c r="AO191" s="100">
        <f t="shared" si="227"/>
        <v>1</v>
      </c>
      <c r="AP191" s="100">
        <f t="shared" si="227"/>
        <v>1</v>
      </c>
      <c r="AQ191" s="100">
        <f t="shared" si="227"/>
        <v>1</v>
      </c>
      <c r="AR191" s="100">
        <f t="shared" si="227"/>
        <v>1</v>
      </c>
      <c r="AS191" s="100">
        <f t="shared" si="227"/>
        <v>1</v>
      </c>
      <c r="AT191" s="100">
        <f t="shared" si="227"/>
        <v>1</v>
      </c>
      <c r="AU191" s="100">
        <f t="shared" si="227"/>
        <v>1</v>
      </c>
      <c r="AV191" s="100">
        <f t="shared" si="227"/>
        <v>1</v>
      </c>
      <c r="AW191" s="100">
        <f t="shared" si="227"/>
        <v>1</v>
      </c>
      <c r="AX191" s="100">
        <f t="shared" si="227"/>
        <v>1</v>
      </c>
      <c r="AY191" s="100">
        <f t="shared" si="227"/>
        <v>1</v>
      </c>
      <c r="AZ191" s="100">
        <f t="shared" si="227"/>
        <v>1</v>
      </c>
      <c r="BA191" s="100">
        <f t="shared" si="227"/>
        <v>1</v>
      </c>
      <c r="BB191" s="100">
        <f t="shared" si="227"/>
        <v>1</v>
      </c>
      <c r="BC191" s="100">
        <f t="shared" si="227"/>
        <v>1</v>
      </c>
      <c r="BD191" s="100">
        <f t="shared" si="227"/>
        <v>1</v>
      </c>
      <c r="BE191" s="100">
        <f t="shared" si="227"/>
        <v>1</v>
      </c>
      <c r="BF191" s="100">
        <f t="shared" si="227"/>
        <v>1</v>
      </c>
      <c r="BG191" s="100">
        <f t="shared" si="227"/>
        <v>1</v>
      </c>
      <c r="BH191" s="100">
        <f t="shared" si="227"/>
        <v>1</v>
      </c>
      <c r="BI191" s="100">
        <f t="shared" si="227"/>
        <v>1</v>
      </c>
      <c r="BJ191" s="100">
        <f t="shared" si="227"/>
        <v>1</v>
      </c>
      <c r="BK191" s="100">
        <f t="shared" si="227"/>
        <v>1</v>
      </c>
      <c r="BL191" s="100">
        <f t="shared" si="227"/>
        <v>1</v>
      </c>
      <c r="BM191" s="100">
        <f t="shared" si="227"/>
        <v>1</v>
      </c>
      <c r="BN191" s="100">
        <f t="shared" si="227"/>
        <v>1</v>
      </c>
      <c r="BO191" s="100">
        <f t="shared" si="227"/>
        <v>1</v>
      </c>
      <c r="BP191" s="100">
        <f t="shared" ref="BP191:CS191" si="228">IF(ISERROR(BP181),1,BP181)</f>
        <v>1</v>
      </c>
      <c r="BQ191" s="100">
        <f t="shared" si="228"/>
        <v>1</v>
      </c>
      <c r="BR191" s="100">
        <f t="shared" si="228"/>
        <v>1</v>
      </c>
      <c r="BS191" s="100">
        <f t="shared" si="228"/>
        <v>1</v>
      </c>
      <c r="BT191" s="100">
        <f t="shared" si="228"/>
        <v>1</v>
      </c>
      <c r="BU191" s="100">
        <f t="shared" si="228"/>
        <v>1</v>
      </c>
      <c r="BV191" s="100">
        <f t="shared" si="228"/>
        <v>1</v>
      </c>
      <c r="BW191" s="100">
        <f t="shared" si="228"/>
        <v>1</v>
      </c>
      <c r="BX191" s="100">
        <f t="shared" si="228"/>
        <v>1</v>
      </c>
      <c r="BY191" s="100">
        <f t="shared" si="228"/>
        <v>1</v>
      </c>
      <c r="BZ191" s="100">
        <f t="shared" si="228"/>
        <v>1</v>
      </c>
      <c r="CA191" s="100">
        <f t="shared" si="228"/>
        <v>1</v>
      </c>
      <c r="CB191" s="100">
        <f t="shared" si="228"/>
        <v>1</v>
      </c>
      <c r="CC191" s="100">
        <f t="shared" si="228"/>
        <v>1</v>
      </c>
      <c r="CD191" s="100">
        <f t="shared" si="228"/>
        <v>1</v>
      </c>
      <c r="CE191" s="100">
        <f t="shared" si="228"/>
        <v>1</v>
      </c>
      <c r="CF191" s="100">
        <f t="shared" si="228"/>
        <v>1</v>
      </c>
      <c r="CG191" s="100">
        <f t="shared" si="228"/>
        <v>1</v>
      </c>
      <c r="CH191" s="100">
        <f t="shared" si="228"/>
        <v>1</v>
      </c>
      <c r="CI191" s="100">
        <f t="shared" si="228"/>
        <v>1</v>
      </c>
      <c r="CJ191" s="100">
        <f t="shared" si="228"/>
        <v>1</v>
      </c>
      <c r="CK191" s="100">
        <f t="shared" si="228"/>
        <v>1</v>
      </c>
      <c r="CL191" s="100">
        <f t="shared" si="228"/>
        <v>1</v>
      </c>
      <c r="CM191" s="100">
        <f t="shared" si="228"/>
        <v>1</v>
      </c>
      <c r="CN191" s="100">
        <f t="shared" si="228"/>
        <v>1</v>
      </c>
      <c r="CO191" s="100">
        <f t="shared" si="228"/>
        <v>1</v>
      </c>
      <c r="CP191" s="100">
        <f t="shared" si="228"/>
        <v>1</v>
      </c>
      <c r="CQ191" s="100">
        <f t="shared" si="228"/>
        <v>1</v>
      </c>
      <c r="CR191" s="100">
        <f t="shared" si="228"/>
        <v>1</v>
      </c>
      <c r="CS191" s="131">
        <f t="shared" si="228"/>
        <v>1</v>
      </c>
      <c r="CT191" s="211">
        <v>1</v>
      </c>
      <c r="CU191" s="44"/>
      <c r="CV191" s="44"/>
    </row>
    <row r="192" spans="1:101" x14ac:dyDescent="0.25">
      <c r="A192" s="97">
        <f t="shared" si="216"/>
        <v>6</v>
      </c>
      <c r="B192" s="132" t="s">
        <v>9</v>
      </c>
      <c r="C192" s="101"/>
      <c r="D192" s="107">
        <f t="shared" ref="D192:AI192" ca="1" si="229">IF(ISERROR(D182),1,D182)</f>
        <v>4.0910291902495741</v>
      </c>
      <c r="E192" s="102">
        <f t="shared" ca="1" si="229"/>
        <v>1.4111874157613349</v>
      </c>
      <c r="F192" s="102">
        <f t="shared" ca="1" si="229"/>
        <v>1.0499476022108365</v>
      </c>
      <c r="G192" s="102">
        <f t="shared" ca="1" si="229"/>
        <v>0.95427891107412277</v>
      </c>
      <c r="H192" s="102">
        <f t="shared" ca="1" si="229"/>
        <v>0.88574313100025359</v>
      </c>
      <c r="I192" s="102">
        <f t="shared" ca="1" si="229"/>
        <v>0.94616911345932386</v>
      </c>
      <c r="J192" s="102">
        <f t="shared" ca="1" si="229"/>
        <v>0.99968397140105913</v>
      </c>
      <c r="K192" s="102">
        <f t="shared" ca="1" si="229"/>
        <v>0.97170729432588032</v>
      </c>
      <c r="L192" s="102">
        <f t="shared" ca="1" si="229"/>
        <v>1</v>
      </c>
      <c r="M192" s="102">
        <f t="shared" ca="1" si="229"/>
        <v>1</v>
      </c>
      <c r="N192" s="102">
        <f t="shared" ca="1" si="229"/>
        <v>1</v>
      </c>
      <c r="O192" s="102">
        <f t="shared" ca="1" si="229"/>
        <v>1</v>
      </c>
      <c r="P192" s="102">
        <f t="shared" ca="1" si="229"/>
        <v>1</v>
      </c>
      <c r="Q192" s="102">
        <f t="shared" ca="1" si="229"/>
        <v>1</v>
      </c>
      <c r="R192" s="102">
        <f t="shared" ca="1" si="229"/>
        <v>1</v>
      </c>
      <c r="S192" s="102">
        <f t="shared" ca="1" si="229"/>
        <v>1</v>
      </c>
      <c r="T192" s="102">
        <f t="shared" ca="1" si="229"/>
        <v>1</v>
      </c>
      <c r="U192" s="102">
        <f t="shared" ca="1" si="229"/>
        <v>1</v>
      </c>
      <c r="V192" s="102">
        <f t="shared" ca="1" si="229"/>
        <v>1</v>
      </c>
      <c r="W192" s="102">
        <f t="shared" ca="1" si="229"/>
        <v>1</v>
      </c>
      <c r="X192" s="102">
        <f t="shared" ca="1" si="229"/>
        <v>1</v>
      </c>
      <c r="Y192" s="102">
        <f t="shared" ca="1" si="229"/>
        <v>1</v>
      </c>
      <c r="Z192" s="102">
        <f t="shared" ca="1" si="229"/>
        <v>1</v>
      </c>
      <c r="AA192" s="102">
        <f t="shared" ca="1" si="229"/>
        <v>1</v>
      </c>
      <c r="AB192" s="102">
        <f t="shared" ca="1" si="229"/>
        <v>1</v>
      </c>
      <c r="AC192" s="102">
        <f t="shared" ca="1" si="229"/>
        <v>1</v>
      </c>
      <c r="AD192" s="102">
        <f t="shared" ca="1" si="229"/>
        <v>1</v>
      </c>
      <c r="AE192" s="102">
        <f t="shared" ca="1" si="229"/>
        <v>1</v>
      </c>
      <c r="AF192" s="102">
        <f t="shared" ca="1" si="229"/>
        <v>1</v>
      </c>
      <c r="AG192" s="102">
        <f t="shared" ca="1" si="229"/>
        <v>1</v>
      </c>
      <c r="AH192" s="102">
        <f t="shared" ca="1" si="229"/>
        <v>1</v>
      </c>
      <c r="AI192" s="102">
        <f t="shared" ca="1" si="229"/>
        <v>1</v>
      </c>
      <c r="AJ192" s="102">
        <f t="shared" ref="AJ192:BO192" ca="1" si="230">IF(ISERROR(AJ182),1,AJ182)</f>
        <v>1</v>
      </c>
      <c r="AK192" s="102">
        <f t="shared" ca="1" si="230"/>
        <v>1</v>
      </c>
      <c r="AL192" s="102">
        <f t="shared" ca="1" si="230"/>
        <v>1</v>
      </c>
      <c r="AM192" s="102">
        <f t="shared" ca="1" si="230"/>
        <v>1</v>
      </c>
      <c r="AN192" s="102">
        <f t="shared" ca="1" si="230"/>
        <v>1</v>
      </c>
      <c r="AO192" s="102">
        <f t="shared" ca="1" si="230"/>
        <v>1</v>
      </c>
      <c r="AP192" s="102">
        <f t="shared" ca="1" si="230"/>
        <v>1</v>
      </c>
      <c r="AQ192" s="102">
        <f t="shared" ca="1" si="230"/>
        <v>1</v>
      </c>
      <c r="AR192" s="102">
        <f t="shared" ca="1" si="230"/>
        <v>1</v>
      </c>
      <c r="AS192" s="102">
        <f t="shared" ca="1" si="230"/>
        <v>1</v>
      </c>
      <c r="AT192" s="102">
        <f t="shared" ca="1" si="230"/>
        <v>1</v>
      </c>
      <c r="AU192" s="102">
        <f t="shared" ca="1" si="230"/>
        <v>1</v>
      </c>
      <c r="AV192" s="102">
        <f t="shared" ca="1" si="230"/>
        <v>1</v>
      </c>
      <c r="AW192" s="102">
        <f t="shared" ca="1" si="230"/>
        <v>1</v>
      </c>
      <c r="AX192" s="102">
        <f t="shared" ca="1" si="230"/>
        <v>1</v>
      </c>
      <c r="AY192" s="102">
        <f t="shared" ca="1" si="230"/>
        <v>1</v>
      </c>
      <c r="AZ192" s="102">
        <f t="shared" ca="1" si="230"/>
        <v>1</v>
      </c>
      <c r="BA192" s="102">
        <f t="shared" ca="1" si="230"/>
        <v>1</v>
      </c>
      <c r="BB192" s="102">
        <f t="shared" ca="1" si="230"/>
        <v>1</v>
      </c>
      <c r="BC192" s="102">
        <f t="shared" ca="1" si="230"/>
        <v>1</v>
      </c>
      <c r="BD192" s="102">
        <f t="shared" ca="1" si="230"/>
        <v>1</v>
      </c>
      <c r="BE192" s="102">
        <f t="shared" ca="1" si="230"/>
        <v>1</v>
      </c>
      <c r="BF192" s="102">
        <f t="shared" ca="1" si="230"/>
        <v>1</v>
      </c>
      <c r="BG192" s="102">
        <f t="shared" ca="1" si="230"/>
        <v>1</v>
      </c>
      <c r="BH192" s="102">
        <f t="shared" ca="1" si="230"/>
        <v>1</v>
      </c>
      <c r="BI192" s="102">
        <f t="shared" ca="1" si="230"/>
        <v>1</v>
      </c>
      <c r="BJ192" s="102">
        <f t="shared" ca="1" si="230"/>
        <v>1</v>
      </c>
      <c r="BK192" s="102">
        <f t="shared" ca="1" si="230"/>
        <v>1</v>
      </c>
      <c r="BL192" s="102">
        <f t="shared" ca="1" si="230"/>
        <v>1</v>
      </c>
      <c r="BM192" s="102">
        <f t="shared" ca="1" si="230"/>
        <v>1</v>
      </c>
      <c r="BN192" s="102">
        <f t="shared" ca="1" si="230"/>
        <v>1</v>
      </c>
      <c r="BO192" s="102">
        <f t="shared" ca="1" si="230"/>
        <v>1</v>
      </c>
      <c r="BP192" s="102">
        <f t="shared" ref="BP192:CS192" ca="1" si="231">IF(ISERROR(BP182),1,BP182)</f>
        <v>1</v>
      </c>
      <c r="BQ192" s="102">
        <f t="shared" ca="1" si="231"/>
        <v>1</v>
      </c>
      <c r="BR192" s="102">
        <f t="shared" ca="1" si="231"/>
        <v>1</v>
      </c>
      <c r="BS192" s="102">
        <f t="shared" ca="1" si="231"/>
        <v>1</v>
      </c>
      <c r="BT192" s="102">
        <f t="shared" ca="1" si="231"/>
        <v>1</v>
      </c>
      <c r="BU192" s="102">
        <f t="shared" ca="1" si="231"/>
        <v>1</v>
      </c>
      <c r="BV192" s="102">
        <f t="shared" ca="1" si="231"/>
        <v>1</v>
      </c>
      <c r="BW192" s="102">
        <f t="shared" ca="1" si="231"/>
        <v>1</v>
      </c>
      <c r="BX192" s="102">
        <f t="shared" ca="1" si="231"/>
        <v>1</v>
      </c>
      <c r="BY192" s="102">
        <f t="shared" ca="1" si="231"/>
        <v>1</v>
      </c>
      <c r="BZ192" s="102">
        <f t="shared" ca="1" si="231"/>
        <v>1</v>
      </c>
      <c r="CA192" s="102">
        <f t="shared" ca="1" si="231"/>
        <v>1</v>
      </c>
      <c r="CB192" s="102">
        <f t="shared" ca="1" si="231"/>
        <v>1</v>
      </c>
      <c r="CC192" s="102">
        <f t="shared" ca="1" si="231"/>
        <v>1</v>
      </c>
      <c r="CD192" s="102">
        <f t="shared" ca="1" si="231"/>
        <v>1</v>
      </c>
      <c r="CE192" s="102">
        <f t="shared" ca="1" si="231"/>
        <v>1</v>
      </c>
      <c r="CF192" s="102">
        <f t="shared" ca="1" si="231"/>
        <v>1</v>
      </c>
      <c r="CG192" s="102">
        <f t="shared" ca="1" si="231"/>
        <v>1</v>
      </c>
      <c r="CH192" s="102">
        <f t="shared" ca="1" si="231"/>
        <v>1</v>
      </c>
      <c r="CI192" s="102">
        <f t="shared" ca="1" si="231"/>
        <v>1</v>
      </c>
      <c r="CJ192" s="102">
        <f t="shared" ca="1" si="231"/>
        <v>1</v>
      </c>
      <c r="CK192" s="102">
        <f t="shared" ca="1" si="231"/>
        <v>1</v>
      </c>
      <c r="CL192" s="102">
        <f t="shared" ca="1" si="231"/>
        <v>1</v>
      </c>
      <c r="CM192" s="102">
        <f t="shared" ca="1" si="231"/>
        <v>1</v>
      </c>
      <c r="CN192" s="102">
        <f t="shared" ca="1" si="231"/>
        <v>1</v>
      </c>
      <c r="CO192" s="102">
        <f t="shared" ca="1" si="231"/>
        <v>1</v>
      </c>
      <c r="CP192" s="102">
        <f t="shared" ca="1" si="231"/>
        <v>1</v>
      </c>
      <c r="CQ192" s="102">
        <f t="shared" ca="1" si="231"/>
        <v>1</v>
      </c>
      <c r="CR192" s="102">
        <f t="shared" ca="1" si="231"/>
        <v>1</v>
      </c>
      <c r="CS192" s="133">
        <f t="shared" ca="1" si="231"/>
        <v>1</v>
      </c>
      <c r="CT192" s="212">
        <v>1</v>
      </c>
      <c r="CU192" s="44"/>
      <c r="CV192" s="44"/>
    </row>
    <row r="193" spans="1:102" x14ac:dyDescent="0.25">
      <c r="A193" s="97">
        <f t="shared" si="216"/>
        <v>7</v>
      </c>
      <c r="B193" s="132" t="s">
        <v>10</v>
      </c>
      <c r="C193" s="101"/>
      <c r="D193" s="107">
        <f t="shared" ref="D193:AI193" ca="1" si="232">IF(ISERROR(D183),1,D183)</f>
        <v>3.0571475561960697</v>
      </c>
      <c r="E193" s="102">
        <f t="shared" ca="1" si="232"/>
        <v>1.037019720343815</v>
      </c>
      <c r="F193" s="102">
        <f t="shared" ca="1" si="232"/>
        <v>0.9745572946725729</v>
      </c>
      <c r="G193" s="102">
        <f t="shared" ca="1" si="232"/>
        <v>0.99194832289861901</v>
      </c>
      <c r="H193" s="102">
        <f t="shared" ca="1" si="232"/>
        <v>0.74109870090581453</v>
      </c>
      <c r="I193" s="102">
        <f t="shared" ca="1" si="232"/>
        <v>0.94616911345932386</v>
      </c>
      <c r="J193" s="102">
        <f t="shared" ca="1" si="232"/>
        <v>0.99968397140105913</v>
      </c>
      <c r="K193" s="102">
        <f t="shared" ca="1" si="232"/>
        <v>0.97170729432588032</v>
      </c>
      <c r="L193" s="102">
        <f t="shared" ca="1" si="232"/>
        <v>1</v>
      </c>
      <c r="M193" s="102">
        <f t="shared" ca="1" si="232"/>
        <v>1</v>
      </c>
      <c r="N193" s="102">
        <f t="shared" ca="1" si="232"/>
        <v>1</v>
      </c>
      <c r="O193" s="102">
        <f t="shared" ca="1" si="232"/>
        <v>1</v>
      </c>
      <c r="P193" s="102">
        <f t="shared" ca="1" si="232"/>
        <v>1</v>
      </c>
      <c r="Q193" s="102">
        <f t="shared" ca="1" si="232"/>
        <v>1</v>
      </c>
      <c r="R193" s="102">
        <f t="shared" ca="1" si="232"/>
        <v>1</v>
      </c>
      <c r="S193" s="102">
        <f t="shared" ca="1" si="232"/>
        <v>1</v>
      </c>
      <c r="T193" s="102">
        <f t="shared" ca="1" si="232"/>
        <v>1</v>
      </c>
      <c r="U193" s="102">
        <f t="shared" ca="1" si="232"/>
        <v>1</v>
      </c>
      <c r="V193" s="102">
        <f t="shared" ca="1" si="232"/>
        <v>1</v>
      </c>
      <c r="W193" s="102">
        <f t="shared" ca="1" si="232"/>
        <v>1</v>
      </c>
      <c r="X193" s="102">
        <f t="shared" ca="1" si="232"/>
        <v>1</v>
      </c>
      <c r="Y193" s="102">
        <f t="shared" ca="1" si="232"/>
        <v>1</v>
      </c>
      <c r="Z193" s="102">
        <f t="shared" ca="1" si="232"/>
        <v>1</v>
      </c>
      <c r="AA193" s="102">
        <f t="shared" ca="1" si="232"/>
        <v>1</v>
      </c>
      <c r="AB193" s="102">
        <f t="shared" ca="1" si="232"/>
        <v>1</v>
      </c>
      <c r="AC193" s="102">
        <f t="shared" ca="1" si="232"/>
        <v>1</v>
      </c>
      <c r="AD193" s="102">
        <f t="shared" ca="1" si="232"/>
        <v>1</v>
      </c>
      <c r="AE193" s="102">
        <f t="shared" ca="1" si="232"/>
        <v>1</v>
      </c>
      <c r="AF193" s="102">
        <f t="shared" ca="1" si="232"/>
        <v>1</v>
      </c>
      <c r="AG193" s="102">
        <f t="shared" ca="1" si="232"/>
        <v>1</v>
      </c>
      <c r="AH193" s="102">
        <f t="shared" ca="1" si="232"/>
        <v>1</v>
      </c>
      <c r="AI193" s="102">
        <f t="shared" ca="1" si="232"/>
        <v>1</v>
      </c>
      <c r="AJ193" s="102">
        <f t="shared" ref="AJ193:BO193" ca="1" si="233">IF(ISERROR(AJ183),1,AJ183)</f>
        <v>1</v>
      </c>
      <c r="AK193" s="102">
        <f t="shared" ca="1" si="233"/>
        <v>1</v>
      </c>
      <c r="AL193" s="102">
        <f t="shared" ca="1" si="233"/>
        <v>1</v>
      </c>
      <c r="AM193" s="102">
        <f t="shared" ca="1" si="233"/>
        <v>1</v>
      </c>
      <c r="AN193" s="102">
        <f t="shared" ca="1" si="233"/>
        <v>1</v>
      </c>
      <c r="AO193" s="102">
        <f t="shared" ca="1" si="233"/>
        <v>1</v>
      </c>
      <c r="AP193" s="102">
        <f t="shared" ca="1" si="233"/>
        <v>1</v>
      </c>
      <c r="AQ193" s="102">
        <f t="shared" ca="1" si="233"/>
        <v>1</v>
      </c>
      <c r="AR193" s="102">
        <f t="shared" ca="1" si="233"/>
        <v>1</v>
      </c>
      <c r="AS193" s="102">
        <f t="shared" ca="1" si="233"/>
        <v>1</v>
      </c>
      <c r="AT193" s="102">
        <f t="shared" ca="1" si="233"/>
        <v>1</v>
      </c>
      <c r="AU193" s="102">
        <f t="shared" ca="1" si="233"/>
        <v>1</v>
      </c>
      <c r="AV193" s="102">
        <f t="shared" ca="1" si="233"/>
        <v>1</v>
      </c>
      <c r="AW193" s="102">
        <f t="shared" ca="1" si="233"/>
        <v>1</v>
      </c>
      <c r="AX193" s="102">
        <f t="shared" ca="1" si="233"/>
        <v>1</v>
      </c>
      <c r="AY193" s="102">
        <f t="shared" ca="1" si="233"/>
        <v>1</v>
      </c>
      <c r="AZ193" s="102">
        <f t="shared" ca="1" si="233"/>
        <v>1</v>
      </c>
      <c r="BA193" s="102">
        <f t="shared" ca="1" si="233"/>
        <v>1</v>
      </c>
      <c r="BB193" s="102">
        <f t="shared" ca="1" si="233"/>
        <v>1</v>
      </c>
      <c r="BC193" s="102">
        <f t="shared" ca="1" si="233"/>
        <v>1</v>
      </c>
      <c r="BD193" s="102">
        <f t="shared" ca="1" si="233"/>
        <v>1</v>
      </c>
      <c r="BE193" s="102">
        <f t="shared" ca="1" si="233"/>
        <v>1</v>
      </c>
      <c r="BF193" s="102">
        <f t="shared" ca="1" si="233"/>
        <v>1</v>
      </c>
      <c r="BG193" s="102">
        <f t="shared" ca="1" si="233"/>
        <v>1</v>
      </c>
      <c r="BH193" s="102">
        <f t="shared" ca="1" si="233"/>
        <v>1</v>
      </c>
      <c r="BI193" s="102">
        <f t="shared" ca="1" si="233"/>
        <v>1</v>
      </c>
      <c r="BJ193" s="102">
        <f t="shared" ca="1" si="233"/>
        <v>1</v>
      </c>
      <c r="BK193" s="102">
        <f t="shared" ca="1" si="233"/>
        <v>1</v>
      </c>
      <c r="BL193" s="102">
        <f t="shared" ca="1" si="233"/>
        <v>1</v>
      </c>
      <c r="BM193" s="102">
        <f t="shared" ca="1" si="233"/>
        <v>1</v>
      </c>
      <c r="BN193" s="102">
        <f t="shared" ca="1" si="233"/>
        <v>1</v>
      </c>
      <c r="BO193" s="102">
        <f t="shared" ca="1" si="233"/>
        <v>1</v>
      </c>
      <c r="BP193" s="102">
        <f t="shared" ref="BP193:CS193" ca="1" si="234">IF(ISERROR(BP183),1,BP183)</f>
        <v>1</v>
      </c>
      <c r="BQ193" s="102">
        <f t="shared" ca="1" si="234"/>
        <v>1</v>
      </c>
      <c r="BR193" s="102">
        <f t="shared" ca="1" si="234"/>
        <v>1</v>
      </c>
      <c r="BS193" s="102">
        <f t="shared" ca="1" si="234"/>
        <v>1</v>
      </c>
      <c r="BT193" s="102">
        <f t="shared" ca="1" si="234"/>
        <v>1</v>
      </c>
      <c r="BU193" s="102">
        <f t="shared" ca="1" si="234"/>
        <v>1</v>
      </c>
      <c r="BV193" s="102">
        <f t="shared" ca="1" si="234"/>
        <v>1</v>
      </c>
      <c r="BW193" s="102">
        <f t="shared" ca="1" si="234"/>
        <v>1</v>
      </c>
      <c r="BX193" s="102">
        <f t="shared" ca="1" si="234"/>
        <v>1</v>
      </c>
      <c r="BY193" s="102">
        <f t="shared" ca="1" si="234"/>
        <v>1</v>
      </c>
      <c r="BZ193" s="102">
        <f t="shared" ca="1" si="234"/>
        <v>1</v>
      </c>
      <c r="CA193" s="102">
        <f t="shared" ca="1" si="234"/>
        <v>1</v>
      </c>
      <c r="CB193" s="102">
        <f t="shared" ca="1" si="234"/>
        <v>1</v>
      </c>
      <c r="CC193" s="102">
        <f t="shared" ca="1" si="234"/>
        <v>1</v>
      </c>
      <c r="CD193" s="102">
        <f t="shared" ca="1" si="234"/>
        <v>1</v>
      </c>
      <c r="CE193" s="102">
        <f t="shared" ca="1" si="234"/>
        <v>1</v>
      </c>
      <c r="CF193" s="102">
        <f t="shared" ca="1" si="234"/>
        <v>1</v>
      </c>
      <c r="CG193" s="102">
        <f t="shared" ca="1" si="234"/>
        <v>1</v>
      </c>
      <c r="CH193" s="102">
        <f t="shared" ca="1" si="234"/>
        <v>1</v>
      </c>
      <c r="CI193" s="102">
        <f t="shared" ca="1" si="234"/>
        <v>1</v>
      </c>
      <c r="CJ193" s="102">
        <f t="shared" ca="1" si="234"/>
        <v>1</v>
      </c>
      <c r="CK193" s="102">
        <f t="shared" ca="1" si="234"/>
        <v>1</v>
      </c>
      <c r="CL193" s="102">
        <f t="shared" ca="1" si="234"/>
        <v>1</v>
      </c>
      <c r="CM193" s="102">
        <f t="shared" ca="1" si="234"/>
        <v>1</v>
      </c>
      <c r="CN193" s="102">
        <f t="shared" ca="1" si="234"/>
        <v>1</v>
      </c>
      <c r="CO193" s="102">
        <f t="shared" ca="1" si="234"/>
        <v>1</v>
      </c>
      <c r="CP193" s="102">
        <f t="shared" ca="1" si="234"/>
        <v>1</v>
      </c>
      <c r="CQ193" s="102">
        <f t="shared" ca="1" si="234"/>
        <v>1</v>
      </c>
      <c r="CR193" s="102">
        <f t="shared" ca="1" si="234"/>
        <v>1</v>
      </c>
      <c r="CS193" s="133">
        <f t="shared" ca="1" si="234"/>
        <v>1</v>
      </c>
      <c r="CT193" s="212">
        <v>1</v>
      </c>
      <c r="CU193" s="44"/>
      <c r="CV193" s="44"/>
    </row>
    <row r="194" spans="1:102" x14ac:dyDescent="0.25">
      <c r="A194" s="97">
        <f t="shared" si="216"/>
        <v>8</v>
      </c>
      <c r="B194" s="134" t="s">
        <v>11</v>
      </c>
      <c r="C194" s="105">
        <v>10</v>
      </c>
      <c r="D194" s="108">
        <f t="shared" ref="D194:AI194" ca="1" si="235">IF(ISERROR(D184),1,D184)</f>
        <v>2.4828978653430118</v>
      </c>
      <c r="E194" s="104">
        <f t="shared" ca="1" si="235"/>
        <v>1.9118996336271383</v>
      </c>
      <c r="F194" s="104">
        <f t="shared" ca="1" si="235"/>
        <v>1.1064559259063504</v>
      </c>
      <c r="G194" s="104">
        <f t="shared" ca="1" si="235"/>
        <v>0.95427891107412277</v>
      </c>
      <c r="H194" s="104">
        <f t="shared" ca="1" si="235"/>
        <v>0.88574313100025359</v>
      </c>
      <c r="I194" s="104">
        <f t="shared" ca="1" si="235"/>
        <v>0.94616911345932386</v>
      </c>
      <c r="J194" s="104">
        <f t="shared" ca="1" si="235"/>
        <v>0.99968397140105913</v>
      </c>
      <c r="K194" s="104">
        <f t="shared" ca="1" si="235"/>
        <v>0.97170729432588032</v>
      </c>
      <c r="L194" s="104">
        <f t="shared" ca="1" si="235"/>
        <v>1</v>
      </c>
      <c r="M194" s="104">
        <f t="shared" ca="1" si="235"/>
        <v>1</v>
      </c>
      <c r="N194" s="104">
        <f t="shared" ca="1" si="235"/>
        <v>1</v>
      </c>
      <c r="O194" s="104">
        <f t="shared" ca="1" si="235"/>
        <v>1</v>
      </c>
      <c r="P194" s="104">
        <f t="shared" ca="1" si="235"/>
        <v>1</v>
      </c>
      <c r="Q194" s="104">
        <f t="shared" ca="1" si="235"/>
        <v>1</v>
      </c>
      <c r="R194" s="104">
        <f t="shared" ca="1" si="235"/>
        <v>1</v>
      </c>
      <c r="S194" s="104">
        <f t="shared" ca="1" si="235"/>
        <v>1</v>
      </c>
      <c r="T194" s="104">
        <f t="shared" ca="1" si="235"/>
        <v>1</v>
      </c>
      <c r="U194" s="104">
        <f t="shared" ca="1" si="235"/>
        <v>1</v>
      </c>
      <c r="V194" s="104">
        <f t="shared" ca="1" si="235"/>
        <v>1</v>
      </c>
      <c r="W194" s="104">
        <f t="shared" ca="1" si="235"/>
        <v>1</v>
      </c>
      <c r="X194" s="104">
        <f t="shared" ca="1" si="235"/>
        <v>1</v>
      </c>
      <c r="Y194" s="104">
        <f t="shared" ca="1" si="235"/>
        <v>1</v>
      </c>
      <c r="Z194" s="104">
        <f t="shared" ca="1" si="235"/>
        <v>1</v>
      </c>
      <c r="AA194" s="104">
        <f t="shared" ca="1" si="235"/>
        <v>1</v>
      </c>
      <c r="AB194" s="104">
        <f t="shared" ca="1" si="235"/>
        <v>1</v>
      </c>
      <c r="AC194" s="104">
        <f t="shared" ca="1" si="235"/>
        <v>1</v>
      </c>
      <c r="AD194" s="104">
        <f t="shared" ca="1" si="235"/>
        <v>1</v>
      </c>
      <c r="AE194" s="104">
        <f t="shared" ca="1" si="235"/>
        <v>1</v>
      </c>
      <c r="AF194" s="104">
        <f t="shared" ca="1" si="235"/>
        <v>1</v>
      </c>
      <c r="AG194" s="104">
        <f t="shared" ca="1" si="235"/>
        <v>1</v>
      </c>
      <c r="AH194" s="104">
        <f t="shared" ca="1" si="235"/>
        <v>1</v>
      </c>
      <c r="AI194" s="104">
        <f t="shared" ca="1" si="235"/>
        <v>1</v>
      </c>
      <c r="AJ194" s="104">
        <f t="shared" ref="AJ194:BO194" ca="1" si="236">IF(ISERROR(AJ184),1,AJ184)</f>
        <v>1</v>
      </c>
      <c r="AK194" s="104">
        <f t="shared" ca="1" si="236"/>
        <v>1</v>
      </c>
      <c r="AL194" s="104">
        <f t="shared" ca="1" si="236"/>
        <v>1</v>
      </c>
      <c r="AM194" s="104">
        <f t="shared" ca="1" si="236"/>
        <v>1</v>
      </c>
      <c r="AN194" s="104">
        <f t="shared" ca="1" si="236"/>
        <v>1</v>
      </c>
      <c r="AO194" s="104">
        <f t="shared" ca="1" si="236"/>
        <v>1</v>
      </c>
      <c r="AP194" s="104">
        <f t="shared" ca="1" si="236"/>
        <v>1</v>
      </c>
      <c r="AQ194" s="104">
        <f t="shared" ca="1" si="236"/>
        <v>1</v>
      </c>
      <c r="AR194" s="104">
        <f t="shared" ca="1" si="236"/>
        <v>1</v>
      </c>
      <c r="AS194" s="104">
        <f t="shared" ca="1" si="236"/>
        <v>1</v>
      </c>
      <c r="AT194" s="104">
        <f t="shared" ca="1" si="236"/>
        <v>1</v>
      </c>
      <c r="AU194" s="104">
        <f t="shared" ca="1" si="236"/>
        <v>1</v>
      </c>
      <c r="AV194" s="104">
        <f t="shared" ca="1" si="236"/>
        <v>1</v>
      </c>
      <c r="AW194" s="104">
        <f t="shared" ca="1" si="236"/>
        <v>1</v>
      </c>
      <c r="AX194" s="104">
        <f t="shared" ca="1" si="236"/>
        <v>1</v>
      </c>
      <c r="AY194" s="104">
        <f t="shared" ca="1" si="236"/>
        <v>1</v>
      </c>
      <c r="AZ194" s="104">
        <f t="shared" ca="1" si="236"/>
        <v>1</v>
      </c>
      <c r="BA194" s="104">
        <f t="shared" ca="1" si="236"/>
        <v>1</v>
      </c>
      <c r="BB194" s="104">
        <f t="shared" ca="1" si="236"/>
        <v>1</v>
      </c>
      <c r="BC194" s="104">
        <f t="shared" ca="1" si="236"/>
        <v>1</v>
      </c>
      <c r="BD194" s="104">
        <f t="shared" ca="1" si="236"/>
        <v>1</v>
      </c>
      <c r="BE194" s="104">
        <f t="shared" ca="1" si="236"/>
        <v>1</v>
      </c>
      <c r="BF194" s="104">
        <f t="shared" ca="1" si="236"/>
        <v>1</v>
      </c>
      <c r="BG194" s="104">
        <f t="shared" ca="1" si="236"/>
        <v>1</v>
      </c>
      <c r="BH194" s="104">
        <f t="shared" ca="1" si="236"/>
        <v>1</v>
      </c>
      <c r="BI194" s="104">
        <f t="shared" ca="1" si="236"/>
        <v>1</v>
      </c>
      <c r="BJ194" s="104">
        <f t="shared" ca="1" si="236"/>
        <v>1</v>
      </c>
      <c r="BK194" s="104">
        <f t="shared" ca="1" si="236"/>
        <v>1</v>
      </c>
      <c r="BL194" s="104">
        <f t="shared" ca="1" si="236"/>
        <v>1</v>
      </c>
      <c r="BM194" s="104">
        <f t="shared" ca="1" si="236"/>
        <v>1</v>
      </c>
      <c r="BN194" s="104">
        <f t="shared" ca="1" si="236"/>
        <v>1</v>
      </c>
      <c r="BO194" s="104">
        <f t="shared" ca="1" si="236"/>
        <v>1</v>
      </c>
      <c r="BP194" s="104">
        <f t="shared" ref="BP194:CS194" ca="1" si="237">IF(ISERROR(BP184),1,BP184)</f>
        <v>1</v>
      </c>
      <c r="BQ194" s="104">
        <f t="shared" ca="1" si="237"/>
        <v>1</v>
      </c>
      <c r="BR194" s="104">
        <f t="shared" ca="1" si="237"/>
        <v>1</v>
      </c>
      <c r="BS194" s="104">
        <f t="shared" ca="1" si="237"/>
        <v>1</v>
      </c>
      <c r="BT194" s="104">
        <f t="shared" ca="1" si="237"/>
        <v>1</v>
      </c>
      <c r="BU194" s="104">
        <f t="shared" ca="1" si="237"/>
        <v>1</v>
      </c>
      <c r="BV194" s="104">
        <f t="shared" ca="1" si="237"/>
        <v>1</v>
      </c>
      <c r="BW194" s="104">
        <f t="shared" ca="1" si="237"/>
        <v>1</v>
      </c>
      <c r="BX194" s="104">
        <f t="shared" ca="1" si="237"/>
        <v>1</v>
      </c>
      <c r="BY194" s="104">
        <f t="shared" ca="1" si="237"/>
        <v>1</v>
      </c>
      <c r="BZ194" s="104">
        <f t="shared" ca="1" si="237"/>
        <v>1</v>
      </c>
      <c r="CA194" s="104">
        <f t="shared" ca="1" si="237"/>
        <v>1</v>
      </c>
      <c r="CB194" s="104">
        <f t="shared" ca="1" si="237"/>
        <v>1</v>
      </c>
      <c r="CC194" s="104">
        <f t="shared" ca="1" si="237"/>
        <v>1</v>
      </c>
      <c r="CD194" s="104">
        <f t="shared" ca="1" si="237"/>
        <v>1</v>
      </c>
      <c r="CE194" s="104">
        <f t="shared" ca="1" si="237"/>
        <v>1</v>
      </c>
      <c r="CF194" s="104">
        <f t="shared" ca="1" si="237"/>
        <v>1</v>
      </c>
      <c r="CG194" s="104">
        <f t="shared" ca="1" si="237"/>
        <v>1</v>
      </c>
      <c r="CH194" s="104">
        <f t="shared" ca="1" si="237"/>
        <v>1</v>
      </c>
      <c r="CI194" s="104">
        <f t="shared" ca="1" si="237"/>
        <v>1</v>
      </c>
      <c r="CJ194" s="104">
        <f t="shared" ca="1" si="237"/>
        <v>1</v>
      </c>
      <c r="CK194" s="104">
        <f t="shared" ca="1" si="237"/>
        <v>1</v>
      </c>
      <c r="CL194" s="104">
        <f t="shared" ca="1" si="237"/>
        <v>1</v>
      </c>
      <c r="CM194" s="104">
        <f t="shared" ca="1" si="237"/>
        <v>1</v>
      </c>
      <c r="CN194" s="104">
        <f t="shared" ca="1" si="237"/>
        <v>1</v>
      </c>
      <c r="CO194" s="104">
        <f t="shared" ca="1" si="237"/>
        <v>1</v>
      </c>
      <c r="CP194" s="104">
        <f t="shared" ca="1" si="237"/>
        <v>1</v>
      </c>
      <c r="CQ194" s="104">
        <f t="shared" ca="1" si="237"/>
        <v>1</v>
      </c>
      <c r="CR194" s="104">
        <f t="shared" ca="1" si="237"/>
        <v>1</v>
      </c>
      <c r="CS194" s="135">
        <f t="shared" ca="1" si="237"/>
        <v>1</v>
      </c>
      <c r="CT194" s="213">
        <v>1</v>
      </c>
      <c r="CU194" s="44"/>
      <c r="CV194" s="44"/>
    </row>
    <row r="195" spans="1:102" ht="15.75" thickBot="1" x14ac:dyDescent="0.3">
      <c r="A195" s="97">
        <f t="shared" si="216"/>
        <v>9</v>
      </c>
      <c r="B195" s="136" t="s">
        <v>12</v>
      </c>
      <c r="C195" s="137"/>
      <c r="D195" s="138">
        <f>MAX(D191,1)</f>
        <v>1.5792440463498683</v>
      </c>
      <c r="E195" s="138">
        <f t="shared" ref="E195:G195" si="238">MAX(E191,1)</f>
        <v>2.3376749041165144</v>
      </c>
      <c r="F195" s="138">
        <f t="shared" si="238"/>
        <v>1.0903257682087955</v>
      </c>
      <c r="G195" s="138">
        <f t="shared" si="238"/>
        <v>1</v>
      </c>
      <c r="H195" s="138">
        <f t="shared" ref="H195:BS195" si="239">MAX(H191,1)</f>
        <v>1</v>
      </c>
      <c r="I195" s="138">
        <f t="shared" si="239"/>
        <v>1</v>
      </c>
      <c r="J195" s="138">
        <f t="shared" si="239"/>
        <v>1</v>
      </c>
      <c r="K195" s="138">
        <f t="shared" si="239"/>
        <v>1</v>
      </c>
      <c r="L195" s="138">
        <f t="shared" si="239"/>
        <v>1</v>
      </c>
      <c r="M195" s="138">
        <f t="shared" si="239"/>
        <v>1</v>
      </c>
      <c r="N195" s="138">
        <f t="shared" si="239"/>
        <v>1</v>
      </c>
      <c r="O195" s="138">
        <f t="shared" si="239"/>
        <v>1</v>
      </c>
      <c r="P195" s="138">
        <f t="shared" si="239"/>
        <v>1</v>
      </c>
      <c r="Q195" s="138">
        <f t="shared" si="239"/>
        <v>1</v>
      </c>
      <c r="R195" s="138">
        <f t="shared" si="239"/>
        <v>1</v>
      </c>
      <c r="S195" s="138">
        <f t="shared" si="239"/>
        <v>1</v>
      </c>
      <c r="T195" s="138">
        <f t="shared" si="239"/>
        <v>1</v>
      </c>
      <c r="U195" s="138">
        <f t="shared" si="239"/>
        <v>1</v>
      </c>
      <c r="V195" s="138">
        <f t="shared" si="239"/>
        <v>1</v>
      </c>
      <c r="W195" s="138">
        <f t="shared" si="239"/>
        <v>1</v>
      </c>
      <c r="X195" s="138">
        <f t="shared" si="239"/>
        <v>1</v>
      </c>
      <c r="Y195" s="138">
        <f t="shared" si="239"/>
        <v>1</v>
      </c>
      <c r="Z195" s="138">
        <f t="shared" si="239"/>
        <v>1</v>
      </c>
      <c r="AA195" s="138">
        <f t="shared" si="239"/>
        <v>1</v>
      </c>
      <c r="AB195" s="138">
        <f t="shared" si="239"/>
        <v>1</v>
      </c>
      <c r="AC195" s="138">
        <f t="shared" si="239"/>
        <v>1</v>
      </c>
      <c r="AD195" s="138">
        <f t="shared" si="239"/>
        <v>1</v>
      </c>
      <c r="AE195" s="138">
        <f t="shared" si="239"/>
        <v>1</v>
      </c>
      <c r="AF195" s="138">
        <f t="shared" si="239"/>
        <v>1</v>
      </c>
      <c r="AG195" s="138">
        <f t="shared" si="239"/>
        <v>1</v>
      </c>
      <c r="AH195" s="138">
        <f t="shared" si="239"/>
        <v>1</v>
      </c>
      <c r="AI195" s="138">
        <f t="shared" si="239"/>
        <v>1</v>
      </c>
      <c r="AJ195" s="138">
        <f t="shared" si="239"/>
        <v>1</v>
      </c>
      <c r="AK195" s="138">
        <f t="shared" si="239"/>
        <v>1</v>
      </c>
      <c r="AL195" s="138">
        <f t="shared" si="239"/>
        <v>1</v>
      </c>
      <c r="AM195" s="138">
        <f t="shared" si="239"/>
        <v>1</v>
      </c>
      <c r="AN195" s="138">
        <f t="shared" si="239"/>
        <v>1</v>
      </c>
      <c r="AO195" s="138">
        <f t="shared" si="239"/>
        <v>1</v>
      </c>
      <c r="AP195" s="138">
        <f t="shared" si="239"/>
        <v>1</v>
      </c>
      <c r="AQ195" s="138">
        <f t="shared" si="239"/>
        <v>1</v>
      </c>
      <c r="AR195" s="138">
        <f t="shared" si="239"/>
        <v>1</v>
      </c>
      <c r="AS195" s="138">
        <f t="shared" si="239"/>
        <v>1</v>
      </c>
      <c r="AT195" s="138">
        <f t="shared" si="239"/>
        <v>1</v>
      </c>
      <c r="AU195" s="138">
        <f t="shared" si="239"/>
        <v>1</v>
      </c>
      <c r="AV195" s="138">
        <f t="shared" si="239"/>
        <v>1</v>
      </c>
      <c r="AW195" s="138">
        <f t="shared" si="239"/>
        <v>1</v>
      </c>
      <c r="AX195" s="138">
        <f t="shared" si="239"/>
        <v>1</v>
      </c>
      <c r="AY195" s="138">
        <f t="shared" si="239"/>
        <v>1</v>
      </c>
      <c r="AZ195" s="138">
        <f t="shared" si="239"/>
        <v>1</v>
      </c>
      <c r="BA195" s="138">
        <f t="shared" si="239"/>
        <v>1</v>
      </c>
      <c r="BB195" s="138">
        <f t="shared" si="239"/>
        <v>1</v>
      </c>
      <c r="BC195" s="138">
        <f t="shared" si="239"/>
        <v>1</v>
      </c>
      <c r="BD195" s="138">
        <f t="shared" si="239"/>
        <v>1</v>
      </c>
      <c r="BE195" s="138">
        <f t="shared" si="239"/>
        <v>1</v>
      </c>
      <c r="BF195" s="138">
        <f t="shared" si="239"/>
        <v>1</v>
      </c>
      <c r="BG195" s="138">
        <f t="shared" si="239"/>
        <v>1</v>
      </c>
      <c r="BH195" s="138">
        <f t="shared" si="239"/>
        <v>1</v>
      </c>
      <c r="BI195" s="138">
        <f t="shared" si="239"/>
        <v>1</v>
      </c>
      <c r="BJ195" s="138">
        <f t="shared" si="239"/>
        <v>1</v>
      </c>
      <c r="BK195" s="138">
        <f t="shared" si="239"/>
        <v>1</v>
      </c>
      <c r="BL195" s="138">
        <f t="shared" si="239"/>
        <v>1</v>
      </c>
      <c r="BM195" s="138">
        <f t="shared" si="239"/>
        <v>1</v>
      </c>
      <c r="BN195" s="138">
        <f t="shared" si="239"/>
        <v>1</v>
      </c>
      <c r="BO195" s="138">
        <f t="shared" si="239"/>
        <v>1</v>
      </c>
      <c r="BP195" s="138">
        <f t="shared" si="239"/>
        <v>1</v>
      </c>
      <c r="BQ195" s="138">
        <f t="shared" si="239"/>
        <v>1</v>
      </c>
      <c r="BR195" s="138">
        <f t="shared" si="239"/>
        <v>1</v>
      </c>
      <c r="BS195" s="138">
        <f t="shared" si="239"/>
        <v>1</v>
      </c>
      <c r="BT195" s="138">
        <f t="shared" ref="BT195:CR195" si="240">MAX(BT191,1)</f>
        <v>1</v>
      </c>
      <c r="BU195" s="138">
        <f t="shared" si="240"/>
        <v>1</v>
      </c>
      <c r="BV195" s="138">
        <f t="shared" si="240"/>
        <v>1</v>
      </c>
      <c r="BW195" s="138">
        <f t="shared" si="240"/>
        <v>1</v>
      </c>
      <c r="BX195" s="138">
        <f t="shared" si="240"/>
        <v>1</v>
      </c>
      <c r="BY195" s="138">
        <f t="shared" si="240"/>
        <v>1</v>
      </c>
      <c r="BZ195" s="138">
        <f t="shared" si="240"/>
        <v>1</v>
      </c>
      <c r="CA195" s="138">
        <f t="shared" si="240"/>
        <v>1</v>
      </c>
      <c r="CB195" s="138">
        <f t="shared" si="240"/>
        <v>1</v>
      </c>
      <c r="CC195" s="138">
        <f t="shared" si="240"/>
        <v>1</v>
      </c>
      <c r="CD195" s="138">
        <f t="shared" si="240"/>
        <v>1</v>
      </c>
      <c r="CE195" s="138">
        <f t="shared" si="240"/>
        <v>1</v>
      </c>
      <c r="CF195" s="138">
        <f t="shared" si="240"/>
        <v>1</v>
      </c>
      <c r="CG195" s="138">
        <f t="shared" si="240"/>
        <v>1</v>
      </c>
      <c r="CH195" s="138">
        <f t="shared" si="240"/>
        <v>1</v>
      </c>
      <c r="CI195" s="138">
        <f t="shared" si="240"/>
        <v>1</v>
      </c>
      <c r="CJ195" s="138">
        <f t="shared" si="240"/>
        <v>1</v>
      </c>
      <c r="CK195" s="138">
        <f t="shared" si="240"/>
        <v>1</v>
      </c>
      <c r="CL195" s="138">
        <f t="shared" si="240"/>
        <v>1</v>
      </c>
      <c r="CM195" s="138">
        <f t="shared" si="240"/>
        <v>1</v>
      </c>
      <c r="CN195" s="138">
        <f t="shared" si="240"/>
        <v>1</v>
      </c>
      <c r="CO195" s="138">
        <f t="shared" si="240"/>
        <v>1</v>
      </c>
      <c r="CP195" s="138">
        <f t="shared" si="240"/>
        <v>1</v>
      </c>
      <c r="CQ195" s="138">
        <f t="shared" si="240"/>
        <v>1</v>
      </c>
      <c r="CR195" s="138">
        <f t="shared" si="240"/>
        <v>1</v>
      </c>
      <c r="CS195" s="139">
        <f t="shared" ref="CS195" si="241">MAX(CS191,1)</f>
        <v>1</v>
      </c>
      <c r="CT195" s="87"/>
      <c r="CU195" s="87"/>
      <c r="CV195" s="87"/>
      <c r="CW195" s="44"/>
    </row>
    <row r="196" spans="1:102" s="12" customFormat="1" ht="5.0999999999999996" customHeight="1" thickBot="1" x14ac:dyDescent="0.3">
      <c r="A196" s="124">
        <v>1</v>
      </c>
      <c r="B196" s="125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  <c r="AL196" s="87"/>
      <c r="AM196" s="87"/>
      <c r="AN196" s="87"/>
      <c r="AO196" s="87"/>
      <c r="AP196" s="87"/>
      <c r="AQ196" s="87"/>
      <c r="AR196" s="87"/>
      <c r="AS196" s="87"/>
      <c r="AT196" s="87"/>
      <c r="AU196" s="87"/>
      <c r="AV196" s="87"/>
      <c r="AW196" s="87"/>
      <c r="AX196" s="87"/>
      <c r="AY196" s="87"/>
      <c r="AZ196" s="87"/>
      <c r="BA196" s="87"/>
      <c r="BB196" s="87"/>
      <c r="BC196" s="87"/>
      <c r="BD196" s="87"/>
      <c r="BE196" s="87"/>
      <c r="BF196" s="87"/>
      <c r="BG196" s="87"/>
      <c r="BH196" s="87"/>
      <c r="BI196" s="87"/>
      <c r="BJ196" s="87"/>
      <c r="BK196" s="87"/>
      <c r="BL196" s="87"/>
      <c r="BM196" s="87"/>
      <c r="BN196" s="87"/>
      <c r="BO196" s="87"/>
      <c r="BP196" s="87"/>
      <c r="BQ196" s="87"/>
      <c r="BR196" s="87"/>
      <c r="BS196" s="87"/>
      <c r="BT196" s="87"/>
      <c r="BU196" s="87"/>
      <c r="BV196" s="87"/>
      <c r="BW196" s="87"/>
      <c r="BX196" s="87"/>
      <c r="BY196" s="87"/>
      <c r="BZ196" s="87"/>
      <c r="CA196" s="87"/>
      <c r="CB196" s="87"/>
      <c r="CC196" s="87"/>
      <c r="CD196" s="87"/>
      <c r="CE196" s="87"/>
      <c r="CF196" s="87"/>
      <c r="CG196" s="87"/>
      <c r="CH196" s="87"/>
      <c r="CI196" s="87"/>
      <c r="CJ196" s="87"/>
      <c r="CK196" s="87"/>
      <c r="CL196" s="87"/>
      <c r="CM196" s="87"/>
      <c r="CN196" s="87"/>
      <c r="CO196" s="87"/>
      <c r="CP196" s="87"/>
      <c r="CQ196" s="87"/>
      <c r="CR196" s="87"/>
      <c r="CS196" s="87"/>
      <c r="CT196" s="87"/>
      <c r="CU196" s="87"/>
      <c r="CV196" s="87"/>
      <c r="CW196" s="123"/>
    </row>
    <row r="197" spans="1:102" ht="15.75" thickBot="1" x14ac:dyDescent="0.3">
      <c r="A197" s="97">
        <v>1</v>
      </c>
      <c r="B197" s="140" t="s">
        <v>13</v>
      </c>
      <c r="C197" s="141"/>
      <c r="D197" s="145">
        <v>8</v>
      </c>
      <c r="E197" s="146">
        <v>8</v>
      </c>
      <c r="F197" s="146">
        <v>8</v>
      </c>
      <c r="G197" s="146">
        <v>8</v>
      </c>
      <c r="H197" s="146">
        <v>8</v>
      </c>
      <c r="I197" s="146">
        <v>8</v>
      </c>
      <c r="J197" s="146">
        <v>8</v>
      </c>
      <c r="K197" s="146">
        <v>8</v>
      </c>
      <c r="L197" s="146">
        <v>8</v>
      </c>
      <c r="M197" s="146">
        <v>8</v>
      </c>
      <c r="N197" s="146">
        <v>8</v>
      </c>
      <c r="O197" s="146">
        <v>8</v>
      </c>
      <c r="P197" s="146">
        <v>8</v>
      </c>
      <c r="Q197" s="146">
        <v>8</v>
      </c>
      <c r="R197" s="146">
        <v>8</v>
      </c>
      <c r="S197" s="146">
        <v>8</v>
      </c>
      <c r="T197" s="146">
        <v>8</v>
      </c>
      <c r="U197" s="146">
        <v>8</v>
      </c>
      <c r="V197" s="146">
        <v>8</v>
      </c>
      <c r="W197" s="146">
        <v>8</v>
      </c>
      <c r="X197" s="146">
        <v>8</v>
      </c>
      <c r="Y197" s="146">
        <v>8</v>
      </c>
      <c r="Z197" s="146">
        <v>8</v>
      </c>
      <c r="AA197" s="146">
        <v>8</v>
      </c>
      <c r="AB197" s="146">
        <v>8</v>
      </c>
      <c r="AC197" s="146">
        <v>8</v>
      </c>
      <c r="AD197" s="146">
        <v>8</v>
      </c>
      <c r="AE197" s="146">
        <v>8</v>
      </c>
      <c r="AF197" s="146">
        <v>8</v>
      </c>
      <c r="AG197" s="146">
        <v>8</v>
      </c>
      <c r="AH197" s="146">
        <v>8</v>
      </c>
      <c r="AI197" s="146">
        <v>8</v>
      </c>
      <c r="AJ197" s="146">
        <v>8</v>
      </c>
      <c r="AK197" s="146">
        <v>8</v>
      </c>
      <c r="AL197" s="146">
        <v>8</v>
      </c>
      <c r="AM197" s="146">
        <v>8</v>
      </c>
      <c r="AN197" s="146">
        <v>8</v>
      </c>
      <c r="AO197" s="146">
        <v>8</v>
      </c>
      <c r="AP197" s="146">
        <v>8</v>
      </c>
      <c r="AQ197" s="146">
        <v>8</v>
      </c>
      <c r="AR197" s="146">
        <v>8</v>
      </c>
      <c r="AS197" s="146">
        <v>8</v>
      </c>
      <c r="AT197" s="146">
        <v>8</v>
      </c>
      <c r="AU197" s="146">
        <v>8</v>
      </c>
      <c r="AV197" s="146">
        <v>8</v>
      </c>
      <c r="AW197" s="146">
        <v>8</v>
      </c>
      <c r="AX197" s="146">
        <v>8</v>
      </c>
      <c r="AY197" s="146">
        <v>8</v>
      </c>
      <c r="AZ197" s="146">
        <v>8</v>
      </c>
      <c r="BA197" s="146">
        <v>8</v>
      </c>
      <c r="BB197" s="146">
        <v>8</v>
      </c>
      <c r="BC197" s="146">
        <v>8</v>
      </c>
      <c r="BD197" s="146">
        <v>8</v>
      </c>
      <c r="BE197" s="146">
        <v>8</v>
      </c>
      <c r="BF197" s="146">
        <v>8</v>
      </c>
      <c r="BG197" s="146">
        <v>8</v>
      </c>
      <c r="BH197" s="146">
        <v>8</v>
      </c>
      <c r="BI197" s="146">
        <v>8</v>
      </c>
      <c r="BJ197" s="146">
        <v>8</v>
      </c>
      <c r="BK197" s="146">
        <v>8</v>
      </c>
      <c r="BL197" s="146">
        <v>8</v>
      </c>
      <c r="BM197" s="146">
        <v>8</v>
      </c>
      <c r="BN197" s="146">
        <v>8</v>
      </c>
      <c r="BO197" s="146">
        <v>8</v>
      </c>
      <c r="BP197" s="146">
        <v>8</v>
      </c>
      <c r="BQ197" s="146">
        <v>8</v>
      </c>
      <c r="BR197" s="146">
        <v>8</v>
      </c>
      <c r="BS197" s="146">
        <v>8</v>
      </c>
      <c r="BT197" s="146">
        <v>8</v>
      </c>
      <c r="BU197" s="146">
        <v>8</v>
      </c>
      <c r="BV197" s="146">
        <v>8</v>
      </c>
      <c r="BW197" s="146">
        <v>8</v>
      </c>
      <c r="BX197" s="146">
        <v>8</v>
      </c>
      <c r="BY197" s="146">
        <v>8</v>
      </c>
      <c r="BZ197" s="146">
        <v>8</v>
      </c>
      <c r="CA197" s="146">
        <v>8</v>
      </c>
      <c r="CB197" s="146">
        <v>8</v>
      </c>
      <c r="CC197" s="146">
        <v>8</v>
      </c>
      <c r="CD197" s="146">
        <v>8</v>
      </c>
      <c r="CE197" s="146">
        <v>8</v>
      </c>
      <c r="CF197" s="146">
        <v>8</v>
      </c>
      <c r="CG197" s="146">
        <v>8</v>
      </c>
      <c r="CH197" s="146">
        <v>8</v>
      </c>
      <c r="CI197" s="146">
        <v>8</v>
      </c>
      <c r="CJ197" s="146">
        <v>8</v>
      </c>
      <c r="CK197" s="146">
        <v>8</v>
      </c>
      <c r="CL197" s="146">
        <v>8</v>
      </c>
      <c r="CM197" s="146">
        <v>8</v>
      </c>
      <c r="CN197" s="146">
        <v>8</v>
      </c>
      <c r="CO197" s="146">
        <v>8</v>
      </c>
      <c r="CP197" s="146">
        <v>8</v>
      </c>
      <c r="CQ197" s="146">
        <v>8</v>
      </c>
      <c r="CR197" s="146">
        <v>8</v>
      </c>
      <c r="CS197" s="147">
        <v>8</v>
      </c>
      <c r="CT197" s="88"/>
      <c r="CU197" s="88"/>
      <c r="CV197" s="88"/>
      <c r="CW197" s="44"/>
    </row>
    <row r="198" spans="1:102" x14ac:dyDescent="0.25">
      <c r="A198" s="97">
        <v>1</v>
      </c>
      <c r="B198" s="31" t="s">
        <v>14</v>
      </c>
      <c r="D198" s="107" cm="1">
        <f t="array" aca="1" ref="D198" ca="1">INDEX(D$187:D$195,D197,1)</f>
        <v>2.4828978653430118</v>
      </c>
      <c r="E198" s="102" cm="1">
        <f t="array" aca="1" ref="E198" ca="1">INDEX(E$187:E$195,E197,1)</f>
        <v>1.9118996336271383</v>
      </c>
      <c r="F198" s="102" cm="1">
        <f t="array" aca="1" ref="F198" ca="1">INDEX(F$187:F$195,F197,1)</f>
        <v>1.1064559259063504</v>
      </c>
      <c r="G198" s="102" cm="1">
        <f t="array" aca="1" ref="G198" ca="1">INDEX(G$187:G$195,G197,1)</f>
        <v>0.95427891107412277</v>
      </c>
      <c r="H198" s="102" cm="1">
        <f t="array" aca="1" ref="H198" ca="1">INDEX(H$187:H$195,H197,1)</f>
        <v>0.88574313100025359</v>
      </c>
      <c r="I198" s="102" cm="1">
        <f t="array" aca="1" ref="I198" ca="1">INDEX(I$187:I$195,I197,1)</f>
        <v>0.94616911345932386</v>
      </c>
      <c r="J198" s="102" cm="1">
        <f t="array" aca="1" ref="J198" ca="1">INDEX(J$187:J$195,J197,1)</f>
        <v>0.99968397140105913</v>
      </c>
      <c r="K198" s="102" cm="1">
        <f t="array" aca="1" ref="K198" ca="1">INDEX(K$187:K$195,K197,1)</f>
        <v>0.97170729432588032</v>
      </c>
      <c r="L198" s="102" cm="1">
        <f t="array" aca="1" ref="L198" ca="1">INDEX(L$187:L$195,L197,1)</f>
        <v>1</v>
      </c>
      <c r="M198" s="102" cm="1">
        <f t="array" aca="1" ref="M198" ca="1">INDEX(M$187:M$195,M197,1)</f>
        <v>1</v>
      </c>
      <c r="N198" s="102" cm="1">
        <f t="array" aca="1" ref="N198" ca="1">INDEX(N$187:N$195,N197,1)</f>
        <v>1</v>
      </c>
      <c r="O198" s="102" cm="1">
        <f t="array" aca="1" ref="O198" ca="1">INDEX(O$187:O$195,O197,1)</f>
        <v>1</v>
      </c>
      <c r="P198" s="102" cm="1">
        <f t="array" aca="1" ref="P198" ca="1">INDEX(P$187:P$195,P197,1)</f>
        <v>1</v>
      </c>
      <c r="Q198" s="102" cm="1">
        <f t="array" aca="1" ref="Q198" ca="1">INDEX(Q$187:Q$195,Q197,1)</f>
        <v>1</v>
      </c>
      <c r="R198" s="102" cm="1">
        <f t="array" aca="1" ref="R198" ca="1">INDEX(R$187:R$195,R197,1)</f>
        <v>1</v>
      </c>
      <c r="S198" s="102" cm="1">
        <f t="array" aca="1" ref="S198" ca="1">INDEX(S$187:S$195,S197,1)</f>
        <v>1</v>
      </c>
      <c r="T198" s="102" cm="1">
        <f t="array" aca="1" ref="T198" ca="1">INDEX(T$187:T$195,T197,1)</f>
        <v>1</v>
      </c>
      <c r="U198" s="102" cm="1">
        <f t="array" aca="1" ref="U198" ca="1">INDEX(U$187:U$195,U197,1)</f>
        <v>1</v>
      </c>
      <c r="V198" s="102" cm="1">
        <f t="array" aca="1" ref="V198" ca="1">INDEX(V$187:V$195,V197,1)</f>
        <v>1</v>
      </c>
      <c r="W198" s="102" cm="1">
        <f t="array" aca="1" ref="W198" ca="1">INDEX(W$187:W$195,W197,1)</f>
        <v>1</v>
      </c>
      <c r="X198" s="102" cm="1">
        <f t="array" aca="1" ref="X198" ca="1">INDEX(X$187:X$195,X197,1)</f>
        <v>1</v>
      </c>
      <c r="Y198" s="102" cm="1">
        <f t="array" aca="1" ref="Y198" ca="1">INDEX(Y$187:Y$195,Y197,1)</f>
        <v>1</v>
      </c>
      <c r="Z198" s="102" cm="1">
        <f t="array" aca="1" ref="Z198" ca="1">INDEX(Z$187:Z$195,Z197,1)</f>
        <v>1</v>
      </c>
      <c r="AA198" s="102" cm="1">
        <f t="array" aca="1" ref="AA198" ca="1">INDEX(AA$187:AA$195,AA197,1)</f>
        <v>1</v>
      </c>
      <c r="AB198" s="102" cm="1">
        <f t="array" aca="1" ref="AB198" ca="1">INDEX(AB$187:AB$195,AB197,1)</f>
        <v>1</v>
      </c>
      <c r="AC198" s="102" cm="1">
        <f t="array" aca="1" ref="AC198" ca="1">INDEX(AC$187:AC$195,AC197,1)</f>
        <v>1</v>
      </c>
      <c r="AD198" s="102" cm="1">
        <f t="array" aca="1" ref="AD198" ca="1">INDEX(AD$187:AD$195,AD197,1)</f>
        <v>1</v>
      </c>
      <c r="AE198" s="102" cm="1">
        <f t="array" aca="1" ref="AE198" ca="1">INDEX(AE$187:AE$195,AE197,1)</f>
        <v>1</v>
      </c>
      <c r="AF198" s="102" cm="1">
        <f t="array" aca="1" ref="AF198" ca="1">INDEX(AF$187:AF$195,AF197,1)</f>
        <v>1</v>
      </c>
      <c r="AG198" s="102" cm="1">
        <f t="array" aca="1" ref="AG198" ca="1">INDEX(AG$187:AG$195,AG197,1)</f>
        <v>1</v>
      </c>
      <c r="AH198" s="102" cm="1">
        <f t="array" aca="1" ref="AH198" ca="1">INDEX(AH$187:AH$195,AH197,1)</f>
        <v>1</v>
      </c>
      <c r="AI198" s="102" cm="1">
        <f t="array" aca="1" ref="AI198" ca="1">INDEX(AI$187:AI$195,AI197,1)</f>
        <v>1</v>
      </c>
      <c r="AJ198" s="102" cm="1">
        <f t="array" aca="1" ref="AJ198" ca="1">INDEX(AJ$187:AJ$195,AJ197,1)</f>
        <v>1</v>
      </c>
      <c r="AK198" s="102" cm="1">
        <f t="array" aca="1" ref="AK198" ca="1">INDEX(AK$187:AK$195,AK197,1)</f>
        <v>1</v>
      </c>
      <c r="AL198" s="102" cm="1">
        <f t="array" aca="1" ref="AL198" ca="1">INDEX(AL$187:AL$195,AL197,1)</f>
        <v>1</v>
      </c>
      <c r="AM198" s="102" cm="1">
        <f t="array" aca="1" ref="AM198" ca="1">INDEX(AM$187:AM$195,AM197,1)</f>
        <v>1</v>
      </c>
      <c r="AN198" s="102" cm="1">
        <f t="array" aca="1" ref="AN198" ca="1">INDEX(AN$187:AN$195,AN197,1)</f>
        <v>1</v>
      </c>
      <c r="AO198" s="102" cm="1">
        <f t="array" aca="1" ref="AO198" ca="1">INDEX(AO$187:AO$195,AO197,1)</f>
        <v>1</v>
      </c>
      <c r="AP198" s="102" cm="1">
        <f t="array" aca="1" ref="AP198" ca="1">INDEX(AP$187:AP$195,AP197,1)</f>
        <v>1</v>
      </c>
      <c r="AQ198" s="102" cm="1">
        <f t="array" aca="1" ref="AQ198" ca="1">INDEX(AQ$187:AQ$195,AQ197,1)</f>
        <v>1</v>
      </c>
      <c r="AR198" s="102" cm="1">
        <f t="array" aca="1" ref="AR198" ca="1">INDEX(AR$187:AR$195,AR197,1)</f>
        <v>1</v>
      </c>
      <c r="AS198" s="102" cm="1">
        <f t="array" aca="1" ref="AS198" ca="1">INDEX(AS$187:AS$195,AS197,1)</f>
        <v>1</v>
      </c>
      <c r="AT198" s="102" cm="1">
        <f t="array" aca="1" ref="AT198" ca="1">INDEX(AT$187:AT$195,AT197,1)</f>
        <v>1</v>
      </c>
      <c r="AU198" s="102" cm="1">
        <f t="array" aca="1" ref="AU198" ca="1">INDEX(AU$187:AU$195,AU197,1)</f>
        <v>1</v>
      </c>
      <c r="AV198" s="102" cm="1">
        <f t="array" aca="1" ref="AV198" ca="1">INDEX(AV$187:AV$195,AV197,1)</f>
        <v>1</v>
      </c>
      <c r="AW198" s="102" cm="1">
        <f t="array" aca="1" ref="AW198" ca="1">INDEX(AW$187:AW$195,AW197,1)</f>
        <v>1</v>
      </c>
      <c r="AX198" s="102" cm="1">
        <f t="array" aca="1" ref="AX198" ca="1">INDEX(AX$187:AX$195,AX197,1)</f>
        <v>1</v>
      </c>
      <c r="AY198" s="102" cm="1">
        <f t="array" aca="1" ref="AY198" ca="1">INDEX(AY$187:AY$195,AY197,1)</f>
        <v>1</v>
      </c>
      <c r="AZ198" s="102" cm="1">
        <f t="array" aca="1" ref="AZ198" ca="1">INDEX(AZ$187:AZ$195,AZ197,1)</f>
        <v>1</v>
      </c>
      <c r="BA198" s="102" cm="1">
        <f t="array" aca="1" ref="BA198" ca="1">INDEX(BA$187:BA$195,BA197,1)</f>
        <v>1</v>
      </c>
      <c r="BB198" s="102" cm="1">
        <f t="array" aca="1" ref="BB198" ca="1">INDEX(BB$187:BB$195,BB197,1)</f>
        <v>1</v>
      </c>
      <c r="BC198" s="102" cm="1">
        <f t="array" aca="1" ref="BC198" ca="1">INDEX(BC$187:BC$195,BC197,1)</f>
        <v>1</v>
      </c>
      <c r="BD198" s="102" cm="1">
        <f t="array" aca="1" ref="BD198" ca="1">INDEX(BD$187:BD$195,BD197,1)</f>
        <v>1</v>
      </c>
      <c r="BE198" s="102" cm="1">
        <f t="array" aca="1" ref="BE198" ca="1">INDEX(BE$187:BE$195,BE197,1)</f>
        <v>1</v>
      </c>
      <c r="BF198" s="102" cm="1">
        <f t="array" aca="1" ref="BF198" ca="1">INDEX(BF$187:BF$195,BF197,1)</f>
        <v>1</v>
      </c>
      <c r="BG198" s="102" cm="1">
        <f t="array" aca="1" ref="BG198" ca="1">INDEX(BG$187:BG$195,BG197,1)</f>
        <v>1</v>
      </c>
      <c r="BH198" s="102" cm="1">
        <f t="array" aca="1" ref="BH198" ca="1">INDEX(BH$187:BH$195,BH197,1)</f>
        <v>1</v>
      </c>
      <c r="BI198" s="102" cm="1">
        <f t="array" aca="1" ref="BI198" ca="1">INDEX(BI$187:BI$195,BI197,1)</f>
        <v>1</v>
      </c>
      <c r="BJ198" s="102" cm="1">
        <f t="array" aca="1" ref="BJ198" ca="1">INDEX(BJ$187:BJ$195,BJ197,1)</f>
        <v>1</v>
      </c>
      <c r="BK198" s="102" cm="1">
        <f t="array" aca="1" ref="BK198" ca="1">INDEX(BK$187:BK$195,BK197,1)</f>
        <v>1</v>
      </c>
      <c r="BL198" s="102" cm="1">
        <f t="array" aca="1" ref="BL198" ca="1">INDEX(BL$187:BL$195,BL197,1)</f>
        <v>1</v>
      </c>
      <c r="BM198" s="102" cm="1">
        <f t="array" aca="1" ref="BM198" ca="1">INDEX(BM$187:BM$195,BM197,1)</f>
        <v>1</v>
      </c>
      <c r="BN198" s="102" cm="1">
        <f t="array" aca="1" ref="BN198" ca="1">INDEX(BN$187:BN$195,BN197,1)</f>
        <v>1</v>
      </c>
      <c r="BO198" s="102" cm="1">
        <f t="array" aca="1" ref="BO198" ca="1">INDEX(BO$187:BO$195,BO197,1)</f>
        <v>1</v>
      </c>
      <c r="BP198" s="102" cm="1">
        <f t="array" aca="1" ref="BP198" ca="1">INDEX(BP$187:BP$195,BP197,1)</f>
        <v>1</v>
      </c>
      <c r="BQ198" s="102" cm="1">
        <f t="array" aca="1" ref="BQ198" ca="1">INDEX(BQ$187:BQ$195,BQ197,1)</f>
        <v>1</v>
      </c>
      <c r="BR198" s="102" cm="1">
        <f t="array" aca="1" ref="BR198" ca="1">INDEX(BR$187:BR$195,BR197,1)</f>
        <v>1</v>
      </c>
      <c r="BS198" s="102" cm="1">
        <f t="array" aca="1" ref="BS198" ca="1">INDEX(BS$187:BS$195,BS197,1)</f>
        <v>1</v>
      </c>
      <c r="BT198" s="102" cm="1">
        <f t="array" aca="1" ref="BT198" ca="1">INDEX(BT$187:BT$195,BT197,1)</f>
        <v>1</v>
      </c>
      <c r="BU198" s="102" cm="1">
        <f t="array" aca="1" ref="BU198" ca="1">INDEX(BU$187:BU$195,BU197,1)</f>
        <v>1</v>
      </c>
      <c r="BV198" s="102" cm="1">
        <f t="array" aca="1" ref="BV198" ca="1">INDEX(BV$187:BV$195,BV197,1)</f>
        <v>1</v>
      </c>
      <c r="BW198" s="102" cm="1">
        <f t="array" aca="1" ref="BW198" ca="1">INDEX(BW$187:BW$195,BW197,1)</f>
        <v>1</v>
      </c>
      <c r="BX198" s="102" cm="1">
        <f t="array" aca="1" ref="BX198" ca="1">INDEX(BX$187:BX$195,BX197,1)</f>
        <v>1</v>
      </c>
      <c r="BY198" s="102" cm="1">
        <f t="array" aca="1" ref="BY198" ca="1">INDEX(BY$187:BY$195,BY197,1)</f>
        <v>1</v>
      </c>
      <c r="BZ198" s="102" cm="1">
        <f t="array" aca="1" ref="BZ198" ca="1">INDEX(BZ$187:BZ$195,BZ197,1)</f>
        <v>1</v>
      </c>
      <c r="CA198" s="102" cm="1">
        <f t="array" aca="1" ref="CA198" ca="1">INDEX(CA$187:CA$195,CA197,1)</f>
        <v>1</v>
      </c>
      <c r="CB198" s="102" cm="1">
        <f t="array" aca="1" ref="CB198" ca="1">INDEX(CB$187:CB$195,CB197,1)</f>
        <v>1</v>
      </c>
      <c r="CC198" s="102" cm="1">
        <f t="array" aca="1" ref="CC198" ca="1">INDEX(CC$187:CC$195,CC197,1)</f>
        <v>1</v>
      </c>
      <c r="CD198" s="102" cm="1">
        <f t="array" aca="1" ref="CD198" ca="1">INDEX(CD$187:CD$195,CD197,1)</f>
        <v>1</v>
      </c>
      <c r="CE198" s="102" cm="1">
        <f t="array" aca="1" ref="CE198" ca="1">INDEX(CE$187:CE$195,CE197,1)</f>
        <v>1</v>
      </c>
      <c r="CF198" s="102" cm="1">
        <f t="array" aca="1" ref="CF198" ca="1">INDEX(CF$187:CF$195,CF197,1)</f>
        <v>1</v>
      </c>
      <c r="CG198" s="102" cm="1">
        <f t="array" aca="1" ref="CG198" ca="1">INDEX(CG$187:CG$195,CG197,1)</f>
        <v>1</v>
      </c>
      <c r="CH198" s="102" cm="1">
        <f t="array" aca="1" ref="CH198" ca="1">INDEX(CH$187:CH$195,CH197,1)</f>
        <v>1</v>
      </c>
      <c r="CI198" s="102" cm="1">
        <f t="array" aca="1" ref="CI198" ca="1">INDEX(CI$187:CI$195,CI197,1)</f>
        <v>1</v>
      </c>
      <c r="CJ198" s="102" cm="1">
        <f t="array" aca="1" ref="CJ198" ca="1">INDEX(CJ$187:CJ$195,CJ197,1)</f>
        <v>1</v>
      </c>
      <c r="CK198" s="102" cm="1">
        <f t="array" aca="1" ref="CK198" ca="1">INDEX(CK$187:CK$195,CK197,1)</f>
        <v>1</v>
      </c>
      <c r="CL198" s="102" cm="1">
        <f t="array" aca="1" ref="CL198" ca="1">INDEX(CL$187:CL$195,CL197,1)</f>
        <v>1</v>
      </c>
      <c r="CM198" s="102" cm="1">
        <f t="array" aca="1" ref="CM198" ca="1">INDEX(CM$187:CM$195,CM197,1)</f>
        <v>1</v>
      </c>
      <c r="CN198" s="102" cm="1">
        <f t="array" aca="1" ref="CN198" ca="1">INDEX(CN$187:CN$195,CN197,1)</f>
        <v>1</v>
      </c>
      <c r="CO198" s="102" cm="1">
        <f t="array" aca="1" ref="CO198" ca="1">INDEX(CO$187:CO$195,CO197,1)</f>
        <v>1</v>
      </c>
      <c r="CP198" s="102" cm="1">
        <f t="array" aca="1" ref="CP198" ca="1">INDEX(CP$187:CP$195,CP197,1)</f>
        <v>1</v>
      </c>
      <c r="CQ198" s="102" cm="1">
        <f t="array" aca="1" ref="CQ198" ca="1">INDEX(CQ$187:CQ$195,CQ197,1)</f>
        <v>1</v>
      </c>
      <c r="CR198" s="102" cm="1">
        <f t="array" aca="1" ref="CR198" ca="1">INDEX(CR$187:CR$195,CR197,1)</f>
        <v>1</v>
      </c>
      <c r="CS198" s="103" cm="1">
        <f t="array" aca="1" ref="CS198" ca="1">INDEX(CS$187:CS$195,CS197,1)</f>
        <v>1</v>
      </c>
      <c r="CT198" s="48" t="s">
        <v>15</v>
      </c>
      <c r="CU198" s="44"/>
      <c r="CV198" s="44"/>
    </row>
    <row r="199" spans="1:102" x14ac:dyDescent="0.25">
      <c r="A199" s="97">
        <v>1</v>
      </c>
      <c r="B199" s="31" t="s">
        <v>16</v>
      </c>
      <c r="D199" s="107">
        <f ca="1">IF(ISERR(D198),E199,D198*E199)</f>
        <v>4.0804507665582399</v>
      </c>
      <c r="E199" s="102">
        <f t="shared" ref="E199" ca="1" si="242">IF(ISERR(E198),F199,E198*F199)</f>
        <v>1.6434227212944688</v>
      </c>
      <c r="F199" s="102">
        <f t="shared" ref="F199" ca="1" si="243">IF(ISERR(F198),G199,F198*G199)</f>
        <v>0.85957583357901912</v>
      </c>
      <c r="G199" s="102">
        <f t="shared" ref="G199" ca="1" si="244">IF(ISERR(G198),H199,G198*H199)</f>
        <v>0.77687308952220568</v>
      </c>
      <c r="H199" s="102">
        <f t="shared" ref="H199" ca="1" si="245">IF(ISERR(H198),I199,H198*I199)</f>
        <v>0.81409437063611556</v>
      </c>
      <c r="I199" s="102">
        <f t="shared" ref="I199" ca="1" si="246">IF(ISERR(I198),J199,I198*J199)</f>
        <v>0.91910887270079489</v>
      </c>
      <c r="J199" s="102">
        <f t="shared" ref="J199" ca="1" si="247">IF(ISERR(J198),K199,J198*K199)</f>
        <v>0.97140020703107388</v>
      </c>
      <c r="K199" s="102">
        <f t="shared" ref="K199" ca="1" si="248">IF(ISERR(K198),L199,K198*L199)</f>
        <v>0.97170729432588032</v>
      </c>
      <c r="L199" s="102">
        <f t="shared" ref="L199" ca="1" si="249">IF(ISERR(L198),M199,L198*M199)</f>
        <v>1</v>
      </c>
      <c r="M199" s="102">
        <f t="shared" ref="M199" ca="1" si="250">IF(ISERR(M198),N199,M198*N199)</f>
        <v>1</v>
      </c>
      <c r="N199" s="102">
        <f t="shared" ref="N199" ca="1" si="251">IF(ISERR(N198),O199,N198*O199)</f>
        <v>1</v>
      </c>
      <c r="O199" s="102">
        <f t="shared" ref="O199" ca="1" si="252">IF(ISERR(O198),P199,O198*P199)</f>
        <v>1</v>
      </c>
      <c r="P199" s="102">
        <f t="shared" ref="P199" ca="1" si="253">IF(ISERR(P198),Q199,P198*Q199)</f>
        <v>1</v>
      </c>
      <c r="Q199" s="102">
        <f t="shared" ref="Q199" ca="1" si="254">IF(ISERR(Q198),R199,Q198*R199)</f>
        <v>1</v>
      </c>
      <c r="R199" s="102">
        <f t="shared" ref="R199" ca="1" si="255">IF(ISERR(R198),S199,R198*S199)</f>
        <v>1</v>
      </c>
      <c r="S199" s="102">
        <f ca="1">IF(ISERR(S198),T199,S198*T199)</f>
        <v>1</v>
      </c>
      <c r="T199" s="102">
        <f t="shared" ref="T199" ca="1" si="256">IF(ISERR(T198),U199,T198*U199)</f>
        <v>1</v>
      </c>
      <c r="U199" s="102">
        <f t="shared" ref="U199" ca="1" si="257">IF(ISERR(U198),V199,U198*V199)</f>
        <v>1</v>
      </c>
      <c r="V199" s="102">
        <f t="shared" ref="V199" ca="1" si="258">IF(ISERR(V198),W199,V198*W199)</f>
        <v>1</v>
      </c>
      <c r="W199" s="102">
        <f t="shared" ref="W199" ca="1" si="259">IF(ISERR(W198),X199,W198*X199)</f>
        <v>1</v>
      </c>
      <c r="X199" s="102">
        <f t="shared" ref="X199" ca="1" si="260">IF(ISERR(X198),Y199,X198*Y199)</f>
        <v>1</v>
      </c>
      <c r="Y199" s="102">
        <f t="shared" ref="Y199" ca="1" si="261">IF(ISERR(Y198),Z199,Y198*Z199)</f>
        <v>1</v>
      </c>
      <c r="Z199" s="102">
        <f t="shared" ref="Z199" ca="1" si="262">IF(ISERR(Z198),AA199,Z198*AA199)</f>
        <v>1</v>
      </c>
      <c r="AA199" s="102">
        <f t="shared" ref="AA199" ca="1" si="263">IF(ISERR(AA198),AB199,AA198*AB199)</f>
        <v>1</v>
      </c>
      <c r="AB199" s="102">
        <f t="shared" ref="AB199" ca="1" si="264">IF(ISERR(AB198),AC199,AB198*AC199)</f>
        <v>1</v>
      </c>
      <c r="AC199" s="102">
        <f t="shared" ref="AC199" ca="1" si="265">IF(ISERR(AC198),AD199,AC198*AD199)</f>
        <v>1</v>
      </c>
      <c r="AD199" s="102">
        <f t="shared" ref="AD199" ca="1" si="266">IF(ISERR(AD198),AE199,AD198*AE199)</f>
        <v>1</v>
      </c>
      <c r="AE199" s="102">
        <f t="shared" ref="AE199" ca="1" si="267">IF(ISERR(AE198),AF199,AE198*AF199)</f>
        <v>1</v>
      </c>
      <c r="AF199" s="102">
        <f t="shared" ref="AF199" ca="1" si="268">IF(ISERR(AF198),AG199,AF198*AG199)</f>
        <v>1</v>
      </c>
      <c r="AG199" s="102">
        <f t="shared" ref="AG199" ca="1" si="269">IF(ISERR(AG198),AH199,AG198*AH199)</f>
        <v>1</v>
      </c>
      <c r="AH199" s="102">
        <f t="shared" ref="AH199" ca="1" si="270">IF(ISERR(AH198),AI199,AH198*AI199)</f>
        <v>1</v>
      </c>
      <c r="AI199" s="102">
        <f t="shared" ref="AI199" ca="1" si="271">IF(ISERR(AI198),AJ199,AI198*AJ199)</f>
        <v>1</v>
      </c>
      <c r="AJ199" s="102">
        <f ca="1">IF(ISERR(AJ198),AK199,AJ198*AK199)</f>
        <v>1</v>
      </c>
      <c r="AK199" s="102">
        <f t="shared" ref="AK199" ca="1" si="272">IF(ISERR(AK198),AL199,AK198*AL199)</f>
        <v>1</v>
      </c>
      <c r="AL199" s="102">
        <f t="shared" ref="AL199" ca="1" si="273">IF(ISERR(AL198),AM199,AL198*AM199)</f>
        <v>1</v>
      </c>
      <c r="AM199" s="102">
        <f t="shared" ref="AM199" ca="1" si="274">IF(ISERR(AM198),AN199,AM198*AN199)</f>
        <v>1</v>
      </c>
      <c r="AN199" s="102">
        <f t="shared" ref="AN199" ca="1" si="275">IF(ISERR(AN198),AO199,AN198*AO199)</f>
        <v>1</v>
      </c>
      <c r="AO199" s="102">
        <f t="shared" ref="AO199" ca="1" si="276">IF(ISERR(AO198),AP199,AO198*AP199)</f>
        <v>1</v>
      </c>
      <c r="AP199" s="102">
        <f t="shared" ref="AP199" ca="1" si="277">IF(ISERR(AP198),AQ199,AP198*AQ199)</f>
        <v>1</v>
      </c>
      <c r="AQ199" s="102">
        <f t="shared" ref="AQ199" ca="1" si="278">IF(ISERR(AQ198),AR199,AQ198*AR199)</f>
        <v>1</v>
      </c>
      <c r="AR199" s="102">
        <f t="shared" ref="AR199" ca="1" si="279">IF(ISERR(AR198),AS199,AR198*AS199)</f>
        <v>1</v>
      </c>
      <c r="AS199" s="102">
        <f t="shared" ref="AS199" ca="1" si="280">IF(ISERR(AS198),AT199,AS198*AT199)</f>
        <v>1</v>
      </c>
      <c r="AT199" s="102">
        <f t="shared" ref="AT199" ca="1" si="281">IF(ISERR(AT198),AU199,AT198*AU199)</f>
        <v>1</v>
      </c>
      <c r="AU199" s="102">
        <f t="shared" ref="AU199" ca="1" si="282">IF(ISERR(AU198),AV199,AU198*AV199)</f>
        <v>1</v>
      </c>
      <c r="AV199" s="102">
        <f t="shared" ref="AV199" ca="1" si="283">IF(ISERR(AV198),AW199,AV198*AW199)</f>
        <v>1</v>
      </c>
      <c r="AW199" s="102">
        <f t="shared" ref="AW199" ca="1" si="284">IF(ISERR(AW198),AX199,AW198*AX199)</f>
        <v>1</v>
      </c>
      <c r="AX199" s="102">
        <f t="shared" ref="AX199" ca="1" si="285">IF(ISERR(AX198),AY199,AX198*AY199)</f>
        <v>1</v>
      </c>
      <c r="AY199" s="102">
        <f t="shared" ref="AY199" ca="1" si="286">IF(ISERR(AY198),AZ199,AY198*AZ199)</f>
        <v>1</v>
      </c>
      <c r="AZ199" s="102">
        <f t="shared" ref="AZ199" ca="1" si="287">IF(ISERR(AZ198),BA199,AZ198*BA199)</f>
        <v>1</v>
      </c>
      <c r="BA199" s="102">
        <f t="shared" ref="BA199" ca="1" si="288">IF(ISERR(BA198),BB199,BA198*BB199)</f>
        <v>1</v>
      </c>
      <c r="BB199" s="102">
        <f t="shared" ref="BB199" ca="1" si="289">IF(ISERR(BB198),BC199,BB198*BC199)</f>
        <v>1</v>
      </c>
      <c r="BC199" s="102">
        <f t="shared" ref="BC199" ca="1" si="290">IF(ISERR(BC198),BD199,BC198*BD199)</f>
        <v>1</v>
      </c>
      <c r="BD199" s="102">
        <f t="shared" ref="BD199" ca="1" si="291">IF(ISERR(BD198),BE199,BD198*BE199)</f>
        <v>1</v>
      </c>
      <c r="BE199" s="102">
        <f t="shared" ref="BE199" ca="1" si="292">IF(ISERR(BE198),BF199,BE198*BF199)</f>
        <v>1</v>
      </c>
      <c r="BF199" s="102">
        <f t="shared" ref="BF199" ca="1" si="293">IF(ISERR(BF198),BG199,BF198*BG199)</f>
        <v>1</v>
      </c>
      <c r="BG199" s="102">
        <f t="shared" ref="BG199" ca="1" si="294">IF(ISERR(BG198),BH199,BG198*BH199)</f>
        <v>1</v>
      </c>
      <c r="BH199" s="102">
        <f t="shared" ref="BH199" ca="1" si="295">IF(ISERR(BH198),BI199,BH198*BI199)</f>
        <v>1</v>
      </c>
      <c r="BI199" s="102">
        <f t="shared" ref="BI199" ca="1" si="296">IF(ISERR(BI198),BJ199,BI198*BJ199)</f>
        <v>1</v>
      </c>
      <c r="BJ199" s="102">
        <f t="shared" ref="BJ199" ca="1" si="297">IF(ISERR(BJ198),BK199,BJ198*BK199)</f>
        <v>1</v>
      </c>
      <c r="BK199" s="102">
        <f t="shared" ref="BK199" ca="1" si="298">IF(ISERR(BK198),BL199,BK198*BL199)</f>
        <v>1</v>
      </c>
      <c r="BL199" s="102">
        <f t="shared" ref="BL199" ca="1" si="299">IF(ISERR(BL198),BM199,BL198*BM199)</f>
        <v>1</v>
      </c>
      <c r="BM199" s="102">
        <f t="shared" ref="BM199" ca="1" si="300">IF(ISERR(BM198),BN199,BM198*BN199)</f>
        <v>1</v>
      </c>
      <c r="BN199" s="102">
        <f t="shared" ref="BN199" ca="1" si="301">IF(ISERR(BN198),BO199,BN198*BO199)</f>
        <v>1</v>
      </c>
      <c r="BO199" s="102">
        <f t="shared" ref="BO199" ca="1" si="302">IF(ISERR(BO198),BP199,BO198*BP199)</f>
        <v>1</v>
      </c>
      <c r="BP199" s="102">
        <f t="shared" ref="BP199" ca="1" si="303">IF(ISERR(BP198),BQ199,BP198*BQ199)</f>
        <v>1</v>
      </c>
      <c r="BQ199" s="102">
        <f t="shared" ref="BQ199" ca="1" si="304">IF(ISERR(BQ198),BR199,BQ198*BR199)</f>
        <v>1</v>
      </c>
      <c r="BR199" s="102">
        <f t="shared" ref="BR199" ca="1" si="305">IF(ISERR(BR198),BS199,BR198*BS199)</f>
        <v>1</v>
      </c>
      <c r="BS199" s="102">
        <f t="shared" ref="BS199" ca="1" si="306">IF(ISERR(BS198),BT199,BS198*BT199)</f>
        <v>1</v>
      </c>
      <c r="BT199" s="102">
        <f t="shared" ref="BT199" ca="1" si="307">IF(ISERR(BT198),BU199,BT198*BU199)</f>
        <v>1</v>
      </c>
      <c r="BU199" s="102">
        <f t="shared" ref="BU199" ca="1" si="308">IF(ISERR(BU198),BV199,BU198*BV199)</f>
        <v>1</v>
      </c>
      <c r="BV199" s="102">
        <f t="shared" ref="BV199" ca="1" si="309">IF(ISERR(BV198),BW199,BV198*BW199)</f>
        <v>1</v>
      </c>
      <c r="BW199" s="102">
        <f t="shared" ref="BW199" ca="1" si="310">IF(ISERR(BW198),BX199,BW198*BX199)</f>
        <v>1</v>
      </c>
      <c r="BX199" s="102">
        <f t="shared" ref="BX199" ca="1" si="311">IF(ISERR(BX198),BY199,BX198*BY199)</f>
        <v>1</v>
      </c>
      <c r="BY199" s="102">
        <f t="shared" ref="BY199" ca="1" si="312">IF(ISERR(BY198),BZ199,BY198*BZ199)</f>
        <v>1</v>
      </c>
      <c r="BZ199" s="102">
        <f t="shared" ref="BZ199" ca="1" si="313">IF(ISERR(BZ198),CA199,BZ198*CA199)</f>
        <v>1</v>
      </c>
      <c r="CA199" s="102">
        <f t="shared" ref="CA199" ca="1" si="314">IF(ISERR(CA198),CB199,CA198*CB199)</f>
        <v>1</v>
      </c>
      <c r="CB199" s="102">
        <f t="shared" ref="CB199" ca="1" si="315">IF(ISERR(CB198),CC199,CB198*CC199)</f>
        <v>1</v>
      </c>
      <c r="CC199" s="102">
        <f t="shared" ref="CC199" ca="1" si="316">IF(ISERR(CC198),CD199,CC198*CD199)</f>
        <v>1</v>
      </c>
      <c r="CD199" s="102">
        <f t="shared" ref="CD199" ca="1" si="317">IF(ISERR(CD198),CE199,CD198*CE199)</f>
        <v>1</v>
      </c>
      <c r="CE199" s="102">
        <f t="shared" ref="CE199" ca="1" si="318">IF(ISERR(CE198),CF199,CE198*CF199)</f>
        <v>1</v>
      </c>
      <c r="CF199" s="102">
        <f t="shared" ref="CF199" ca="1" si="319">IF(ISERR(CF198),CG199,CF198*CG199)</f>
        <v>1</v>
      </c>
      <c r="CG199" s="102">
        <f t="shared" ref="CG199" ca="1" si="320">IF(ISERR(CG198),CH199,CG198*CH199)</f>
        <v>1</v>
      </c>
      <c r="CH199" s="102">
        <f t="shared" ref="CH199" ca="1" si="321">IF(ISERR(CH198),CI199,CH198*CI199)</f>
        <v>1</v>
      </c>
      <c r="CI199" s="102">
        <f t="shared" ref="CI199" ca="1" si="322">IF(ISERR(CI198),CJ199,CI198*CJ199)</f>
        <v>1</v>
      </c>
      <c r="CJ199" s="102">
        <f t="shared" ref="CJ199" ca="1" si="323">IF(ISERR(CJ198),CK199,CJ198*CK199)</f>
        <v>1</v>
      </c>
      <c r="CK199" s="102">
        <f t="shared" ref="CK199" ca="1" si="324">IF(ISERR(CK198),CL199,CK198*CL199)</f>
        <v>1</v>
      </c>
      <c r="CL199" s="102">
        <f t="shared" ref="CL199" ca="1" si="325">IF(ISERR(CL198),CM199,CL198*CM199)</f>
        <v>1</v>
      </c>
      <c r="CM199" s="102">
        <f t="shared" ref="CM199" ca="1" si="326">IF(ISERR(CM198),CN199,CM198*CN199)</f>
        <v>1</v>
      </c>
      <c r="CN199" s="102">
        <f t="shared" ref="CN199" ca="1" si="327">IF(ISERR(CN198),CO199,CN198*CO199)</f>
        <v>1</v>
      </c>
      <c r="CO199" s="102">
        <f t="shared" ref="CO199" ca="1" si="328">IF(ISERR(CO198),CP199,CO198*CP199)</f>
        <v>1</v>
      </c>
      <c r="CP199" s="102">
        <f t="shared" ref="CP199" ca="1" si="329">IF(ISERR(CP198),CQ199,CP198*CQ199)</f>
        <v>1</v>
      </c>
      <c r="CQ199" s="102">
        <f t="shared" ref="CQ199" ca="1" si="330">IF(ISERR(CQ198),CR199,CQ198*CR199)</f>
        <v>1</v>
      </c>
      <c r="CR199" s="102">
        <f t="shared" ref="CR199:CS199" ca="1" si="331">IF(ISERR(CR198),CS199,CR198*CS199)</f>
        <v>1</v>
      </c>
      <c r="CS199" s="103">
        <f t="shared" ca="1" si="331"/>
        <v>1</v>
      </c>
      <c r="CT199" s="214">
        <v>1</v>
      </c>
      <c r="CU199" s="44"/>
      <c r="CV199" s="44"/>
      <c r="CX199" s="44"/>
    </row>
    <row r="200" spans="1:102" x14ac:dyDescent="0.25">
      <c r="A200" s="97">
        <v>1</v>
      </c>
      <c r="B200" s="31" t="s">
        <v>17</v>
      </c>
      <c r="C200" s="110">
        <f ca="1">1/D199</f>
        <v>0.24507096328562628</v>
      </c>
      <c r="D200" s="111">
        <f ca="1">1/E199</f>
        <v>0.60848617159943708</v>
      </c>
      <c r="E200" s="111">
        <f ca="1">1/F199</f>
        <v>1.1633644885481438</v>
      </c>
      <c r="F200" s="111">
        <f t="shared" ref="F200" ca="1" si="332">1/G199</f>
        <v>1.2872115323431044</v>
      </c>
      <c r="G200" s="111">
        <f ca="1">1/H199</f>
        <v>1.2283588194064305</v>
      </c>
      <c r="H200" s="111">
        <f ca="1">1/I199</f>
        <v>1.0880103866928268</v>
      </c>
      <c r="I200" s="111">
        <f t="shared" ref="I200:BS200" ca="1" si="333">1/J199</f>
        <v>1.0294418230116882</v>
      </c>
      <c r="J200" s="111">
        <f t="shared" ca="1" si="333"/>
        <v>1.0291164899546705</v>
      </c>
      <c r="K200" s="111">
        <f t="shared" ca="1" si="333"/>
        <v>1</v>
      </c>
      <c r="L200" s="111">
        <f t="shared" ca="1" si="333"/>
        <v>1</v>
      </c>
      <c r="M200" s="111">
        <f t="shared" ca="1" si="333"/>
        <v>1</v>
      </c>
      <c r="N200" s="111">
        <f t="shared" ca="1" si="333"/>
        <v>1</v>
      </c>
      <c r="O200" s="111">
        <f t="shared" ca="1" si="333"/>
        <v>1</v>
      </c>
      <c r="P200" s="111">
        <f t="shared" ca="1" si="333"/>
        <v>1</v>
      </c>
      <c r="Q200" s="111">
        <f t="shared" ca="1" si="333"/>
        <v>1</v>
      </c>
      <c r="R200" s="111">
        <f t="shared" ca="1" si="333"/>
        <v>1</v>
      </c>
      <c r="S200" s="111">
        <f t="shared" ca="1" si="333"/>
        <v>1</v>
      </c>
      <c r="T200" s="111">
        <f t="shared" ca="1" si="333"/>
        <v>1</v>
      </c>
      <c r="U200" s="111">
        <f t="shared" ca="1" si="333"/>
        <v>1</v>
      </c>
      <c r="V200" s="111">
        <f t="shared" ca="1" si="333"/>
        <v>1</v>
      </c>
      <c r="W200" s="111">
        <f t="shared" ca="1" si="333"/>
        <v>1</v>
      </c>
      <c r="X200" s="111">
        <f t="shared" ca="1" si="333"/>
        <v>1</v>
      </c>
      <c r="Y200" s="111">
        <f t="shared" ca="1" si="333"/>
        <v>1</v>
      </c>
      <c r="Z200" s="111">
        <f t="shared" ca="1" si="333"/>
        <v>1</v>
      </c>
      <c r="AA200" s="111">
        <f t="shared" ca="1" si="333"/>
        <v>1</v>
      </c>
      <c r="AB200" s="111">
        <f t="shared" ca="1" si="333"/>
        <v>1</v>
      </c>
      <c r="AC200" s="111">
        <f t="shared" ca="1" si="333"/>
        <v>1</v>
      </c>
      <c r="AD200" s="111">
        <f t="shared" ca="1" si="333"/>
        <v>1</v>
      </c>
      <c r="AE200" s="111">
        <f t="shared" ca="1" si="333"/>
        <v>1</v>
      </c>
      <c r="AF200" s="111">
        <f t="shared" ca="1" si="333"/>
        <v>1</v>
      </c>
      <c r="AG200" s="111">
        <f t="shared" ca="1" si="333"/>
        <v>1</v>
      </c>
      <c r="AH200" s="111">
        <f t="shared" ca="1" si="333"/>
        <v>1</v>
      </c>
      <c r="AI200" s="111">
        <f ca="1">1/AJ199</f>
        <v>1</v>
      </c>
      <c r="AJ200" s="111">
        <f t="shared" ca="1" si="333"/>
        <v>1</v>
      </c>
      <c r="AK200" s="111">
        <f t="shared" ca="1" si="333"/>
        <v>1</v>
      </c>
      <c r="AL200" s="111">
        <f t="shared" ca="1" si="333"/>
        <v>1</v>
      </c>
      <c r="AM200" s="111">
        <f t="shared" ca="1" si="333"/>
        <v>1</v>
      </c>
      <c r="AN200" s="111">
        <f t="shared" ca="1" si="333"/>
        <v>1</v>
      </c>
      <c r="AO200" s="111">
        <f t="shared" ca="1" si="333"/>
        <v>1</v>
      </c>
      <c r="AP200" s="111">
        <f t="shared" ca="1" si="333"/>
        <v>1</v>
      </c>
      <c r="AQ200" s="111">
        <f t="shared" ca="1" si="333"/>
        <v>1</v>
      </c>
      <c r="AR200" s="111">
        <f t="shared" ca="1" si="333"/>
        <v>1</v>
      </c>
      <c r="AS200" s="111">
        <f t="shared" ca="1" si="333"/>
        <v>1</v>
      </c>
      <c r="AT200" s="111">
        <f t="shared" ca="1" si="333"/>
        <v>1</v>
      </c>
      <c r="AU200" s="111">
        <f t="shared" ca="1" si="333"/>
        <v>1</v>
      </c>
      <c r="AV200" s="111">
        <f t="shared" ca="1" si="333"/>
        <v>1</v>
      </c>
      <c r="AW200" s="111">
        <f t="shared" ca="1" si="333"/>
        <v>1</v>
      </c>
      <c r="AX200" s="111">
        <f t="shared" ca="1" si="333"/>
        <v>1</v>
      </c>
      <c r="AY200" s="111">
        <f t="shared" ca="1" si="333"/>
        <v>1</v>
      </c>
      <c r="AZ200" s="111">
        <f t="shared" ca="1" si="333"/>
        <v>1</v>
      </c>
      <c r="BA200" s="111">
        <f t="shared" ca="1" si="333"/>
        <v>1</v>
      </c>
      <c r="BB200" s="111">
        <f t="shared" ca="1" si="333"/>
        <v>1</v>
      </c>
      <c r="BC200" s="111">
        <f t="shared" ca="1" si="333"/>
        <v>1</v>
      </c>
      <c r="BD200" s="111">
        <f t="shared" ca="1" si="333"/>
        <v>1</v>
      </c>
      <c r="BE200" s="111">
        <f t="shared" ca="1" si="333"/>
        <v>1</v>
      </c>
      <c r="BF200" s="111">
        <f t="shared" ca="1" si="333"/>
        <v>1</v>
      </c>
      <c r="BG200" s="111">
        <f t="shared" ca="1" si="333"/>
        <v>1</v>
      </c>
      <c r="BH200" s="111">
        <f t="shared" ca="1" si="333"/>
        <v>1</v>
      </c>
      <c r="BI200" s="111">
        <f t="shared" ca="1" si="333"/>
        <v>1</v>
      </c>
      <c r="BJ200" s="111">
        <f t="shared" ca="1" si="333"/>
        <v>1</v>
      </c>
      <c r="BK200" s="111">
        <f t="shared" ca="1" si="333"/>
        <v>1</v>
      </c>
      <c r="BL200" s="111">
        <f t="shared" ca="1" si="333"/>
        <v>1</v>
      </c>
      <c r="BM200" s="111">
        <f t="shared" ca="1" si="333"/>
        <v>1</v>
      </c>
      <c r="BN200" s="111">
        <f t="shared" ca="1" si="333"/>
        <v>1</v>
      </c>
      <c r="BO200" s="111">
        <f t="shared" ca="1" si="333"/>
        <v>1</v>
      </c>
      <c r="BP200" s="111">
        <f t="shared" ca="1" si="333"/>
        <v>1</v>
      </c>
      <c r="BQ200" s="111">
        <f t="shared" ca="1" si="333"/>
        <v>1</v>
      </c>
      <c r="BR200" s="111">
        <f t="shared" ca="1" si="333"/>
        <v>1</v>
      </c>
      <c r="BS200" s="111">
        <f t="shared" ca="1" si="333"/>
        <v>1</v>
      </c>
      <c r="BT200" s="111">
        <f t="shared" ref="BT200:CS200" ca="1" si="334">1/BU199</f>
        <v>1</v>
      </c>
      <c r="BU200" s="111">
        <f t="shared" ca="1" si="334"/>
        <v>1</v>
      </c>
      <c r="BV200" s="111">
        <f t="shared" ca="1" si="334"/>
        <v>1</v>
      </c>
      <c r="BW200" s="111">
        <f t="shared" ca="1" si="334"/>
        <v>1</v>
      </c>
      <c r="BX200" s="111">
        <f t="shared" ca="1" si="334"/>
        <v>1</v>
      </c>
      <c r="BY200" s="111">
        <f t="shared" ca="1" si="334"/>
        <v>1</v>
      </c>
      <c r="BZ200" s="111">
        <f t="shared" ca="1" si="334"/>
        <v>1</v>
      </c>
      <c r="CA200" s="111">
        <f t="shared" ca="1" si="334"/>
        <v>1</v>
      </c>
      <c r="CB200" s="111">
        <f t="shared" ca="1" si="334"/>
        <v>1</v>
      </c>
      <c r="CC200" s="111">
        <f t="shared" ca="1" si="334"/>
        <v>1</v>
      </c>
      <c r="CD200" s="111">
        <f t="shared" ca="1" si="334"/>
        <v>1</v>
      </c>
      <c r="CE200" s="111">
        <f t="shared" ca="1" si="334"/>
        <v>1</v>
      </c>
      <c r="CF200" s="111">
        <f t="shared" ca="1" si="334"/>
        <v>1</v>
      </c>
      <c r="CG200" s="111">
        <f t="shared" ca="1" si="334"/>
        <v>1</v>
      </c>
      <c r="CH200" s="111">
        <f t="shared" ca="1" si="334"/>
        <v>1</v>
      </c>
      <c r="CI200" s="111">
        <f t="shared" ca="1" si="334"/>
        <v>1</v>
      </c>
      <c r="CJ200" s="111">
        <f t="shared" ca="1" si="334"/>
        <v>1</v>
      </c>
      <c r="CK200" s="111">
        <f t="shared" ca="1" si="334"/>
        <v>1</v>
      </c>
      <c r="CL200" s="111">
        <f t="shared" ca="1" si="334"/>
        <v>1</v>
      </c>
      <c r="CM200" s="111">
        <f t="shared" ca="1" si="334"/>
        <v>1</v>
      </c>
      <c r="CN200" s="111">
        <f t="shared" ca="1" si="334"/>
        <v>1</v>
      </c>
      <c r="CO200" s="111">
        <f t="shared" ca="1" si="334"/>
        <v>1</v>
      </c>
      <c r="CP200" s="111">
        <f t="shared" ca="1" si="334"/>
        <v>1</v>
      </c>
      <c r="CQ200" s="111">
        <f t="shared" ca="1" si="334"/>
        <v>1</v>
      </c>
      <c r="CR200" s="111">
        <f t="shared" ca="1" si="334"/>
        <v>1</v>
      </c>
      <c r="CS200" s="112">
        <f t="shared" si="334"/>
        <v>1</v>
      </c>
      <c r="CT200" s="49"/>
      <c r="CU200" s="49"/>
      <c r="CV200" s="49"/>
      <c r="CW200" s="49"/>
    </row>
    <row r="201" spans="1:102" x14ac:dyDescent="0.25">
      <c r="A201" s="97">
        <v>1</v>
      </c>
      <c r="B201" s="109" t="str">
        <f>"Blind CL-L"&amp;$C$194</f>
        <v>Blind CL-L10</v>
      </c>
      <c r="C201" s="113">
        <f ca="1">1/PRODUCT(D$194:$CS$194)</f>
        <v>0.24507096328562628</v>
      </c>
      <c r="D201" s="114">
        <f ca="1">1/PRODUCT(E$194:$CS$194)</f>
        <v>0.60848617159943708</v>
      </c>
      <c r="E201" s="114">
        <f ca="1">1/PRODUCT(F$194:$CS$194)</f>
        <v>1.163364488548144</v>
      </c>
      <c r="F201" s="114">
        <f ca="1">1/PRODUCT(G$194:$CS$194)</f>
        <v>1.2872115323431044</v>
      </c>
      <c r="G201" s="114">
        <f ca="1">1/PRODUCT(H$194:$CS$194)</f>
        <v>1.2283588194064305</v>
      </c>
      <c r="H201" s="114">
        <f ca="1">1/PRODUCT(I$194:$CS$194)</f>
        <v>1.0880103866928268</v>
      </c>
      <c r="I201" s="114">
        <f ca="1">1/PRODUCT(J$194:$CS$194)</f>
        <v>1.0294418230116882</v>
      </c>
      <c r="J201" s="114">
        <f ca="1">1/PRODUCT(K$194:$CS$194)</f>
        <v>1.0291164899546705</v>
      </c>
      <c r="K201" s="114">
        <f ca="1">1/PRODUCT(L$194:$CS$194)</f>
        <v>1</v>
      </c>
      <c r="L201" s="114">
        <f ca="1">1/PRODUCT(M$194:$CS$194)</f>
        <v>1</v>
      </c>
      <c r="M201" s="114">
        <f ca="1">1/PRODUCT(N$194:$CS$194)</f>
        <v>1</v>
      </c>
      <c r="N201" s="114">
        <f ca="1">1/PRODUCT(O$194:$CS$194)</f>
        <v>1</v>
      </c>
      <c r="O201" s="114">
        <f ca="1">1/PRODUCT(P$194:$CS$194)</f>
        <v>1</v>
      </c>
      <c r="P201" s="114">
        <f ca="1">1/PRODUCT(Q$194:$CS$194)</f>
        <v>1</v>
      </c>
      <c r="Q201" s="114">
        <f ca="1">1/PRODUCT(R$194:$CS$194)</f>
        <v>1</v>
      </c>
      <c r="R201" s="114">
        <f ca="1">1/PRODUCT(S$194:$CS$194)</f>
        <v>1</v>
      </c>
      <c r="S201" s="114">
        <f ca="1">1/PRODUCT(T$194:$CS$194)</f>
        <v>1</v>
      </c>
      <c r="T201" s="114">
        <f ca="1">1/PRODUCT(U$194:$CS$194)</f>
        <v>1</v>
      </c>
      <c r="U201" s="114">
        <f ca="1">1/PRODUCT(V$194:$CS$194)</f>
        <v>1</v>
      </c>
      <c r="V201" s="114">
        <f ca="1">1/PRODUCT(W$194:$CS$194)</f>
        <v>1</v>
      </c>
      <c r="W201" s="114">
        <f ca="1">1/PRODUCT(X$194:$CS$194)</f>
        <v>1</v>
      </c>
      <c r="X201" s="114">
        <f ca="1">1/PRODUCT(Y$194:$CS$194)</f>
        <v>1</v>
      </c>
      <c r="Y201" s="114">
        <f ca="1">1/PRODUCT(Z$194:$CS$194)</f>
        <v>1</v>
      </c>
      <c r="Z201" s="114">
        <f ca="1">1/PRODUCT(AA$194:$CS$194)</f>
        <v>1</v>
      </c>
      <c r="AA201" s="114">
        <f ca="1">1/PRODUCT(AB$194:$CS$194)</f>
        <v>1</v>
      </c>
      <c r="AB201" s="114">
        <f ca="1">1/PRODUCT(AC$194:$CS$194)</f>
        <v>1</v>
      </c>
      <c r="AC201" s="114">
        <f ca="1">1/PRODUCT(AD$194:$CS$194)</f>
        <v>1</v>
      </c>
      <c r="AD201" s="114">
        <f ca="1">1/PRODUCT(AE$194:$CS$194)</f>
        <v>1</v>
      </c>
      <c r="AE201" s="114">
        <f ca="1">1/PRODUCT(AF$194:$CS$194)</f>
        <v>1</v>
      </c>
      <c r="AF201" s="114">
        <f ca="1">1/PRODUCT(AG$194:$CS$194)</f>
        <v>1</v>
      </c>
      <c r="AG201" s="114">
        <f ca="1">1/PRODUCT(AH$194:$CS$194)</f>
        <v>1</v>
      </c>
      <c r="AH201" s="114">
        <f ca="1">1/PRODUCT(AI$194:$CS$194)</f>
        <v>1</v>
      </c>
      <c r="AI201" s="114">
        <f ca="1">1/PRODUCT(AJ$194:$CS$194)</f>
        <v>1</v>
      </c>
      <c r="AJ201" s="114">
        <f ca="1">1/PRODUCT(AK$194:$CS$194)</f>
        <v>1</v>
      </c>
      <c r="AK201" s="114">
        <f ca="1">1/PRODUCT(AL$194:$CS$194)</f>
        <v>1</v>
      </c>
      <c r="AL201" s="114">
        <f ca="1">1/PRODUCT(AM$194:$CS$194)</f>
        <v>1</v>
      </c>
      <c r="AM201" s="114">
        <f ca="1">1/PRODUCT(AN$194:$CS$194)</f>
        <v>1</v>
      </c>
      <c r="AN201" s="114">
        <f ca="1">1/PRODUCT(AO$194:$CS$194)</f>
        <v>1</v>
      </c>
      <c r="AO201" s="114">
        <f ca="1">1/PRODUCT(AP$194:$CS$194)</f>
        <v>1</v>
      </c>
      <c r="AP201" s="114">
        <f ca="1">1/PRODUCT(AQ$194:$CS$194)</f>
        <v>1</v>
      </c>
      <c r="AQ201" s="114">
        <f ca="1">1/PRODUCT(AR$194:$CS$194)</f>
        <v>1</v>
      </c>
      <c r="AR201" s="114">
        <f ca="1">1/PRODUCT(AS$194:$CS$194)</f>
        <v>1</v>
      </c>
      <c r="AS201" s="114">
        <f ca="1">1/PRODUCT(AT$194:$CS$194)</f>
        <v>1</v>
      </c>
      <c r="AT201" s="114">
        <f ca="1">1/PRODUCT(AU$194:$CS$194)</f>
        <v>1</v>
      </c>
      <c r="AU201" s="114">
        <f ca="1">1/PRODUCT(AV$194:$CS$194)</f>
        <v>1</v>
      </c>
      <c r="AV201" s="114">
        <f ca="1">1/PRODUCT(AW$194:$CS$194)</f>
        <v>1</v>
      </c>
      <c r="AW201" s="114">
        <f ca="1">1/PRODUCT(AX$194:$CS$194)</f>
        <v>1</v>
      </c>
      <c r="AX201" s="114">
        <f ca="1">1/PRODUCT(AY$194:$CS$194)</f>
        <v>1</v>
      </c>
      <c r="AY201" s="114">
        <f ca="1">1/PRODUCT(AZ$194:$CS$194)</f>
        <v>1</v>
      </c>
      <c r="AZ201" s="114">
        <f ca="1">1/PRODUCT(BA$194:$CS$194)</f>
        <v>1</v>
      </c>
      <c r="BA201" s="114">
        <f ca="1">1/PRODUCT(BB$194:$CS$194)</f>
        <v>1</v>
      </c>
      <c r="BB201" s="114">
        <f ca="1">1/PRODUCT(BC$194:$CS$194)</f>
        <v>1</v>
      </c>
      <c r="BC201" s="114">
        <f ca="1">1/PRODUCT(BD$194:$CS$194)</f>
        <v>1</v>
      </c>
      <c r="BD201" s="114">
        <f ca="1">1/PRODUCT(BE$194:$CS$194)</f>
        <v>1</v>
      </c>
      <c r="BE201" s="114">
        <f ca="1">1/PRODUCT(BF$194:$CS$194)</f>
        <v>1</v>
      </c>
      <c r="BF201" s="114">
        <f ca="1">1/PRODUCT(BG$194:$CS$194)</f>
        <v>1</v>
      </c>
      <c r="BG201" s="114">
        <f ca="1">1/PRODUCT(BH$194:$CS$194)</f>
        <v>1</v>
      </c>
      <c r="BH201" s="114">
        <f ca="1">1/PRODUCT(BI$194:$CS$194)</f>
        <v>1</v>
      </c>
      <c r="BI201" s="114">
        <f ca="1">1/PRODUCT(BJ$194:$CS$194)</f>
        <v>1</v>
      </c>
      <c r="BJ201" s="114">
        <f ca="1">1/PRODUCT(BK$194:$CS$194)</f>
        <v>1</v>
      </c>
      <c r="BK201" s="114">
        <f ca="1">1/PRODUCT(BL$194:$CS$194)</f>
        <v>1</v>
      </c>
      <c r="BL201" s="114">
        <f ca="1">1/PRODUCT(BM$194:$CS$194)</f>
        <v>1</v>
      </c>
      <c r="BM201" s="114">
        <f ca="1">1/PRODUCT(BN$194:$CS$194)</f>
        <v>1</v>
      </c>
      <c r="BN201" s="114">
        <f ca="1">1/PRODUCT(BO$194:$CS$194)</f>
        <v>1</v>
      </c>
      <c r="BO201" s="115">
        <f ca="1">1/PRODUCT(BP$194:$CS$194)</f>
        <v>1</v>
      </c>
      <c r="BP201" s="115">
        <f ca="1">1/PRODUCT(BQ$194:$CS$194)</f>
        <v>1</v>
      </c>
      <c r="BQ201" s="115">
        <f ca="1">1/PRODUCT(BR$194:$CS$194)</f>
        <v>1</v>
      </c>
      <c r="BR201" s="114">
        <f ca="1">1/PRODUCT(BS$194:$CS$194)</f>
        <v>1</v>
      </c>
      <c r="BS201" s="114">
        <f ca="1">1/PRODUCT(BT$194:$CS$194)</f>
        <v>1</v>
      </c>
      <c r="BT201" s="114">
        <f ca="1">1/PRODUCT(BU$194:$CS$194)</f>
        <v>1</v>
      </c>
      <c r="BU201" s="114">
        <f ca="1">1/PRODUCT(BV$194:$CS$194)</f>
        <v>1</v>
      </c>
      <c r="BV201" s="114">
        <f ca="1">1/PRODUCT(BW$194:$CS$194)</f>
        <v>1</v>
      </c>
      <c r="BW201" s="114">
        <f ca="1">1/PRODUCT(BX$194:$CS$194)</f>
        <v>1</v>
      </c>
      <c r="BX201" s="114">
        <f ca="1">1/PRODUCT(BY$194:$CS$194)</f>
        <v>1</v>
      </c>
      <c r="BY201" s="114">
        <f ca="1">1/PRODUCT(BZ$194:$CS$194)</f>
        <v>1</v>
      </c>
      <c r="BZ201" s="114">
        <f ca="1">1/PRODUCT(CA$194:$CS$194)</f>
        <v>1</v>
      </c>
      <c r="CA201" s="114">
        <f ca="1">1/PRODUCT(CB$194:$CS$194)</f>
        <v>1</v>
      </c>
      <c r="CB201" s="114">
        <f ca="1">1/PRODUCT(CC$194:$CS$194)</f>
        <v>1</v>
      </c>
      <c r="CC201" s="114">
        <f ca="1">1/PRODUCT(CD$194:$CS$194)</f>
        <v>1</v>
      </c>
      <c r="CD201" s="114">
        <f ca="1">1/PRODUCT(CE$194:$CS$194)</f>
        <v>1</v>
      </c>
      <c r="CE201" s="114">
        <f ca="1">1/PRODUCT(CF$194:$CS$194)</f>
        <v>1</v>
      </c>
      <c r="CF201" s="114">
        <f ca="1">1/PRODUCT(CG$194:$CS$194)</f>
        <v>1</v>
      </c>
      <c r="CG201" s="114">
        <f ca="1">1/PRODUCT(CH$194:$CS$194)</f>
        <v>1</v>
      </c>
      <c r="CH201" s="114">
        <f ca="1">1/PRODUCT(CI$194:$CS$194)</f>
        <v>1</v>
      </c>
      <c r="CI201" s="114">
        <f ca="1">1/PRODUCT(CJ$194:$CS$194)</f>
        <v>1</v>
      </c>
      <c r="CJ201" s="114">
        <f ca="1">1/PRODUCT(CK$194:$CS$194)</f>
        <v>1</v>
      </c>
      <c r="CK201" s="114">
        <f ca="1">1/PRODUCT(CL$194:$CS$194)</f>
        <v>1</v>
      </c>
      <c r="CL201" s="114">
        <f ca="1">1/PRODUCT(CM$194:$CS$194)</f>
        <v>1</v>
      </c>
      <c r="CM201" s="114">
        <f ca="1">1/PRODUCT(CN$194:$CS$194)</f>
        <v>1</v>
      </c>
      <c r="CN201" s="114">
        <f ca="1">1/PRODUCT(CO$194:$CS$194)</f>
        <v>1</v>
      </c>
      <c r="CO201" s="114">
        <f ca="1">1/PRODUCT(CP$194:$CS$194)</f>
        <v>1</v>
      </c>
      <c r="CP201" s="114">
        <f ca="1">1/PRODUCT(CQ$194:$CS$194)</f>
        <v>1</v>
      </c>
      <c r="CQ201" s="114">
        <f ca="1">1/PRODUCT(CR$194:$CS$194)</f>
        <v>1</v>
      </c>
      <c r="CR201" s="114">
        <f ca="1">1/PRODUCT(CS$194:$CS$194)</f>
        <v>1</v>
      </c>
      <c r="CS201" s="116">
        <f ca="1">1/PRODUCT($CS$194:CT$194)</f>
        <v>1</v>
      </c>
      <c r="CT201" s="50"/>
      <c r="CU201" s="50"/>
      <c r="CV201" s="50"/>
      <c r="CW201" s="49"/>
    </row>
    <row r="202" spans="1:102" x14ac:dyDescent="0.25">
      <c r="A202" s="97">
        <v>1</v>
      </c>
      <c r="B202" s="120"/>
      <c r="C202" s="121"/>
      <c r="D202" s="121"/>
      <c r="E202" s="121"/>
      <c r="F202" s="121"/>
      <c r="G202" s="121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  <c r="AA202" s="121"/>
      <c r="AB202" s="121"/>
      <c r="AC202" s="121"/>
      <c r="AD202" s="121"/>
      <c r="AE202" s="121"/>
      <c r="AF202" s="121"/>
      <c r="AG202" s="121"/>
      <c r="AH202" s="121"/>
      <c r="AI202" s="121"/>
      <c r="AJ202" s="121"/>
      <c r="AK202" s="121"/>
      <c r="AL202" s="121"/>
      <c r="AM202" s="121"/>
      <c r="AN202" s="121"/>
      <c r="AO202" s="121"/>
      <c r="AP202" s="121"/>
      <c r="AQ202" s="121"/>
      <c r="AR202" s="121"/>
      <c r="AS202" s="121"/>
      <c r="AT202" s="121"/>
      <c r="AU202" s="121"/>
      <c r="AV202" s="121"/>
      <c r="AW202" s="121"/>
      <c r="AX202" s="121"/>
      <c r="AY202" s="121"/>
      <c r="AZ202" s="121"/>
      <c r="BA202" s="121"/>
      <c r="BB202" s="121"/>
      <c r="BC202" s="121"/>
      <c r="BD202" s="121"/>
      <c r="BE202" s="121"/>
      <c r="BF202" s="121"/>
      <c r="BG202" s="121"/>
      <c r="BH202" s="121"/>
      <c r="BI202" s="121"/>
      <c r="BJ202" s="121"/>
      <c r="BK202" s="121"/>
      <c r="BL202" s="121"/>
      <c r="BM202" s="121"/>
      <c r="BN202" s="121"/>
      <c r="BO202" s="122"/>
      <c r="BP202" s="122"/>
      <c r="BQ202" s="122"/>
      <c r="BR202" s="121"/>
      <c r="BS202" s="121"/>
      <c r="BT202" s="121"/>
      <c r="BU202" s="121"/>
      <c r="BV202" s="121"/>
      <c r="BW202" s="121"/>
      <c r="BX202" s="121"/>
      <c r="BY202" s="121"/>
      <c r="BZ202" s="121"/>
      <c r="CA202" s="121"/>
      <c r="CB202" s="121"/>
      <c r="CC202" s="121"/>
      <c r="CD202" s="121"/>
      <c r="CE202" s="121"/>
      <c r="CF202" s="121"/>
      <c r="CG202" s="121"/>
      <c r="CH202" s="121"/>
      <c r="CI202" s="121"/>
      <c r="CJ202" s="121"/>
      <c r="CK202" s="121"/>
      <c r="CL202" s="121"/>
      <c r="CM202" s="121"/>
      <c r="CN202" s="121"/>
      <c r="CO202" s="121"/>
      <c r="CP202" s="121"/>
      <c r="CQ202" s="121"/>
      <c r="CR202" s="121"/>
      <c r="CS202" s="121"/>
      <c r="CT202" s="50"/>
      <c r="CU202" s="50"/>
      <c r="CV202" s="50"/>
      <c r="CW202" s="49"/>
    </row>
    <row r="203" spans="1:102" x14ac:dyDescent="0.25">
      <c r="A203" s="97">
        <v>1</v>
      </c>
      <c r="I203" s="11" t="s">
        <v>56</v>
      </c>
    </row>
    <row r="204" spans="1:102" x14ac:dyDescent="0.25">
      <c r="A204" s="97">
        <v>1</v>
      </c>
      <c r="B204" s="19" t="s">
        <v>18</v>
      </c>
      <c r="I204" s="119">
        <v>0.7</v>
      </c>
      <c r="L204" s="16" t="s">
        <v>19</v>
      </c>
      <c r="M204" s="149">
        <v>3</v>
      </c>
    </row>
    <row r="205" spans="1:102" x14ac:dyDescent="0.25">
      <c r="A205" s="97">
        <v>1</v>
      </c>
      <c r="B205" s="41" t="s">
        <v>2</v>
      </c>
      <c r="C205" s="41" t="s">
        <v>20</v>
      </c>
      <c r="D205" s="41" t="s">
        <v>21</v>
      </c>
      <c r="E205" s="41" t="s">
        <v>22</v>
      </c>
      <c r="F205" s="41" t="s">
        <v>55</v>
      </c>
      <c r="G205" s="41" t="s">
        <v>23</v>
      </c>
      <c r="H205" s="41" t="s">
        <v>12</v>
      </c>
      <c r="I205" s="41" t="s">
        <v>13</v>
      </c>
      <c r="J205" s="41" t="s">
        <v>24</v>
      </c>
      <c r="K205" s="41" t="s">
        <v>25</v>
      </c>
      <c r="L205" s="39"/>
      <c r="M205" s="41" t="s">
        <v>26</v>
      </c>
      <c r="N205" s="118"/>
      <c r="O205" s="41" t="s">
        <v>27</v>
      </c>
      <c r="P205" s="41" t="s">
        <v>28</v>
      </c>
      <c r="Q205" s="41" t="s">
        <v>29</v>
      </c>
    </row>
    <row r="206" spans="1:102" hidden="1" x14ac:dyDescent="0.25">
      <c r="A206" s="97">
        <f t="shared" ref="A206:A229" si="335">A14</f>
        <v>0</v>
      </c>
      <c r="B206" s="25">
        <f t="shared" ref="B206:B228" si="336">B207-1</f>
        <v>1996</v>
      </c>
      <c r="C206" s="84">
        <v>100000</v>
      </c>
      <c r="D206" s="13" t="str">
        <f t="shared" ref="D206:D229" si="337">IF(C42=0,"",CT14)</f>
        <v/>
      </c>
      <c r="E206" s="44" t="str">
        <f t="shared" ref="E206:E228" ca="1" si="338">IF(C42=1,OFFSET($C$199,0,CT42),"")</f>
        <v/>
      </c>
      <c r="F206" s="175" t="str">
        <f>IF(D206="","",D206*E206)</f>
        <v/>
      </c>
      <c r="G206" s="13" t="str">
        <f t="shared" ref="G206:G229" si="339">IF(OR(D206="",M206=""),"",M206*(1-1/E206)+D206)</f>
        <v/>
      </c>
      <c r="H206" s="117"/>
      <c r="I206" s="148" t="str">
        <f ca="1">IF(E206="","",IF(1/E206&lt;$I$204,"BF","CL"))</f>
        <v/>
      </c>
      <c r="J206" s="13">
        <f t="shared" ref="J206:J229" ca="1" si="340">IF(I206="CL",F206,IF(I206="BF",G206,H206))</f>
        <v>0</v>
      </c>
      <c r="K206" s="44">
        <f t="shared" ref="K206:K229" si="341">IFERROR(IF(D206="",1,J206/D206),"")</f>
        <v>1</v>
      </c>
      <c r="M206" s="150"/>
      <c r="N206" s="13"/>
      <c r="O206" s="51">
        <f t="shared" ref="O206:O229" ca="1" si="342">IFERROR(J206/C206,"")</f>
        <v>0</v>
      </c>
      <c r="P206" s="1">
        <v>1</v>
      </c>
      <c r="Q206" s="52">
        <f ca="1">IFERROR(SUMPRODUCT($J$206:$J206,$P$206:$P206)/SUMPRODUCT($C$206:$C206,$P$206:$P206),"")</f>
        <v>0</v>
      </c>
    </row>
    <row r="207" spans="1:102" hidden="1" x14ac:dyDescent="0.25">
      <c r="A207" s="97">
        <f t="shared" si="335"/>
        <v>0</v>
      </c>
      <c r="B207" s="25">
        <f t="shared" si="336"/>
        <v>1997</v>
      </c>
      <c r="C207" s="84">
        <v>100000</v>
      </c>
      <c r="D207" s="13" t="str">
        <f t="shared" si="337"/>
        <v/>
      </c>
      <c r="E207" s="44" t="str">
        <f t="shared" ca="1" si="338"/>
        <v/>
      </c>
      <c r="F207" s="175" t="str">
        <f t="shared" ref="F207:F219" si="343">IF(D207="","",D207*E207)</f>
        <v/>
      </c>
      <c r="G207" s="13" t="str">
        <f t="shared" ca="1" si="339"/>
        <v/>
      </c>
      <c r="H207" s="117"/>
      <c r="I207" s="148" t="str">
        <f t="shared" ref="I207:I229" ca="1" si="344">IF(E207="","",IF(1/E207&lt;$I$204,"BF","CL"))</f>
        <v/>
      </c>
      <c r="J207" s="13">
        <f t="shared" ca="1" si="340"/>
        <v>0</v>
      </c>
      <c r="K207" s="44">
        <f t="shared" si="341"/>
        <v>1</v>
      </c>
      <c r="M207" s="151" t="str">
        <f ca="1">IF((COUNTA($C$206:C206)-COUNTBLANK($C$206:C206))&lt;$M$204,"",SUM(OFFSET(J206,-$M$204+1,0,$M$204,1))/SUM(OFFSET(C206,-$M$204+1,0,$M$204,1))*C207)</f>
        <v/>
      </c>
      <c r="N207" s="13"/>
      <c r="O207" s="51">
        <f t="shared" ca="1" si="342"/>
        <v>0</v>
      </c>
      <c r="P207" s="1">
        <v>1</v>
      </c>
      <c r="Q207" s="52">
        <f ca="1">IFERROR(SUMPRODUCT($J$206:$J207,$P$206:$P207)/SUMPRODUCT($C$206:$C207,$P$206:$P207),"")</f>
        <v>0</v>
      </c>
    </row>
    <row r="208" spans="1:102" hidden="1" x14ac:dyDescent="0.25">
      <c r="A208" s="97">
        <f t="shared" si="335"/>
        <v>0</v>
      </c>
      <c r="B208" s="25">
        <f t="shared" si="336"/>
        <v>1998</v>
      </c>
      <c r="C208" s="84">
        <v>100000</v>
      </c>
      <c r="D208" s="13" t="str">
        <f t="shared" si="337"/>
        <v/>
      </c>
      <c r="E208" s="44" t="str">
        <f t="shared" ca="1" si="338"/>
        <v/>
      </c>
      <c r="F208" s="175" t="str">
        <f t="shared" si="343"/>
        <v/>
      </c>
      <c r="G208" s="13" t="str">
        <f t="shared" ca="1" si="339"/>
        <v/>
      </c>
      <c r="H208" s="117"/>
      <c r="I208" s="148" t="str">
        <f t="shared" ca="1" si="344"/>
        <v/>
      </c>
      <c r="J208" s="13">
        <f t="shared" ca="1" si="340"/>
        <v>0</v>
      </c>
      <c r="K208" s="44">
        <f t="shared" si="341"/>
        <v>1</v>
      </c>
      <c r="M208" s="151" t="str">
        <f ca="1">IF((COUNTA($C$206:C207)-COUNTBLANK($C$206:C207))&lt;$M$204,"",SUM(OFFSET(J207,-$M$204+1,0,$M$204,1))/SUM(OFFSET(C207,-$M$204+1,0,$M$204,1))*C208)</f>
        <v/>
      </c>
      <c r="N208" s="13"/>
      <c r="O208" s="51">
        <f t="shared" ca="1" si="342"/>
        <v>0</v>
      </c>
      <c r="P208" s="1">
        <v>1</v>
      </c>
      <c r="Q208" s="52">
        <f ca="1">IFERROR(SUMPRODUCT($J$206:$J208,$P$206:$P208)/SUMPRODUCT($C$206:$C208,$P$206:$P208),"")</f>
        <v>0</v>
      </c>
    </row>
    <row r="209" spans="1:17" hidden="1" x14ac:dyDescent="0.25">
      <c r="A209" s="97">
        <f t="shared" si="335"/>
        <v>0</v>
      </c>
      <c r="B209" s="25">
        <f t="shared" si="336"/>
        <v>1999</v>
      </c>
      <c r="C209" s="84">
        <v>100000</v>
      </c>
      <c r="D209" s="13" t="str">
        <f t="shared" si="337"/>
        <v/>
      </c>
      <c r="E209" s="44" t="str">
        <f t="shared" ca="1" si="338"/>
        <v/>
      </c>
      <c r="F209" s="175" t="str">
        <f t="shared" si="343"/>
        <v/>
      </c>
      <c r="G209" s="13" t="str">
        <f t="shared" ca="1" si="339"/>
        <v/>
      </c>
      <c r="H209" s="117"/>
      <c r="I209" s="148" t="str">
        <f t="shared" ca="1" si="344"/>
        <v/>
      </c>
      <c r="J209" s="13">
        <f t="shared" ca="1" si="340"/>
        <v>0</v>
      </c>
      <c r="K209" s="44">
        <f t="shared" si="341"/>
        <v>1</v>
      </c>
      <c r="M209" s="151">
        <f ca="1">IF((COUNTA($C$206:C208)-COUNTBLANK($C$206:C208))&lt;$M$204,"",SUM(OFFSET(J208,-$M$204+1,0,$M$204,1))/SUM(OFFSET(C208,-$M$204+1,0,$M$204,1))*C209)</f>
        <v>0</v>
      </c>
      <c r="N209" s="13"/>
      <c r="O209" s="51">
        <f t="shared" ca="1" si="342"/>
        <v>0</v>
      </c>
      <c r="P209" s="1">
        <v>1</v>
      </c>
      <c r="Q209" s="52">
        <f ca="1">IFERROR(SUMPRODUCT($J$206:$J209,$P$206:$P209)/SUMPRODUCT($C$206:$C209,$P$206:$P209),"")</f>
        <v>0</v>
      </c>
    </row>
    <row r="210" spans="1:17" x14ac:dyDescent="0.25">
      <c r="A210" s="97">
        <f t="shared" si="335"/>
        <v>0</v>
      </c>
      <c r="B210" s="25">
        <f t="shared" si="336"/>
        <v>2000</v>
      </c>
      <c r="C210" s="84">
        <v>100000</v>
      </c>
      <c r="D210" s="13" t="str">
        <f t="shared" si="337"/>
        <v/>
      </c>
      <c r="E210" s="44" t="str">
        <f t="shared" ca="1" si="338"/>
        <v/>
      </c>
      <c r="F210" s="175" t="str">
        <f t="shared" si="343"/>
        <v/>
      </c>
      <c r="G210" s="13" t="str">
        <f t="shared" ca="1" si="339"/>
        <v/>
      </c>
      <c r="H210" s="117"/>
      <c r="I210" s="148" t="str">
        <f t="shared" ca="1" si="344"/>
        <v/>
      </c>
      <c r="J210" s="13">
        <f t="shared" ca="1" si="340"/>
        <v>0</v>
      </c>
      <c r="K210" s="44">
        <f t="shared" si="341"/>
        <v>1</v>
      </c>
      <c r="M210" s="151">
        <f ca="1">IF((COUNTA($C$206:C209)-COUNTBLANK($C$206:C209))&lt;$M$204,"",SUM(OFFSET(J209,-$M$204+1,0,$M$204,1))/SUM(OFFSET(C209,-$M$204+1,0,$M$204,1))*C210)</f>
        <v>0</v>
      </c>
      <c r="N210" s="13"/>
      <c r="O210" s="51">
        <f t="shared" ca="1" si="342"/>
        <v>0</v>
      </c>
      <c r="P210" s="1">
        <v>1</v>
      </c>
      <c r="Q210" s="52">
        <f ca="1">IFERROR(SUMPRODUCT($J$206:$J210,$P$206:$P210)/SUMPRODUCT($C$206:$C210,$P$206:$P210),"")</f>
        <v>0</v>
      </c>
    </row>
    <row r="211" spans="1:17" x14ac:dyDescent="0.25">
      <c r="A211" s="97">
        <f t="shared" si="335"/>
        <v>0</v>
      </c>
      <c r="B211" s="25">
        <f t="shared" si="336"/>
        <v>2001</v>
      </c>
      <c r="C211" s="84">
        <v>100000</v>
      </c>
      <c r="D211" s="13" t="str">
        <f t="shared" si="337"/>
        <v/>
      </c>
      <c r="E211" s="44" t="str">
        <f t="shared" ca="1" si="338"/>
        <v/>
      </c>
      <c r="F211" s="175" t="str">
        <f t="shared" si="343"/>
        <v/>
      </c>
      <c r="G211" s="13" t="str">
        <f t="shared" ca="1" si="339"/>
        <v/>
      </c>
      <c r="H211" s="117"/>
      <c r="I211" s="148" t="str">
        <f t="shared" ca="1" si="344"/>
        <v/>
      </c>
      <c r="J211" s="13">
        <f t="shared" ca="1" si="340"/>
        <v>0</v>
      </c>
      <c r="K211" s="44">
        <f t="shared" si="341"/>
        <v>1</v>
      </c>
      <c r="M211" s="151">
        <f ca="1">IF((COUNTA($C$206:C210)-COUNTBLANK($C$206:C210))&lt;$M$204,"",SUM(OFFSET(J210,-$M$204+1,0,$M$204,1))/SUM(OFFSET(C210,-$M$204+1,0,$M$204,1))*C211)</f>
        <v>0</v>
      </c>
      <c r="N211" s="13"/>
      <c r="O211" s="51">
        <f t="shared" ca="1" si="342"/>
        <v>0</v>
      </c>
      <c r="P211" s="1">
        <v>1</v>
      </c>
      <c r="Q211" s="52">
        <f ca="1">IFERROR(SUMPRODUCT($J$206:$J211,$P$206:$P211)/SUMPRODUCT($C$206:$C211,$P$206:$P211),"")</f>
        <v>0</v>
      </c>
    </row>
    <row r="212" spans="1:17" x14ac:dyDescent="0.25">
      <c r="A212" s="97">
        <f t="shared" si="335"/>
        <v>0</v>
      </c>
      <c r="B212" s="25">
        <f t="shared" si="336"/>
        <v>2002</v>
      </c>
      <c r="C212" s="84">
        <v>100000</v>
      </c>
      <c r="D212" s="13" t="str">
        <f t="shared" si="337"/>
        <v/>
      </c>
      <c r="E212" s="44" t="str">
        <f t="shared" ca="1" si="338"/>
        <v/>
      </c>
      <c r="F212" s="175" t="str">
        <f t="shared" si="343"/>
        <v/>
      </c>
      <c r="G212" s="13" t="str">
        <f t="shared" ca="1" si="339"/>
        <v/>
      </c>
      <c r="H212" s="117"/>
      <c r="I212" s="148" t="str">
        <f t="shared" ca="1" si="344"/>
        <v/>
      </c>
      <c r="J212" s="13">
        <f t="shared" ca="1" si="340"/>
        <v>0</v>
      </c>
      <c r="K212" s="44">
        <f t="shared" si="341"/>
        <v>1</v>
      </c>
      <c r="M212" s="151">
        <f ca="1">IF((COUNTA($C$206:C211)-COUNTBLANK($C$206:C211))&lt;$M$204,"",SUM(OFFSET(J211,-$M$204+1,0,$M$204,1))/SUM(OFFSET(C211,-$M$204+1,0,$M$204,1))*C212)</f>
        <v>0</v>
      </c>
      <c r="N212" s="13"/>
      <c r="O212" s="51">
        <f t="shared" ca="1" si="342"/>
        <v>0</v>
      </c>
      <c r="P212" s="1">
        <v>1</v>
      </c>
      <c r="Q212" s="52">
        <f ca="1">IFERROR(SUMPRODUCT($J$206:$J212,$P$206:$P212)/SUMPRODUCT($C$206:$C212,$P$206:$P212),"")</f>
        <v>0</v>
      </c>
    </row>
    <row r="213" spans="1:17" x14ac:dyDescent="0.25">
      <c r="A213" s="97">
        <f t="shared" si="335"/>
        <v>0</v>
      </c>
      <c r="B213" s="25">
        <f t="shared" si="336"/>
        <v>2003</v>
      </c>
      <c r="C213" s="84">
        <v>100000</v>
      </c>
      <c r="D213" s="13" t="str">
        <f t="shared" si="337"/>
        <v/>
      </c>
      <c r="E213" s="44" t="str">
        <f t="shared" ca="1" si="338"/>
        <v/>
      </c>
      <c r="F213" s="175" t="str">
        <f t="shared" si="343"/>
        <v/>
      </c>
      <c r="G213" s="13" t="str">
        <f t="shared" ca="1" si="339"/>
        <v/>
      </c>
      <c r="H213" s="117"/>
      <c r="I213" s="148" t="str">
        <f t="shared" ca="1" si="344"/>
        <v/>
      </c>
      <c r="J213" s="13">
        <f t="shared" ca="1" si="340"/>
        <v>0</v>
      </c>
      <c r="K213" s="44">
        <f t="shared" si="341"/>
        <v>1</v>
      </c>
      <c r="M213" s="151">
        <f ca="1">IF((COUNTA($C$206:C212)-COUNTBLANK($C$206:C212))&lt;$M$204,"",SUM(OFFSET(J212,-$M$204+1,0,$M$204,1))/SUM(OFFSET(C212,-$M$204+1,0,$M$204,1))*C213)</f>
        <v>0</v>
      </c>
      <c r="N213" s="13"/>
      <c r="O213" s="51">
        <f t="shared" ca="1" si="342"/>
        <v>0</v>
      </c>
      <c r="P213" s="1">
        <v>1</v>
      </c>
      <c r="Q213" s="52">
        <f ca="1">IFERROR(SUMPRODUCT($J$206:$J213,$P$206:$P213)/SUMPRODUCT($C$206:$C213,$P$206:$P213),"")</f>
        <v>0</v>
      </c>
    </row>
    <row r="214" spans="1:17" x14ac:dyDescent="0.25">
      <c r="A214" s="97">
        <f t="shared" si="335"/>
        <v>0</v>
      </c>
      <c r="B214" s="25">
        <f t="shared" si="336"/>
        <v>2004</v>
      </c>
      <c r="C214" s="84">
        <v>100000</v>
      </c>
      <c r="D214" s="13" t="str">
        <f t="shared" si="337"/>
        <v/>
      </c>
      <c r="E214" s="44" t="str">
        <f t="shared" ca="1" si="338"/>
        <v/>
      </c>
      <c r="F214" s="175" t="str">
        <f t="shared" si="343"/>
        <v/>
      </c>
      <c r="G214" s="13" t="str">
        <f t="shared" ca="1" si="339"/>
        <v/>
      </c>
      <c r="H214" s="117"/>
      <c r="I214" s="148" t="str">
        <f t="shared" ca="1" si="344"/>
        <v/>
      </c>
      <c r="J214" s="13">
        <f t="shared" ca="1" si="340"/>
        <v>0</v>
      </c>
      <c r="K214" s="44">
        <f t="shared" si="341"/>
        <v>1</v>
      </c>
      <c r="M214" s="151">
        <f ca="1">IF((COUNTA($C$206:C213)-COUNTBLANK($C$206:C213))&lt;$M$204,"",SUM(OFFSET(J213,-$M$204+1,0,$M$204,1))/SUM(OFFSET(C213,-$M$204+1,0,$M$204,1))*C214)</f>
        <v>0</v>
      </c>
      <c r="N214" s="13"/>
      <c r="O214" s="51">
        <f t="shared" ca="1" si="342"/>
        <v>0</v>
      </c>
      <c r="P214" s="1">
        <v>1</v>
      </c>
      <c r="Q214" s="52">
        <f ca="1">IFERROR(SUMPRODUCT($J$206:$J214,$P$206:$P214)/SUMPRODUCT($C$206:$C214,$P$206:$P214),"")</f>
        <v>0</v>
      </c>
    </row>
    <row r="215" spans="1:17" x14ac:dyDescent="0.25">
      <c r="A215" s="97">
        <f t="shared" si="335"/>
        <v>0</v>
      </c>
      <c r="B215" s="25">
        <f t="shared" si="336"/>
        <v>2005</v>
      </c>
      <c r="C215" s="84">
        <v>100000</v>
      </c>
      <c r="D215" s="13" t="str">
        <f t="shared" si="337"/>
        <v/>
      </c>
      <c r="E215" s="44" t="str">
        <f t="shared" ca="1" si="338"/>
        <v/>
      </c>
      <c r="F215" s="175" t="str">
        <f t="shared" si="343"/>
        <v/>
      </c>
      <c r="G215" s="13" t="str">
        <f t="shared" ca="1" si="339"/>
        <v/>
      </c>
      <c r="H215" s="117"/>
      <c r="I215" s="148" t="str">
        <f t="shared" ca="1" si="344"/>
        <v/>
      </c>
      <c r="J215" s="13">
        <f t="shared" ca="1" si="340"/>
        <v>0</v>
      </c>
      <c r="K215" s="44">
        <f t="shared" si="341"/>
        <v>1</v>
      </c>
      <c r="M215" s="151">
        <f ca="1">IF((COUNTA($C$206:C214)-COUNTBLANK($C$206:C214))&lt;$M$204,"",SUM(OFFSET(J214,-$M$204+1,0,$M$204,1))/SUM(OFFSET(C214,-$M$204+1,0,$M$204,1))*C215)</f>
        <v>0</v>
      </c>
      <c r="N215" s="13"/>
      <c r="O215" s="51">
        <f t="shared" ca="1" si="342"/>
        <v>0</v>
      </c>
      <c r="P215" s="1">
        <v>1</v>
      </c>
      <c r="Q215" s="52">
        <f ca="1">IFERROR(SUMPRODUCT($J$206:$J215,$P$206:$P215)/SUMPRODUCT($C$206:$C215,$P$206:$P215),"")</f>
        <v>0</v>
      </c>
    </row>
    <row r="216" spans="1:17" x14ac:dyDescent="0.25">
      <c r="A216" s="97">
        <f t="shared" si="335"/>
        <v>0</v>
      </c>
      <c r="B216" s="25">
        <f t="shared" si="336"/>
        <v>2006</v>
      </c>
      <c r="C216" s="84">
        <v>100000</v>
      </c>
      <c r="D216" s="13" t="str">
        <f t="shared" si="337"/>
        <v/>
      </c>
      <c r="E216" s="44" t="str">
        <f t="shared" ca="1" si="338"/>
        <v/>
      </c>
      <c r="F216" s="175" t="str">
        <f t="shared" si="343"/>
        <v/>
      </c>
      <c r="G216" s="13" t="str">
        <f t="shared" ca="1" si="339"/>
        <v/>
      </c>
      <c r="H216" s="117"/>
      <c r="I216" s="148" t="str">
        <f t="shared" ca="1" si="344"/>
        <v/>
      </c>
      <c r="J216" s="13">
        <f t="shared" ca="1" si="340"/>
        <v>0</v>
      </c>
      <c r="K216" s="44">
        <f t="shared" si="341"/>
        <v>1</v>
      </c>
      <c r="M216" s="151">
        <f ca="1">IF((COUNTA($C$206:C215)-COUNTBLANK($C$206:C215))&lt;$M$204,"",SUM(OFFSET(J215,-$M$204+1,0,$M$204,1))/SUM(OFFSET(C215,-$M$204+1,0,$M$204,1))*C216)</f>
        <v>0</v>
      </c>
      <c r="N216" s="13"/>
      <c r="O216" s="51">
        <f t="shared" ca="1" si="342"/>
        <v>0</v>
      </c>
      <c r="P216" s="1">
        <v>1</v>
      </c>
      <c r="Q216" s="52">
        <f ca="1">IFERROR(SUMPRODUCT($J$206:$J216,$P$206:$P216)/SUMPRODUCT($C$206:$C216,$P$206:$P216),"")</f>
        <v>0</v>
      </c>
    </row>
    <row r="217" spans="1:17" x14ac:dyDescent="0.25">
      <c r="A217" s="97">
        <f t="shared" si="335"/>
        <v>0</v>
      </c>
      <c r="B217" s="25">
        <f t="shared" si="336"/>
        <v>2007</v>
      </c>
      <c r="C217" s="84">
        <v>100000</v>
      </c>
      <c r="D217" s="13" t="str">
        <f t="shared" si="337"/>
        <v/>
      </c>
      <c r="E217" s="44" t="str">
        <f t="shared" ca="1" si="338"/>
        <v/>
      </c>
      <c r="F217" s="175" t="str">
        <f t="shared" si="343"/>
        <v/>
      </c>
      <c r="G217" s="13" t="str">
        <f t="shared" ca="1" si="339"/>
        <v/>
      </c>
      <c r="H217" s="117"/>
      <c r="I217" s="148" t="str">
        <f t="shared" ca="1" si="344"/>
        <v/>
      </c>
      <c r="J217" s="13">
        <f t="shared" ca="1" si="340"/>
        <v>0</v>
      </c>
      <c r="K217" s="44">
        <f t="shared" si="341"/>
        <v>1</v>
      </c>
      <c r="M217" s="151">
        <f ca="1">IF((COUNTA($C$206:C216)-COUNTBLANK($C$206:C216))&lt;$M$204,"",SUM(OFFSET(J216,-$M$204+1,0,$M$204,1))/SUM(OFFSET(C216,-$M$204+1,0,$M$204,1))*C217)</f>
        <v>0</v>
      </c>
      <c r="N217" s="13"/>
      <c r="O217" s="51">
        <f t="shared" ca="1" si="342"/>
        <v>0</v>
      </c>
      <c r="P217" s="1">
        <v>1</v>
      </c>
      <c r="Q217" s="52">
        <f ca="1">IFERROR(SUMPRODUCT($J$206:$J217,$P$206:$P217)/SUMPRODUCT($C$206:$C217,$P$206:$P217),"")</f>
        <v>0</v>
      </c>
    </row>
    <row r="218" spans="1:17" x14ac:dyDescent="0.25">
      <c r="A218" s="97">
        <f t="shared" si="335"/>
        <v>0</v>
      </c>
      <c r="B218" s="25">
        <f t="shared" si="336"/>
        <v>2008</v>
      </c>
      <c r="C218" s="84">
        <v>100000</v>
      </c>
      <c r="D218" s="13" t="str">
        <f t="shared" si="337"/>
        <v/>
      </c>
      <c r="E218" s="44" t="str">
        <f t="shared" ca="1" si="338"/>
        <v/>
      </c>
      <c r="F218" s="175" t="str">
        <f t="shared" si="343"/>
        <v/>
      </c>
      <c r="G218" s="13" t="str">
        <f t="shared" ca="1" si="339"/>
        <v/>
      </c>
      <c r="H218" s="117"/>
      <c r="I218" s="148" t="str">
        <f t="shared" ca="1" si="344"/>
        <v/>
      </c>
      <c r="J218" s="13">
        <f t="shared" ca="1" si="340"/>
        <v>0</v>
      </c>
      <c r="K218" s="44">
        <f t="shared" si="341"/>
        <v>1</v>
      </c>
      <c r="M218" s="151">
        <f ca="1">IF((COUNTA($C$206:C217)-COUNTBLANK($C$206:C217))&lt;$M$204,"",SUM(OFFSET(J217,-$M$204+1,0,$M$204,1))/SUM(OFFSET(C217,-$M$204+1,0,$M$204,1))*C218)</f>
        <v>0</v>
      </c>
      <c r="N218" s="13"/>
      <c r="O218" s="51">
        <f t="shared" ca="1" si="342"/>
        <v>0</v>
      </c>
      <c r="P218" s="1">
        <v>1</v>
      </c>
      <c r="Q218" s="52">
        <f ca="1">IFERROR(SUMPRODUCT($J$206:$J218,$P$206:$P218)/SUMPRODUCT($C$206:$C218,$P$206:$P218),"")</f>
        <v>0</v>
      </c>
    </row>
    <row r="219" spans="1:17" x14ac:dyDescent="0.25">
      <c r="A219" s="97">
        <f t="shared" si="335"/>
        <v>0</v>
      </c>
      <c r="B219" s="25">
        <f t="shared" si="336"/>
        <v>2009</v>
      </c>
      <c r="C219" s="84">
        <v>100000</v>
      </c>
      <c r="D219" s="13" t="str">
        <f t="shared" si="337"/>
        <v/>
      </c>
      <c r="E219" s="44" t="str">
        <f t="shared" ca="1" si="338"/>
        <v/>
      </c>
      <c r="F219" s="175" t="str">
        <f t="shared" si="343"/>
        <v/>
      </c>
      <c r="G219" s="13" t="str">
        <f t="shared" ca="1" si="339"/>
        <v/>
      </c>
      <c r="H219" s="117"/>
      <c r="I219" s="148" t="str">
        <f t="shared" ca="1" si="344"/>
        <v/>
      </c>
      <c r="J219" s="13">
        <f t="shared" ca="1" si="340"/>
        <v>0</v>
      </c>
      <c r="K219" s="44">
        <f t="shared" si="341"/>
        <v>1</v>
      </c>
      <c r="M219" s="151">
        <f ca="1">IF((COUNTA($C$206:C218)-COUNTBLANK($C$206:C218))&lt;$M$204,"",SUM(OFFSET(J218,-$M$204+1,0,$M$204,1))/SUM(OFFSET(C218,-$M$204+1,0,$M$204,1))*C219)</f>
        <v>0</v>
      </c>
      <c r="N219" s="13"/>
      <c r="O219" s="51">
        <f t="shared" ca="1" si="342"/>
        <v>0</v>
      </c>
      <c r="P219" s="1">
        <v>1</v>
      </c>
      <c r="Q219" s="52">
        <f ca="1">IFERROR(SUMPRODUCT($J$206:$J219,$P$206:$P219)/SUMPRODUCT($C$206:$C219,$P$206:$P219),"")</f>
        <v>0</v>
      </c>
    </row>
    <row r="220" spans="1:17" x14ac:dyDescent="0.25">
      <c r="A220" s="97">
        <f t="shared" si="335"/>
        <v>1</v>
      </c>
      <c r="B220" s="25">
        <f t="shared" si="336"/>
        <v>2010</v>
      </c>
      <c r="C220" s="84">
        <v>100000</v>
      </c>
      <c r="D220" s="13">
        <f t="shared" ca="1" si="337"/>
        <v>28393201.899999999</v>
      </c>
      <c r="E220" s="44">
        <f t="shared" ca="1" si="338"/>
        <v>1</v>
      </c>
      <c r="F220" s="175">
        <f ca="1">IF(D220="","",D220*E220)</f>
        <v>28393201.899999999</v>
      </c>
      <c r="G220" s="13">
        <f t="shared" ca="1" si="339"/>
        <v>28393201.899999999</v>
      </c>
      <c r="H220" s="117"/>
      <c r="I220" s="148" t="str">
        <f t="shared" ca="1" si="344"/>
        <v>CL</v>
      </c>
      <c r="J220" s="13">
        <f t="shared" ca="1" si="340"/>
        <v>28393201.899999999</v>
      </c>
      <c r="K220" s="44">
        <f t="shared" ca="1" si="341"/>
        <v>1</v>
      </c>
      <c r="M220" s="151">
        <f ca="1">IF((COUNTA($C$206:C219)-COUNTBLANK($C$206:C219))&lt;$M$204,"",SUM(OFFSET(J219,-$M$204+1,0,$M$204,1))/SUM(OFFSET(C219,-$M$204+1,0,$M$204,1))*C220)</f>
        <v>0</v>
      </c>
      <c r="N220" s="13"/>
      <c r="O220" s="51">
        <f t="shared" ca="1" si="342"/>
        <v>283.93201899999997</v>
      </c>
      <c r="P220" s="1">
        <v>1</v>
      </c>
      <c r="Q220" s="52">
        <f ca="1">IFERROR(SUMPRODUCT($J$206:$J220,$P$206:$P220)/SUMPRODUCT($C$206:$C220,$P$206:$P220),"")</f>
        <v>18.928801266666667</v>
      </c>
    </row>
    <row r="221" spans="1:17" x14ac:dyDescent="0.25">
      <c r="A221" s="97">
        <f t="shared" si="335"/>
        <v>1</v>
      </c>
      <c r="B221" s="25">
        <f t="shared" si="336"/>
        <v>2011</v>
      </c>
      <c r="C221" s="84">
        <v>100000</v>
      </c>
      <c r="D221" s="13">
        <f t="shared" ca="1" si="337"/>
        <v>3258917.8899999997</v>
      </c>
      <c r="E221" s="44">
        <f t="shared" ca="1" si="338"/>
        <v>1</v>
      </c>
      <c r="F221" s="175">
        <f t="shared" ref="F221:F229" ca="1" si="345">IF(D221="","",D221*E221)</f>
        <v>3258917.8899999997</v>
      </c>
      <c r="G221" s="13">
        <f t="shared" ca="1" si="339"/>
        <v>3258917.8899999997</v>
      </c>
      <c r="H221" s="117"/>
      <c r="I221" s="148" t="str">
        <f t="shared" ca="1" si="344"/>
        <v>CL</v>
      </c>
      <c r="J221" s="13">
        <f t="shared" ca="1" si="340"/>
        <v>3258917.8899999997</v>
      </c>
      <c r="K221" s="44">
        <f t="shared" ca="1" si="341"/>
        <v>1</v>
      </c>
      <c r="M221" s="151">
        <f ca="1">IF((COUNTA($C$206:C220)-COUNTBLANK($C$206:C220))&lt;$M$204,"",SUM(OFFSET(J220,-$M$204+1,0,$M$204,1))/SUM(OFFSET(C220,-$M$204+1,0,$M$204,1))*C221)</f>
        <v>9464400.6333333328</v>
      </c>
      <c r="N221" s="13"/>
      <c r="O221" s="51">
        <f t="shared" ca="1" si="342"/>
        <v>32.589178899999993</v>
      </c>
      <c r="P221" s="1">
        <v>1</v>
      </c>
      <c r="Q221" s="52">
        <f ca="1">IFERROR(SUMPRODUCT($J$206:$J221,$P$206:$P221)/SUMPRODUCT($C$206:$C221,$P$206:$P221),"")</f>
        <v>19.78257486875</v>
      </c>
    </row>
    <row r="222" spans="1:17" x14ac:dyDescent="0.25">
      <c r="A222" s="97">
        <f t="shared" si="335"/>
        <v>1</v>
      </c>
      <c r="B222" s="25">
        <f t="shared" si="336"/>
        <v>2012</v>
      </c>
      <c r="C222" s="84">
        <v>100000</v>
      </c>
      <c r="D222" s="13">
        <f t="shared" ca="1" si="337"/>
        <v>11276687.51</v>
      </c>
      <c r="E222" s="44">
        <f t="shared" ca="1" si="338"/>
        <v>0.97170729432588032</v>
      </c>
      <c r="F222" s="175">
        <f t="shared" ca="1" si="345"/>
        <v>10957639.509300549</v>
      </c>
      <c r="G222" s="13">
        <f t="shared" ca="1" si="339"/>
        <v>10969487.967363479</v>
      </c>
      <c r="H222" s="117"/>
      <c r="I222" s="148" t="str">
        <f t="shared" ca="1" si="344"/>
        <v>CL</v>
      </c>
      <c r="J222" s="13">
        <f t="shared" ca="1" si="340"/>
        <v>10957639.509300549</v>
      </c>
      <c r="K222" s="44">
        <f t="shared" ca="1" si="341"/>
        <v>0.97170729432588032</v>
      </c>
      <c r="M222" s="151">
        <f ca="1">IF((COUNTA($C$206:C221)-COUNTBLANK($C$206:C221))&lt;$M$204,"",SUM(OFFSET(J221,-$M$204+1,0,$M$204,1))/SUM(OFFSET(C221,-$M$204+1,0,$M$204,1))*C222)</f>
        <v>10550706.596666666</v>
      </c>
      <c r="N222" s="13"/>
      <c r="O222" s="51">
        <f t="shared" ca="1" si="342"/>
        <v>109.57639509300549</v>
      </c>
      <c r="P222" s="1">
        <v>1</v>
      </c>
      <c r="Q222" s="52">
        <f ca="1">IFERROR(SUMPRODUCT($J$206:$J222,$P$206:$P222)/SUMPRODUCT($C$206:$C222,$P$206:$P222),"")</f>
        <v>25.064564293706205</v>
      </c>
    </row>
    <row r="223" spans="1:17" x14ac:dyDescent="0.25">
      <c r="A223" s="97">
        <f t="shared" si="335"/>
        <v>1</v>
      </c>
      <c r="B223" s="25">
        <f t="shared" si="336"/>
        <v>2013</v>
      </c>
      <c r="C223" s="84">
        <v>100000</v>
      </c>
      <c r="D223" s="13">
        <f t="shared" ca="1" si="337"/>
        <v>0</v>
      </c>
      <c r="E223" s="44">
        <f t="shared" ca="1" si="338"/>
        <v>0.97140020703107388</v>
      </c>
      <c r="F223" s="175">
        <f t="shared" ca="1" si="345"/>
        <v>0</v>
      </c>
      <c r="G223" s="13">
        <f t="shared" ca="1" si="339"/>
        <v>-418169.66395354725</v>
      </c>
      <c r="H223" s="117"/>
      <c r="I223" s="148" t="str">
        <f t="shared" ca="1" si="344"/>
        <v>CL</v>
      </c>
      <c r="J223" s="13">
        <f t="shared" ca="1" si="340"/>
        <v>0</v>
      </c>
      <c r="K223" s="44" t="str">
        <f t="shared" ca="1" si="341"/>
        <v/>
      </c>
      <c r="M223" s="151">
        <f ca="1">IF((COUNTA($C$206:C222)-COUNTBLANK($C$206:C222))&lt;$M$204,"",SUM(OFFSET(J222,-$M$204+1,0,$M$204,1))/SUM(OFFSET(C222,-$M$204+1,0,$M$204,1))*C223)</f>
        <v>14203253.099766852</v>
      </c>
      <c r="N223" s="13"/>
      <c r="O223" s="51">
        <f t="shared" ca="1" si="342"/>
        <v>0</v>
      </c>
      <c r="P223" s="1">
        <v>1</v>
      </c>
      <c r="Q223" s="52">
        <f ca="1">IFERROR(SUMPRODUCT($J$206:$J223,$P$206:$P223)/SUMPRODUCT($C$206:$C223,$P$206:$P223),"")</f>
        <v>23.672088499611416</v>
      </c>
    </row>
    <row r="224" spans="1:17" x14ac:dyDescent="0.25">
      <c r="A224" s="97">
        <f t="shared" si="335"/>
        <v>1</v>
      </c>
      <c r="B224" s="25">
        <f t="shared" si="336"/>
        <v>2014</v>
      </c>
      <c r="C224" s="84">
        <v>100000</v>
      </c>
      <c r="D224" s="13">
        <f t="shared" ca="1" si="337"/>
        <v>13827948.91</v>
      </c>
      <c r="E224" s="44">
        <f t="shared" ca="1" si="338"/>
        <v>0.91910887270079489</v>
      </c>
      <c r="F224" s="175">
        <f t="shared" ca="1" si="345"/>
        <v>12709390.534434285</v>
      </c>
      <c r="G224" s="13">
        <f t="shared" ca="1" si="339"/>
        <v>13410880.67194893</v>
      </c>
      <c r="H224" s="117"/>
      <c r="I224" s="148" t="str">
        <f t="shared" ca="1" si="344"/>
        <v>CL</v>
      </c>
      <c r="J224" s="13">
        <f t="shared" ca="1" si="340"/>
        <v>12709390.534434285</v>
      </c>
      <c r="K224" s="44">
        <f t="shared" ca="1" si="341"/>
        <v>0.91910887270079489</v>
      </c>
      <c r="M224" s="151">
        <f ca="1">IF((COUNTA($C$206:C223)-COUNTBLANK($C$206:C223))&lt;$M$204,"",SUM(OFFSET(J223,-$M$204+1,0,$M$204,1))/SUM(OFFSET(C223,-$M$204+1,0,$M$204,1))*C224)</f>
        <v>4738852.4664335167</v>
      </c>
      <c r="N224" s="13"/>
      <c r="O224" s="51">
        <f t="shared" ca="1" si="342"/>
        <v>127.09390534434284</v>
      </c>
      <c r="P224" s="1">
        <v>1</v>
      </c>
      <c r="Q224" s="52">
        <f ca="1">IFERROR(SUMPRODUCT($J$206:$J224,$P$206:$P224)/SUMPRODUCT($C$206:$C224,$P$206:$P224),"")</f>
        <v>29.115342017755179</v>
      </c>
    </row>
    <row r="225" spans="1:101" x14ac:dyDescent="0.25">
      <c r="A225" s="97">
        <f t="shared" si="335"/>
        <v>1</v>
      </c>
      <c r="B225" s="25">
        <f t="shared" si="336"/>
        <v>2015</v>
      </c>
      <c r="C225" s="84">
        <v>100000</v>
      </c>
      <c r="D225" s="13">
        <f t="shared" ca="1" si="337"/>
        <v>0</v>
      </c>
      <c r="E225" s="44">
        <f t="shared" ca="1" si="338"/>
        <v>0.81409437063611556</v>
      </c>
      <c r="F225" s="175">
        <f t="shared" ca="1" si="345"/>
        <v>0</v>
      </c>
      <c r="G225" s="13">
        <f t="shared" ca="1" si="339"/>
        <v>-1801525.0132146031</v>
      </c>
      <c r="H225" s="117"/>
      <c r="I225" s="148" t="str">
        <f t="shared" ca="1" si="344"/>
        <v>CL</v>
      </c>
      <c r="J225" s="13">
        <f t="shared" ca="1" si="340"/>
        <v>0</v>
      </c>
      <c r="K225" s="44" t="str">
        <f t="shared" ca="1" si="341"/>
        <v/>
      </c>
      <c r="M225" s="151">
        <f ca="1">IF((COUNTA($C$206:C224)-COUNTBLANK($C$206:C224))&lt;$M$204,"",SUM(OFFSET(J224,-$M$204+1,0,$M$204,1))/SUM(OFFSET(C224,-$M$204+1,0,$M$204,1))*C225)</f>
        <v>7889010.0145782782</v>
      </c>
      <c r="N225" s="13"/>
      <c r="O225" s="51">
        <f t="shared" ca="1" si="342"/>
        <v>0</v>
      </c>
      <c r="P225" s="1">
        <v>1</v>
      </c>
      <c r="Q225" s="52">
        <f ca="1">IFERROR(SUMPRODUCT($J$206:$J225,$P$206:$P225)/SUMPRODUCT($C$206:$C225,$P$206:$P225),"")</f>
        <v>27.65957491686742</v>
      </c>
    </row>
    <row r="226" spans="1:101" x14ac:dyDescent="0.25">
      <c r="A226" s="97">
        <f t="shared" si="335"/>
        <v>1</v>
      </c>
      <c r="B226" s="25">
        <f t="shared" si="336"/>
        <v>2016</v>
      </c>
      <c r="C226" s="84">
        <v>100000</v>
      </c>
      <c r="D226" s="13">
        <f t="shared" ca="1" si="337"/>
        <v>4499612</v>
      </c>
      <c r="E226" s="44">
        <f t="shared" ca="1" si="338"/>
        <v>0.77687308952220568</v>
      </c>
      <c r="F226" s="175">
        <f t="shared" ca="1" si="345"/>
        <v>3495627.4760911912</v>
      </c>
      <c r="G226" s="13">
        <f t="shared" ca="1" si="339"/>
        <v>3282850.8231527274</v>
      </c>
      <c r="H226" s="117"/>
      <c r="I226" s="148" t="str">
        <f t="shared" ca="1" si="344"/>
        <v>CL</v>
      </c>
      <c r="J226" s="13">
        <f t="shared" ca="1" si="340"/>
        <v>3495627.4760911912</v>
      </c>
      <c r="K226" s="44">
        <f t="shared" ca="1" si="341"/>
        <v>0.77687308952220568</v>
      </c>
      <c r="M226" s="151">
        <f ca="1">IF((COUNTA($C$206:C225)-COUNTBLANK($C$206:C225))&lt;$M$204,"",SUM(OFFSET(J225,-$M$204+1,0,$M$204,1))/SUM(OFFSET(C225,-$M$204+1,0,$M$204,1))*C226)</f>
        <v>4236463.5114780953</v>
      </c>
      <c r="N226" s="13"/>
      <c r="O226" s="51">
        <f t="shared" ca="1" si="342"/>
        <v>34.95627476091191</v>
      </c>
      <c r="P226" s="1">
        <v>1</v>
      </c>
      <c r="Q226" s="52">
        <f ca="1">IFERROR(SUMPRODUCT($J$206:$J226,$P$206:$P226)/SUMPRODUCT($C$206:$C226,$P$206:$P226),"")</f>
        <v>28.007036814202873</v>
      </c>
    </row>
    <row r="227" spans="1:101" x14ac:dyDescent="0.25">
      <c r="A227" s="97">
        <f t="shared" si="335"/>
        <v>1</v>
      </c>
      <c r="B227" s="25">
        <f t="shared" si="336"/>
        <v>2017</v>
      </c>
      <c r="C227" s="84">
        <v>100000</v>
      </c>
      <c r="D227" s="13">
        <f t="shared" ca="1" si="337"/>
        <v>15794218</v>
      </c>
      <c r="E227" s="44">
        <f t="shared" ca="1" si="338"/>
        <v>0.85957583357901912</v>
      </c>
      <c r="F227" s="175">
        <f t="shared" ca="1" si="345"/>
        <v>13576328.103078749</v>
      </c>
      <c r="G227" s="13">
        <f t="shared" ca="1" si="339"/>
        <v>14911776.50693235</v>
      </c>
      <c r="H227" s="117"/>
      <c r="I227" s="148" t="str">
        <f t="shared" ca="1" si="344"/>
        <v>CL</v>
      </c>
      <c r="J227" s="13">
        <f t="shared" ca="1" si="340"/>
        <v>13576328.103078749</v>
      </c>
      <c r="K227" s="44">
        <f t="shared" ca="1" si="341"/>
        <v>0.85957583357901912</v>
      </c>
      <c r="M227" s="151">
        <f ca="1">IF((COUNTA($C$206:C226)-COUNTBLANK($C$206:C226))&lt;$M$204,"",SUM(OFFSET(J226,-$M$204+1,0,$M$204,1))/SUM(OFFSET(C226,-$M$204+1,0,$M$204,1))*C227)</f>
        <v>5401672.6701751584</v>
      </c>
      <c r="N227" s="13"/>
      <c r="O227" s="51">
        <f t="shared" ca="1" si="342"/>
        <v>135.76328103078748</v>
      </c>
      <c r="P227" s="1">
        <v>1</v>
      </c>
      <c r="Q227" s="52">
        <f ca="1">IFERROR(SUMPRODUCT($J$206:$J227,$P$206:$P227)/SUMPRODUCT($C$206:$C227,$P$206:$P227),"")</f>
        <v>32.905047914956718</v>
      </c>
    </row>
    <row r="228" spans="1:101" x14ac:dyDescent="0.25">
      <c r="A228" s="97">
        <f t="shared" si="335"/>
        <v>1</v>
      </c>
      <c r="B228" s="25">
        <f t="shared" si="336"/>
        <v>2018</v>
      </c>
      <c r="C228" s="84">
        <v>100000</v>
      </c>
      <c r="D228" s="13">
        <f t="shared" ca="1" si="337"/>
        <v>5770102</v>
      </c>
      <c r="E228" s="44">
        <f t="shared" ca="1" si="338"/>
        <v>1.6434227212944688</v>
      </c>
      <c r="F228" s="175">
        <f ca="1">IF(D228="","",D228*E228)</f>
        <v>9482716.7309866566</v>
      </c>
      <c r="G228" s="13">
        <f t="shared" ca="1" si="339"/>
        <v>7998070.8956950568</v>
      </c>
      <c r="H228" s="117"/>
      <c r="I228" s="148" t="str">
        <f t="shared" ca="1" si="344"/>
        <v>BF</v>
      </c>
      <c r="J228" s="13">
        <f ca="1">IF(I228="CL",F228,IF(I228="BF",G228,H228))</f>
        <v>7998070.8956950568</v>
      </c>
      <c r="K228" s="44">
        <f t="shared" ca="1" si="341"/>
        <v>1.3861229655377074</v>
      </c>
      <c r="M228" s="151">
        <f ca="1">IF((COUNTA($C$206:C227)-COUNTBLANK($C$206:C227))&lt;$M$204,"",SUM(OFFSET(J227,-$M$204+1,0,$M$204,1))/SUM(OFFSET(C227,-$M$204+1,0,$M$204,1))*C228)</f>
        <v>5690651.8597233128</v>
      </c>
      <c r="N228" s="13"/>
      <c r="O228" s="51">
        <f t="shared" ca="1" si="342"/>
        <v>79.980708956950565</v>
      </c>
      <c r="P228" s="1">
        <v>1</v>
      </c>
      <c r="Q228" s="52">
        <f ca="1">IFERROR(SUMPRODUCT($J$206:$J228,$P$206:$P228)/SUMPRODUCT($C$206:$C228,$P$206:$P228),"")</f>
        <v>34.951815786347758</v>
      </c>
    </row>
    <row r="229" spans="1:101" x14ac:dyDescent="0.25">
      <c r="A229" s="97">
        <f t="shared" si="335"/>
        <v>1</v>
      </c>
      <c r="B229" s="25">
        <f>D9</f>
        <v>2019</v>
      </c>
      <c r="C229" s="84">
        <v>100000</v>
      </c>
      <c r="D229" s="13">
        <f t="shared" ca="1" si="337"/>
        <v>0</v>
      </c>
      <c r="E229" s="44">
        <f ca="1">IF(C65=1,OFFSET($C$199,0,CT65),"")</f>
        <v>4.0804507665582399</v>
      </c>
      <c r="F229" s="175">
        <f t="shared" ca="1" si="345"/>
        <v>0</v>
      </c>
      <c r="G229" s="13">
        <f t="shared" ca="1" si="339"/>
        <v>6308696.9790245593</v>
      </c>
      <c r="H229" s="117"/>
      <c r="I229" s="148" t="str">
        <f t="shared" ca="1" si="344"/>
        <v>BF</v>
      </c>
      <c r="J229" s="13">
        <f t="shared" ca="1" si="340"/>
        <v>6308696.9790245593</v>
      </c>
      <c r="K229" s="44" t="str">
        <f t="shared" ca="1" si="341"/>
        <v/>
      </c>
      <c r="M229" s="151">
        <f ca="1">IF((COUNTA($C$206:C228)-COUNTBLANK($C$206:C228))&lt;$M$204,"",SUM(OFFSET(J228,-$M$204+1,0,$M$204,1))/SUM(OFFSET(C228,-$M$204+1,0,$M$204,1))*C229)</f>
        <v>8356675.4916216657</v>
      </c>
      <c r="N229" s="13"/>
      <c r="O229" s="51">
        <f t="shared" ca="1" si="342"/>
        <v>63.08696979024559</v>
      </c>
      <c r="P229" s="1">
        <v>1</v>
      </c>
      <c r="Q229" s="52">
        <f ca="1">IFERROR(SUMPRODUCT($J$206:$J229,$P$206:$P229)/SUMPRODUCT($C$206:$C229,$P$206:$P229),"")</f>
        <v>36.124113869843505</v>
      </c>
    </row>
    <row r="230" spans="1:101" x14ac:dyDescent="0.25">
      <c r="A230" s="97">
        <v>1</v>
      </c>
    </row>
    <row r="231" spans="1:101" ht="15" customHeight="1" x14ac:dyDescent="0.25">
      <c r="A231" s="97">
        <v>1</v>
      </c>
      <c r="CT231" s="12"/>
    </row>
    <row r="232" spans="1:101" x14ac:dyDescent="0.25">
      <c r="A232" s="97">
        <v>1</v>
      </c>
      <c r="B232" s="19" t="s">
        <v>30</v>
      </c>
      <c r="CQ232" s="12"/>
      <c r="CR232" s="12"/>
      <c r="CS232" s="12"/>
      <c r="CT232" s="12"/>
      <c r="CU232" s="12"/>
      <c r="CV232" s="12"/>
      <c r="CW232" s="12"/>
    </row>
    <row r="233" spans="1:101" x14ac:dyDescent="0.25">
      <c r="A233" s="97">
        <v>1</v>
      </c>
      <c r="B233" s="53" t="s">
        <v>42</v>
      </c>
      <c r="C233" s="24">
        <v>0</v>
      </c>
      <c r="D233" s="22">
        <v>1</v>
      </c>
      <c r="E233" s="23">
        <f t="shared" ref="E233:BP233" si="346">D233+1</f>
        <v>2</v>
      </c>
      <c r="F233" s="23">
        <f t="shared" si="346"/>
        <v>3</v>
      </c>
      <c r="G233" s="23">
        <f t="shared" si="346"/>
        <v>4</v>
      </c>
      <c r="H233" s="23">
        <f t="shared" si="346"/>
        <v>5</v>
      </c>
      <c r="I233" s="23">
        <f t="shared" si="346"/>
        <v>6</v>
      </c>
      <c r="J233" s="23">
        <f t="shared" si="346"/>
        <v>7</v>
      </c>
      <c r="K233" s="23">
        <f t="shared" si="346"/>
        <v>8</v>
      </c>
      <c r="L233" s="23">
        <f t="shared" si="346"/>
        <v>9</v>
      </c>
      <c r="M233" s="23">
        <f t="shared" si="346"/>
        <v>10</v>
      </c>
      <c r="N233" s="23">
        <f t="shared" si="346"/>
        <v>11</v>
      </c>
      <c r="O233" s="23">
        <f t="shared" si="346"/>
        <v>12</v>
      </c>
      <c r="P233" s="23">
        <f t="shared" si="346"/>
        <v>13</v>
      </c>
      <c r="Q233" s="23">
        <f t="shared" si="346"/>
        <v>14</v>
      </c>
      <c r="R233" s="23">
        <f t="shared" si="346"/>
        <v>15</v>
      </c>
      <c r="S233" s="23">
        <f t="shared" si="346"/>
        <v>16</v>
      </c>
      <c r="T233" s="23">
        <f t="shared" si="346"/>
        <v>17</v>
      </c>
      <c r="U233" s="23">
        <f t="shared" si="346"/>
        <v>18</v>
      </c>
      <c r="V233" s="23">
        <f t="shared" si="346"/>
        <v>19</v>
      </c>
      <c r="W233" s="23">
        <f t="shared" si="346"/>
        <v>20</v>
      </c>
      <c r="X233" s="23">
        <f t="shared" si="346"/>
        <v>21</v>
      </c>
      <c r="Y233" s="23">
        <f t="shared" si="346"/>
        <v>22</v>
      </c>
      <c r="Z233" s="23">
        <f t="shared" si="346"/>
        <v>23</v>
      </c>
      <c r="AA233" s="23">
        <f t="shared" si="346"/>
        <v>24</v>
      </c>
      <c r="AB233" s="23">
        <f t="shared" si="346"/>
        <v>25</v>
      </c>
      <c r="AC233" s="23">
        <f t="shared" si="346"/>
        <v>26</v>
      </c>
      <c r="AD233" s="23">
        <f t="shared" si="346"/>
        <v>27</v>
      </c>
      <c r="AE233" s="23">
        <f t="shared" si="346"/>
        <v>28</v>
      </c>
      <c r="AF233" s="23">
        <f t="shared" si="346"/>
        <v>29</v>
      </c>
      <c r="AG233" s="23">
        <f t="shared" si="346"/>
        <v>30</v>
      </c>
      <c r="AH233" s="23">
        <f t="shared" si="346"/>
        <v>31</v>
      </c>
      <c r="AI233" s="23">
        <f t="shared" si="346"/>
        <v>32</v>
      </c>
      <c r="AJ233" s="23">
        <f t="shared" si="346"/>
        <v>33</v>
      </c>
      <c r="AK233" s="23">
        <f t="shared" si="346"/>
        <v>34</v>
      </c>
      <c r="AL233" s="23">
        <f t="shared" si="346"/>
        <v>35</v>
      </c>
      <c r="AM233" s="23">
        <f t="shared" si="346"/>
        <v>36</v>
      </c>
      <c r="AN233" s="23">
        <f t="shared" si="346"/>
        <v>37</v>
      </c>
      <c r="AO233" s="23">
        <f t="shared" si="346"/>
        <v>38</v>
      </c>
      <c r="AP233" s="23">
        <f t="shared" si="346"/>
        <v>39</v>
      </c>
      <c r="AQ233" s="23">
        <f t="shared" si="346"/>
        <v>40</v>
      </c>
      <c r="AR233" s="23">
        <f t="shared" si="346"/>
        <v>41</v>
      </c>
      <c r="AS233" s="23">
        <f t="shared" si="346"/>
        <v>42</v>
      </c>
      <c r="AT233" s="23">
        <f t="shared" si="346"/>
        <v>43</v>
      </c>
      <c r="AU233" s="23">
        <f t="shared" si="346"/>
        <v>44</v>
      </c>
      <c r="AV233" s="23">
        <f t="shared" si="346"/>
        <v>45</v>
      </c>
      <c r="AW233" s="23">
        <f t="shared" si="346"/>
        <v>46</v>
      </c>
      <c r="AX233" s="23">
        <f t="shared" si="346"/>
        <v>47</v>
      </c>
      <c r="AY233" s="23">
        <f t="shared" si="346"/>
        <v>48</v>
      </c>
      <c r="AZ233" s="23">
        <f t="shared" si="346"/>
        <v>49</v>
      </c>
      <c r="BA233" s="23">
        <f t="shared" si="346"/>
        <v>50</v>
      </c>
      <c r="BB233" s="23">
        <f t="shared" si="346"/>
        <v>51</v>
      </c>
      <c r="BC233" s="23">
        <f t="shared" si="346"/>
        <v>52</v>
      </c>
      <c r="BD233" s="23">
        <f t="shared" si="346"/>
        <v>53</v>
      </c>
      <c r="BE233" s="23">
        <f t="shared" si="346"/>
        <v>54</v>
      </c>
      <c r="BF233" s="23">
        <f t="shared" si="346"/>
        <v>55</v>
      </c>
      <c r="BG233" s="23">
        <f t="shared" si="346"/>
        <v>56</v>
      </c>
      <c r="BH233" s="23">
        <f t="shared" si="346"/>
        <v>57</v>
      </c>
      <c r="BI233" s="23">
        <f t="shared" si="346"/>
        <v>58</v>
      </c>
      <c r="BJ233" s="23">
        <f t="shared" si="346"/>
        <v>59</v>
      </c>
      <c r="BK233" s="23">
        <f t="shared" si="346"/>
        <v>60</v>
      </c>
      <c r="BL233" s="23">
        <f t="shared" si="346"/>
        <v>61</v>
      </c>
      <c r="BM233" s="23">
        <f t="shared" si="346"/>
        <v>62</v>
      </c>
      <c r="BN233" s="23">
        <f t="shared" si="346"/>
        <v>63</v>
      </c>
      <c r="BO233" s="23">
        <f t="shared" si="346"/>
        <v>64</v>
      </c>
      <c r="BP233" s="23">
        <f t="shared" si="346"/>
        <v>65</v>
      </c>
      <c r="BQ233" s="23">
        <f t="shared" ref="BQ233:CP233" si="347">BP233+1</f>
        <v>66</v>
      </c>
      <c r="BR233" s="23">
        <f t="shared" si="347"/>
        <v>67</v>
      </c>
      <c r="BS233" s="23">
        <f t="shared" si="347"/>
        <v>68</v>
      </c>
      <c r="BT233" s="23">
        <f t="shared" si="347"/>
        <v>69</v>
      </c>
      <c r="BU233" s="23">
        <f t="shared" si="347"/>
        <v>70</v>
      </c>
      <c r="BV233" s="23">
        <f t="shared" si="347"/>
        <v>71</v>
      </c>
      <c r="BW233" s="23">
        <f t="shared" si="347"/>
        <v>72</v>
      </c>
      <c r="BX233" s="23">
        <f t="shared" si="347"/>
        <v>73</v>
      </c>
      <c r="BY233" s="23">
        <f t="shared" si="347"/>
        <v>74</v>
      </c>
      <c r="BZ233" s="23">
        <f t="shared" si="347"/>
        <v>75</v>
      </c>
      <c r="CA233" s="23">
        <f t="shared" si="347"/>
        <v>76</v>
      </c>
      <c r="CB233" s="23">
        <f t="shared" si="347"/>
        <v>77</v>
      </c>
      <c r="CC233" s="23">
        <f t="shared" si="347"/>
        <v>78</v>
      </c>
      <c r="CD233" s="23">
        <f t="shared" si="347"/>
        <v>79</v>
      </c>
      <c r="CE233" s="23">
        <f t="shared" si="347"/>
        <v>80</v>
      </c>
      <c r="CF233" s="23">
        <f t="shared" si="347"/>
        <v>81</v>
      </c>
      <c r="CG233" s="23">
        <f t="shared" si="347"/>
        <v>82</v>
      </c>
      <c r="CH233" s="23">
        <f t="shared" si="347"/>
        <v>83</v>
      </c>
      <c r="CI233" s="23">
        <f t="shared" si="347"/>
        <v>84</v>
      </c>
      <c r="CJ233" s="23">
        <f t="shared" si="347"/>
        <v>85</v>
      </c>
      <c r="CK233" s="23">
        <f t="shared" si="347"/>
        <v>86</v>
      </c>
      <c r="CL233" s="23">
        <f t="shared" si="347"/>
        <v>87</v>
      </c>
      <c r="CM233" s="23">
        <f t="shared" si="347"/>
        <v>88</v>
      </c>
      <c r="CN233" s="23">
        <f t="shared" si="347"/>
        <v>89</v>
      </c>
      <c r="CO233" s="23">
        <f t="shared" si="347"/>
        <v>90</v>
      </c>
      <c r="CP233" s="23">
        <f t="shared" si="347"/>
        <v>91</v>
      </c>
      <c r="CQ233" s="23">
        <f t="shared" ref="CQ233" si="348">CP233+1</f>
        <v>92</v>
      </c>
      <c r="CR233" s="23">
        <f t="shared" ref="CR233" si="349">CQ233+1</f>
        <v>93</v>
      </c>
      <c r="CS233" s="23">
        <f t="shared" ref="CS233" si="350">CR233+1</f>
        <v>94</v>
      </c>
      <c r="CT233" s="118"/>
      <c r="CU233" s="118"/>
      <c r="CV233" s="118"/>
      <c r="CW233" s="142"/>
    </row>
    <row r="234" spans="1:101" hidden="1" x14ac:dyDescent="0.25">
      <c r="A234" s="97">
        <f>A14</f>
        <v>0</v>
      </c>
      <c r="B234" s="29">
        <f t="shared" ref="B234:B255" si="351">B206</f>
        <v>1996</v>
      </c>
      <c r="C234" s="154" t="str">
        <f>IFERROR(IF(AND(INDEX($AA$263:$AA$284,MATCH($B234,$Y$263:$Y$284,0))=1,C42=1),0,""),"")</f>
        <v/>
      </c>
      <c r="D234" s="110" t="e">
        <f>IF(C42=1,IF(C$13&lt;=COUNT($C14:$CS14),IF(INDEX($F$206:$F$229,MATCH($B234,$B$206:$B$229,FALSE))=0,NA(),INDEX(C$14:C$37,MATCH($B234,$B$14:$B$37,FALSE))/INDEX($F$206:$F$229,MATCH($B234,$B$206:$B$229,FALSE))),NA()),NA())</f>
        <v>#N/A</v>
      </c>
      <c r="E234" s="111" t="e">
        <f>IF(D42=1,IF(D$13&lt;=COUNT($C14:$CS14),IF(INDEX($F$206:$F$229,MATCH($B234,$B$206:$B$229,FALSE))=0,NA(),INDEX(D$14:D$37,MATCH($B234,$B$14:$B$37,FALSE))/INDEX($F$206:$F$229,MATCH($B234,$B$206:$B$229,FALSE))),NA()),NA())</f>
        <v>#N/A</v>
      </c>
      <c r="F234" s="111" t="e">
        <f>IF(E42=1,IF(E$13&lt;=COUNT($C14:$CS14),IF(INDEX($F$206:$F$229,MATCH($B234,$B$206:$B$229,FALSE))=0,NA(),INDEX(E$14:E$37,MATCH($B234,$B$14:$B$37,FALSE))/INDEX($F$206:$F$229,MATCH($B234,$B$206:$B$229,FALSE))),NA()),NA())</f>
        <v>#N/A</v>
      </c>
      <c r="G234" s="111" t="e">
        <f>IF(F42=1,IF(F$13&lt;=COUNT($C14:$CS14),IF(INDEX($F$206:$F$229,MATCH($B234,$B$206:$B$229,FALSE))=0,NA(),INDEX(F$14:F$37,MATCH($B234,$B$14:$B$37,FALSE))/INDEX($F$206:$F$229,MATCH($B234,$B$206:$B$229,FALSE))),NA()),NA())</f>
        <v>#N/A</v>
      </c>
      <c r="H234" s="111" t="e">
        <f>IF(G42=1,IF(G$13&lt;=COUNT($C14:$CS14),IF(INDEX($F$206:$F$229,MATCH($B234,$B$206:$B$229,FALSE))=0,NA(),INDEX(G$14:G$37,MATCH($B234,$B$14:$B$37,FALSE))/INDEX($F$206:$F$229,MATCH($B234,$B$206:$B$229,FALSE))),NA()),NA())</f>
        <v>#N/A</v>
      </c>
      <c r="I234" s="111" t="e">
        <f>IF(H42=1,IF(H$13&lt;=COUNT($C14:$CS14),IF(INDEX($F$206:$F$229,MATCH($B234,$B$206:$B$229,FALSE))=0,NA(),INDEX(H$14:H$37,MATCH($B234,$B$14:$B$37,FALSE))/INDEX($F$206:$F$229,MATCH($B234,$B$206:$B$229,FALSE))),NA()),NA())</f>
        <v>#N/A</v>
      </c>
      <c r="J234" s="111" t="e">
        <f>IF(I42=1,IF(I$13&lt;=COUNT($C14:$CS14),IF(INDEX($F$206:$F$229,MATCH($B234,$B$206:$B$229,FALSE))=0,NA(),INDEX(I$14:I$37,MATCH($B234,$B$14:$B$37,FALSE))/INDEX($F$206:$F$229,MATCH($B234,$B$206:$B$229,FALSE))),NA()),NA())</f>
        <v>#N/A</v>
      </c>
      <c r="K234" s="111" t="e">
        <f>IF(J42=1,IF(J$13&lt;=COUNT($C14:$CS14),IF(INDEX($F$206:$F$229,MATCH($B234,$B$206:$B$229,FALSE))=0,NA(),INDEX(J$14:J$37,MATCH($B234,$B$14:$B$37,FALSE))/INDEX($F$206:$F$229,MATCH($B234,$B$206:$B$229,FALSE))),NA()),NA())</f>
        <v>#N/A</v>
      </c>
      <c r="L234" s="111" t="e">
        <f>IF(K42=1,IF(K$13&lt;=COUNT($C14:$CS14),IF(INDEX($F$206:$F$229,MATCH($B234,$B$206:$B$229,FALSE))=0,NA(),INDEX(K$14:K$37,MATCH($B234,$B$14:$B$37,FALSE))/INDEX($F$206:$F$229,MATCH($B234,$B$206:$B$229,FALSE))),NA()),NA())</f>
        <v>#N/A</v>
      </c>
      <c r="M234" s="111" t="e">
        <f>IF(L42=1,IF(L$13&lt;=COUNT($C14:$CS14),IF(INDEX($F$206:$F$229,MATCH($B234,$B$206:$B$229,FALSE))=0,NA(),INDEX(L$14:L$37,MATCH($B234,$B$14:$B$37,FALSE))/INDEX($F$206:$F$229,MATCH($B234,$B$206:$B$229,FALSE))),NA()),NA())</f>
        <v>#N/A</v>
      </c>
      <c r="N234" s="111" t="e">
        <f>IF(M42=1,IF(M$13&lt;=COUNT($C14:$CS14),IF(INDEX($F$206:$F$229,MATCH($B234,$B$206:$B$229,FALSE))=0,NA(),INDEX(M$14:M$37,MATCH($B234,$B$14:$B$37,FALSE))/INDEX($F$206:$F$229,MATCH($B234,$B$206:$B$229,FALSE))),NA()),NA())</f>
        <v>#N/A</v>
      </c>
      <c r="O234" s="111" t="e">
        <f>IF(N42=1,IF(N$13&lt;=COUNT($C14:$CS14),IF(INDEX($F$206:$F$229,MATCH($B234,$B$206:$B$229,FALSE))=0,NA(),INDEX(N$14:N$37,MATCH($B234,$B$14:$B$37,FALSE))/INDEX($F$206:$F$229,MATCH($B234,$B$206:$B$229,FALSE))),NA()),NA())</f>
        <v>#N/A</v>
      </c>
      <c r="P234" s="111" t="e">
        <f>IF(O42=1,IF(O$13&lt;=COUNT($C14:$CS14),IF(INDEX($F$206:$F$229,MATCH($B234,$B$206:$B$229,FALSE))=0,NA(),INDEX(O$14:O$37,MATCH($B234,$B$14:$B$37,FALSE))/INDEX($F$206:$F$229,MATCH($B234,$B$206:$B$229,FALSE))),NA()),NA())</f>
        <v>#N/A</v>
      </c>
      <c r="Q234" s="111" t="e">
        <f>IF(P42=1,IF(P$13&lt;=COUNT($C14:$CS14),IF(INDEX($F$206:$F$229,MATCH($B234,$B$206:$B$229,FALSE))=0,NA(),INDEX(P$14:P$37,MATCH($B234,$B$14:$B$37,FALSE))/INDEX($F$206:$F$229,MATCH($B234,$B$206:$B$229,FALSE))),NA()),NA())</f>
        <v>#N/A</v>
      </c>
      <c r="R234" s="111" t="e">
        <f>IF(Q42=1,IF(Q$13&lt;=COUNT($C14:$CS14),IF(INDEX($F$206:$F$229,MATCH($B234,$B$206:$B$229,FALSE))=0,NA(),INDEX(Q$14:Q$37,MATCH($B234,$B$14:$B$37,FALSE))/INDEX($F$206:$F$229,MATCH($B234,$B$206:$B$229,FALSE))),NA()),NA())</f>
        <v>#N/A</v>
      </c>
      <c r="S234" s="111" t="e">
        <f>IF(R42=1,IF(R$13&lt;=COUNT($C14:$CS14),IF(INDEX($F$206:$F$229,MATCH($B234,$B$206:$B$229,FALSE))=0,NA(),INDEX(R$14:R$37,MATCH($B234,$B$14:$B$37,FALSE))/INDEX($F$206:$F$229,MATCH($B234,$B$206:$B$229,FALSE))),NA()),NA())</f>
        <v>#N/A</v>
      </c>
      <c r="T234" s="111" t="e">
        <f>IF(S42=1,IF(S$13&lt;=COUNT($C14:$CS14),IF(INDEX($F$206:$F$229,MATCH($B234,$B$206:$B$229,FALSE))=0,NA(),INDEX(S$14:S$37,MATCH($B234,$B$14:$B$37,FALSE))/INDEX($F$206:$F$229,MATCH($B234,$B$206:$B$229,FALSE))),NA()),NA())</f>
        <v>#N/A</v>
      </c>
      <c r="U234" s="111" t="e">
        <f>IF(T42=1,IF(T$13&lt;=COUNT($C14:$CS14),IF(INDEX($F$206:$F$229,MATCH($B234,$B$206:$B$229,FALSE))=0,NA(),INDEX(T$14:T$37,MATCH($B234,$B$14:$B$37,FALSE))/INDEX($F$206:$F$229,MATCH($B234,$B$206:$B$229,FALSE))),NA()),NA())</f>
        <v>#N/A</v>
      </c>
      <c r="V234" s="111" t="e">
        <f>IF(U42=1,IF(U$13&lt;=COUNT($C14:$CS14),IF(INDEX($F$206:$F$229,MATCH($B234,$B$206:$B$229,FALSE))=0,NA(),INDEX(U$14:U$37,MATCH($B234,$B$14:$B$37,FALSE))/INDEX($F$206:$F$229,MATCH($B234,$B$206:$B$229,FALSE))),NA()),NA())</f>
        <v>#N/A</v>
      </c>
      <c r="W234" s="111" t="e">
        <f>IF(V42=1,IF(V$13&lt;=COUNT($C14:$CS14),IF(INDEX($F$206:$F$229,MATCH($B234,$B$206:$B$229,FALSE))=0,NA(),INDEX(V$14:V$37,MATCH($B234,$B$14:$B$37,FALSE))/INDEX($F$206:$F$229,MATCH($B234,$B$206:$B$229,FALSE))),NA()),NA())</f>
        <v>#N/A</v>
      </c>
      <c r="X234" s="111" t="e">
        <f>IF(W42=1,IF(W$13&lt;=COUNT($C14:$CS14),IF(INDEX($F$206:$F$229,MATCH($B234,$B$206:$B$229,FALSE))=0,NA(),INDEX(W$14:W$37,MATCH($B234,$B$14:$B$37,FALSE))/INDEX($F$206:$F$229,MATCH($B234,$B$206:$B$229,FALSE))),NA()),NA())</f>
        <v>#N/A</v>
      </c>
      <c r="Y234" s="111" t="e">
        <f>IF(X42=1,IF(X$13&lt;=COUNT($C14:$CS14),IF(INDEX($F$206:$F$229,MATCH($B234,$B$206:$B$229,FALSE))=0,NA(),INDEX(X$14:X$37,MATCH($B234,$B$14:$B$37,FALSE))/INDEX($F$206:$F$229,MATCH($B234,$B$206:$B$229,FALSE))),NA()),NA())</f>
        <v>#N/A</v>
      </c>
      <c r="Z234" s="111" t="e">
        <f>IF(Y42=1,IF(Y$13&lt;=COUNT($C14:$CS14),IF(INDEX($F$206:$F$229,MATCH($B234,$B$206:$B$229,FALSE))=0,NA(),INDEX(Y$14:Y$37,MATCH($B234,$B$14:$B$37,FALSE))/INDEX($F$206:$F$229,MATCH($B234,$B$206:$B$229,FALSE))),NA()),NA())</f>
        <v>#N/A</v>
      </c>
      <c r="AA234" s="111" t="e">
        <f>IF(Z42=1,IF(Z$13&lt;=COUNT($C14:$CS14),IF(INDEX($F$206:$F$229,MATCH($B234,$B$206:$B$229,FALSE))=0,NA(),INDEX(Z$14:Z$37,MATCH($B234,$B$14:$B$37,FALSE))/INDEX($F$206:$F$229,MATCH($B234,$B$206:$B$229,FALSE))),NA()),NA())</f>
        <v>#N/A</v>
      </c>
      <c r="AB234" s="111" t="e">
        <f>IF(AA42=1,IF(AA$13&lt;=COUNT($C14:$CS14),IF(INDEX($F$206:$F$229,MATCH($B234,$B$206:$B$229,FALSE))=0,NA(),INDEX(AA$14:AA$37,MATCH($B234,$B$14:$B$37,FALSE))/INDEX($F$206:$F$229,MATCH($B234,$B$206:$B$229,FALSE))),NA()),NA())</f>
        <v>#N/A</v>
      </c>
      <c r="AC234" s="111" t="e">
        <f>IF(AB42=1,IF(AB$13&lt;=COUNT($C14:$CS14),IF(INDEX($F$206:$F$229,MATCH($B234,$B$206:$B$229,FALSE))=0,NA(),INDEX(AB$14:AB$37,MATCH($B234,$B$14:$B$37,FALSE))/INDEX($F$206:$F$229,MATCH($B234,$B$206:$B$229,FALSE))),NA()),NA())</f>
        <v>#N/A</v>
      </c>
      <c r="AD234" s="111" t="e">
        <f>IF(AC42=1,IF(AC$13&lt;=COUNT($C14:$CS14),IF(INDEX($F$206:$F$229,MATCH($B234,$B$206:$B$229,FALSE))=0,NA(),INDEX(AC$14:AC$37,MATCH($B234,$B$14:$B$37,FALSE))/INDEX($F$206:$F$229,MATCH($B234,$B$206:$B$229,FALSE))),NA()),NA())</f>
        <v>#N/A</v>
      </c>
      <c r="AE234" s="111" t="e">
        <f>IF(AD42=1,IF(AD$13&lt;=COUNT($C14:$CS14),IF(INDEX($F$206:$F$229,MATCH($B234,$B$206:$B$229,FALSE))=0,NA(),INDEX(AD$14:AD$37,MATCH($B234,$B$14:$B$37,FALSE))/INDEX($F$206:$F$229,MATCH($B234,$B$206:$B$229,FALSE))),NA()),NA())</f>
        <v>#N/A</v>
      </c>
      <c r="AF234" s="111" t="e">
        <f>IF(AE42=1,IF(AE$13&lt;=COUNT($C14:$CS14),IF(INDEX($F$206:$F$229,MATCH($B234,$B$206:$B$229,FALSE))=0,NA(),INDEX(AE$14:AE$37,MATCH($B234,$B$14:$B$37,FALSE))/INDEX($F$206:$F$229,MATCH($B234,$B$206:$B$229,FALSE))),NA()),NA())</f>
        <v>#N/A</v>
      </c>
      <c r="AG234" s="111" t="e">
        <f>IF(AF42=1,IF(AF$13&lt;=COUNT($C14:$CS14),IF(INDEX($F$206:$F$229,MATCH($B234,$B$206:$B$229,FALSE))=0,NA(),INDEX(AF$14:AF$37,MATCH($B234,$B$14:$B$37,FALSE))/INDEX($F$206:$F$229,MATCH($B234,$B$206:$B$229,FALSE))),NA()),NA())</f>
        <v>#N/A</v>
      </c>
      <c r="AH234" s="111" t="e">
        <f>IF(AG42=1,IF(AG$13&lt;=COUNT($C14:$CS14),IF(INDEX($F$206:$F$229,MATCH($B234,$B$206:$B$229,FALSE))=0,NA(),INDEX(AG$14:AG$37,MATCH($B234,$B$14:$B$37,FALSE))/INDEX($F$206:$F$229,MATCH($B234,$B$206:$B$229,FALSE))),NA()),NA())</f>
        <v>#N/A</v>
      </c>
      <c r="AI234" s="111" t="e">
        <f>IF(AH42=1,IF(AH$13&lt;=COUNT($C14:$CS14),IF(INDEX($F$206:$F$229,MATCH($B234,$B$206:$B$229,FALSE))=0,NA(),INDEX(AH$14:AH$37,MATCH($B234,$B$14:$B$37,FALSE))/INDEX($F$206:$F$229,MATCH($B234,$B$206:$B$229,FALSE))),NA()),NA())</f>
        <v>#N/A</v>
      </c>
      <c r="AJ234" s="111" t="e">
        <f>IF(AI42=1,IF(AI$13&lt;=COUNT($C14:$CS14),IF(INDEX($F$206:$F$229,MATCH($B234,$B$206:$B$229,FALSE))=0,NA(),INDEX(AI$14:AI$37,MATCH($B234,$B$14:$B$37,FALSE))/INDEX($F$206:$F$229,MATCH($B234,$B$206:$B$229,FALSE))),NA()),NA())</f>
        <v>#N/A</v>
      </c>
      <c r="AK234" s="111" t="e">
        <f>IF(AJ42=1,IF(AJ$13&lt;=COUNT($C14:$CS14),IF(INDEX($F$206:$F$229,MATCH($B234,$B$206:$B$229,FALSE))=0,NA(),INDEX(AJ$14:AJ$37,MATCH($B234,$B$14:$B$37,FALSE))/INDEX($F$206:$F$229,MATCH($B234,$B$206:$B$229,FALSE))),NA()),NA())</f>
        <v>#N/A</v>
      </c>
      <c r="AL234" s="111" t="e">
        <f>IF(AK42=1,IF(AK$13&lt;=COUNT($C14:$CS14),IF(INDEX($F$206:$F$229,MATCH($B234,$B$206:$B$229,FALSE))=0,NA(),INDEX(AK$14:AK$37,MATCH($B234,$B$14:$B$37,FALSE))/INDEX($F$206:$F$229,MATCH($B234,$B$206:$B$229,FALSE))),NA()),NA())</f>
        <v>#N/A</v>
      </c>
      <c r="AM234" s="111" t="e">
        <f>IF(AL42=1,IF(AL$13&lt;=COUNT($C14:$CS14),IF(INDEX($F$206:$F$229,MATCH($B234,$B$206:$B$229,FALSE))=0,NA(),INDEX(AL$14:AL$37,MATCH($B234,$B$14:$B$37,FALSE))/INDEX($F$206:$F$229,MATCH($B234,$B$206:$B$229,FALSE))),NA()),NA())</f>
        <v>#N/A</v>
      </c>
      <c r="AN234" s="111" t="e">
        <f>IF(AM42=1,IF(AM$13&lt;=COUNT($C14:$CS14),IF(INDEX($F$206:$F$229,MATCH($B234,$B$206:$B$229,FALSE))=0,NA(),INDEX(AM$14:AM$37,MATCH($B234,$B$14:$B$37,FALSE))/INDEX($F$206:$F$229,MATCH($B234,$B$206:$B$229,FALSE))),NA()),NA())</f>
        <v>#N/A</v>
      </c>
      <c r="AO234" s="111" t="e">
        <f>IF(AN42=1,IF(AN$13&lt;=COUNT($C14:$CS14),IF(INDEX($F$206:$F$229,MATCH($B234,$B$206:$B$229,FALSE))=0,NA(),INDEX(AN$14:AN$37,MATCH($B234,$B$14:$B$37,FALSE))/INDEX($F$206:$F$229,MATCH($B234,$B$206:$B$229,FALSE))),NA()),NA())</f>
        <v>#N/A</v>
      </c>
      <c r="AP234" s="111" t="e">
        <f>IF(AO42=1,IF(AO$13&lt;=COUNT($C14:$CS14),IF(INDEX($F$206:$F$229,MATCH($B234,$B$206:$B$229,FALSE))=0,NA(),INDEX(AO$14:AO$37,MATCH($B234,$B$14:$B$37,FALSE))/INDEX($F$206:$F$229,MATCH($B234,$B$206:$B$229,FALSE))),NA()),NA())</f>
        <v>#N/A</v>
      </c>
      <c r="AQ234" s="111" t="e">
        <f>IF(AP42=1,IF(AP$13&lt;=COUNT($C14:$CS14),IF(INDEX($F$206:$F$229,MATCH($B234,$B$206:$B$229,FALSE))=0,NA(),INDEX(AP$14:AP$37,MATCH($B234,$B$14:$B$37,FALSE))/INDEX($F$206:$F$229,MATCH($B234,$B$206:$B$229,FALSE))),NA()),NA())</f>
        <v>#N/A</v>
      </c>
      <c r="AR234" s="111" t="e">
        <f>IF(AQ42=1,IF(AQ$13&lt;=COUNT($C14:$CS14),IF(INDEX($F$206:$F$229,MATCH($B234,$B$206:$B$229,FALSE))=0,NA(),INDEX(AQ$14:AQ$37,MATCH($B234,$B$14:$B$37,FALSE))/INDEX($F$206:$F$229,MATCH($B234,$B$206:$B$229,FALSE))),NA()),NA())</f>
        <v>#N/A</v>
      </c>
      <c r="AS234" s="111" t="e">
        <f>IF(AR42=1,IF(AR$13&lt;=COUNT($C14:$CS14),IF(INDEX($F$206:$F$229,MATCH($B234,$B$206:$B$229,FALSE))=0,NA(),INDEX(AR$14:AR$37,MATCH($B234,$B$14:$B$37,FALSE))/INDEX($F$206:$F$229,MATCH($B234,$B$206:$B$229,FALSE))),NA()),NA())</f>
        <v>#N/A</v>
      </c>
      <c r="AT234" s="111" t="e">
        <f>IF(AS42=1,IF(AS$13&lt;=COUNT($C14:$CS14),IF(INDEX($F$206:$F$229,MATCH($B234,$B$206:$B$229,FALSE))=0,NA(),INDEX(AS$14:AS$37,MATCH($B234,$B$14:$B$37,FALSE))/INDEX($F$206:$F$229,MATCH($B234,$B$206:$B$229,FALSE))),NA()),NA())</f>
        <v>#N/A</v>
      </c>
      <c r="AU234" s="111" t="e">
        <f>IF(AT42=1,IF(AT$13&lt;=COUNT($C14:$CS14),IF(INDEX($F$206:$F$229,MATCH($B234,$B$206:$B$229,FALSE))=0,NA(),INDEX(AT$14:AT$37,MATCH($B234,$B$14:$B$37,FALSE))/INDEX($F$206:$F$229,MATCH($B234,$B$206:$B$229,FALSE))),NA()),NA())</f>
        <v>#N/A</v>
      </c>
      <c r="AV234" s="111" t="e">
        <f>IF(AU42=1,IF(AU$13&lt;=COUNT($C14:$CS14),IF(INDEX($F$206:$F$229,MATCH($B234,$B$206:$B$229,FALSE))=0,NA(),INDEX(AU$14:AU$37,MATCH($B234,$B$14:$B$37,FALSE))/INDEX($F$206:$F$229,MATCH($B234,$B$206:$B$229,FALSE))),NA()),NA())</f>
        <v>#N/A</v>
      </c>
      <c r="AW234" s="111" t="e">
        <f>IF(AV42=1,IF(AV$13&lt;=COUNT($C14:$CS14),IF(INDEX($F$206:$F$229,MATCH($B234,$B$206:$B$229,FALSE))=0,NA(),INDEX(AV$14:AV$37,MATCH($B234,$B$14:$B$37,FALSE))/INDEX($F$206:$F$229,MATCH($B234,$B$206:$B$229,FALSE))),NA()),NA())</f>
        <v>#N/A</v>
      </c>
      <c r="AX234" s="111" t="e">
        <f>IF(AW42=1,IF(AW$13&lt;=COUNT($C14:$CS14),IF(INDEX($F$206:$F$229,MATCH($B234,$B$206:$B$229,FALSE))=0,NA(),INDEX(AW$14:AW$37,MATCH($B234,$B$14:$B$37,FALSE))/INDEX($F$206:$F$229,MATCH($B234,$B$206:$B$229,FALSE))),NA()),NA())</f>
        <v>#N/A</v>
      </c>
      <c r="AY234" s="111" t="e">
        <f>IF(AX42=1,IF(AX$13&lt;=COUNT($C14:$CS14),IF(INDEX($F$206:$F$229,MATCH($B234,$B$206:$B$229,FALSE))=0,NA(),INDEX(AX$14:AX$37,MATCH($B234,$B$14:$B$37,FALSE))/INDEX($F$206:$F$229,MATCH($B234,$B$206:$B$229,FALSE))),NA()),NA())</f>
        <v>#N/A</v>
      </c>
      <c r="AZ234" s="111" t="e">
        <f>IF(AY42=1,IF(AY$13&lt;=COUNT($C14:$CS14),IF(INDEX($F$206:$F$229,MATCH($B234,$B$206:$B$229,FALSE))=0,NA(),INDEX(AY$14:AY$37,MATCH($B234,$B$14:$B$37,FALSE))/INDEX($F$206:$F$229,MATCH($B234,$B$206:$B$229,FALSE))),NA()),NA())</f>
        <v>#N/A</v>
      </c>
      <c r="BA234" s="111" t="e">
        <f>IF(AZ42=1,IF(AZ$13&lt;=COUNT($C14:$CS14),IF(INDEX($F$206:$F$229,MATCH($B234,$B$206:$B$229,FALSE))=0,NA(),INDEX(AZ$14:AZ$37,MATCH($B234,$B$14:$B$37,FALSE))/INDEX($F$206:$F$229,MATCH($B234,$B$206:$B$229,FALSE))),NA()),NA())</f>
        <v>#N/A</v>
      </c>
      <c r="BB234" s="111" t="e">
        <f>IF(BA42=1,IF(BA$13&lt;=COUNT($C14:$CS14),IF(INDEX($F$206:$F$229,MATCH($B234,$B$206:$B$229,FALSE))=0,NA(),INDEX(BA$14:BA$37,MATCH($B234,$B$14:$B$37,FALSE))/INDEX($F$206:$F$229,MATCH($B234,$B$206:$B$229,FALSE))),NA()),NA())</f>
        <v>#N/A</v>
      </c>
      <c r="BC234" s="111" t="e">
        <f>IF(BB42=1,IF(BB$13&lt;=COUNT($C14:$CS14),IF(INDEX($F$206:$F$229,MATCH($B234,$B$206:$B$229,FALSE))=0,NA(),INDEX(BB$14:BB$37,MATCH($B234,$B$14:$B$37,FALSE))/INDEX($F$206:$F$229,MATCH($B234,$B$206:$B$229,FALSE))),NA()),NA())</f>
        <v>#N/A</v>
      </c>
      <c r="BD234" s="111" t="e">
        <f>IF(BC42=1,IF(BC$13&lt;=COUNT($C14:$CS14),IF(INDEX($F$206:$F$229,MATCH($B234,$B$206:$B$229,FALSE))=0,NA(),INDEX(BC$14:BC$37,MATCH($B234,$B$14:$B$37,FALSE))/INDEX($F$206:$F$229,MATCH($B234,$B$206:$B$229,FALSE))),NA()),NA())</f>
        <v>#N/A</v>
      </c>
      <c r="BE234" s="111" t="e">
        <f>IF(BD42=1,IF(BD$13&lt;=COUNT($C14:$CS14),IF(INDEX($F$206:$F$229,MATCH($B234,$B$206:$B$229,FALSE))=0,NA(),INDEX(BD$14:BD$37,MATCH($B234,$B$14:$B$37,FALSE))/INDEX($F$206:$F$229,MATCH($B234,$B$206:$B$229,FALSE))),NA()),NA())</f>
        <v>#N/A</v>
      </c>
      <c r="BF234" s="111" t="e">
        <f>IF(BE42=1,IF(BE$13&lt;=COUNT($C14:$CS14),IF(INDEX($F$206:$F$229,MATCH($B234,$B$206:$B$229,FALSE))=0,NA(),INDEX(BE$14:BE$37,MATCH($B234,$B$14:$B$37,FALSE))/INDEX($F$206:$F$229,MATCH($B234,$B$206:$B$229,FALSE))),NA()),NA())</f>
        <v>#N/A</v>
      </c>
      <c r="BG234" s="111" t="e">
        <f>IF(BF42=1,IF(BF$13&lt;=COUNT($C14:$CS14),IF(INDEX($F$206:$F$229,MATCH($B234,$B$206:$B$229,FALSE))=0,NA(),INDEX(BF$14:BF$37,MATCH($B234,$B$14:$B$37,FALSE))/INDEX($F$206:$F$229,MATCH($B234,$B$206:$B$229,FALSE))),NA()),NA())</f>
        <v>#N/A</v>
      </c>
      <c r="BH234" s="111" t="e">
        <f>IF(BG42=1,IF(BG$13&lt;=COUNT($C14:$CS14),IF(INDEX($F$206:$F$229,MATCH($B234,$B$206:$B$229,FALSE))=0,NA(),INDEX(BG$14:BG$37,MATCH($B234,$B$14:$B$37,FALSE))/INDEX($F$206:$F$229,MATCH($B234,$B$206:$B$229,FALSE))),NA()),NA())</f>
        <v>#N/A</v>
      </c>
      <c r="BI234" s="111" t="e">
        <f>IF(BH42=1,IF(BH$13&lt;=COUNT($C14:$CS14),IF(INDEX($F$206:$F$229,MATCH($B234,$B$206:$B$229,FALSE))=0,NA(),INDEX(BH$14:BH$37,MATCH($B234,$B$14:$B$37,FALSE))/INDEX($F$206:$F$229,MATCH($B234,$B$206:$B$229,FALSE))),NA()),NA())</f>
        <v>#N/A</v>
      </c>
      <c r="BJ234" s="111" t="e">
        <f>IF(BI42=1,IF(BI$13&lt;=COUNT($C14:$CS14),IF(INDEX($F$206:$F$229,MATCH($B234,$B$206:$B$229,FALSE))=0,NA(),INDEX(BI$14:BI$37,MATCH($B234,$B$14:$B$37,FALSE))/INDEX($F$206:$F$229,MATCH($B234,$B$206:$B$229,FALSE))),NA()),NA())</f>
        <v>#N/A</v>
      </c>
      <c r="BK234" s="111" t="e">
        <f>IF(BJ42=1,IF(BJ$13&lt;=COUNT($C14:$CS14),IF(INDEX($F$206:$F$229,MATCH($B234,$B$206:$B$229,FALSE))=0,NA(),INDEX(BJ$14:BJ$37,MATCH($B234,$B$14:$B$37,FALSE))/INDEX($F$206:$F$229,MATCH($B234,$B$206:$B$229,FALSE))),NA()),NA())</f>
        <v>#N/A</v>
      </c>
      <c r="BL234" s="111" t="e">
        <f>IF(BK42=1,IF(BK$13&lt;=COUNT($C14:$CS14),IF(INDEX($F$206:$F$229,MATCH($B234,$B$206:$B$229,FALSE))=0,NA(),INDEX(BK$14:BK$37,MATCH($B234,$B$14:$B$37,FALSE))/INDEX($F$206:$F$229,MATCH($B234,$B$206:$B$229,FALSE))),NA()),NA())</f>
        <v>#N/A</v>
      </c>
      <c r="BM234" s="111" t="e">
        <f>IF(BL42=1,IF(BL$13&lt;=COUNT($C14:$CS14),IF(INDEX($F$206:$F$229,MATCH($B234,$B$206:$B$229,FALSE))=0,NA(),INDEX(BL$14:BL$37,MATCH($B234,$B$14:$B$37,FALSE))/INDEX($F$206:$F$229,MATCH($B234,$B$206:$B$229,FALSE))),NA()),NA())</f>
        <v>#N/A</v>
      </c>
      <c r="BN234" s="111" t="e">
        <f>IF(BM42=1,IF(BM$13&lt;=COUNT($C14:$CS14),IF(INDEX($F$206:$F$229,MATCH($B234,$B$206:$B$229,FALSE))=0,NA(),INDEX(BM$14:BM$37,MATCH($B234,$B$14:$B$37,FALSE))/INDEX($F$206:$F$229,MATCH($B234,$B$206:$B$229,FALSE))),NA()),NA())</f>
        <v>#N/A</v>
      </c>
      <c r="BO234" s="111" t="e">
        <f>IF(BN42=1,IF(BN$13&lt;=COUNT($C14:$CS14),IF(INDEX($F$206:$F$229,MATCH($B234,$B$206:$B$229,FALSE))=0,NA(),INDEX(BN$14:BN$37,MATCH($B234,$B$14:$B$37,FALSE))/INDEX($F$206:$F$229,MATCH($B234,$B$206:$B$229,FALSE))),NA()),NA())</f>
        <v>#N/A</v>
      </c>
      <c r="BP234" s="111" t="e">
        <f>IF(BO42=1,IF(BO$13&lt;=COUNT($C14:$CS14),IF(INDEX($F$206:$F$229,MATCH($B234,$B$206:$B$229,FALSE))=0,NA(),INDEX(BO$14:BO$37,MATCH($B234,$B$14:$B$37,FALSE))/INDEX($F$206:$F$229,MATCH($B234,$B$206:$B$229,FALSE))),NA()),NA())</f>
        <v>#N/A</v>
      </c>
      <c r="BQ234" s="111" t="e">
        <f>IF(BP42=1,IF(BP$13&lt;=COUNT($C14:$CS14),IF(INDEX($F$206:$F$229,MATCH($B234,$B$206:$B$229,FALSE))=0,NA(),INDEX(BP$14:BP$37,MATCH($B234,$B$14:$B$37,FALSE))/INDEX($F$206:$F$229,MATCH($B234,$B$206:$B$229,FALSE))),NA()),NA())</f>
        <v>#N/A</v>
      </c>
      <c r="BR234" s="111" t="e">
        <f>IF(BQ42=1,IF(BQ$13&lt;=COUNT($C14:$CS14),IF(INDEX($F$206:$F$229,MATCH($B234,$B$206:$B$229,FALSE))=0,NA(),INDEX(BQ$14:BQ$37,MATCH($B234,$B$14:$B$37,FALSE))/INDEX($F$206:$F$229,MATCH($B234,$B$206:$B$229,FALSE))),NA()),NA())</f>
        <v>#N/A</v>
      </c>
      <c r="BS234" s="111" t="e">
        <f>IF(BR42=1,IF(BR$13&lt;=COUNT($C14:$CS14),IF(INDEX($F$206:$F$229,MATCH($B234,$B$206:$B$229,FALSE))=0,NA(),INDEX(BR$14:BR$37,MATCH($B234,$B$14:$B$37,FALSE))/INDEX($F$206:$F$229,MATCH($B234,$B$206:$B$229,FALSE))),NA()),NA())</f>
        <v>#N/A</v>
      </c>
      <c r="BT234" s="111" t="e">
        <f>IF(BS42=1,IF(BS$13&lt;=COUNT($C14:$CS14),IF(INDEX($F$206:$F$229,MATCH($B234,$B$206:$B$229,FALSE))=0,NA(),INDEX(BS$14:BS$37,MATCH($B234,$B$14:$B$37,FALSE))/INDEX($F$206:$F$229,MATCH($B234,$B$206:$B$229,FALSE))),NA()),NA())</f>
        <v>#N/A</v>
      </c>
      <c r="BU234" s="111" t="e">
        <f>IF(BT42=1,IF(BT$13&lt;=COUNT($C14:$CS14),IF(INDEX($F$206:$F$229,MATCH($B234,$B$206:$B$229,FALSE))=0,NA(),INDEX(BT$14:BT$37,MATCH($B234,$B$14:$B$37,FALSE))/INDEX($F$206:$F$229,MATCH($B234,$B$206:$B$229,FALSE))),NA()),NA())</f>
        <v>#N/A</v>
      </c>
      <c r="BV234" s="111" t="e">
        <f>IF(BU42=1,IF(BU$13&lt;=COUNT($C14:$CS14),IF(INDEX($F$206:$F$229,MATCH($B234,$B$206:$B$229,FALSE))=0,NA(),INDEX(BU$14:BU$37,MATCH($B234,$B$14:$B$37,FALSE))/INDEX($F$206:$F$229,MATCH($B234,$B$206:$B$229,FALSE))),NA()),NA())</f>
        <v>#N/A</v>
      </c>
      <c r="BW234" s="111" t="e">
        <f>IF(BV42=1,IF(BV$13&lt;=COUNT($C14:$CS14),IF(INDEX($F$206:$F$229,MATCH($B234,$B$206:$B$229,FALSE))=0,NA(),INDEX(BV$14:BV$37,MATCH($B234,$B$14:$B$37,FALSE))/INDEX($F$206:$F$229,MATCH($B234,$B$206:$B$229,FALSE))),NA()),NA())</f>
        <v>#N/A</v>
      </c>
      <c r="BX234" s="111" t="e">
        <f>IF(BW42=1,IF(BW$13&lt;=COUNT($C14:$CS14),IF(INDEX($F$206:$F$229,MATCH($B234,$B$206:$B$229,FALSE))=0,NA(),INDEX(BW$14:BW$37,MATCH($B234,$B$14:$B$37,FALSE))/INDEX($F$206:$F$229,MATCH($B234,$B$206:$B$229,FALSE))),NA()),NA())</f>
        <v>#N/A</v>
      </c>
      <c r="BY234" s="111" t="e">
        <f>IF(BX42=1,IF(BX$13&lt;=COUNT($C14:$CS14),IF(INDEX($F$206:$F$229,MATCH($B234,$B$206:$B$229,FALSE))=0,NA(),INDEX(BX$14:BX$37,MATCH($B234,$B$14:$B$37,FALSE))/INDEX($F$206:$F$229,MATCH($B234,$B$206:$B$229,FALSE))),NA()),NA())</f>
        <v>#N/A</v>
      </c>
      <c r="BZ234" s="111" t="e">
        <f>IF(BY42=1,IF(BY$13&lt;=COUNT($C14:$CS14),IF(INDEX($F$206:$F$229,MATCH($B234,$B$206:$B$229,FALSE))=0,NA(),INDEX(BY$14:BY$37,MATCH($B234,$B$14:$B$37,FALSE))/INDEX($F$206:$F$229,MATCH($B234,$B$206:$B$229,FALSE))),NA()),NA())</f>
        <v>#N/A</v>
      </c>
      <c r="CA234" s="111" t="e">
        <f>IF(BZ42=1,IF(BZ$13&lt;=COUNT($C14:$CS14),IF(INDEX($F$206:$F$229,MATCH($B234,$B$206:$B$229,FALSE))=0,NA(),INDEX(BZ$14:BZ$37,MATCH($B234,$B$14:$B$37,FALSE))/INDEX($F$206:$F$229,MATCH($B234,$B$206:$B$229,FALSE))),NA()),NA())</f>
        <v>#N/A</v>
      </c>
      <c r="CB234" s="111" t="e">
        <f>IF(CA42=1,IF(CA$13&lt;=COUNT($C14:$CS14),IF(INDEX($F$206:$F$229,MATCH($B234,$B$206:$B$229,FALSE))=0,NA(),INDEX(CA$14:CA$37,MATCH($B234,$B$14:$B$37,FALSE))/INDEX($F$206:$F$229,MATCH($B234,$B$206:$B$229,FALSE))),NA()),NA())</f>
        <v>#N/A</v>
      </c>
      <c r="CC234" s="111" t="e">
        <f>IF(CB42=1,IF(CB$13&lt;=COUNT($C14:$CS14),IF(INDEX($F$206:$F$229,MATCH($B234,$B$206:$B$229,FALSE))=0,NA(),INDEX(CB$14:CB$37,MATCH($B234,$B$14:$B$37,FALSE))/INDEX($F$206:$F$229,MATCH($B234,$B$206:$B$229,FALSE))),NA()),NA())</f>
        <v>#N/A</v>
      </c>
      <c r="CD234" s="111" t="e">
        <f>IF(CC42=1,IF(CC$13&lt;=COUNT($C14:$CS14),IF(INDEX($F$206:$F$229,MATCH($B234,$B$206:$B$229,FALSE))=0,NA(),INDEX(CC$14:CC$37,MATCH($B234,$B$14:$B$37,FALSE))/INDEX($F$206:$F$229,MATCH($B234,$B$206:$B$229,FALSE))),NA()),NA())</f>
        <v>#N/A</v>
      </c>
      <c r="CE234" s="111" t="e">
        <f>IF(CD42=1,IF(CD$13&lt;=COUNT($C14:$CS14),IF(INDEX($F$206:$F$229,MATCH($B234,$B$206:$B$229,FALSE))=0,NA(),INDEX(CD$14:CD$37,MATCH($B234,$B$14:$B$37,FALSE))/INDEX($F$206:$F$229,MATCH($B234,$B$206:$B$229,FALSE))),NA()),NA())</f>
        <v>#N/A</v>
      </c>
      <c r="CF234" s="111" t="e">
        <f>IF(CE42=1,IF(CE$13&lt;=COUNT($C14:$CS14),IF(INDEX($F$206:$F$229,MATCH($B234,$B$206:$B$229,FALSE))=0,NA(),INDEX(CE$14:CE$37,MATCH($B234,$B$14:$B$37,FALSE))/INDEX($F$206:$F$229,MATCH($B234,$B$206:$B$229,FALSE))),NA()),NA())</f>
        <v>#N/A</v>
      </c>
      <c r="CG234" s="111" t="e">
        <f>IF(CF42=1,IF(CF$13&lt;=COUNT($C14:$CS14),IF(INDEX($F$206:$F$229,MATCH($B234,$B$206:$B$229,FALSE))=0,NA(),INDEX(CF$14:CF$37,MATCH($B234,$B$14:$B$37,FALSE))/INDEX($F$206:$F$229,MATCH($B234,$B$206:$B$229,FALSE))),NA()),NA())</f>
        <v>#N/A</v>
      </c>
      <c r="CH234" s="111" t="e">
        <f>IF(CG42=1,IF(CG$13&lt;=COUNT($C14:$CS14),IF(INDEX($F$206:$F$229,MATCH($B234,$B$206:$B$229,FALSE))=0,NA(),INDEX(CG$14:CG$37,MATCH($B234,$B$14:$B$37,FALSE))/INDEX($F$206:$F$229,MATCH($B234,$B$206:$B$229,FALSE))),NA()),NA())</f>
        <v>#N/A</v>
      </c>
      <c r="CI234" s="111" t="e">
        <f>IF(CH42=1,IF(CH$13&lt;=COUNT($C14:$CS14),IF(INDEX($F$206:$F$229,MATCH($B234,$B$206:$B$229,FALSE))=0,NA(),INDEX(CH$14:CH$37,MATCH($B234,$B$14:$B$37,FALSE))/INDEX($F$206:$F$229,MATCH($B234,$B$206:$B$229,FALSE))),NA()),NA())</f>
        <v>#N/A</v>
      </c>
      <c r="CJ234" s="111" t="e">
        <f>IF(CI42=1,IF(CI$13&lt;=COUNT($C14:$CS14),IF(INDEX($F$206:$F$229,MATCH($B234,$B$206:$B$229,FALSE))=0,NA(),INDEX(CI$14:CI$37,MATCH($B234,$B$14:$B$37,FALSE))/INDEX($F$206:$F$229,MATCH($B234,$B$206:$B$229,FALSE))),NA()),NA())</f>
        <v>#N/A</v>
      </c>
      <c r="CK234" s="111" t="e">
        <f>IF(CJ42=1,IF(CJ$13&lt;=COUNT($C14:$CS14),IF(INDEX($F$206:$F$229,MATCH($B234,$B$206:$B$229,FALSE))=0,NA(),INDEX(CJ$14:CJ$37,MATCH($B234,$B$14:$B$37,FALSE))/INDEX($F$206:$F$229,MATCH($B234,$B$206:$B$229,FALSE))),NA()),NA())</f>
        <v>#N/A</v>
      </c>
      <c r="CL234" s="111" t="e">
        <f>IF(CK42=1,IF(CK$13&lt;=COUNT($C14:$CS14),IF(INDEX($F$206:$F$229,MATCH($B234,$B$206:$B$229,FALSE))=0,NA(),INDEX(CK$14:CK$37,MATCH($B234,$B$14:$B$37,FALSE))/INDEX($F$206:$F$229,MATCH($B234,$B$206:$B$229,FALSE))),NA()),NA())</f>
        <v>#N/A</v>
      </c>
      <c r="CM234" s="111" t="e">
        <f>IF(CL42=1,IF(CL$13&lt;=COUNT($C14:$CS14),IF(INDEX($F$206:$F$229,MATCH($B234,$B$206:$B$229,FALSE))=0,NA(),INDEX(CL$14:CL$37,MATCH($B234,$B$14:$B$37,FALSE))/INDEX($F$206:$F$229,MATCH($B234,$B$206:$B$229,FALSE))),NA()),NA())</f>
        <v>#N/A</v>
      </c>
      <c r="CN234" s="111" t="e">
        <f>IF(CM42=1,IF(CM$13&lt;=COUNT($C14:$CS14),IF(INDEX($F$206:$F$229,MATCH($B234,$B$206:$B$229,FALSE))=0,NA(),INDEX(CM$14:CM$37,MATCH($B234,$B$14:$B$37,FALSE))/INDEX($F$206:$F$229,MATCH($B234,$B$206:$B$229,FALSE))),NA()),NA())</f>
        <v>#N/A</v>
      </c>
      <c r="CO234" s="111" t="e">
        <f>IF(CN42=1,IF(CN$13&lt;=COUNT($C14:$CS14),IF(INDEX($F$206:$F$229,MATCH($B234,$B$206:$B$229,FALSE))=0,NA(),INDEX(CN$14:CN$37,MATCH($B234,$B$14:$B$37,FALSE))/INDEX($F$206:$F$229,MATCH($B234,$B$206:$B$229,FALSE))),NA()),NA())</f>
        <v>#N/A</v>
      </c>
      <c r="CP234" s="111" t="e">
        <f>IF(CO42=1,IF(CO$13&lt;=COUNT($C14:$CS14),IF(INDEX($F$206:$F$229,MATCH($B234,$B$206:$B$229,FALSE))=0,NA(),INDEX(CO$14:CO$37,MATCH($B234,$B$14:$B$37,FALSE))/INDEX($F$206:$F$229,MATCH($B234,$B$206:$B$229,FALSE))),NA()),NA())</f>
        <v>#N/A</v>
      </c>
      <c r="CQ234" s="111" t="e">
        <f>IF(CP42=1,IF(CP$13&lt;=COUNT($C14:$CS14),IF(INDEX($F$206:$F$229,MATCH($B234,$B$206:$B$229,FALSE))=0,NA(),INDEX(CP$14:CP$37,MATCH($B234,$B$14:$B$37,FALSE))/INDEX($F$206:$F$229,MATCH($B234,$B$206:$B$229,FALSE))),NA()),NA())</f>
        <v>#N/A</v>
      </c>
      <c r="CR234" s="111" t="e">
        <f>IF(CQ42=1,IF(CQ$13&lt;=COUNT($C14:$CS14),IF(INDEX($F$206:$F$229,MATCH($B234,$B$206:$B$229,FALSE))=0,NA(),INDEX(CQ$14:CQ$37,MATCH($B234,$B$14:$B$37,FALSE))/INDEX($F$206:$F$229,MATCH($B234,$B$206:$B$229,FALSE))),NA()),NA())</f>
        <v>#N/A</v>
      </c>
      <c r="CS234" s="111" t="e">
        <f>IF(CR42=1,IF(CR$13&lt;=COUNT($C14:$CS14),IF(INDEX($F$206:$F$229,MATCH($B234,$B$206:$B$229,FALSE))=0,NA(),INDEX(CR$14:CR$37,MATCH($B234,$B$14:$B$37,FALSE))/INDEX($F$206:$F$229,MATCH($B234,$B$206:$B$229,FALSE))),NA()),NA())</f>
        <v>#N/A</v>
      </c>
      <c r="CT234" s="143"/>
      <c r="CU234" s="143"/>
      <c r="CV234" s="143"/>
      <c r="CW234" s="143"/>
    </row>
    <row r="235" spans="1:101" hidden="1" x14ac:dyDescent="0.25">
      <c r="A235" s="97">
        <f t="shared" ref="A235:A258" si="352">A15</f>
        <v>0</v>
      </c>
      <c r="B235" s="29">
        <f t="shared" si="351"/>
        <v>1997</v>
      </c>
      <c r="C235" s="154" t="str">
        <f t="shared" ref="C235:C257" si="353">IFERROR(IF(AND(INDEX($AA$263:$AA$284,MATCH($B235,$Y$263:$Y$284,0))=1,C43=1),0,""),"")</f>
        <v/>
      </c>
      <c r="D235" s="54" t="e">
        <f>IF(C43=1,IF(C$13&lt;=COUNT($C15:$CS15),IF(INDEX($F$206:$F$229,MATCH($B235,$B$206:$B$229,FALSE))=0,NA(),INDEX(C$14:C$37,MATCH($B235,$B$14:$B$37,FALSE))/INDEX($F$206:$F$229,MATCH($B235,$B$206:$B$229,FALSE))),NA()),NA())</f>
        <v>#N/A</v>
      </c>
      <c r="E235" s="65" t="e">
        <f>IF(D43=1,IF(D$13&lt;=COUNT($C15:$CS15),IF(INDEX($F$206:$F$229,MATCH($B235,$B$206:$B$229,FALSE))=0,NA(),INDEX(D$14:D$37,MATCH($B235,$B$14:$B$37,FALSE))/INDEX($F$206:$F$229,MATCH($B235,$B$206:$B$229,FALSE))),NA()),NA())</f>
        <v>#N/A</v>
      </c>
      <c r="F235" s="65" t="e">
        <f>IF(E43=1,IF(E$13&lt;=COUNT($C15:$CS15),IF(INDEX($F$206:$F$229,MATCH($B235,$B$206:$B$229,FALSE))=0,NA(),INDEX(E$14:E$37,MATCH($B235,$B$14:$B$37,FALSE))/INDEX($F$206:$F$229,MATCH($B235,$B$206:$B$229,FALSE))),NA()),NA())</f>
        <v>#N/A</v>
      </c>
      <c r="G235" s="65" t="e">
        <f>IF(F43=1,IF(F$13&lt;=COUNT($C15:$CS15),IF(INDEX($F$206:$F$229,MATCH($B235,$B$206:$B$229,FALSE))=0,NA(),INDEX(F$14:F$37,MATCH($B235,$B$14:$B$37,FALSE))/INDEX($F$206:$F$229,MATCH($B235,$B$206:$B$229,FALSE))),NA()),NA())</f>
        <v>#N/A</v>
      </c>
      <c r="H235" s="65" t="e">
        <f>IF(G43=1,IF(G$13&lt;=COUNT($C15:$CS15),IF(INDEX($F$206:$F$229,MATCH($B235,$B$206:$B$229,FALSE))=0,NA(),INDEX(G$14:G$37,MATCH($B235,$B$14:$B$37,FALSE))/INDEX($F$206:$F$229,MATCH($B235,$B$206:$B$229,FALSE))),NA()),NA())</f>
        <v>#N/A</v>
      </c>
      <c r="I235" s="65" t="e">
        <f>IF(H43=1,IF(H$13&lt;=COUNT($C15:$CS15),IF(INDEX($F$206:$F$229,MATCH($B235,$B$206:$B$229,FALSE))=0,NA(),INDEX(H$14:H$37,MATCH($B235,$B$14:$B$37,FALSE))/INDEX($F$206:$F$229,MATCH($B235,$B$206:$B$229,FALSE))),NA()),NA())</f>
        <v>#N/A</v>
      </c>
      <c r="J235" s="65" t="e">
        <f>IF(I43=1,IF(I$13&lt;=COUNT($C15:$CS15),IF(INDEX($F$206:$F$229,MATCH($B235,$B$206:$B$229,FALSE))=0,NA(),INDEX(I$14:I$37,MATCH($B235,$B$14:$B$37,FALSE))/INDEX($F$206:$F$229,MATCH($B235,$B$206:$B$229,FALSE))),NA()),NA())</f>
        <v>#N/A</v>
      </c>
      <c r="K235" s="65" t="e">
        <f>IF(J43=1,IF(J$13&lt;=COUNT($C15:$CS15),IF(INDEX($F$206:$F$229,MATCH($B235,$B$206:$B$229,FALSE))=0,NA(),INDEX(J$14:J$37,MATCH($B235,$B$14:$B$37,FALSE))/INDEX($F$206:$F$229,MATCH($B235,$B$206:$B$229,FALSE))),NA()),NA())</f>
        <v>#N/A</v>
      </c>
      <c r="L235" s="65" t="e">
        <f>IF(K43=1,IF(K$13&lt;=COUNT($C15:$CS15),IF(INDEX($F$206:$F$229,MATCH($B235,$B$206:$B$229,FALSE))=0,NA(),INDEX(K$14:K$37,MATCH($B235,$B$14:$B$37,FALSE))/INDEX($F$206:$F$229,MATCH($B235,$B$206:$B$229,FALSE))),NA()),NA())</f>
        <v>#N/A</v>
      </c>
      <c r="M235" s="65" t="e">
        <f>IF(L43=1,IF(L$13&lt;=COUNT($C15:$CS15),IF(INDEX($F$206:$F$229,MATCH($B235,$B$206:$B$229,FALSE))=0,NA(),INDEX(L$14:L$37,MATCH($B235,$B$14:$B$37,FALSE))/INDEX($F$206:$F$229,MATCH($B235,$B$206:$B$229,FALSE))),NA()),NA())</f>
        <v>#N/A</v>
      </c>
      <c r="N235" s="65" t="e">
        <f>IF(M43=1,IF(M$13&lt;=COUNT($C15:$CS15),IF(INDEX($F$206:$F$229,MATCH($B235,$B$206:$B$229,FALSE))=0,NA(),INDEX(M$14:M$37,MATCH($B235,$B$14:$B$37,FALSE))/INDEX($F$206:$F$229,MATCH($B235,$B$206:$B$229,FALSE))),NA()),NA())</f>
        <v>#N/A</v>
      </c>
      <c r="O235" s="65" t="e">
        <f>IF(N43=1,IF(N$13&lt;=COUNT($C15:$CS15),IF(INDEX($F$206:$F$229,MATCH($B235,$B$206:$B$229,FALSE))=0,NA(),INDEX(N$14:N$37,MATCH($B235,$B$14:$B$37,FALSE))/INDEX($F$206:$F$229,MATCH($B235,$B$206:$B$229,FALSE))),NA()),NA())</f>
        <v>#N/A</v>
      </c>
      <c r="P235" s="65" t="e">
        <f>IF(O43=1,IF(O$13&lt;=COUNT($C15:$CS15),IF(INDEX($F$206:$F$229,MATCH($B235,$B$206:$B$229,FALSE))=0,NA(),INDEX(O$14:O$37,MATCH($B235,$B$14:$B$37,FALSE))/INDEX($F$206:$F$229,MATCH($B235,$B$206:$B$229,FALSE))),NA()),NA())</f>
        <v>#N/A</v>
      </c>
      <c r="Q235" s="65" t="e">
        <f>IF(P43=1,IF(P$13&lt;=COUNT($C15:$CS15),IF(INDEX($F$206:$F$229,MATCH($B235,$B$206:$B$229,FALSE))=0,NA(),INDEX(P$14:P$37,MATCH($B235,$B$14:$B$37,FALSE))/INDEX($F$206:$F$229,MATCH($B235,$B$206:$B$229,FALSE))),NA()),NA())</f>
        <v>#N/A</v>
      </c>
      <c r="R235" s="65" t="e">
        <f>IF(Q43=1,IF(Q$13&lt;=COUNT($C15:$CS15),IF(INDEX($F$206:$F$229,MATCH($B235,$B$206:$B$229,FALSE))=0,NA(),INDEX(Q$14:Q$37,MATCH($B235,$B$14:$B$37,FALSE))/INDEX($F$206:$F$229,MATCH($B235,$B$206:$B$229,FALSE))),NA()),NA())</f>
        <v>#N/A</v>
      </c>
      <c r="S235" s="65" t="e">
        <f>IF(R43=1,IF(R$13&lt;=COUNT($C15:$CS15),IF(INDEX($F$206:$F$229,MATCH($B235,$B$206:$B$229,FALSE))=0,NA(),INDEX(R$14:R$37,MATCH($B235,$B$14:$B$37,FALSE))/INDEX($F$206:$F$229,MATCH($B235,$B$206:$B$229,FALSE))),NA()),NA())</f>
        <v>#N/A</v>
      </c>
      <c r="T235" s="65" t="e">
        <f>IF(S43=1,IF(S$13&lt;=COUNT($C15:$CS15),IF(INDEX($F$206:$F$229,MATCH($B235,$B$206:$B$229,FALSE))=0,NA(),INDEX(S$14:S$37,MATCH($B235,$B$14:$B$37,FALSE))/INDEX($F$206:$F$229,MATCH($B235,$B$206:$B$229,FALSE))),NA()),NA())</f>
        <v>#N/A</v>
      </c>
      <c r="U235" s="65" t="e">
        <f>IF(T43=1,IF(T$13&lt;=COUNT($C15:$CS15),IF(INDEX($F$206:$F$229,MATCH($B235,$B$206:$B$229,FALSE))=0,NA(),INDEX(T$14:T$37,MATCH($B235,$B$14:$B$37,FALSE))/INDEX($F$206:$F$229,MATCH($B235,$B$206:$B$229,FALSE))),NA()),NA())</f>
        <v>#N/A</v>
      </c>
      <c r="V235" s="65" t="e">
        <f>IF(U43=1,IF(U$13&lt;=COUNT($C15:$CS15),IF(INDEX($F$206:$F$229,MATCH($B235,$B$206:$B$229,FALSE))=0,NA(),INDEX(U$14:U$37,MATCH($B235,$B$14:$B$37,FALSE))/INDEX($F$206:$F$229,MATCH($B235,$B$206:$B$229,FALSE))),NA()),NA())</f>
        <v>#N/A</v>
      </c>
      <c r="W235" s="65" t="e">
        <f>IF(V43=1,IF(V$13&lt;=COUNT($C15:$CS15),IF(INDEX($F$206:$F$229,MATCH($B235,$B$206:$B$229,FALSE))=0,NA(),INDEX(V$14:V$37,MATCH($B235,$B$14:$B$37,FALSE))/INDEX($F$206:$F$229,MATCH($B235,$B$206:$B$229,FALSE))),NA()),NA())</f>
        <v>#N/A</v>
      </c>
      <c r="X235" s="65" t="e">
        <f>IF(W43=1,IF(W$13&lt;=COUNT($C15:$CS15),IF(INDEX($F$206:$F$229,MATCH($B235,$B$206:$B$229,FALSE))=0,NA(),INDEX(W$14:W$37,MATCH($B235,$B$14:$B$37,FALSE))/INDEX($F$206:$F$229,MATCH($B235,$B$206:$B$229,FALSE))),NA()),NA())</f>
        <v>#N/A</v>
      </c>
      <c r="Y235" s="65" t="e">
        <f>IF(X43=1,IF(X$13&lt;=COUNT($C15:$CS15),IF(INDEX($F$206:$F$229,MATCH($B235,$B$206:$B$229,FALSE))=0,NA(),INDEX(X$14:X$37,MATCH($B235,$B$14:$B$37,FALSE))/INDEX($F$206:$F$229,MATCH($B235,$B$206:$B$229,FALSE))),NA()),NA())</f>
        <v>#N/A</v>
      </c>
      <c r="Z235" s="65" t="e">
        <f>IF(Y43=1,IF(Y$13&lt;=COUNT($C15:$CS15),IF(INDEX($F$206:$F$229,MATCH($B235,$B$206:$B$229,FALSE))=0,NA(),INDEX(Y$14:Y$37,MATCH($B235,$B$14:$B$37,FALSE))/INDEX($F$206:$F$229,MATCH($B235,$B$206:$B$229,FALSE))),NA()),NA())</f>
        <v>#N/A</v>
      </c>
      <c r="AA235" s="65" t="e">
        <f>IF(Z43=1,IF(Z$13&lt;=COUNT($C15:$CS15),IF(INDEX($F$206:$F$229,MATCH($B235,$B$206:$B$229,FALSE))=0,NA(),INDEX(Z$14:Z$37,MATCH($B235,$B$14:$B$37,FALSE))/INDEX($F$206:$F$229,MATCH($B235,$B$206:$B$229,FALSE))),NA()),NA())</f>
        <v>#N/A</v>
      </c>
      <c r="AB235" s="65" t="e">
        <f>IF(AA43=1,IF(AA$13&lt;=COUNT($C15:$CS15),IF(INDEX($F$206:$F$229,MATCH($B235,$B$206:$B$229,FALSE))=0,NA(),INDEX(AA$14:AA$37,MATCH($B235,$B$14:$B$37,FALSE))/INDEX($F$206:$F$229,MATCH($B235,$B$206:$B$229,FALSE))),NA()),NA())</f>
        <v>#N/A</v>
      </c>
      <c r="AC235" s="65" t="e">
        <f>IF(AB43=1,IF(AB$13&lt;=COUNT($C15:$CS15),IF(INDEX($F$206:$F$229,MATCH($B235,$B$206:$B$229,FALSE))=0,NA(),INDEX(AB$14:AB$37,MATCH($B235,$B$14:$B$37,FALSE))/INDEX($F$206:$F$229,MATCH($B235,$B$206:$B$229,FALSE))),NA()),NA())</f>
        <v>#N/A</v>
      </c>
      <c r="AD235" s="65" t="e">
        <f>IF(AC43=1,IF(AC$13&lt;=COUNT($C15:$CS15),IF(INDEX($F$206:$F$229,MATCH($B235,$B$206:$B$229,FALSE))=0,NA(),INDEX(AC$14:AC$37,MATCH($B235,$B$14:$B$37,FALSE))/INDEX($F$206:$F$229,MATCH($B235,$B$206:$B$229,FALSE))),NA()),NA())</f>
        <v>#N/A</v>
      </c>
      <c r="AE235" s="65" t="e">
        <f>IF(AD43=1,IF(AD$13&lt;=COUNT($C15:$CS15),IF(INDEX($F$206:$F$229,MATCH($B235,$B$206:$B$229,FALSE))=0,NA(),INDEX(AD$14:AD$37,MATCH($B235,$B$14:$B$37,FALSE))/INDEX($F$206:$F$229,MATCH($B235,$B$206:$B$229,FALSE))),NA()),NA())</f>
        <v>#N/A</v>
      </c>
      <c r="AF235" s="65" t="e">
        <f>IF(AE43=1,IF(AE$13&lt;=COUNT($C15:$CS15),IF(INDEX($F$206:$F$229,MATCH($B235,$B$206:$B$229,FALSE))=0,NA(),INDEX(AE$14:AE$37,MATCH($B235,$B$14:$B$37,FALSE))/INDEX($F$206:$F$229,MATCH($B235,$B$206:$B$229,FALSE))),NA()),NA())</f>
        <v>#N/A</v>
      </c>
      <c r="AG235" s="65" t="e">
        <f>IF(AF43=1,IF(AF$13&lt;=COUNT($C15:$CS15),IF(INDEX($F$206:$F$229,MATCH($B235,$B$206:$B$229,FALSE))=0,NA(),INDEX(AF$14:AF$37,MATCH($B235,$B$14:$B$37,FALSE))/INDEX($F$206:$F$229,MATCH($B235,$B$206:$B$229,FALSE))),NA()),NA())</f>
        <v>#N/A</v>
      </c>
      <c r="AH235" s="65" t="e">
        <f>IF(AG43=1,IF(AG$13&lt;=COUNT($C15:$CS15),IF(INDEX($F$206:$F$229,MATCH($B235,$B$206:$B$229,FALSE))=0,NA(),INDEX(AG$14:AG$37,MATCH($B235,$B$14:$B$37,FALSE))/INDEX($F$206:$F$229,MATCH($B235,$B$206:$B$229,FALSE))),NA()),NA())</f>
        <v>#N/A</v>
      </c>
      <c r="AI235" s="65" t="e">
        <f>IF(AH43=1,IF(AH$13&lt;=COUNT($C15:$CS15),IF(INDEX($F$206:$F$229,MATCH($B235,$B$206:$B$229,FALSE))=0,NA(),INDEX(AH$14:AH$37,MATCH($B235,$B$14:$B$37,FALSE))/INDEX($F$206:$F$229,MATCH($B235,$B$206:$B$229,FALSE))),NA()),NA())</f>
        <v>#N/A</v>
      </c>
      <c r="AJ235" s="65" t="e">
        <f>IF(AI43=1,IF(AI$13&lt;=COUNT($C15:$CS15),IF(INDEX($F$206:$F$229,MATCH($B235,$B$206:$B$229,FALSE))=0,NA(),INDEX(AI$14:AI$37,MATCH($B235,$B$14:$B$37,FALSE))/INDEX($F$206:$F$229,MATCH($B235,$B$206:$B$229,FALSE))),NA()),NA())</f>
        <v>#N/A</v>
      </c>
      <c r="AK235" s="65" t="e">
        <f>IF(AJ43=1,IF(AJ$13&lt;=COUNT($C15:$CS15),IF(INDEX($F$206:$F$229,MATCH($B235,$B$206:$B$229,FALSE))=0,NA(),INDEX(AJ$14:AJ$37,MATCH($B235,$B$14:$B$37,FALSE))/INDEX($F$206:$F$229,MATCH($B235,$B$206:$B$229,FALSE))),NA()),NA())</f>
        <v>#N/A</v>
      </c>
      <c r="AL235" s="65" t="e">
        <f>IF(AK43=1,IF(AK$13&lt;=COUNT($C15:$CS15),IF(INDEX($F$206:$F$229,MATCH($B235,$B$206:$B$229,FALSE))=0,NA(),INDEX(AK$14:AK$37,MATCH($B235,$B$14:$B$37,FALSE))/INDEX($F$206:$F$229,MATCH($B235,$B$206:$B$229,FALSE))),NA()),NA())</f>
        <v>#N/A</v>
      </c>
      <c r="AM235" s="65" t="e">
        <f>IF(AL43=1,IF(AL$13&lt;=COUNT($C15:$CS15),IF(INDEX($F$206:$F$229,MATCH($B235,$B$206:$B$229,FALSE))=0,NA(),INDEX(AL$14:AL$37,MATCH($B235,$B$14:$B$37,FALSE))/INDEX($F$206:$F$229,MATCH($B235,$B$206:$B$229,FALSE))),NA()),NA())</f>
        <v>#N/A</v>
      </c>
      <c r="AN235" s="65" t="e">
        <f>IF(AM43=1,IF(AM$13&lt;=COUNT($C15:$CS15),IF(INDEX($F$206:$F$229,MATCH($B235,$B$206:$B$229,FALSE))=0,NA(),INDEX(AM$14:AM$37,MATCH($B235,$B$14:$B$37,FALSE))/INDEX($F$206:$F$229,MATCH($B235,$B$206:$B$229,FALSE))),NA()),NA())</f>
        <v>#N/A</v>
      </c>
      <c r="AO235" s="65" t="e">
        <f>IF(AN43=1,IF(AN$13&lt;=COUNT($C15:$CS15),IF(INDEX($F$206:$F$229,MATCH($B235,$B$206:$B$229,FALSE))=0,NA(),INDEX(AN$14:AN$37,MATCH($B235,$B$14:$B$37,FALSE))/INDEX($F$206:$F$229,MATCH($B235,$B$206:$B$229,FALSE))),NA()),NA())</f>
        <v>#N/A</v>
      </c>
      <c r="AP235" s="65" t="e">
        <f>IF(AO43=1,IF(AO$13&lt;=COUNT($C15:$CS15),IF(INDEX($F$206:$F$229,MATCH($B235,$B$206:$B$229,FALSE))=0,NA(),INDEX(AO$14:AO$37,MATCH($B235,$B$14:$B$37,FALSE))/INDEX($F$206:$F$229,MATCH($B235,$B$206:$B$229,FALSE))),NA()),NA())</f>
        <v>#N/A</v>
      </c>
      <c r="AQ235" s="65" t="e">
        <f>IF(AP43=1,IF(AP$13&lt;=COUNT($C15:$CS15),IF(INDEX($F$206:$F$229,MATCH($B235,$B$206:$B$229,FALSE))=0,NA(),INDEX(AP$14:AP$37,MATCH($B235,$B$14:$B$37,FALSE))/INDEX($F$206:$F$229,MATCH($B235,$B$206:$B$229,FALSE))),NA()),NA())</f>
        <v>#N/A</v>
      </c>
      <c r="AR235" s="65" t="e">
        <f>IF(AQ43=1,IF(AQ$13&lt;=COUNT($C15:$CS15),IF(INDEX($F$206:$F$229,MATCH($B235,$B$206:$B$229,FALSE))=0,NA(),INDEX(AQ$14:AQ$37,MATCH($B235,$B$14:$B$37,FALSE))/INDEX($F$206:$F$229,MATCH($B235,$B$206:$B$229,FALSE))),NA()),NA())</f>
        <v>#N/A</v>
      </c>
      <c r="AS235" s="65" t="e">
        <f>IF(AR43=1,IF(AR$13&lt;=COUNT($C15:$CS15),IF(INDEX($F$206:$F$229,MATCH($B235,$B$206:$B$229,FALSE))=0,NA(),INDEX(AR$14:AR$37,MATCH($B235,$B$14:$B$37,FALSE))/INDEX($F$206:$F$229,MATCH($B235,$B$206:$B$229,FALSE))),NA()),NA())</f>
        <v>#N/A</v>
      </c>
      <c r="AT235" s="65" t="e">
        <f>IF(AS43=1,IF(AS$13&lt;=COUNT($C15:$CS15),IF(INDEX($F$206:$F$229,MATCH($B235,$B$206:$B$229,FALSE))=0,NA(),INDEX(AS$14:AS$37,MATCH($B235,$B$14:$B$37,FALSE))/INDEX($F$206:$F$229,MATCH($B235,$B$206:$B$229,FALSE))),NA()),NA())</f>
        <v>#N/A</v>
      </c>
      <c r="AU235" s="65" t="e">
        <f>IF(AT43=1,IF(AT$13&lt;=COUNT($C15:$CS15),IF(INDEX($F$206:$F$229,MATCH($B235,$B$206:$B$229,FALSE))=0,NA(),INDEX(AT$14:AT$37,MATCH($B235,$B$14:$B$37,FALSE))/INDEX($F$206:$F$229,MATCH($B235,$B$206:$B$229,FALSE))),NA()),NA())</f>
        <v>#N/A</v>
      </c>
      <c r="AV235" s="65" t="e">
        <f>IF(AU43=1,IF(AU$13&lt;=COUNT($C15:$CS15),IF(INDEX($F$206:$F$229,MATCH($B235,$B$206:$B$229,FALSE))=0,NA(),INDEX(AU$14:AU$37,MATCH($B235,$B$14:$B$37,FALSE))/INDEX($F$206:$F$229,MATCH($B235,$B$206:$B$229,FALSE))),NA()),NA())</f>
        <v>#N/A</v>
      </c>
      <c r="AW235" s="65" t="e">
        <f>IF(AV43=1,IF(AV$13&lt;=COUNT($C15:$CS15),IF(INDEX($F$206:$F$229,MATCH($B235,$B$206:$B$229,FALSE))=0,NA(),INDEX(AV$14:AV$37,MATCH($B235,$B$14:$B$37,FALSE))/INDEX($F$206:$F$229,MATCH($B235,$B$206:$B$229,FALSE))),NA()),NA())</f>
        <v>#N/A</v>
      </c>
      <c r="AX235" s="65" t="e">
        <f>IF(AW43=1,IF(AW$13&lt;=COUNT($C15:$CS15),IF(INDEX($F$206:$F$229,MATCH($B235,$B$206:$B$229,FALSE))=0,NA(),INDEX(AW$14:AW$37,MATCH($B235,$B$14:$B$37,FALSE))/INDEX($F$206:$F$229,MATCH($B235,$B$206:$B$229,FALSE))),NA()),NA())</f>
        <v>#N/A</v>
      </c>
      <c r="AY235" s="65" t="e">
        <f>IF(AX43=1,IF(AX$13&lt;=COUNT($C15:$CS15),IF(INDEX($F$206:$F$229,MATCH($B235,$B$206:$B$229,FALSE))=0,NA(),INDEX(AX$14:AX$37,MATCH($B235,$B$14:$B$37,FALSE))/INDEX($F$206:$F$229,MATCH($B235,$B$206:$B$229,FALSE))),NA()),NA())</f>
        <v>#N/A</v>
      </c>
      <c r="AZ235" s="65" t="e">
        <f>IF(AY43=1,IF(AY$13&lt;=COUNT($C15:$CS15),IF(INDEX($F$206:$F$229,MATCH($B235,$B$206:$B$229,FALSE))=0,NA(),INDEX(AY$14:AY$37,MATCH($B235,$B$14:$B$37,FALSE))/INDEX($F$206:$F$229,MATCH($B235,$B$206:$B$229,FALSE))),NA()),NA())</f>
        <v>#N/A</v>
      </c>
      <c r="BA235" s="65" t="e">
        <f>IF(AZ43=1,IF(AZ$13&lt;=COUNT($C15:$CS15),IF(INDEX($F$206:$F$229,MATCH($B235,$B$206:$B$229,FALSE))=0,NA(),INDEX(AZ$14:AZ$37,MATCH($B235,$B$14:$B$37,FALSE))/INDEX($F$206:$F$229,MATCH($B235,$B$206:$B$229,FALSE))),NA()),NA())</f>
        <v>#N/A</v>
      </c>
      <c r="BB235" s="65" t="e">
        <f>IF(BA43=1,IF(BA$13&lt;=COUNT($C15:$CS15),IF(INDEX($F$206:$F$229,MATCH($B235,$B$206:$B$229,FALSE))=0,NA(),INDEX(BA$14:BA$37,MATCH($B235,$B$14:$B$37,FALSE))/INDEX($F$206:$F$229,MATCH($B235,$B$206:$B$229,FALSE))),NA()),NA())</f>
        <v>#N/A</v>
      </c>
      <c r="BC235" s="65" t="e">
        <f>IF(BB43=1,IF(BB$13&lt;=COUNT($C15:$CS15),IF(INDEX($F$206:$F$229,MATCH($B235,$B$206:$B$229,FALSE))=0,NA(),INDEX(BB$14:BB$37,MATCH($B235,$B$14:$B$37,FALSE))/INDEX($F$206:$F$229,MATCH($B235,$B$206:$B$229,FALSE))),NA()),NA())</f>
        <v>#N/A</v>
      </c>
      <c r="BD235" s="65" t="e">
        <f>IF(BC43=1,IF(BC$13&lt;=COUNT($C15:$CS15),IF(INDEX($F$206:$F$229,MATCH($B235,$B$206:$B$229,FALSE))=0,NA(),INDEX(BC$14:BC$37,MATCH($B235,$B$14:$B$37,FALSE))/INDEX($F$206:$F$229,MATCH($B235,$B$206:$B$229,FALSE))),NA()),NA())</f>
        <v>#N/A</v>
      </c>
      <c r="BE235" s="65" t="e">
        <f>IF(BD43=1,IF(BD$13&lt;=COUNT($C15:$CS15),IF(INDEX($F$206:$F$229,MATCH($B235,$B$206:$B$229,FALSE))=0,NA(),INDEX(BD$14:BD$37,MATCH($B235,$B$14:$B$37,FALSE))/INDEX($F$206:$F$229,MATCH($B235,$B$206:$B$229,FALSE))),NA()),NA())</f>
        <v>#N/A</v>
      </c>
      <c r="BF235" s="65" t="e">
        <f>IF(BE43=1,IF(BE$13&lt;=COUNT($C15:$CS15),IF(INDEX($F$206:$F$229,MATCH($B235,$B$206:$B$229,FALSE))=0,NA(),INDEX(BE$14:BE$37,MATCH($B235,$B$14:$B$37,FALSE))/INDEX($F$206:$F$229,MATCH($B235,$B$206:$B$229,FALSE))),NA()),NA())</f>
        <v>#N/A</v>
      </c>
      <c r="BG235" s="65" t="e">
        <f>IF(BF43=1,IF(BF$13&lt;=COUNT($C15:$CS15),IF(INDEX($F$206:$F$229,MATCH($B235,$B$206:$B$229,FALSE))=0,NA(),INDEX(BF$14:BF$37,MATCH($B235,$B$14:$B$37,FALSE))/INDEX($F$206:$F$229,MATCH($B235,$B$206:$B$229,FALSE))),NA()),NA())</f>
        <v>#N/A</v>
      </c>
      <c r="BH235" s="65" t="e">
        <f>IF(BG43=1,IF(BG$13&lt;=COUNT($C15:$CS15),IF(INDEX($F$206:$F$229,MATCH($B235,$B$206:$B$229,FALSE))=0,NA(),INDEX(BG$14:BG$37,MATCH($B235,$B$14:$B$37,FALSE))/INDEX($F$206:$F$229,MATCH($B235,$B$206:$B$229,FALSE))),NA()),NA())</f>
        <v>#N/A</v>
      </c>
      <c r="BI235" s="65" t="e">
        <f>IF(BH43=1,IF(BH$13&lt;=COUNT($C15:$CS15),IF(INDEX($F$206:$F$229,MATCH($B235,$B$206:$B$229,FALSE))=0,NA(),INDEX(BH$14:BH$37,MATCH($B235,$B$14:$B$37,FALSE))/INDEX($F$206:$F$229,MATCH($B235,$B$206:$B$229,FALSE))),NA()),NA())</f>
        <v>#N/A</v>
      </c>
      <c r="BJ235" s="65" t="e">
        <f>IF(BI43=1,IF(BI$13&lt;=COUNT($C15:$CS15),IF(INDEX($F$206:$F$229,MATCH($B235,$B$206:$B$229,FALSE))=0,NA(),INDEX(BI$14:BI$37,MATCH($B235,$B$14:$B$37,FALSE))/INDEX($F$206:$F$229,MATCH($B235,$B$206:$B$229,FALSE))),NA()),NA())</f>
        <v>#N/A</v>
      </c>
      <c r="BK235" s="65" t="e">
        <f>IF(BJ43=1,IF(BJ$13&lt;=COUNT($C15:$CS15),IF(INDEX($F$206:$F$229,MATCH($B235,$B$206:$B$229,FALSE))=0,NA(),INDEX(BJ$14:BJ$37,MATCH($B235,$B$14:$B$37,FALSE))/INDEX($F$206:$F$229,MATCH($B235,$B$206:$B$229,FALSE))),NA()),NA())</f>
        <v>#N/A</v>
      </c>
      <c r="BL235" s="65" t="e">
        <f>IF(BK43=1,IF(BK$13&lt;=COUNT($C15:$CS15),IF(INDEX($F$206:$F$229,MATCH($B235,$B$206:$B$229,FALSE))=0,NA(),INDEX(BK$14:BK$37,MATCH($B235,$B$14:$B$37,FALSE))/INDEX($F$206:$F$229,MATCH($B235,$B$206:$B$229,FALSE))),NA()),NA())</f>
        <v>#N/A</v>
      </c>
      <c r="BM235" s="65" t="e">
        <f>IF(BL43=1,IF(BL$13&lt;=COUNT($C15:$CS15),IF(INDEX($F$206:$F$229,MATCH($B235,$B$206:$B$229,FALSE))=0,NA(),INDEX(BL$14:BL$37,MATCH($B235,$B$14:$B$37,FALSE))/INDEX($F$206:$F$229,MATCH($B235,$B$206:$B$229,FALSE))),NA()),NA())</f>
        <v>#N/A</v>
      </c>
      <c r="BN235" s="65" t="e">
        <f>IF(BM43=1,IF(BM$13&lt;=COUNT($C15:$CS15),IF(INDEX($F$206:$F$229,MATCH($B235,$B$206:$B$229,FALSE))=0,NA(),INDEX(BM$14:BM$37,MATCH($B235,$B$14:$B$37,FALSE))/INDEX($F$206:$F$229,MATCH($B235,$B$206:$B$229,FALSE))),NA()),NA())</f>
        <v>#N/A</v>
      </c>
      <c r="BO235" s="65" t="e">
        <f>IF(BN43=1,IF(BN$13&lt;=COUNT($C15:$CS15),IF(INDEX($F$206:$F$229,MATCH($B235,$B$206:$B$229,FALSE))=0,NA(),INDEX(BN$14:BN$37,MATCH($B235,$B$14:$B$37,FALSE))/INDEX($F$206:$F$229,MATCH($B235,$B$206:$B$229,FALSE))),NA()),NA())</f>
        <v>#N/A</v>
      </c>
      <c r="BP235" s="65" t="e">
        <f>IF(BO43=1,IF(BO$13&lt;=COUNT($C15:$CS15),IF(INDEX($F$206:$F$229,MATCH($B235,$B$206:$B$229,FALSE))=0,NA(),INDEX(BO$14:BO$37,MATCH($B235,$B$14:$B$37,FALSE))/INDEX($F$206:$F$229,MATCH($B235,$B$206:$B$229,FALSE))),NA()),NA())</f>
        <v>#N/A</v>
      </c>
      <c r="BQ235" s="65" t="e">
        <f>IF(BP43=1,IF(BP$13&lt;=COUNT($C15:$CS15),IF(INDEX($F$206:$F$229,MATCH($B235,$B$206:$B$229,FALSE))=0,NA(),INDEX(BP$14:BP$37,MATCH($B235,$B$14:$B$37,FALSE))/INDEX($F$206:$F$229,MATCH($B235,$B$206:$B$229,FALSE))),NA()),NA())</f>
        <v>#N/A</v>
      </c>
      <c r="BR235" s="65" t="e">
        <f>IF(BQ43=1,IF(BQ$13&lt;=COUNT($C15:$CS15),IF(INDEX($F$206:$F$229,MATCH($B235,$B$206:$B$229,FALSE))=0,NA(),INDEX(BQ$14:BQ$37,MATCH($B235,$B$14:$B$37,FALSE))/INDEX($F$206:$F$229,MATCH($B235,$B$206:$B$229,FALSE))),NA()),NA())</f>
        <v>#N/A</v>
      </c>
      <c r="BS235" s="65" t="e">
        <f>IF(BR43=1,IF(BR$13&lt;=COUNT($C15:$CS15),IF(INDEX($F$206:$F$229,MATCH($B235,$B$206:$B$229,FALSE))=0,NA(),INDEX(BR$14:BR$37,MATCH($B235,$B$14:$B$37,FALSE))/INDEX($F$206:$F$229,MATCH($B235,$B$206:$B$229,FALSE))),NA()),NA())</f>
        <v>#N/A</v>
      </c>
      <c r="BT235" s="65" t="e">
        <f>IF(BS43=1,IF(BS$13&lt;=COUNT($C15:$CS15),IF(INDEX($F$206:$F$229,MATCH($B235,$B$206:$B$229,FALSE))=0,NA(),INDEX(BS$14:BS$37,MATCH($B235,$B$14:$B$37,FALSE))/INDEX($F$206:$F$229,MATCH($B235,$B$206:$B$229,FALSE))),NA()),NA())</f>
        <v>#N/A</v>
      </c>
      <c r="BU235" s="65" t="e">
        <f>IF(BT43=1,IF(BT$13&lt;=COUNT($C15:$CS15),IF(INDEX($F$206:$F$229,MATCH($B235,$B$206:$B$229,FALSE))=0,NA(),INDEX(BT$14:BT$37,MATCH($B235,$B$14:$B$37,FALSE))/INDEX($F$206:$F$229,MATCH($B235,$B$206:$B$229,FALSE))),NA()),NA())</f>
        <v>#N/A</v>
      </c>
      <c r="BV235" s="65" t="e">
        <f>IF(BU43=1,IF(BU$13&lt;=COUNT($C15:$CS15),IF(INDEX($F$206:$F$229,MATCH($B235,$B$206:$B$229,FALSE))=0,NA(),INDEX(BU$14:BU$37,MATCH($B235,$B$14:$B$37,FALSE))/INDEX($F$206:$F$229,MATCH($B235,$B$206:$B$229,FALSE))),NA()),NA())</f>
        <v>#N/A</v>
      </c>
      <c r="BW235" s="65" t="e">
        <f>IF(BV43=1,IF(BV$13&lt;=COUNT($C15:$CS15),IF(INDEX($F$206:$F$229,MATCH($B235,$B$206:$B$229,FALSE))=0,NA(),INDEX(BV$14:BV$37,MATCH($B235,$B$14:$B$37,FALSE))/INDEX($F$206:$F$229,MATCH($B235,$B$206:$B$229,FALSE))),NA()),NA())</f>
        <v>#N/A</v>
      </c>
      <c r="BX235" s="65" t="e">
        <f>IF(BW43=1,IF(BW$13&lt;=COUNT($C15:$CS15),IF(INDEX($F$206:$F$229,MATCH($B235,$B$206:$B$229,FALSE))=0,NA(),INDEX(BW$14:BW$37,MATCH($B235,$B$14:$B$37,FALSE))/INDEX($F$206:$F$229,MATCH($B235,$B$206:$B$229,FALSE))),NA()),NA())</f>
        <v>#N/A</v>
      </c>
      <c r="BY235" s="65" t="e">
        <f>IF(BX43=1,IF(BX$13&lt;=COUNT($C15:$CS15),IF(INDEX($F$206:$F$229,MATCH($B235,$B$206:$B$229,FALSE))=0,NA(),INDEX(BX$14:BX$37,MATCH($B235,$B$14:$B$37,FALSE))/INDEX($F$206:$F$229,MATCH($B235,$B$206:$B$229,FALSE))),NA()),NA())</f>
        <v>#N/A</v>
      </c>
      <c r="BZ235" s="65" t="e">
        <f>IF(BY43=1,IF(BY$13&lt;=COUNT($C15:$CS15),IF(INDEX($F$206:$F$229,MATCH($B235,$B$206:$B$229,FALSE))=0,NA(),INDEX(BY$14:BY$37,MATCH($B235,$B$14:$B$37,FALSE))/INDEX($F$206:$F$229,MATCH($B235,$B$206:$B$229,FALSE))),NA()),NA())</f>
        <v>#N/A</v>
      </c>
      <c r="CA235" s="65" t="e">
        <f>IF(BZ43=1,IF(BZ$13&lt;=COUNT($C15:$CS15),IF(INDEX($F$206:$F$229,MATCH($B235,$B$206:$B$229,FALSE))=0,NA(),INDEX(BZ$14:BZ$37,MATCH($B235,$B$14:$B$37,FALSE))/INDEX($F$206:$F$229,MATCH($B235,$B$206:$B$229,FALSE))),NA()),NA())</f>
        <v>#N/A</v>
      </c>
      <c r="CB235" s="65" t="e">
        <f>IF(CA43=1,IF(CA$13&lt;=COUNT($C15:$CS15),IF(INDEX($F$206:$F$229,MATCH($B235,$B$206:$B$229,FALSE))=0,NA(),INDEX(CA$14:CA$37,MATCH($B235,$B$14:$B$37,FALSE))/INDEX($F$206:$F$229,MATCH($B235,$B$206:$B$229,FALSE))),NA()),NA())</f>
        <v>#N/A</v>
      </c>
      <c r="CC235" s="65" t="e">
        <f>IF(CB43=1,IF(CB$13&lt;=COUNT($C15:$CS15),IF(INDEX($F$206:$F$229,MATCH($B235,$B$206:$B$229,FALSE))=0,NA(),INDEX(CB$14:CB$37,MATCH($B235,$B$14:$B$37,FALSE))/INDEX($F$206:$F$229,MATCH($B235,$B$206:$B$229,FALSE))),NA()),NA())</f>
        <v>#N/A</v>
      </c>
      <c r="CD235" s="65" t="e">
        <f>IF(CC43=1,IF(CC$13&lt;=COUNT($C15:$CS15),IF(INDEX($F$206:$F$229,MATCH($B235,$B$206:$B$229,FALSE))=0,NA(),INDEX(CC$14:CC$37,MATCH($B235,$B$14:$B$37,FALSE))/INDEX($F$206:$F$229,MATCH($B235,$B$206:$B$229,FALSE))),NA()),NA())</f>
        <v>#N/A</v>
      </c>
      <c r="CE235" s="65" t="e">
        <f>IF(CD43=1,IF(CD$13&lt;=COUNT($C15:$CS15),IF(INDEX($F$206:$F$229,MATCH($B235,$B$206:$B$229,FALSE))=0,NA(),INDEX(CD$14:CD$37,MATCH($B235,$B$14:$B$37,FALSE))/INDEX($F$206:$F$229,MATCH($B235,$B$206:$B$229,FALSE))),NA()),NA())</f>
        <v>#N/A</v>
      </c>
      <c r="CF235" s="65" t="e">
        <f>IF(CE43=1,IF(CE$13&lt;=COUNT($C15:$CS15),IF(INDEX($F$206:$F$229,MATCH($B235,$B$206:$B$229,FALSE))=0,NA(),INDEX(CE$14:CE$37,MATCH($B235,$B$14:$B$37,FALSE))/INDEX($F$206:$F$229,MATCH($B235,$B$206:$B$229,FALSE))),NA()),NA())</f>
        <v>#N/A</v>
      </c>
      <c r="CG235" s="65" t="e">
        <f>IF(CF43=1,IF(CF$13&lt;=COUNT($C15:$CS15),IF(INDEX($F$206:$F$229,MATCH($B235,$B$206:$B$229,FALSE))=0,NA(),INDEX(CF$14:CF$37,MATCH($B235,$B$14:$B$37,FALSE))/INDEX($F$206:$F$229,MATCH($B235,$B$206:$B$229,FALSE))),NA()),NA())</f>
        <v>#N/A</v>
      </c>
      <c r="CH235" s="65" t="e">
        <f>IF(CG43=1,IF(CG$13&lt;=COUNT($C15:$CS15),IF(INDEX($F$206:$F$229,MATCH($B235,$B$206:$B$229,FALSE))=0,NA(),INDEX(CG$14:CG$37,MATCH($B235,$B$14:$B$37,FALSE))/INDEX($F$206:$F$229,MATCH($B235,$B$206:$B$229,FALSE))),NA()),NA())</f>
        <v>#N/A</v>
      </c>
      <c r="CI235" s="65" t="e">
        <f>IF(CH43=1,IF(CH$13&lt;=COUNT($C15:$CS15),IF(INDEX($F$206:$F$229,MATCH($B235,$B$206:$B$229,FALSE))=0,NA(),INDEX(CH$14:CH$37,MATCH($B235,$B$14:$B$37,FALSE))/INDEX($F$206:$F$229,MATCH($B235,$B$206:$B$229,FALSE))),NA()),NA())</f>
        <v>#N/A</v>
      </c>
      <c r="CJ235" s="65" t="e">
        <f>IF(CI43=1,IF(CI$13&lt;=COUNT($C15:$CS15),IF(INDEX($F$206:$F$229,MATCH($B235,$B$206:$B$229,FALSE))=0,NA(),INDEX(CI$14:CI$37,MATCH($B235,$B$14:$B$37,FALSE))/INDEX($F$206:$F$229,MATCH($B235,$B$206:$B$229,FALSE))),NA()),NA())</f>
        <v>#N/A</v>
      </c>
      <c r="CK235" s="65" t="e">
        <f>IF(CJ43=1,IF(CJ$13&lt;=COUNT($C15:$CS15),IF(INDEX($F$206:$F$229,MATCH($B235,$B$206:$B$229,FALSE))=0,NA(),INDEX(CJ$14:CJ$37,MATCH($B235,$B$14:$B$37,FALSE))/INDEX($F$206:$F$229,MATCH($B235,$B$206:$B$229,FALSE))),NA()),NA())</f>
        <v>#N/A</v>
      </c>
      <c r="CL235" s="65" t="e">
        <f>IF(CK43=1,IF(CK$13&lt;=COUNT($C15:$CS15),IF(INDEX($F$206:$F$229,MATCH($B235,$B$206:$B$229,FALSE))=0,NA(),INDEX(CK$14:CK$37,MATCH($B235,$B$14:$B$37,FALSE))/INDEX($F$206:$F$229,MATCH($B235,$B$206:$B$229,FALSE))),NA()),NA())</f>
        <v>#N/A</v>
      </c>
      <c r="CM235" s="65" t="e">
        <f>IF(CL43=1,IF(CL$13&lt;=COUNT($C15:$CS15),IF(INDEX($F$206:$F$229,MATCH($B235,$B$206:$B$229,FALSE))=0,NA(),INDEX(CL$14:CL$37,MATCH($B235,$B$14:$B$37,FALSE))/INDEX($F$206:$F$229,MATCH($B235,$B$206:$B$229,FALSE))),NA()),NA())</f>
        <v>#N/A</v>
      </c>
      <c r="CN235" s="65" t="e">
        <f>IF(CM43=1,IF(CM$13&lt;=COUNT($C15:$CS15),IF(INDEX($F$206:$F$229,MATCH($B235,$B$206:$B$229,FALSE))=0,NA(),INDEX(CM$14:CM$37,MATCH($B235,$B$14:$B$37,FALSE))/INDEX($F$206:$F$229,MATCH($B235,$B$206:$B$229,FALSE))),NA()),NA())</f>
        <v>#N/A</v>
      </c>
      <c r="CO235" s="65" t="e">
        <f>IF(CN43=1,IF(CN$13&lt;=COUNT($C15:$CS15),IF(INDEX($F$206:$F$229,MATCH($B235,$B$206:$B$229,FALSE))=0,NA(),INDEX(CN$14:CN$37,MATCH($B235,$B$14:$B$37,FALSE))/INDEX($F$206:$F$229,MATCH($B235,$B$206:$B$229,FALSE))),NA()),NA())</f>
        <v>#N/A</v>
      </c>
      <c r="CP235" s="65" t="e">
        <f>IF(CO43=1,IF(CO$13&lt;=COUNT($C15:$CS15),IF(INDEX($F$206:$F$229,MATCH($B235,$B$206:$B$229,FALSE))=0,NA(),INDEX(CO$14:CO$37,MATCH($B235,$B$14:$B$37,FALSE))/INDEX($F$206:$F$229,MATCH($B235,$B$206:$B$229,FALSE))),NA()),NA())</f>
        <v>#N/A</v>
      </c>
      <c r="CQ235" s="65" t="e">
        <f>IF(CP43=1,IF(CP$13&lt;=COUNT($C15:$CS15),IF(INDEX($F$206:$F$229,MATCH($B235,$B$206:$B$229,FALSE))=0,NA(),INDEX(CP$14:CP$37,MATCH($B235,$B$14:$B$37,FALSE))/INDEX($F$206:$F$229,MATCH($B235,$B$206:$B$229,FALSE))),NA()),NA())</f>
        <v>#N/A</v>
      </c>
      <c r="CR235" s="65" t="e">
        <f>IF(CQ43=1,IF(CQ$13&lt;=COUNT($C15:$CS15),IF(INDEX($F$206:$F$229,MATCH($B235,$B$206:$B$229,FALSE))=0,NA(),INDEX(CQ$14:CQ$37,MATCH($B235,$B$14:$B$37,FALSE))/INDEX($F$206:$F$229,MATCH($B235,$B$206:$B$229,FALSE))),NA()),NA())</f>
        <v>#N/A</v>
      </c>
      <c r="CS235" s="65" t="e">
        <f>IF(CR43=1,IF(CR$13&lt;=COUNT($C15:$CS15),IF(INDEX($F$206:$F$229,MATCH($B235,$B$206:$B$229,FALSE))=0,NA(),INDEX(CR$14:CR$37,MATCH($B235,$B$14:$B$37,FALSE))/INDEX($F$206:$F$229,MATCH($B235,$B$206:$B$229,FALSE))),NA()),NA())</f>
        <v>#N/A</v>
      </c>
      <c r="CT235" s="143"/>
      <c r="CU235" s="143"/>
      <c r="CV235" s="143"/>
      <c r="CW235" s="143"/>
    </row>
    <row r="236" spans="1:101" hidden="1" x14ac:dyDescent="0.25">
      <c r="A236" s="97">
        <f t="shared" si="352"/>
        <v>0</v>
      </c>
      <c r="B236" s="29">
        <f t="shared" si="351"/>
        <v>1998</v>
      </c>
      <c r="C236" s="154" t="str">
        <f t="shared" si="353"/>
        <v/>
      </c>
      <c r="D236" s="54" t="e">
        <f>IF(C44=1,IF(C$13&lt;=COUNT($C16:$CS16),IF(INDEX($F$206:$F$229,MATCH($B236,$B$206:$B$229,FALSE))=0,NA(),INDEX(C$14:C$37,MATCH($B236,$B$14:$B$37,FALSE))/INDEX($F$206:$F$229,MATCH($B236,$B$206:$B$229,FALSE))),NA()),NA())</f>
        <v>#N/A</v>
      </c>
      <c r="E236" s="65" t="e">
        <f>IF(D44=1,IF(D$13&lt;=COUNT($C16:$CS16),IF(INDEX($F$206:$F$229,MATCH($B236,$B$206:$B$229,FALSE))=0,NA(),INDEX(D$14:D$37,MATCH($B236,$B$14:$B$37,FALSE))/INDEX($F$206:$F$229,MATCH($B236,$B$206:$B$229,FALSE))),NA()),NA())</f>
        <v>#N/A</v>
      </c>
      <c r="F236" s="65" t="e">
        <f>IF(E44=1,IF(E$13&lt;=COUNT($C16:$CS16),IF(INDEX($F$206:$F$229,MATCH($B236,$B$206:$B$229,FALSE))=0,NA(),INDEX(E$14:E$37,MATCH($B236,$B$14:$B$37,FALSE))/INDEX($F$206:$F$229,MATCH($B236,$B$206:$B$229,FALSE))),NA()),NA())</f>
        <v>#N/A</v>
      </c>
      <c r="G236" s="65" t="e">
        <f>IF(F44=1,IF(F$13&lt;=COUNT($C16:$CS16),IF(INDEX($F$206:$F$229,MATCH($B236,$B$206:$B$229,FALSE))=0,NA(),INDEX(F$14:F$37,MATCH($B236,$B$14:$B$37,FALSE))/INDEX($F$206:$F$229,MATCH($B236,$B$206:$B$229,FALSE))),NA()),NA())</f>
        <v>#N/A</v>
      </c>
      <c r="H236" s="65" t="e">
        <f>IF(G44=1,IF(G$13&lt;=COUNT($C16:$CS16),IF(INDEX($F$206:$F$229,MATCH($B236,$B$206:$B$229,FALSE))=0,NA(),INDEX(G$14:G$37,MATCH($B236,$B$14:$B$37,FALSE))/INDEX($F$206:$F$229,MATCH($B236,$B$206:$B$229,FALSE))),NA()),NA())</f>
        <v>#N/A</v>
      </c>
      <c r="I236" s="65" t="e">
        <f>IF(H44=1,IF(H$13&lt;=COUNT($C16:$CS16),IF(INDEX($F$206:$F$229,MATCH($B236,$B$206:$B$229,FALSE))=0,NA(),INDEX(H$14:H$37,MATCH($B236,$B$14:$B$37,FALSE))/INDEX($F$206:$F$229,MATCH($B236,$B$206:$B$229,FALSE))),NA()),NA())</f>
        <v>#N/A</v>
      </c>
      <c r="J236" s="65" t="e">
        <f>IF(I44=1,IF(I$13&lt;=COUNT($C16:$CS16),IF(INDEX($F$206:$F$229,MATCH($B236,$B$206:$B$229,FALSE))=0,NA(),INDEX(I$14:I$37,MATCH($B236,$B$14:$B$37,FALSE))/INDEX($F$206:$F$229,MATCH($B236,$B$206:$B$229,FALSE))),NA()),NA())</f>
        <v>#N/A</v>
      </c>
      <c r="K236" s="65" t="e">
        <f>IF(J44=1,IF(J$13&lt;=COUNT($C16:$CS16),IF(INDEX($F$206:$F$229,MATCH($B236,$B$206:$B$229,FALSE))=0,NA(),INDEX(J$14:J$37,MATCH($B236,$B$14:$B$37,FALSE))/INDEX($F$206:$F$229,MATCH($B236,$B$206:$B$229,FALSE))),NA()),NA())</f>
        <v>#N/A</v>
      </c>
      <c r="L236" s="65" t="e">
        <f>IF(K44=1,IF(K$13&lt;=COUNT($C16:$CS16),IF(INDEX($F$206:$F$229,MATCH($B236,$B$206:$B$229,FALSE))=0,NA(),INDEX(K$14:K$37,MATCH($B236,$B$14:$B$37,FALSE))/INDEX($F$206:$F$229,MATCH($B236,$B$206:$B$229,FALSE))),NA()),NA())</f>
        <v>#N/A</v>
      </c>
      <c r="M236" s="65" t="e">
        <f>IF(L44=1,IF(L$13&lt;=COUNT($C16:$CS16),IF(INDEX($F$206:$F$229,MATCH($B236,$B$206:$B$229,FALSE))=0,NA(),INDEX(L$14:L$37,MATCH($B236,$B$14:$B$37,FALSE))/INDEX($F$206:$F$229,MATCH($B236,$B$206:$B$229,FALSE))),NA()),NA())</f>
        <v>#N/A</v>
      </c>
      <c r="N236" s="65" t="e">
        <f>IF(M44=1,IF(M$13&lt;=COUNT($C16:$CS16),IF(INDEX($F$206:$F$229,MATCH($B236,$B$206:$B$229,FALSE))=0,NA(),INDEX(M$14:M$37,MATCH($B236,$B$14:$B$37,FALSE))/INDEX($F$206:$F$229,MATCH($B236,$B$206:$B$229,FALSE))),NA()),NA())</f>
        <v>#N/A</v>
      </c>
      <c r="O236" s="65" t="e">
        <f>IF(N44=1,IF(N$13&lt;=COUNT($C16:$CS16),IF(INDEX($F$206:$F$229,MATCH($B236,$B$206:$B$229,FALSE))=0,NA(),INDEX(N$14:N$37,MATCH($B236,$B$14:$B$37,FALSE))/INDEX($F$206:$F$229,MATCH($B236,$B$206:$B$229,FALSE))),NA()),NA())</f>
        <v>#N/A</v>
      </c>
      <c r="P236" s="65" t="e">
        <f>IF(O44=1,IF(O$13&lt;=COUNT($C16:$CS16),IF(INDEX($F$206:$F$229,MATCH($B236,$B$206:$B$229,FALSE))=0,NA(),INDEX(O$14:O$37,MATCH($B236,$B$14:$B$37,FALSE))/INDEX($F$206:$F$229,MATCH($B236,$B$206:$B$229,FALSE))),NA()),NA())</f>
        <v>#N/A</v>
      </c>
      <c r="Q236" s="65" t="e">
        <f>IF(P44=1,IF(P$13&lt;=COUNT($C16:$CS16),IF(INDEX($F$206:$F$229,MATCH($B236,$B$206:$B$229,FALSE))=0,NA(),INDEX(P$14:P$37,MATCH($B236,$B$14:$B$37,FALSE))/INDEX($F$206:$F$229,MATCH($B236,$B$206:$B$229,FALSE))),NA()),NA())</f>
        <v>#N/A</v>
      </c>
      <c r="R236" s="65" t="e">
        <f>IF(Q44=1,IF(Q$13&lt;=COUNT($C16:$CS16),IF(INDEX($F$206:$F$229,MATCH($B236,$B$206:$B$229,FALSE))=0,NA(),INDEX(Q$14:Q$37,MATCH($B236,$B$14:$B$37,FALSE))/INDEX($F$206:$F$229,MATCH($B236,$B$206:$B$229,FALSE))),NA()),NA())</f>
        <v>#N/A</v>
      </c>
      <c r="S236" s="65" t="e">
        <f>IF(R44=1,IF(R$13&lt;=COUNT($C16:$CS16),IF(INDEX($F$206:$F$229,MATCH($B236,$B$206:$B$229,FALSE))=0,NA(),INDEX(R$14:R$37,MATCH($B236,$B$14:$B$37,FALSE))/INDEX($F$206:$F$229,MATCH($B236,$B$206:$B$229,FALSE))),NA()),NA())</f>
        <v>#N/A</v>
      </c>
      <c r="T236" s="65" t="e">
        <f>IF(S44=1,IF(S$13&lt;=COUNT($C16:$CS16),IF(INDEX($F$206:$F$229,MATCH($B236,$B$206:$B$229,FALSE))=0,NA(),INDEX(S$14:S$37,MATCH($B236,$B$14:$B$37,FALSE))/INDEX($F$206:$F$229,MATCH($B236,$B$206:$B$229,FALSE))),NA()),NA())</f>
        <v>#N/A</v>
      </c>
      <c r="U236" s="65" t="e">
        <f>IF(T44=1,IF(T$13&lt;=COUNT($C16:$CS16),IF(INDEX($F$206:$F$229,MATCH($B236,$B$206:$B$229,FALSE))=0,NA(),INDEX(T$14:T$37,MATCH($B236,$B$14:$B$37,FALSE))/INDEX($F$206:$F$229,MATCH($B236,$B$206:$B$229,FALSE))),NA()),NA())</f>
        <v>#N/A</v>
      </c>
      <c r="V236" s="65" t="e">
        <f>IF(U44=1,IF(U$13&lt;=COUNT($C16:$CS16),IF(INDEX($F$206:$F$229,MATCH($B236,$B$206:$B$229,FALSE))=0,NA(),INDEX(U$14:U$37,MATCH($B236,$B$14:$B$37,FALSE))/INDEX($F$206:$F$229,MATCH($B236,$B$206:$B$229,FALSE))),NA()),NA())</f>
        <v>#N/A</v>
      </c>
      <c r="W236" s="65" t="e">
        <f>IF(V44=1,IF(V$13&lt;=COUNT($C16:$CS16),IF(INDEX($F$206:$F$229,MATCH($B236,$B$206:$B$229,FALSE))=0,NA(),INDEX(V$14:V$37,MATCH($B236,$B$14:$B$37,FALSE))/INDEX($F$206:$F$229,MATCH($B236,$B$206:$B$229,FALSE))),NA()),NA())</f>
        <v>#N/A</v>
      </c>
      <c r="X236" s="65" t="e">
        <f>IF(W44=1,IF(W$13&lt;=COUNT($C16:$CS16),IF(INDEX($F$206:$F$229,MATCH($B236,$B$206:$B$229,FALSE))=0,NA(),INDEX(W$14:W$37,MATCH($B236,$B$14:$B$37,FALSE))/INDEX($F$206:$F$229,MATCH($B236,$B$206:$B$229,FALSE))),NA()),NA())</f>
        <v>#N/A</v>
      </c>
      <c r="Y236" s="65" t="e">
        <f>IF(X44=1,IF(X$13&lt;=COUNT($C16:$CS16),IF(INDEX($F$206:$F$229,MATCH($B236,$B$206:$B$229,FALSE))=0,NA(),INDEX(X$14:X$37,MATCH($B236,$B$14:$B$37,FALSE))/INDEX($F$206:$F$229,MATCH($B236,$B$206:$B$229,FALSE))),NA()),NA())</f>
        <v>#N/A</v>
      </c>
      <c r="Z236" s="65" t="e">
        <f>IF(Y44=1,IF(Y$13&lt;=COUNT($C16:$CS16),IF(INDEX($F$206:$F$229,MATCH($B236,$B$206:$B$229,FALSE))=0,NA(),INDEX(Y$14:Y$37,MATCH($B236,$B$14:$B$37,FALSE))/INDEX($F$206:$F$229,MATCH($B236,$B$206:$B$229,FALSE))),NA()),NA())</f>
        <v>#N/A</v>
      </c>
      <c r="AA236" s="65" t="e">
        <f>IF(Z44=1,IF(Z$13&lt;=COUNT($C16:$CS16),IF(INDEX($F$206:$F$229,MATCH($B236,$B$206:$B$229,FALSE))=0,NA(),INDEX(Z$14:Z$37,MATCH($B236,$B$14:$B$37,FALSE))/INDEX($F$206:$F$229,MATCH($B236,$B$206:$B$229,FALSE))),NA()),NA())</f>
        <v>#N/A</v>
      </c>
      <c r="AB236" s="65" t="e">
        <f>IF(AA44=1,IF(AA$13&lt;=COUNT($C16:$CS16),IF(INDEX($F$206:$F$229,MATCH($B236,$B$206:$B$229,FALSE))=0,NA(),INDEX(AA$14:AA$37,MATCH($B236,$B$14:$B$37,FALSE))/INDEX($F$206:$F$229,MATCH($B236,$B$206:$B$229,FALSE))),NA()),NA())</f>
        <v>#N/A</v>
      </c>
      <c r="AC236" s="65" t="e">
        <f>IF(AB44=1,IF(AB$13&lt;=COUNT($C16:$CS16),IF(INDEX($F$206:$F$229,MATCH($B236,$B$206:$B$229,FALSE))=0,NA(),INDEX(AB$14:AB$37,MATCH($B236,$B$14:$B$37,FALSE))/INDEX($F$206:$F$229,MATCH($B236,$B$206:$B$229,FALSE))),NA()),NA())</f>
        <v>#N/A</v>
      </c>
      <c r="AD236" s="65" t="e">
        <f>IF(AC44=1,IF(AC$13&lt;=COUNT($C16:$CS16),IF(INDEX($F$206:$F$229,MATCH($B236,$B$206:$B$229,FALSE))=0,NA(),INDEX(AC$14:AC$37,MATCH($B236,$B$14:$B$37,FALSE))/INDEX($F$206:$F$229,MATCH($B236,$B$206:$B$229,FALSE))),NA()),NA())</f>
        <v>#N/A</v>
      </c>
      <c r="AE236" s="65" t="e">
        <f>IF(AD44=1,IF(AD$13&lt;=COUNT($C16:$CS16),IF(INDEX($F$206:$F$229,MATCH($B236,$B$206:$B$229,FALSE))=0,NA(),INDEX(AD$14:AD$37,MATCH($B236,$B$14:$B$37,FALSE))/INDEX($F$206:$F$229,MATCH($B236,$B$206:$B$229,FALSE))),NA()),NA())</f>
        <v>#N/A</v>
      </c>
      <c r="AF236" s="65" t="e">
        <f>IF(AE44=1,IF(AE$13&lt;=COUNT($C16:$CS16),IF(INDEX($F$206:$F$229,MATCH($B236,$B$206:$B$229,FALSE))=0,NA(),INDEX(AE$14:AE$37,MATCH($B236,$B$14:$B$37,FALSE))/INDEX($F$206:$F$229,MATCH($B236,$B$206:$B$229,FALSE))),NA()),NA())</f>
        <v>#N/A</v>
      </c>
      <c r="AG236" s="65" t="e">
        <f>IF(AF44=1,IF(AF$13&lt;=COUNT($C16:$CS16),IF(INDEX($F$206:$F$229,MATCH($B236,$B$206:$B$229,FALSE))=0,NA(),INDEX(AF$14:AF$37,MATCH($B236,$B$14:$B$37,FALSE))/INDEX($F$206:$F$229,MATCH($B236,$B$206:$B$229,FALSE))),NA()),NA())</f>
        <v>#N/A</v>
      </c>
      <c r="AH236" s="65" t="e">
        <f>IF(AG44=1,IF(AG$13&lt;=COUNT($C16:$CS16),IF(INDEX($F$206:$F$229,MATCH($B236,$B$206:$B$229,FALSE))=0,NA(),INDEX(AG$14:AG$37,MATCH($B236,$B$14:$B$37,FALSE))/INDEX($F$206:$F$229,MATCH($B236,$B$206:$B$229,FALSE))),NA()),NA())</f>
        <v>#N/A</v>
      </c>
      <c r="AI236" s="65" t="e">
        <f>IF(AH44=1,IF(AH$13&lt;=COUNT($C16:$CS16),IF(INDEX($F$206:$F$229,MATCH($B236,$B$206:$B$229,FALSE))=0,NA(),INDEX(AH$14:AH$37,MATCH($B236,$B$14:$B$37,FALSE))/INDEX($F$206:$F$229,MATCH($B236,$B$206:$B$229,FALSE))),NA()),NA())</f>
        <v>#N/A</v>
      </c>
      <c r="AJ236" s="65" t="e">
        <f>IF(AI44=1,IF(AI$13&lt;=COUNT($C16:$CS16),IF(INDEX($F$206:$F$229,MATCH($B236,$B$206:$B$229,FALSE))=0,NA(),INDEX(AI$14:AI$37,MATCH($B236,$B$14:$B$37,FALSE))/INDEX($F$206:$F$229,MATCH($B236,$B$206:$B$229,FALSE))),NA()),NA())</f>
        <v>#N/A</v>
      </c>
      <c r="AK236" s="65" t="e">
        <f>IF(AJ44=1,IF(AJ$13&lt;=COUNT($C16:$CS16),IF(INDEX($F$206:$F$229,MATCH($B236,$B$206:$B$229,FALSE))=0,NA(),INDEX(AJ$14:AJ$37,MATCH($B236,$B$14:$B$37,FALSE))/INDEX($F$206:$F$229,MATCH($B236,$B$206:$B$229,FALSE))),NA()),NA())</f>
        <v>#N/A</v>
      </c>
      <c r="AL236" s="65" t="e">
        <f>IF(AK44=1,IF(AK$13&lt;=COUNT($C16:$CS16),IF(INDEX($F$206:$F$229,MATCH($B236,$B$206:$B$229,FALSE))=0,NA(),INDEX(AK$14:AK$37,MATCH($B236,$B$14:$B$37,FALSE))/INDEX($F$206:$F$229,MATCH($B236,$B$206:$B$229,FALSE))),NA()),NA())</f>
        <v>#N/A</v>
      </c>
      <c r="AM236" s="65" t="e">
        <f>IF(AL44=1,IF(AL$13&lt;=COUNT($C16:$CS16),IF(INDEX($F$206:$F$229,MATCH($B236,$B$206:$B$229,FALSE))=0,NA(),INDEX(AL$14:AL$37,MATCH($B236,$B$14:$B$37,FALSE))/INDEX($F$206:$F$229,MATCH($B236,$B$206:$B$229,FALSE))),NA()),NA())</f>
        <v>#N/A</v>
      </c>
      <c r="AN236" s="65" t="e">
        <f>IF(AM44=1,IF(AM$13&lt;=COUNT($C16:$CS16),IF(INDEX($F$206:$F$229,MATCH($B236,$B$206:$B$229,FALSE))=0,NA(),INDEX(AM$14:AM$37,MATCH($B236,$B$14:$B$37,FALSE))/INDEX($F$206:$F$229,MATCH($B236,$B$206:$B$229,FALSE))),NA()),NA())</f>
        <v>#N/A</v>
      </c>
      <c r="AO236" s="65" t="e">
        <f>IF(AN44=1,IF(AN$13&lt;=COUNT($C16:$CS16),IF(INDEX($F$206:$F$229,MATCH($B236,$B$206:$B$229,FALSE))=0,NA(),INDEX(AN$14:AN$37,MATCH($B236,$B$14:$B$37,FALSE))/INDEX($F$206:$F$229,MATCH($B236,$B$206:$B$229,FALSE))),NA()),NA())</f>
        <v>#N/A</v>
      </c>
      <c r="AP236" s="65" t="e">
        <f>IF(AO44=1,IF(AO$13&lt;=COUNT($C16:$CS16),IF(INDEX($F$206:$F$229,MATCH($B236,$B$206:$B$229,FALSE))=0,NA(),INDEX(AO$14:AO$37,MATCH($B236,$B$14:$B$37,FALSE))/INDEX($F$206:$F$229,MATCH($B236,$B$206:$B$229,FALSE))),NA()),NA())</f>
        <v>#N/A</v>
      </c>
      <c r="AQ236" s="65" t="e">
        <f>IF(AP44=1,IF(AP$13&lt;=COUNT($C16:$CS16),IF(INDEX($F$206:$F$229,MATCH($B236,$B$206:$B$229,FALSE))=0,NA(),INDEX(AP$14:AP$37,MATCH($B236,$B$14:$B$37,FALSE))/INDEX($F$206:$F$229,MATCH($B236,$B$206:$B$229,FALSE))),NA()),NA())</f>
        <v>#N/A</v>
      </c>
      <c r="AR236" s="65" t="e">
        <f>IF(AQ44=1,IF(AQ$13&lt;=COUNT($C16:$CS16),IF(INDEX($F$206:$F$229,MATCH($B236,$B$206:$B$229,FALSE))=0,NA(),INDEX(AQ$14:AQ$37,MATCH($B236,$B$14:$B$37,FALSE))/INDEX($F$206:$F$229,MATCH($B236,$B$206:$B$229,FALSE))),NA()),NA())</f>
        <v>#N/A</v>
      </c>
      <c r="AS236" s="65" t="e">
        <f>IF(AR44=1,IF(AR$13&lt;=COUNT($C16:$CS16),IF(INDEX($F$206:$F$229,MATCH($B236,$B$206:$B$229,FALSE))=0,NA(),INDEX(AR$14:AR$37,MATCH($B236,$B$14:$B$37,FALSE))/INDEX($F$206:$F$229,MATCH($B236,$B$206:$B$229,FALSE))),NA()),NA())</f>
        <v>#N/A</v>
      </c>
      <c r="AT236" s="65" t="e">
        <f>IF(AS44=1,IF(AS$13&lt;=COUNT($C16:$CS16),IF(INDEX($F$206:$F$229,MATCH($B236,$B$206:$B$229,FALSE))=0,NA(),INDEX(AS$14:AS$37,MATCH($B236,$B$14:$B$37,FALSE))/INDEX($F$206:$F$229,MATCH($B236,$B$206:$B$229,FALSE))),NA()),NA())</f>
        <v>#N/A</v>
      </c>
      <c r="AU236" s="65" t="e">
        <f>IF(AT44=1,IF(AT$13&lt;=COUNT($C16:$CS16),IF(INDEX($F$206:$F$229,MATCH($B236,$B$206:$B$229,FALSE))=0,NA(),INDEX(AT$14:AT$37,MATCH($B236,$B$14:$B$37,FALSE))/INDEX($F$206:$F$229,MATCH($B236,$B$206:$B$229,FALSE))),NA()),NA())</f>
        <v>#N/A</v>
      </c>
      <c r="AV236" s="65" t="e">
        <f>IF(AU44=1,IF(AU$13&lt;=COUNT($C16:$CS16),IF(INDEX($F$206:$F$229,MATCH($B236,$B$206:$B$229,FALSE))=0,NA(),INDEX(AU$14:AU$37,MATCH($B236,$B$14:$B$37,FALSE))/INDEX($F$206:$F$229,MATCH($B236,$B$206:$B$229,FALSE))),NA()),NA())</f>
        <v>#N/A</v>
      </c>
      <c r="AW236" s="65" t="e">
        <f>IF(AV44=1,IF(AV$13&lt;=COUNT($C16:$CS16),IF(INDEX($F$206:$F$229,MATCH($B236,$B$206:$B$229,FALSE))=0,NA(),INDEX(AV$14:AV$37,MATCH($B236,$B$14:$B$37,FALSE))/INDEX($F$206:$F$229,MATCH($B236,$B$206:$B$229,FALSE))),NA()),NA())</f>
        <v>#N/A</v>
      </c>
      <c r="AX236" s="65" t="e">
        <f>IF(AW44=1,IF(AW$13&lt;=COUNT($C16:$CS16),IF(INDEX($F$206:$F$229,MATCH($B236,$B$206:$B$229,FALSE))=0,NA(),INDEX(AW$14:AW$37,MATCH($B236,$B$14:$B$37,FALSE))/INDEX($F$206:$F$229,MATCH($B236,$B$206:$B$229,FALSE))),NA()),NA())</f>
        <v>#N/A</v>
      </c>
      <c r="AY236" s="65" t="e">
        <f>IF(AX44=1,IF(AX$13&lt;=COUNT($C16:$CS16),IF(INDEX($F$206:$F$229,MATCH($B236,$B$206:$B$229,FALSE))=0,NA(),INDEX(AX$14:AX$37,MATCH($B236,$B$14:$B$37,FALSE))/INDEX($F$206:$F$229,MATCH($B236,$B$206:$B$229,FALSE))),NA()),NA())</f>
        <v>#N/A</v>
      </c>
      <c r="AZ236" s="65" t="e">
        <f>IF(AY44=1,IF(AY$13&lt;=COUNT($C16:$CS16),IF(INDEX($F$206:$F$229,MATCH($B236,$B$206:$B$229,FALSE))=0,NA(),INDEX(AY$14:AY$37,MATCH($B236,$B$14:$B$37,FALSE))/INDEX($F$206:$F$229,MATCH($B236,$B$206:$B$229,FALSE))),NA()),NA())</f>
        <v>#N/A</v>
      </c>
      <c r="BA236" s="65" t="e">
        <f>IF(AZ44=1,IF(AZ$13&lt;=COUNT($C16:$CS16),IF(INDEX($F$206:$F$229,MATCH($B236,$B$206:$B$229,FALSE))=0,NA(),INDEX(AZ$14:AZ$37,MATCH($B236,$B$14:$B$37,FALSE))/INDEX($F$206:$F$229,MATCH($B236,$B$206:$B$229,FALSE))),NA()),NA())</f>
        <v>#N/A</v>
      </c>
      <c r="BB236" s="65" t="e">
        <f>IF(BA44=1,IF(BA$13&lt;=COUNT($C16:$CS16),IF(INDEX($F$206:$F$229,MATCH($B236,$B$206:$B$229,FALSE))=0,NA(),INDEX(BA$14:BA$37,MATCH($B236,$B$14:$B$37,FALSE))/INDEX($F$206:$F$229,MATCH($B236,$B$206:$B$229,FALSE))),NA()),NA())</f>
        <v>#N/A</v>
      </c>
      <c r="BC236" s="65" t="e">
        <f>IF(BB44=1,IF(BB$13&lt;=COUNT($C16:$CS16),IF(INDEX($F$206:$F$229,MATCH($B236,$B$206:$B$229,FALSE))=0,NA(),INDEX(BB$14:BB$37,MATCH($B236,$B$14:$B$37,FALSE))/INDEX($F$206:$F$229,MATCH($B236,$B$206:$B$229,FALSE))),NA()),NA())</f>
        <v>#N/A</v>
      </c>
      <c r="BD236" s="65" t="e">
        <f>IF(BC44=1,IF(BC$13&lt;=COUNT($C16:$CS16),IF(INDEX($F$206:$F$229,MATCH($B236,$B$206:$B$229,FALSE))=0,NA(),INDEX(BC$14:BC$37,MATCH($B236,$B$14:$B$37,FALSE))/INDEX($F$206:$F$229,MATCH($B236,$B$206:$B$229,FALSE))),NA()),NA())</f>
        <v>#N/A</v>
      </c>
      <c r="BE236" s="65" t="e">
        <f>IF(BD44=1,IF(BD$13&lt;=COUNT($C16:$CS16),IF(INDEX($F$206:$F$229,MATCH($B236,$B$206:$B$229,FALSE))=0,NA(),INDEX(BD$14:BD$37,MATCH($B236,$B$14:$B$37,FALSE))/INDEX($F$206:$F$229,MATCH($B236,$B$206:$B$229,FALSE))),NA()),NA())</f>
        <v>#N/A</v>
      </c>
      <c r="BF236" s="65" t="e">
        <f>IF(BE44=1,IF(BE$13&lt;=COUNT($C16:$CS16),IF(INDEX($F$206:$F$229,MATCH($B236,$B$206:$B$229,FALSE))=0,NA(),INDEX(BE$14:BE$37,MATCH($B236,$B$14:$B$37,FALSE))/INDEX($F$206:$F$229,MATCH($B236,$B$206:$B$229,FALSE))),NA()),NA())</f>
        <v>#N/A</v>
      </c>
      <c r="BG236" s="65" t="e">
        <f>IF(BF44=1,IF(BF$13&lt;=COUNT($C16:$CS16),IF(INDEX($F$206:$F$229,MATCH($B236,$B$206:$B$229,FALSE))=0,NA(),INDEX(BF$14:BF$37,MATCH($B236,$B$14:$B$37,FALSE))/INDEX($F$206:$F$229,MATCH($B236,$B$206:$B$229,FALSE))),NA()),NA())</f>
        <v>#N/A</v>
      </c>
      <c r="BH236" s="65" t="e">
        <f>IF(BG44=1,IF(BG$13&lt;=COUNT($C16:$CS16),IF(INDEX($F$206:$F$229,MATCH($B236,$B$206:$B$229,FALSE))=0,NA(),INDEX(BG$14:BG$37,MATCH($B236,$B$14:$B$37,FALSE))/INDEX($F$206:$F$229,MATCH($B236,$B$206:$B$229,FALSE))),NA()),NA())</f>
        <v>#N/A</v>
      </c>
      <c r="BI236" s="65" t="e">
        <f>IF(BH44=1,IF(BH$13&lt;=COUNT($C16:$CS16),IF(INDEX($F$206:$F$229,MATCH($B236,$B$206:$B$229,FALSE))=0,NA(),INDEX(BH$14:BH$37,MATCH($B236,$B$14:$B$37,FALSE))/INDEX($F$206:$F$229,MATCH($B236,$B$206:$B$229,FALSE))),NA()),NA())</f>
        <v>#N/A</v>
      </c>
      <c r="BJ236" s="65" t="e">
        <f>IF(BI44=1,IF(BI$13&lt;=COUNT($C16:$CS16),IF(INDEX($F$206:$F$229,MATCH($B236,$B$206:$B$229,FALSE))=0,NA(),INDEX(BI$14:BI$37,MATCH($B236,$B$14:$B$37,FALSE))/INDEX($F$206:$F$229,MATCH($B236,$B$206:$B$229,FALSE))),NA()),NA())</f>
        <v>#N/A</v>
      </c>
      <c r="BK236" s="65" t="e">
        <f>IF(BJ44=1,IF(BJ$13&lt;=COUNT($C16:$CS16),IF(INDEX($F$206:$F$229,MATCH($B236,$B$206:$B$229,FALSE))=0,NA(),INDEX(BJ$14:BJ$37,MATCH($B236,$B$14:$B$37,FALSE))/INDEX($F$206:$F$229,MATCH($B236,$B$206:$B$229,FALSE))),NA()),NA())</f>
        <v>#N/A</v>
      </c>
      <c r="BL236" s="65" t="e">
        <f>IF(BK44=1,IF(BK$13&lt;=COUNT($C16:$CS16),IF(INDEX($F$206:$F$229,MATCH($B236,$B$206:$B$229,FALSE))=0,NA(),INDEX(BK$14:BK$37,MATCH($B236,$B$14:$B$37,FALSE))/INDEX($F$206:$F$229,MATCH($B236,$B$206:$B$229,FALSE))),NA()),NA())</f>
        <v>#N/A</v>
      </c>
      <c r="BM236" s="65" t="e">
        <f>IF(BL44=1,IF(BL$13&lt;=COUNT($C16:$CS16),IF(INDEX($F$206:$F$229,MATCH($B236,$B$206:$B$229,FALSE))=0,NA(),INDEX(BL$14:BL$37,MATCH($B236,$B$14:$B$37,FALSE))/INDEX($F$206:$F$229,MATCH($B236,$B$206:$B$229,FALSE))),NA()),NA())</f>
        <v>#N/A</v>
      </c>
      <c r="BN236" s="65" t="e">
        <f>IF(BM44=1,IF(BM$13&lt;=COUNT($C16:$CS16),IF(INDEX($F$206:$F$229,MATCH($B236,$B$206:$B$229,FALSE))=0,NA(),INDEX(BM$14:BM$37,MATCH($B236,$B$14:$B$37,FALSE))/INDEX($F$206:$F$229,MATCH($B236,$B$206:$B$229,FALSE))),NA()),NA())</f>
        <v>#N/A</v>
      </c>
      <c r="BO236" s="65" t="e">
        <f>IF(BN44=1,IF(BN$13&lt;=COUNT($C16:$CS16),IF(INDEX($F$206:$F$229,MATCH($B236,$B$206:$B$229,FALSE))=0,NA(),INDEX(BN$14:BN$37,MATCH($B236,$B$14:$B$37,FALSE))/INDEX($F$206:$F$229,MATCH($B236,$B$206:$B$229,FALSE))),NA()),NA())</f>
        <v>#N/A</v>
      </c>
      <c r="BP236" s="65" t="e">
        <f>IF(BO44=1,IF(BO$13&lt;=COUNT($C16:$CS16),IF(INDEX($F$206:$F$229,MATCH($B236,$B$206:$B$229,FALSE))=0,NA(),INDEX(BO$14:BO$37,MATCH($B236,$B$14:$B$37,FALSE))/INDEX($F$206:$F$229,MATCH($B236,$B$206:$B$229,FALSE))),NA()),NA())</f>
        <v>#N/A</v>
      </c>
      <c r="BQ236" s="65" t="e">
        <f>IF(BP44=1,IF(BP$13&lt;=COUNT($C16:$CS16),IF(INDEX($F$206:$F$229,MATCH($B236,$B$206:$B$229,FALSE))=0,NA(),INDEX(BP$14:BP$37,MATCH($B236,$B$14:$B$37,FALSE))/INDEX($F$206:$F$229,MATCH($B236,$B$206:$B$229,FALSE))),NA()),NA())</f>
        <v>#N/A</v>
      </c>
      <c r="BR236" s="65" t="e">
        <f>IF(BQ44=1,IF(BQ$13&lt;=COUNT($C16:$CS16),IF(INDEX($F$206:$F$229,MATCH($B236,$B$206:$B$229,FALSE))=0,NA(),INDEX(BQ$14:BQ$37,MATCH($B236,$B$14:$B$37,FALSE))/INDEX($F$206:$F$229,MATCH($B236,$B$206:$B$229,FALSE))),NA()),NA())</f>
        <v>#N/A</v>
      </c>
      <c r="BS236" s="65" t="e">
        <f>IF(BR44=1,IF(BR$13&lt;=COUNT($C16:$CS16),IF(INDEX($F$206:$F$229,MATCH($B236,$B$206:$B$229,FALSE))=0,NA(),INDEX(BR$14:BR$37,MATCH($B236,$B$14:$B$37,FALSE))/INDEX($F$206:$F$229,MATCH($B236,$B$206:$B$229,FALSE))),NA()),NA())</f>
        <v>#N/A</v>
      </c>
      <c r="BT236" s="65" t="e">
        <f>IF(BS44=1,IF(BS$13&lt;=COUNT($C16:$CS16),IF(INDEX($F$206:$F$229,MATCH($B236,$B$206:$B$229,FALSE))=0,NA(),INDEX(BS$14:BS$37,MATCH($B236,$B$14:$B$37,FALSE))/INDEX($F$206:$F$229,MATCH($B236,$B$206:$B$229,FALSE))),NA()),NA())</f>
        <v>#N/A</v>
      </c>
      <c r="BU236" s="65" t="e">
        <f>IF(BT44=1,IF(BT$13&lt;=COUNT($C16:$CS16),IF(INDEX($F$206:$F$229,MATCH($B236,$B$206:$B$229,FALSE))=0,NA(),INDEX(BT$14:BT$37,MATCH($B236,$B$14:$B$37,FALSE))/INDEX($F$206:$F$229,MATCH($B236,$B$206:$B$229,FALSE))),NA()),NA())</f>
        <v>#N/A</v>
      </c>
      <c r="BV236" s="65" t="e">
        <f>IF(BU44=1,IF(BU$13&lt;=COUNT($C16:$CS16),IF(INDEX($F$206:$F$229,MATCH($B236,$B$206:$B$229,FALSE))=0,NA(),INDEX(BU$14:BU$37,MATCH($B236,$B$14:$B$37,FALSE))/INDEX($F$206:$F$229,MATCH($B236,$B$206:$B$229,FALSE))),NA()),NA())</f>
        <v>#N/A</v>
      </c>
      <c r="BW236" s="65" t="e">
        <f>IF(BV44=1,IF(BV$13&lt;=COUNT($C16:$CS16),IF(INDEX($F$206:$F$229,MATCH($B236,$B$206:$B$229,FALSE))=0,NA(),INDEX(BV$14:BV$37,MATCH($B236,$B$14:$B$37,FALSE))/INDEX($F$206:$F$229,MATCH($B236,$B$206:$B$229,FALSE))),NA()),NA())</f>
        <v>#N/A</v>
      </c>
      <c r="BX236" s="65" t="e">
        <f>IF(BW44=1,IF(BW$13&lt;=COUNT($C16:$CS16),IF(INDEX($F$206:$F$229,MATCH($B236,$B$206:$B$229,FALSE))=0,NA(),INDEX(BW$14:BW$37,MATCH($B236,$B$14:$B$37,FALSE))/INDEX($F$206:$F$229,MATCH($B236,$B$206:$B$229,FALSE))),NA()),NA())</f>
        <v>#N/A</v>
      </c>
      <c r="BY236" s="65" t="e">
        <f>IF(BX44=1,IF(BX$13&lt;=COUNT($C16:$CS16),IF(INDEX($F$206:$F$229,MATCH($B236,$B$206:$B$229,FALSE))=0,NA(),INDEX(BX$14:BX$37,MATCH($B236,$B$14:$B$37,FALSE))/INDEX($F$206:$F$229,MATCH($B236,$B$206:$B$229,FALSE))),NA()),NA())</f>
        <v>#N/A</v>
      </c>
      <c r="BZ236" s="65" t="e">
        <f>IF(BY44=1,IF(BY$13&lt;=COUNT($C16:$CS16),IF(INDEX($F$206:$F$229,MATCH($B236,$B$206:$B$229,FALSE))=0,NA(),INDEX(BY$14:BY$37,MATCH($B236,$B$14:$B$37,FALSE))/INDEX($F$206:$F$229,MATCH($B236,$B$206:$B$229,FALSE))),NA()),NA())</f>
        <v>#N/A</v>
      </c>
      <c r="CA236" s="65" t="e">
        <f>IF(BZ44=1,IF(BZ$13&lt;=COUNT($C16:$CS16),IF(INDEX($F$206:$F$229,MATCH($B236,$B$206:$B$229,FALSE))=0,NA(),INDEX(BZ$14:BZ$37,MATCH($B236,$B$14:$B$37,FALSE))/INDEX($F$206:$F$229,MATCH($B236,$B$206:$B$229,FALSE))),NA()),NA())</f>
        <v>#N/A</v>
      </c>
      <c r="CB236" s="65" t="e">
        <f>IF(CA44=1,IF(CA$13&lt;=COUNT($C16:$CS16),IF(INDEX($F$206:$F$229,MATCH($B236,$B$206:$B$229,FALSE))=0,NA(),INDEX(CA$14:CA$37,MATCH($B236,$B$14:$B$37,FALSE))/INDEX($F$206:$F$229,MATCH($B236,$B$206:$B$229,FALSE))),NA()),NA())</f>
        <v>#N/A</v>
      </c>
      <c r="CC236" s="65" t="e">
        <f>IF(CB44=1,IF(CB$13&lt;=COUNT($C16:$CS16),IF(INDEX($F$206:$F$229,MATCH($B236,$B$206:$B$229,FALSE))=0,NA(),INDEX(CB$14:CB$37,MATCH($B236,$B$14:$B$37,FALSE))/INDEX($F$206:$F$229,MATCH($B236,$B$206:$B$229,FALSE))),NA()),NA())</f>
        <v>#N/A</v>
      </c>
      <c r="CD236" s="65" t="e">
        <f>IF(CC44=1,IF(CC$13&lt;=COUNT($C16:$CS16),IF(INDEX($F$206:$F$229,MATCH($B236,$B$206:$B$229,FALSE))=0,NA(),INDEX(CC$14:CC$37,MATCH($B236,$B$14:$B$37,FALSE))/INDEX($F$206:$F$229,MATCH($B236,$B$206:$B$229,FALSE))),NA()),NA())</f>
        <v>#N/A</v>
      </c>
      <c r="CE236" s="65" t="e">
        <f>IF(CD44=1,IF(CD$13&lt;=COUNT($C16:$CS16),IF(INDEX($F$206:$F$229,MATCH($B236,$B$206:$B$229,FALSE))=0,NA(),INDEX(CD$14:CD$37,MATCH($B236,$B$14:$B$37,FALSE))/INDEX($F$206:$F$229,MATCH($B236,$B$206:$B$229,FALSE))),NA()),NA())</f>
        <v>#N/A</v>
      </c>
      <c r="CF236" s="65" t="e">
        <f>IF(CE44=1,IF(CE$13&lt;=COUNT($C16:$CS16),IF(INDEX($F$206:$F$229,MATCH($B236,$B$206:$B$229,FALSE))=0,NA(),INDEX(CE$14:CE$37,MATCH($B236,$B$14:$B$37,FALSE))/INDEX($F$206:$F$229,MATCH($B236,$B$206:$B$229,FALSE))),NA()),NA())</f>
        <v>#N/A</v>
      </c>
      <c r="CG236" s="65" t="e">
        <f>IF(CF44=1,IF(CF$13&lt;=COUNT($C16:$CS16),IF(INDEX($F$206:$F$229,MATCH($B236,$B$206:$B$229,FALSE))=0,NA(),INDEX(CF$14:CF$37,MATCH($B236,$B$14:$B$37,FALSE))/INDEX($F$206:$F$229,MATCH($B236,$B$206:$B$229,FALSE))),NA()),NA())</f>
        <v>#N/A</v>
      </c>
      <c r="CH236" s="65" t="e">
        <f>IF(CG44=1,IF(CG$13&lt;=COUNT($C16:$CS16),IF(INDEX($F$206:$F$229,MATCH($B236,$B$206:$B$229,FALSE))=0,NA(),INDEX(CG$14:CG$37,MATCH($B236,$B$14:$B$37,FALSE))/INDEX($F$206:$F$229,MATCH($B236,$B$206:$B$229,FALSE))),NA()),NA())</f>
        <v>#N/A</v>
      </c>
      <c r="CI236" s="65" t="e">
        <f>IF(CH44=1,IF(CH$13&lt;=COUNT($C16:$CS16),IF(INDEX($F$206:$F$229,MATCH($B236,$B$206:$B$229,FALSE))=0,NA(),INDEX(CH$14:CH$37,MATCH($B236,$B$14:$B$37,FALSE))/INDEX($F$206:$F$229,MATCH($B236,$B$206:$B$229,FALSE))),NA()),NA())</f>
        <v>#N/A</v>
      </c>
      <c r="CJ236" s="65" t="e">
        <f>IF(CI44=1,IF(CI$13&lt;=COUNT($C16:$CS16),IF(INDEX($F$206:$F$229,MATCH($B236,$B$206:$B$229,FALSE))=0,NA(),INDEX(CI$14:CI$37,MATCH($B236,$B$14:$B$37,FALSE))/INDEX($F$206:$F$229,MATCH($B236,$B$206:$B$229,FALSE))),NA()),NA())</f>
        <v>#N/A</v>
      </c>
      <c r="CK236" s="65" t="e">
        <f>IF(CJ44=1,IF(CJ$13&lt;=COUNT($C16:$CS16),IF(INDEX($F$206:$F$229,MATCH($B236,$B$206:$B$229,FALSE))=0,NA(),INDEX(CJ$14:CJ$37,MATCH($B236,$B$14:$B$37,FALSE))/INDEX($F$206:$F$229,MATCH($B236,$B$206:$B$229,FALSE))),NA()),NA())</f>
        <v>#N/A</v>
      </c>
      <c r="CL236" s="65" t="e">
        <f>IF(CK44=1,IF(CK$13&lt;=COUNT($C16:$CS16),IF(INDEX($F$206:$F$229,MATCH($B236,$B$206:$B$229,FALSE))=0,NA(),INDEX(CK$14:CK$37,MATCH($B236,$B$14:$B$37,FALSE))/INDEX($F$206:$F$229,MATCH($B236,$B$206:$B$229,FALSE))),NA()),NA())</f>
        <v>#N/A</v>
      </c>
      <c r="CM236" s="65" t="e">
        <f>IF(CL44=1,IF(CL$13&lt;=COUNT($C16:$CS16),IF(INDEX($F$206:$F$229,MATCH($B236,$B$206:$B$229,FALSE))=0,NA(),INDEX(CL$14:CL$37,MATCH($B236,$B$14:$B$37,FALSE))/INDEX($F$206:$F$229,MATCH($B236,$B$206:$B$229,FALSE))),NA()),NA())</f>
        <v>#N/A</v>
      </c>
      <c r="CN236" s="65" t="e">
        <f>IF(CM44=1,IF(CM$13&lt;=COUNT($C16:$CS16),IF(INDEX($F$206:$F$229,MATCH($B236,$B$206:$B$229,FALSE))=0,NA(),INDEX(CM$14:CM$37,MATCH($B236,$B$14:$B$37,FALSE))/INDEX($F$206:$F$229,MATCH($B236,$B$206:$B$229,FALSE))),NA()),NA())</f>
        <v>#N/A</v>
      </c>
      <c r="CO236" s="65" t="e">
        <f>IF(CN44=1,IF(CN$13&lt;=COUNT($C16:$CS16),IF(INDEX($F$206:$F$229,MATCH($B236,$B$206:$B$229,FALSE))=0,NA(),INDEX(CN$14:CN$37,MATCH($B236,$B$14:$B$37,FALSE))/INDEX($F$206:$F$229,MATCH($B236,$B$206:$B$229,FALSE))),NA()),NA())</f>
        <v>#N/A</v>
      </c>
      <c r="CP236" s="65" t="e">
        <f>IF(CO44=1,IF(CO$13&lt;=COUNT($C16:$CS16),IF(INDEX($F$206:$F$229,MATCH($B236,$B$206:$B$229,FALSE))=0,NA(),INDEX(CO$14:CO$37,MATCH($B236,$B$14:$B$37,FALSE))/INDEX($F$206:$F$229,MATCH($B236,$B$206:$B$229,FALSE))),NA()),NA())</f>
        <v>#N/A</v>
      </c>
      <c r="CQ236" s="65" t="e">
        <f>IF(CP44=1,IF(CP$13&lt;=COUNT($C16:$CS16),IF(INDEX($F$206:$F$229,MATCH($B236,$B$206:$B$229,FALSE))=0,NA(),INDEX(CP$14:CP$37,MATCH($B236,$B$14:$B$37,FALSE))/INDEX($F$206:$F$229,MATCH($B236,$B$206:$B$229,FALSE))),NA()),NA())</f>
        <v>#N/A</v>
      </c>
      <c r="CR236" s="65" t="e">
        <f>IF(CQ44=1,IF(CQ$13&lt;=COUNT($C16:$CS16),IF(INDEX($F$206:$F$229,MATCH($B236,$B$206:$B$229,FALSE))=0,NA(),INDEX(CQ$14:CQ$37,MATCH($B236,$B$14:$B$37,FALSE))/INDEX($F$206:$F$229,MATCH($B236,$B$206:$B$229,FALSE))),NA()),NA())</f>
        <v>#N/A</v>
      </c>
      <c r="CS236" s="65" t="e">
        <f>IF(CR44=1,IF(CR$13&lt;=COUNT($C16:$CS16),IF(INDEX($F$206:$F$229,MATCH($B236,$B$206:$B$229,FALSE))=0,NA(),INDEX(CR$14:CR$37,MATCH($B236,$B$14:$B$37,FALSE))/INDEX($F$206:$F$229,MATCH($B236,$B$206:$B$229,FALSE))),NA()),NA())</f>
        <v>#N/A</v>
      </c>
      <c r="CT236" s="49"/>
      <c r="CU236" s="49"/>
      <c r="CV236" s="49"/>
      <c r="CW236" s="49"/>
    </row>
    <row r="237" spans="1:101" hidden="1" x14ac:dyDescent="0.25">
      <c r="A237" s="97">
        <f t="shared" si="352"/>
        <v>0</v>
      </c>
      <c r="B237" s="29">
        <f t="shared" si="351"/>
        <v>1999</v>
      </c>
      <c r="C237" s="154" t="str">
        <f t="shared" si="353"/>
        <v/>
      </c>
      <c r="D237" s="54" t="e">
        <f>IF(C45=1,IF(C$13&lt;=COUNT($C17:$CS17),IF(INDEX($F$206:$F$229,MATCH($B237,$B$206:$B$229,FALSE))=0,NA(),INDEX(C$14:C$37,MATCH($B237,$B$14:$B$37,FALSE))/INDEX($F$206:$F$229,MATCH($B237,$B$206:$B$229,FALSE))),NA()),NA())</f>
        <v>#N/A</v>
      </c>
      <c r="E237" s="65" t="e">
        <f>IF(D45=1,IF(D$13&lt;=COUNT($C17:$CS17),IF(INDEX($F$206:$F$229,MATCH($B237,$B$206:$B$229,FALSE))=0,NA(),INDEX(D$14:D$37,MATCH($B237,$B$14:$B$37,FALSE))/INDEX($F$206:$F$229,MATCH($B237,$B$206:$B$229,FALSE))),NA()),NA())</f>
        <v>#N/A</v>
      </c>
      <c r="F237" s="65" t="e">
        <f>IF(E45=1,IF(E$13&lt;=COUNT($C17:$CS17),IF(INDEX($F$206:$F$229,MATCH($B237,$B$206:$B$229,FALSE))=0,NA(),INDEX(E$14:E$37,MATCH($B237,$B$14:$B$37,FALSE))/INDEX($F$206:$F$229,MATCH($B237,$B$206:$B$229,FALSE))),NA()),NA())</f>
        <v>#N/A</v>
      </c>
      <c r="G237" s="65" t="e">
        <f>IF(F45=1,IF(F$13&lt;=COUNT($C17:$CS17),IF(INDEX($F$206:$F$229,MATCH($B237,$B$206:$B$229,FALSE))=0,NA(),INDEX(F$14:F$37,MATCH($B237,$B$14:$B$37,FALSE))/INDEX($F$206:$F$229,MATCH($B237,$B$206:$B$229,FALSE))),NA()),NA())</f>
        <v>#N/A</v>
      </c>
      <c r="H237" s="65" t="e">
        <f>IF(G45=1,IF(G$13&lt;=COUNT($C17:$CS17),IF(INDEX($F$206:$F$229,MATCH($B237,$B$206:$B$229,FALSE))=0,NA(),INDEX(G$14:G$37,MATCH($B237,$B$14:$B$37,FALSE))/INDEX($F$206:$F$229,MATCH($B237,$B$206:$B$229,FALSE))),NA()),NA())</f>
        <v>#N/A</v>
      </c>
      <c r="I237" s="65" t="e">
        <f>IF(H45=1,IF(H$13&lt;=COUNT($C17:$CS17),IF(INDEX($F$206:$F$229,MATCH($B237,$B$206:$B$229,FALSE))=0,NA(),INDEX(H$14:H$37,MATCH($B237,$B$14:$B$37,FALSE))/INDEX($F$206:$F$229,MATCH($B237,$B$206:$B$229,FALSE))),NA()),NA())</f>
        <v>#N/A</v>
      </c>
      <c r="J237" s="65" t="e">
        <f>IF(I45=1,IF(I$13&lt;=COUNT($C17:$CS17),IF(INDEX($F$206:$F$229,MATCH($B237,$B$206:$B$229,FALSE))=0,NA(),INDEX(I$14:I$37,MATCH($B237,$B$14:$B$37,FALSE))/INDEX($F$206:$F$229,MATCH($B237,$B$206:$B$229,FALSE))),NA()),NA())</f>
        <v>#N/A</v>
      </c>
      <c r="K237" s="65" t="e">
        <f>IF(J45=1,IF(J$13&lt;=COUNT($C17:$CS17),IF(INDEX($F$206:$F$229,MATCH($B237,$B$206:$B$229,FALSE))=0,NA(),INDEX(J$14:J$37,MATCH($B237,$B$14:$B$37,FALSE))/INDEX($F$206:$F$229,MATCH($B237,$B$206:$B$229,FALSE))),NA()),NA())</f>
        <v>#N/A</v>
      </c>
      <c r="L237" s="65" t="e">
        <f>IF(K45=1,IF(K$13&lt;=COUNT($C17:$CS17),IF(INDEX($F$206:$F$229,MATCH($B237,$B$206:$B$229,FALSE))=0,NA(),INDEX(K$14:K$37,MATCH($B237,$B$14:$B$37,FALSE))/INDEX($F$206:$F$229,MATCH($B237,$B$206:$B$229,FALSE))),NA()),NA())</f>
        <v>#N/A</v>
      </c>
      <c r="M237" s="65" t="e">
        <f>IF(L45=1,IF(L$13&lt;=COUNT($C17:$CS17),IF(INDEX($F$206:$F$229,MATCH($B237,$B$206:$B$229,FALSE))=0,NA(),INDEX(L$14:L$37,MATCH($B237,$B$14:$B$37,FALSE))/INDEX($F$206:$F$229,MATCH($B237,$B$206:$B$229,FALSE))),NA()),NA())</f>
        <v>#N/A</v>
      </c>
      <c r="N237" s="65" t="e">
        <f>IF(M45=1,IF(M$13&lt;=COUNT($C17:$CS17),IF(INDEX($F$206:$F$229,MATCH($B237,$B$206:$B$229,FALSE))=0,NA(),INDEX(M$14:M$37,MATCH($B237,$B$14:$B$37,FALSE))/INDEX($F$206:$F$229,MATCH($B237,$B$206:$B$229,FALSE))),NA()),NA())</f>
        <v>#N/A</v>
      </c>
      <c r="O237" s="65" t="e">
        <f>IF(N45=1,IF(N$13&lt;=COUNT($C17:$CS17),IF(INDEX($F$206:$F$229,MATCH($B237,$B$206:$B$229,FALSE))=0,NA(),INDEX(N$14:N$37,MATCH($B237,$B$14:$B$37,FALSE))/INDEX($F$206:$F$229,MATCH($B237,$B$206:$B$229,FALSE))),NA()),NA())</f>
        <v>#N/A</v>
      </c>
      <c r="P237" s="65" t="e">
        <f>IF(O45=1,IF(O$13&lt;=COUNT($C17:$CS17),IF(INDEX($F$206:$F$229,MATCH($B237,$B$206:$B$229,FALSE))=0,NA(),INDEX(O$14:O$37,MATCH($B237,$B$14:$B$37,FALSE))/INDEX($F$206:$F$229,MATCH($B237,$B$206:$B$229,FALSE))),NA()),NA())</f>
        <v>#N/A</v>
      </c>
      <c r="Q237" s="65" t="e">
        <f>IF(P45=1,IF(P$13&lt;=COUNT($C17:$CS17),IF(INDEX($F$206:$F$229,MATCH($B237,$B$206:$B$229,FALSE))=0,NA(),INDEX(P$14:P$37,MATCH($B237,$B$14:$B$37,FALSE))/INDEX($F$206:$F$229,MATCH($B237,$B$206:$B$229,FALSE))),NA()),NA())</f>
        <v>#N/A</v>
      </c>
      <c r="R237" s="65" t="e">
        <f>IF(Q45=1,IF(Q$13&lt;=COUNT($C17:$CS17),IF(INDEX($F$206:$F$229,MATCH($B237,$B$206:$B$229,FALSE))=0,NA(),INDEX(Q$14:Q$37,MATCH($B237,$B$14:$B$37,FALSE))/INDEX($F$206:$F$229,MATCH($B237,$B$206:$B$229,FALSE))),NA()),NA())</f>
        <v>#N/A</v>
      </c>
      <c r="S237" s="65" t="e">
        <f>IF(R45=1,IF(R$13&lt;=COUNT($C17:$CS17),IF(INDEX($F$206:$F$229,MATCH($B237,$B$206:$B$229,FALSE))=0,NA(),INDEX(R$14:R$37,MATCH($B237,$B$14:$B$37,FALSE))/INDEX($F$206:$F$229,MATCH($B237,$B$206:$B$229,FALSE))),NA()),NA())</f>
        <v>#N/A</v>
      </c>
      <c r="T237" s="65" t="e">
        <f>IF(S45=1,IF(S$13&lt;=COUNT($C17:$CS17),IF(INDEX($F$206:$F$229,MATCH($B237,$B$206:$B$229,FALSE))=0,NA(),INDEX(S$14:S$37,MATCH($B237,$B$14:$B$37,FALSE))/INDEX($F$206:$F$229,MATCH($B237,$B$206:$B$229,FALSE))),NA()),NA())</f>
        <v>#N/A</v>
      </c>
      <c r="U237" s="65" t="e">
        <f>IF(T45=1,IF(T$13&lt;=COUNT($C17:$CS17),IF(INDEX($F$206:$F$229,MATCH($B237,$B$206:$B$229,FALSE))=0,NA(),INDEX(T$14:T$37,MATCH($B237,$B$14:$B$37,FALSE))/INDEX($F$206:$F$229,MATCH($B237,$B$206:$B$229,FALSE))),NA()),NA())</f>
        <v>#N/A</v>
      </c>
      <c r="V237" s="65" t="e">
        <f>IF(U45=1,IF(U$13&lt;=COUNT($C17:$CS17),IF(INDEX($F$206:$F$229,MATCH($B237,$B$206:$B$229,FALSE))=0,NA(),INDEX(U$14:U$37,MATCH($B237,$B$14:$B$37,FALSE))/INDEX($F$206:$F$229,MATCH($B237,$B$206:$B$229,FALSE))),NA()),NA())</f>
        <v>#N/A</v>
      </c>
      <c r="W237" s="65" t="e">
        <f>IF(V45=1,IF(V$13&lt;=COUNT($C17:$CS17),IF(INDEX($F$206:$F$229,MATCH($B237,$B$206:$B$229,FALSE))=0,NA(),INDEX(V$14:V$37,MATCH($B237,$B$14:$B$37,FALSE))/INDEX($F$206:$F$229,MATCH($B237,$B$206:$B$229,FALSE))),NA()),NA())</f>
        <v>#N/A</v>
      </c>
      <c r="X237" s="65" t="e">
        <f>IF(W45=1,IF(W$13&lt;=COUNT($C17:$CS17),IF(INDEX($F$206:$F$229,MATCH($B237,$B$206:$B$229,FALSE))=0,NA(),INDEX(W$14:W$37,MATCH($B237,$B$14:$B$37,FALSE))/INDEX($F$206:$F$229,MATCH($B237,$B$206:$B$229,FALSE))),NA()),NA())</f>
        <v>#N/A</v>
      </c>
      <c r="Y237" s="65" t="e">
        <f>IF(X45=1,IF(X$13&lt;=COUNT($C17:$CS17),IF(INDEX($F$206:$F$229,MATCH($B237,$B$206:$B$229,FALSE))=0,NA(),INDEX(X$14:X$37,MATCH($B237,$B$14:$B$37,FALSE))/INDEX($F$206:$F$229,MATCH($B237,$B$206:$B$229,FALSE))),NA()),NA())</f>
        <v>#N/A</v>
      </c>
      <c r="Z237" s="65" t="e">
        <f>IF(Y45=1,IF(Y$13&lt;=COUNT($C17:$CS17),IF(INDEX($F$206:$F$229,MATCH($B237,$B$206:$B$229,FALSE))=0,NA(),INDEX(Y$14:Y$37,MATCH($B237,$B$14:$B$37,FALSE))/INDEX($F$206:$F$229,MATCH($B237,$B$206:$B$229,FALSE))),NA()),NA())</f>
        <v>#N/A</v>
      </c>
      <c r="AA237" s="65" t="e">
        <f>IF(Z45=1,IF(Z$13&lt;=COUNT($C17:$CS17),IF(INDEX($F$206:$F$229,MATCH($B237,$B$206:$B$229,FALSE))=0,NA(),INDEX(Z$14:Z$37,MATCH($B237,$B$14:$B$37,FALSE))/INDEX($F$206:$F$229,MATCH($B237,$B$206:$B$229,FALSE))),NA()),NA())</f>
        <v>#N/A</v>
      </c>
      <c r="AB237" s="65" t="e">
        <f>IF(AA45=1,IF(AA$13&lt;=COUNT($C17:$CS17),IF(INDEX($F$206:$F$229,MATCH($B237,$B$206:$B$229,FALSE))=0,NA(),INDEX(AA$14:AA$37,MATCH($B237,$B$14:$B$37,FALSE))/INDEX($F$206:$F$229,MATCH($B237,$B$206:$B$229,FALSE))),NA()),NA())</f>
        <v>#N/A</v>
      </c>
      <c r="AC237" s="65" t="e">
        <f>IF(AB45=1,IF(AB$13&lt;=COUNT($C17:$CS17),IF(INDEX($F$206:$F$229,MATCH($B237,$B$206:$B$229,FALSE))=0,NA(),INDEX(AB$14:AB$37,MATCH($B237,$B$14:$B$37,FALSE))/INDEX($F$206:$F$229,MATCH($B237,$B$206:$B$229,FALSE))),NA()),NA())</f>
        <v>#N/A</v>
      </c>
      <c r="AD237" s="65" t="e">
        <f>IF(AC45=1,IF(AC$13&lt;=COUNT($C17:$CS17),IF(INDEX($F$206:$F$229,MATCH($B237,$B$206:$B$229,FALSE))=0,NA(),INDEX(AC$14:AC$37,MATCH($B237,$B$14:$B$37,FALSE))/INDEX($F$206:$F$229,MATCH($B237,$B$206:$B$229,FALSE))),NA()),NA())</f>
        <v>#N/A</v>
      </c>
      <c r="AE237" s="65" t="e">
        <f>IF(AD45=1,IF(AD$13&lt;=COUNT($C17:$CS17),IF(INDEX($F$206:$F$229,MATCH($B237,$B$206:$B$229,FALSE))=0,NA(),INDEX(AD$14:AD$37,MATCH($B237,$B$14:$B$37,FALSE))/INDEX($F$206:$F$229,MATCH($B237,$B$206:$B$229,FALSE))),NA()),NA())</f>
        <v>#N/A</v>
      </c>
      <c r="AF237" s="65" t="e">
        <f>IF(AE45=1,IF(AE$13&lt;=COUNT($C17:$CS17),IF(INDEX($F$206:$F$229,MATCH($B237,$B$206:$B$229,FALSE))=0,NA(),INDEX(AE$14:AE$37,MATCH($B237,$B$14:$B$37,FALSE))/INDEX($F$206:$F$229,MATCH($B237,$B$206:$B$229,FALSE))),NA()),NA())</f>
        <v>#N/A</v>
      </c>
      <c r="AG237" s="65" t="e">
        <f>IF(AF45=1,IF(AF$13&lt;=COUNT($C17:$CS17),IF(INDEX($F$206:$F$229,MATCH($B237,$B$206:$B$229,FALSE))=0,NA(),INDEX(AF$14:AF$37,MATCH($B237,$B$14:$B$37,FALSE))/INDEX($F$206:$F$229,MATCH($B237,$B$206:$B$229,FALSE))),NA()),NA())</f>
        <v>#N/A</v>
      </c>
      <c r="AH237" s="65" t="e">
        <f>IF(AG45=1,IF(AG$13&lt;=COUNT($C17:$CS17),IF(INDEX($F$206:$F$229,MATCH($B237,$B$206:$B$229,FALSE))=0,NA(),INDEX(AG$14:AG$37,MATCH($B237,$B$14:$B$37,FALSE))/INDEX($F$206:$F$229,MATCH($B237,$B$206:$B$229,FALSE))),NA()),NA())</f>
        <v>#N/A</v>
      </c>
      <c r="AI237" s="65" t="e">
        <f>IF(AH45=1,IF(AH$13&lt;=COUNT($C17:$CS17),IF(INDEX($F$206:$F$229,MATCH($B237,$B$206:$B$229,FALSE))=0,NA(),INDEX(AH$14:AH$37,MATCH($B237,$B$14:$B$37,FALSE))/INDEX($F$206:$F$229,MATCH($B237,$B$206:$B$229,FALSE))),NA()),NA())</f>
        <v>#N/A</v>
      </c>
      <c r="AJ237" s="65" t="e">
        <f>IF(AI45=1,IF(AI$13&lt;=COUNT($C17:$CS17),IF(INDEX($F$206:$F$229,MATCH($B237,$B$206:$B$229,FALSE))=0,NA(),INDEX(AI$14:AI$37,MATCH($B237,$B$14:$B$37,FALSE))/INDEX($F$206:$F$229,MATCH($B237,$B$206:$B$229,FALSE))),NA()),NA())</f>
        <v>#N/A</v>
      </c>
      <c r="AK237" s="65" t="e">
        <f>IF(AJ45=1,IF(AJ$13&lt;=COUNT($C17:$CS17),IF(INDEX($F$206:$F$229,MATCH($B237,$B$206:$B$229,FALSE))=0,NA(),INDEX(AJ$14:AJ$37,MATCH($B237,$B$14:$B$37,FALSE))/INDEX($F$206:$F$229,MATCH($B237,$B$206:$B$229,FALSE))),NA()),NA())</f>
        <v>#N/A</v>
      </c>
      <c r="AL237" s="65" t="e">
        <f>IF(AK45=1,IF(AK$13&lt;=COUNT($C17:$CS17),IF(INDEX($F$206:$F$229,MATCH($B237,$B$206:$B$229,FALSE))=0,NA(),INDEX(AK$14:AK$37,MATCH($B237,$B$14:$B$37,FALSE))/INDEX($F$206:$F$229,MATCH($B237,$B$206:$B$229,FALSE))),NA()),NA())</f>
        <v>#N/A</v>
      </c>
      <c r="AM237" s="65" t="e">
        <f>IF(AL45=1,IF(AL$13&lt;=COUNT($C17:$CS17),IF(INDEX($F$206:$F$229,MATCH($B237,$B$206:$B$229,FALSE))=0,NA(),INDEX(AL$14:AL$37,MATCH($B237,$B$14:$B$37,FALSE))/INDEX($F$206:$F$229,MATCH($B237,$B$206:$B$229,FALSE))),NA()),NA())</f>
        <v>#N/A</v>
      </c>
      <c r="AN237" s="65" t="e">
        <f>IF(AM45=1,IF(AM$13&lt;=COUNT($C17:$CS17),IF(INDEX($F$206:$F$229,MATCH($B237,$B$206:$B$229,FALSE))=0,NA(),INDEX(AM$14:AM$37,MATCH($B237,$B$14:$B$37,FALSE))/INDEX($F$206:$F$229,MATCH($B237,$B$206:$B$229,FALSE))),NA()),NA())</f>
        <v>#N/A</v>
      </c>
      <c r="AO237" s="65" t="e">
        <f>IF(AN45=1,IF(AN$13&lt;=COUNT($C17:$CS17),IF(INDEX($F$206:$F$229,MATCH($B237,$B$206:$B$229,FALSE))=0,NA(),INDEX(AN$14:AN$37,MATCH($B237,$B$14:$B$37,FALSE))/INDEX($F$206:$F$229,MATCH($B237,$B$206:$B$229,FALSE))),NA()),NA())</f>
        <v>#N/A</v>
      </c>
      <c r="AP237" s="65" t="e">
        <f>IF(AO45=1,IF(AO$13&lt;=COUNT($C17:$CS17),IF(INDEX($F$206:$F$229,MATCH($B237,$B$206:$B$229,FALSE))=0,NA(),INDEX(AO$14:AO$37,MATCH($B237,$B$14:$B$37,FALSE))/INDEX($F$206:$F$229,MATCH($B237,$B$206:$B$229,FALSE))),NA()),NA())</f>
        <v>#N/A</v>
      </c>
      <c r="AQ237" s="65" t="e">
        <f>IF(AP45=1,IF(AP$13&lt;=COUNT($C17:$CS17),IF(INDEX($F$206:$F$229,MATCH($B237,$B$206:$B$229,FALSE))=0,NA(),INDEX(AP$14:AP$37,MATCH($B237,$B$14:$B$37,FALSE))/INDEX($F$206:$F$229,MATCH($B237,$B$206:$B$229,FALSE))),NA()),NA())</f>
        <v>#N/A</v>
      </c>
      <c r="AR237" s="65" t="e">
        <f>IF(AQ45=1,IF(AQ$13&lt;=COUNT($C17:$CS17),IF(INDEX($F$206:$F$229,MATCH($B237,$B$206:$B$229,FALSE))=0,NA(),INDEX(AQ$14:AQ$37,MATCH($B237,$B$14:$B$37,FALSE))/INDEX($F$206:$F$229,MATCH($B237,$B$206:$B$229,FALSE))),NA()),NA())</f>
        <v>#N/A</v>
      </c>
      <c r="AS237" s="65" t="e">
        <f>IF(AR45=1,IF(AR$13&lt;=COUNT($C17:$CS17),IF(INDEX($F$206:$F$229,MATCH($B237,$B$206:$B$229,FALSE))=0,NA(),INDEX(AR$14:AR$37,MATCH($B237,$B$14:$B$37,FALSE))/INDEX($F$206:$F$229,MATCH($B237,$B$206:$B$229,FALSE))),NA()),NA())</f>
        <v>#N/A</v>
      </c>
      <c r="AT237" s="65" t="e">
        <f>IF(AS45=1,IF(AS$13&lt;=COUNT($C17:$CS17),IF(INDEX($F$206:$F$229,MATCH($B237,$B$206:$B$229,FALSE))=0,NA(),INDEX(AS$14:AS$37,MATCH($B237,$B$14:$B$37,FALSE))/INDEX($F$206:$F$229,MATCH($B237,$B$206:$B$229,FALSE))),NA()),NA())</f>
        <v>#N/A</v>
      </c>
      <c r="AU237" s="65" t="e">
        <f>IF(AT45=1,IF(AT$13&lt;=COUNT($C17:$CS17),IF(INDEX($F$206:$F$229,MATCH($B237,$B$206:$B$229,FALSE))=0,NA(),INDEX(AT$14:AT$37,MATCH($B237,$B$14:$B$37,FALSE))/INDEX($F$206:$F$229,MATCH($B237,$B$206:$B$229,FALSE))),NA()),NA())</f>
        <v>#N/A</v>
      </c>
      <c r="AV237" s="65" t="e">
        <f>IF(AU45=1,IF(AU$13&lt;=COUNT($C17:$CS17),IF(INDEX($F$206:$F$229,MATCH($B237,$B$206:$B$229,FALSE))=0,NA(),INDEX(AU$14:AU$37,MATCH($B237,$B$14:$B$37,FALSE))/INDEX($F$206:$F$229,MATCH($B237,$B$206:$B$229,FALSE))),NA()),NA())</f>
        <v>#N/A</v>
      </c>
      <c r="AW237" s="65" t="e">
        <f>IF(AV45=1,IF(AV$13&lt;=COUNT($C17:$CS17),IF(INDEX($F$206:$F$229,MATCH($B237,$B$206:$B$229,FALSE))=0,NA(),INDEX(AV$14:AV$37,MATCH($B237,$B$14:$B$37,FALSE))/INDEX($F$206:$F$229,MATCH($B237,$B$206:$B$229,FALSE))),NA()),NA())</f>
        <v>#N/A</v>
      </c>
      <c r="AX237" s="65" t="e">
        <f>IF(AW45=1,IF(AW$13&lt;=COUNT($C17:$CS17),IF(INDEX($F$206:$F$229,MATCH($B237,$B$206:$B$229,FALSE))=0,NA(),INDEX(AW$14:AW$37,MATCH($B237,$B$14:$B$37,FALSE))/INDEX($F$206:$F$229,MATCH($B237,$B$206:$B$229,FALSE))),NA()),NA())</f>
        <v>#N/A</v>
      </c>
      <c r="AY237" s="65" t="e">
        <f>IF(AX45=1,IF(AX$13&lt;=COUNT($C17:$CS17),IF(INDEX($F$206:$F$229,MATCH($B237,$B$206:$B$229,FALSE))=0,NA(),INDEX(AX$14:AX$37,MATCH($B237,$B$14:$B$37,FALSE))/INDEX($F$206:$F$229,MATCH($B237,$B$206:$B$229,FALSE))),NA()),NA())</f>
        <v>#N/A</v>
      </c>
      <c r="AZ237" s="65" t="e">
        <f>IF(AY45=1,IF(AY$13&lt;=COUNT($C17:$CS17),IF(INDEX($F$206:$F$229,MATCH($B237,$B$206:$B$229,FALSE))=0,NA(),INDEX(AY$14:AY$37,MATCH($B237,$B$14:$B$37,FALSE))/INDEX($F$206:$F$229,MATCH($B237,$B$206:$B$229,FALSE))),NA()),NA())</f>
        <v>#N/A</v>
      </c>
      <c r="BA237" s="65" t="e">
        <f>IF(AZ45=1,IF(AZ$13&lt;=COUNT($C17:$CS17),IF(INDEX($F$206:$F$229,MATCH($B237,$B$206:$B$229,FALSE))=0,NA(),INDEX(AZ$14:AZ$37,MATCH($B237,$B$14:$B$37,FALSE))/INDEX($F$206:$F$229,MATCH($B237,$B$206:$B$229,FALSE))),NA()),NA())</f>
        <v>#N/A</v>
      </c>
      <c r="BB237" s="65" t="e">
        <f>IF(BA45=1,IF(BA$13&lt;=COUNT($C17:$CS17),IF(INDEX($F$206:$F$229,MATCH($B237,$B$206:$B$229,FALSE))=0,NA(),INDEX(BA$14:BA$37,MATCH($B237,$B$14:$B$37,FALSE))/INDEX($F$206:$F$229,MATCH($B237,$B$206:$B$229,FALSE))),NA()),NA())</f>
        <v>#N/A</v>
      </c>
      <c r="BC237" s="65" t="e">
        <f>IF(BB45=1,IF(BB$13&lt;=COUNT($C17:$CS17),IF(INDEX($F$206:$F$229,MATCH($B237,$B$206:$B$229,FALSE))=0,NA(),INDEX(BB$14:BB$37,MATCH($B237,$B$14:$B$37,FALSE))/INDEX($F$206:$F$229,MATCH($B237,$B$206:$B$229,FALSE))),NA()),NA())</f>
        <v>#N/A</v>
      </c>
      <c r="BD237" s="65" t="e">
        <f>IF(BC45=1,IF(BC$13&lt;=COUNT($C17:$CS17),IF(INDEX($F$206:$F$229,MATCH($B237,$B$206:$B$229,FALSE))=0,NA(),INDEX(BC$14:BC$37,MATCH($B237,$B$14:$B$37,FALSE))/INDEX($F$206:$F$229,MATCH($B237,$B$206:$B$229,FALSE))),NA()),NA())</f>
        <v>#N/A</v>
      </c>
      <c r="BE237" s="65" t="e">
        <f>IF(BD45=1,IF(BD$13&lt;=COUNT($C17:$CS17),IF(INDEX($F$206:$F$229,MATCH($B237,$B$206:$B$229,FALSE))=0,NA(),INDEX(BD$14:BD$37,MATCH($B237,$B$14:$B$37,FALSE))/INDEX($F$206:$F$229,MATCH($B237,$B$206:$B$229,FALSE))),NA()),NA())</f>
        <v>#N/A</v>
      </c>
      <c r="BF237" s="65" t="e">
        <f>IF(BE45=1,IF(BE$13&lt;=COUNT($C17:$CS17),IF(INDEX($F$206:$F$229,MATCH($B237,$B$206:$B$229,FALSE))=0,NA(),INDEX(BE$14:BE$37,MATCH($B237,$B$14:$B$37,FALSE))/INDEX($F$206:$F$229,MATCH($B237,$B$206:$B$229,FALSE))),NA()),NA())</f>
        <v>#N/A</v>
      </c>
      <c r="BG237" s="65" t="e">
        <f>IF(BF45=1,IF(BF$13&lt;=COUNT($C17:$CS17),IF(INDEX($F$206:$F$229,MATCH($B237,$B$206:$B$229,FALSE))=0,NA(),INDEX(BF$14:BF$37,MATCH($B237,$B$14:$B$37,FALSE))/INDEX($F$206:$F$229,MATCH($B237,$B$206:$B$229,FALSE))),NA()),NA())</f>
        <v>#N/A</v>
      </c>
      <c r="BH237" s="65" t="e">
        <f>IF(BG45=1,IF(BG$13&lt;=COUNT($C17:$CS17),IF(INDEX($F$206:$F$229,MATCH($B237,$B$206:$B$229,FALSE))=0,NA(),INDEX(BG$14:BG$37,MATCH($B237,$B$14:$B$37,FALSE))/INDEX($F$206:$F$229,MATCH($B237,$B$206:$B$229,FALSE))),NA()),NA())</f>
        <v>#N/A</v>
      </c>
      <c r="BI237" s="65" t="e">
        <f>IF(BH45=1,IF(BH$13&lt;=COUNT($C17:$CS17),IF(INDEX($F$206:$F$229,MATCH($B237,$B$206:$B$229,FALSE))=0,NA(),INDEX(BH$14:BH$37,MATCH($B237,$B$14:$B$37,FALSE))/INDEX($F$206:$F$229,MATCH($B237,$B$206:$B$229,FALSE))),NA()),NA())</f>
        <v>#N/A</v>
      </c>
      <c r="BJ237" s="65" t="e">
        <f>IF(BI45=1,IF(BI$13&lt;=COUNT($C17:$CS17),IF(INDEX($F$206:$F$229,MATCH($B237,$B$206:$B$229,FALSE))=0,NA(),INDEX(BI$14:BI$37,MATCH($B237,$B$14:$B$37,FALSE))/INDEX($F$206:$F$229,MATCH($B237,$B$206:$B$229,FALSE))),NA()),NA())</f>
        <v>#N/A</v>
      </c>
      <c r="BK237" s="65" t="e">
        <f>IF(BJ45=1,IF(BJ$13&lt;=COUNT($C17:$CS17),IF(INDEX($F$206:$F$229,MATCH($B237,$B$206:$B$229,FALSE))=0,NA(),INDEX(BJ$14:BJ$37,MATCH($B237,$B$14:$B$37,FALSE))/INDEX($F$206:$F$229,MATCH($B237,$B$206:$B$229,FALSE))),NA()),NA())</f>
        <v>#N/A</v>
      </c>
      <c r="BL237" s="65" t="e">
        <f>IF(BK45=1,IF(BK$13&lt;=COUNT($C17:$CS17),IF(INDEX($F$206:$F$229,MATCH($B237,$B$206:$B$229,FALSE))=0,NA(),INDEX(BK$14:BK$37,MATCH($B237,$B$14:$B$37,FALSE))/INDEX($F$206:$F$229,MATCH($B237,$B$206:$B$229,FALSE))),NA()),NA())</f>
        <v>#N/A</v>
      </c>
      <c r="BM237" s="65" t="e">
        <f>IF(BL45=1,IF(BL$13&lt;=COUNT($C17:$CS17),IF(INDEX($F$206:$F$229,MATCH($B237,$B$206:$B$229,FALSE))=0,NA(),INDEX(BL$14:BL$37,MATCH($B237,$B$14:$B$37,FALSE))/INDEX($F$206:$F$229,MATCH($B237,$B$206:$B$229,FALSE))),NA()),NA())</f>
        <v>#N/A</v>
      </c>
      <c r="BN237" s="65" t="e">
        <f>IF(BM45=1,IF(BM$13&lt;=COUNT($C17:$CS17),IF(INDEX($F$206:$F$229,MATCH($B237,$B$206:$B$229,FALSE))=0,NA(),INDEX(BM$14:BM$37,MATCH($B237,$B$14:$B$37,FALSE))/INDEX($F$206:$F$229,MATCH($B237,$B$206:$B$229,FALSE))),NA()),NA())</f>
        <v>#N/A</v>
      </c>
      <c r="BO237" s="65" t="e">
        <f>IF(BN45=1,IF(BN$13&lt;=COUNT($C17:$CS17),IF(INDEX($F$206:$F$229,MATCH($B237,$B$206:$B$229,FALSE))=0,NA(),INDEX(BN$14:BN$37,MATCH($B237,$B$14:$B$37,FALSE))/INDEX($F$206:$F$229,MATCH($B237,$B$206:$B$229,FALSE))),NA()),NA())</f>
        <v>#N/A</v>
      </c>
      <c r="BP237" s="65" t="e">
        <f>IF(BO45=1,IF(BO$13&lt;=COUNT($C17:$CS17),IF(INDEX($F$206:$F$229,MATCH($B237,$B$206:$B$229,FALSE))=0,NA(),INDEX(BO$14:BO$37,MATCH($B237,$B$14:$B$37,FALSE))/INDEX($F$206:$F$229,MATCH($B237,$B$206:$B$229,FALSE))),NA()),NA())</f>
        <v>#N/A</v>
      </c>
      <c r="BQ237" s="65" t="e">
        <f>IF(BP45=1,IF(BP$13&lt;=COUNT($C17:$CS17),IF(INDEX($F$206:$F$229,MATCH($B237,$B$206:$B$229,FALSE))=0,NA(),INDEX(BP$14:BP$37,MATCH($B237,$B$14:$B$37,FALSE))/INDEX($F$206:$F$229,MATCH($B237,$B$206:$B$229,FALSE))),NA()),NA())</f>
        <v>#N/A</v>
      </c>
      <c r="BR237" s="65" t="e">
        <f>IF(BQ45=1,IF(BQ$13&lt;=COUNT($C17:$CS17),IF(INDEX($F$206:$F$229,MATCH($B237,$B$206:$B$229,FALSE))=0,NA(),INDEX(BQ$14:BQ$37,MATCH($B237,$B$14:$B$37,FALSE))/INDEX($F$206:$F$229,MATCH($B237,$B$206:$B$229,FALSE))),NA()),NA())</f>
        <v>#N/A</v>
      </c>
      <c r="BS237" s="65" t="e">
        <f>IF(BR45=1,IF(BR$13&lt;=COUNT($C17:$CS17),IF(INDEX($F$206:$F$229,MATCH($B237,$B$206:$B$229,FALSE))=0,NA(),INDEX(BR$14:BR$37,MATCH($B237,$B$14:$B$37,FALSE))/INDEX($F$206:$F$229,MATCH($B237,$B$206:$B$229,FALSE))),NA()),NA())</f>
        <v>#N/A</v>
      </c>
      <c r="BT237" s="65" t="e">
        <f>IF(BS45=1,IF(BS$13&lt;=COUNT($C17:$CS17),IF(INDEX($F$206:$F$229,MATCH($B237,$B$206:$B$229,FALSE))=0,NA(),INDEX(BS$14:BS$37,MATCH($B237,$B$14:$B$37,FALSE))/INDEX($F$206:$F$229,MATCH($B237,$B$206:$B$229,FALSE))),NA()),NA())</f>
        <v>#N/A</v>
      </c>
      <c r="BU237" s="65" t="e">
        <f>IF(BT45=1,IF(BT$13&lt;=COUNT($C17:$CS17),IF(INDEX($F$206:$F$229,MATCH($B237,$B$206:$B$229,FALSE))=0,NA(),INDEX(BT$14:BT$37,MATCH($B237,$B$14:$B$37,FALSE))/INDEX($F$206:$F$229,MATCH($B237,$B$206:$B$229,FALSE))),NA()),NA())</f>
        <v>#N/A</v>
      </c>
      <c r="BV237" s="65" t="e">
        <f>IF(BU45=1,IF(BU$13&lt;=COUNT($C17:$CS17),IF(INDEX($F$206:$F$229,MATCH($B237,$B$206:$B$229,FALSE))=0,NA(),INDEX(BU$14:BU$37,MATCH($B237,$B$14:$B$37,FALSE))/INDEX($F$206:$F$229,MATCH($B237,$B$206:$B$229,FALSE))),NA()),NA())</f>
        <v>#N/A</v>
      </c>
      <c r="BW237" s="65" t="e">
        <f>IF(BV45=1,IF(BV$13&lt;=COUNT($C17:$CS17),IF(INDEX($F$206:$F$229,MATCH($B237,$B$206:$B$229,FALSE))=0,NA(),INDEX(BV$14:BV$37,MATCH($B237,$B$14:$B$37,FALSE))/INDEX($F$206:$F$229,MATCH($B237,$B$206:$B$229,FALSE))),NA()),NA())</f>
        <v>#N/A</v>
      </c>
      <c r="BX237" s="65" t="e">
        <f>IF(BW45=1,IF(BW$13&lt;=COUNT($C17:$CS17),IF(INDEX($F$206:$F$229,MATCH($B237,$B$206:$B$229,FALSE))=0,NA(),INDEX(BW$14:BW$37,MATCH($B237,$B$14:$B$37,FALSE))/INDEX($F$206:$F$229,MATCH($B237,$B$206:$B$229,FALSE))),NA()),NA())</f>
        <v>#N/A</v>
      </c>
      <c r="BY237" s="65" t="e">
        <f>IF(BX45=1,IF(BX$13&lt;=COUNT($C17:$CS17),IF(INDEX($F$206:$F$229,MATCH($B237,$B$206:$B$229,FALSE))=0,NA(),INDEX(BX$14:BX$37,MATCH($B237,$B$14:$B$37,FALSE))/INDEX($F$206:$F$229,MATCH($B237,$B$206:$B$229,FALSE))),NA()),NA())</f>
        <v>#N/A</v>
      </c>
      <c r="BZ237" s="65" t="e">
        <f>IF(BY45=1,IF(BY$13&lt;=COUNT($C17:$CS17),IF(INDEX($F$206:$F$229,MATCH($B237,$B$206:$B$229,FALSE))=0,NA(),INDEX(BY$14:BY$37,MATCH($B237,$B$14:$B$37,FALSE))/INDEX($F$206:$F$229,MATCH($B237,$B$206:$B$229,FALSE))),NA()),NA())</f>
        <v>#N/A</v>
      </c>
      <c r="CA237" s="65" t="e">
        <f>IF(BZ45=1,IF(BZ$13&lt;=COUNT($C17:$CS17),IF(INDEX($F$206:$F$229,MATCH($B237,$B$206:$B$229,FALSE))=0,NA(),INDEX(BZ$14:BZ$37,MATCH($B237,$B$14:$B$37,FALSE))/INDEX($F$206:$F$229,MATCH($B237,$B$206:$B$229,FALSE))),NA()),NA())</f>
        <v>#N/A</v>
      </c>
      <c r="CB237" s="65" t="e">
        <f>IF(CA45=1,IF(CA$13&lt;=COUNT($C17:$CS17),IF(INDEX($F$206:$F$229,MATCH($B237,$B$206:$B$229,FALSE))=0,NA(),INDEX(CA$14:CA$37,MATCH($B237,$B$14:$B$37,FALSE))/INDEX($F$206:$F$229,MATCH($B237,$B$206:$B$229,FALSE))),NA()),NA())</f>
        <v>#N/A</v>
      </c>
      <c r="CC237" s="65" t="e">
        <f>IF(CB45=1,IF(CB$13&lt;=COUNT($C17:$CS17),IF(INDEX($F$206:$F$229,MATCH($B237,$B$206:$B$229,FALSE))=0,NA(),INDEX(CB$14:CB$37,MATCH($B237,$B$14:$B$37,FALSE))/INDEX($F$206:$F$229,MATCH($B237,$B$206:$B$229,FALSE))),NA()),NA())</f>
        <v>#N/A</v>
      </c>
      <c r="CD237" s="65" t="e">
        <f>IF(CC45=1,IF(CC$13&lt;=COUNT($C17:$CS17),IF(INDEX($F$206:$F$229,MATCH($B237,$B$206:$B$229,FALSE))=0,NA(),INDEX(CC$14:CC$37,MATCH($B237,$B$14:$B$37,FALSE))/INDEX($F$206:$F$229,MATCH($B237,$B$206:$B$229,FALSE))),NA()),NA())</f>
        <v>#N/A</v>
      </c>
      <c r="CE237" s="65" t="e">
        <f>IF(CD45=1,IF(CD$13&lt;=COUNT($C17:$CS17),IF(INDEX($F$206:$F$229,MATCH($B237,$B$206:$B$229,FALSE))=0,NA(),INDEX(CD$14:CD$37,MATCH($B237,$B$14:$B$37,FALSE))/INDEX($F$206:$F$229,MATCH($B237,$B$206:$B$229,FALSE))),NA()),NA())</f>
        <v>#N/A</v>
      </c>
      <c r="CF237" s="65" t="e">
        <f>IF(CE45=1,IF(CE$13&lt;=COUNT($C17:$CS17),IF(INDEX($F$206:$F$229,MATCH($B237,$B$206:$B$229,FALSE))=0,NA(),INDEX(CE$14:CE$37,MATCH($B237,$B$14:$B$37,FALSE))/INDEX($F$206:$F$229,MATCH($B237,$B$206:$B$229,FALSE))),NA()),NA())</f>
        <v>#N/A</v>
      </c>
      <c r="CG237" s="65" t="e">
        <f>IF(CF45=1,IF(CF$13&lt;=COUNT($C17:$CS17),IF(INDEX($F$206:$F$229,MATCH($B237,$B$206:$B$229,FALSE))=0,NA(),INDEX(CF$14:CF$37,MATCH($B237,$B$14:$B$37,FALSE))/INDEX($F$206:$F$229,MATCH($B237,$B$206:$B$229,FALSE))),NA()),NA())</f>
        <v>#N/A</v>
      </c>
      <c r="CH237" s="65" t="e">
        <f>IF(CG45=1,IF(CG$13&lt;=COUNT($C17:$CS17),IF(INDEX($F$206:$F$229,MATCH($B237,$B$206:$B$229,FALSE))=0,NA(),INDEX(CG$14:CG$37,MATCH($B237,$B$14:$B$37,FALSE))/INDEX($F$206:$F$229,MATCH($B237,$B$206:$B$229,FALSE))),NA()),NA())</f>
        <v>#N/A</v>
      </c>
      <c r="CI237" s="65" t="e">
        <f>IF(CH45=1,IF(CH$13&lt;=COUNT($C17:$CS17),IF(INDEX($F$206:$F$229,MATCH($B237,$B$206:$B$229,FALSE))=0,NA(),INDEX(CH$14:CH$37,MATCH($B237,$B$14:$B$37,FALSE))/INDEX($F$206:$F$229,MATCH($B237,$B$206:$B$229,FALSE))),NA()),NA())</f>
        <v>#N/A</v>
      </c>
      <c r="CJ237" s="65" t="e">
        <f>IF(CI45=1,IF(CI$13&lt;=COUNT($C17:$CS17),IF(INDEX($F$206:$F$229,MATCH($B237,$B$206:$B$229,FALSE))=0,NA(),INDEX(CI$14:CI$37,MATCH($B237,$B$14:$B$37,FALSE))/INDEX($F$206:$F$229,MATCH($B237,$B$206:$B$229,FALSE))),NA()),NA())</f>
        <v>#N/A</v>
      </c>
      <c r="CK237" s="65" t="e">
        <f>IF(CJ45=1,IF(CJ$13&lt;=COUNT($C17:$CS17),IF(INDEX($F$206:$F$229,MATCH($B237,$B$206:$B$229,FALSE))=0,NA(),INDEX(CJ$14:CJ$37,MATCH($B237,$B$14:$B$37,FALSE))/INDEX($F$206:$F$229,MATCH($B237,$B$206:$B$229,FALSE))),NA()),NA())</f>
        <v>#N/A</v>
      </c>
      <c r="CL237" s="65" t="e">
        <f>IF(CK45=1,IF(CK$13&lt;=COUNT($C17:$CS17),IF(INDEX($F$206:$F$229,MATCH($B237,$B$206:$B$229,FALSE))=0,NA(),INDEX(CK$14:CK$37,MATCH($B237,$B$14:$B$37,FALSE))/INDEX($F$206:$F$229,MATCH($B237,$B$206:$B$229,FALSE))),NA()),NA())</f>
        <v>#N/A</v>
      </c>
      <c r="CM237" s="65" t="e">
        <f>IF(CL45=1,IF(CL$13&lt;=COUNT($C17:$CS17),IF(INDEX($F$206:$F$229,MATCH($B237,$B$206:$B$229,FALSE))=0,NA(),INDEX(CL$14:CL$37,MATCH($B237,$B$14:$B$37,FALSE))/INDEX($F$206:$F$229,MATCH($B237,$B$206:$B$229,FALSE))),NA()),NA())</f>
        <v>#N/A</v>
      </c>
      <c r="CN237" s="65" t="e">
        <f>IF(CM45=1,IF(CM$13&lt;=COUNT($C17:$CS17),IF(INDEX($F$206:$F$229,MATCH($B237,$B$206:$B$229,FALSE))=0,NA(),INDEX(CM$14:CM$37,MATCH($B237,$B$14:$B$37,FALSE))/INDEX($F$206:$F$229,MATCH($B237,$B$206:$B$229,FALSE))),NA()),NA())</f>
        <v>#N/A</v>
      </c>
      <c r="CO237" s="65" t="e">
        <f>IF(CN45=1,IF(CN$13&lt;=COUNT($C17:$CS17),IF(INDEX($F$206:$F$229,MATCH($B237,$B$206:$B$229,FALSE))=0,NA(),INDEX(CN$14:CN$37,MATCH($B237,$B$14:$B$37,FALSE))/INDEX($F$206:$F$229,MATCH($B237,$B$206:$B$229,FALSE))),NA()),NA())</f>
        <v>#N/A</v>
      </c>
      <c r="CP237" s="65" t="e">
        <f>IF(CO45=1,IF(CO$13&lt;=COUNT($C17:$CS17),IF(INDEX($F$206:$F$229,MATCH($B237,$B$206:$B$229,FALSE))=0,NA(),INDEX(CO$14:CO$37,MATCH($B237,$B$14:$B$37,FALSE))/INDEX($F$206:$F$229,MATCH($B237,$B$206:$B$229,FALSE))),NA()),NA())</f>
        <v>#N/A</v>
      </c>
      <c r="CQ237" s="65" t="e">
        <f>IF(CP45=1,IF(CP$13&lt;=COUNT($C17:$CS17),IF(INDEX($F$206:$F$229,MATCH($B237,$B$206:$B$229,FALSE))=0,NA(),INDEX(CP$14:CP$37,MATCH($B237,$B$14:$B$37,FALSE))/INDEX($F$206:$F$229,MATCH($B237,$B$206:$B$229,FALSE))),NA()),NA())</f>
        <v>#N/A</v>
      </c>
      <c r="CR237" s="65" t="e">
        <f>IF(CQ45=1,IF(CQ$13&lt;=COUNT($C17:$CS17),IF(INDEX($F$206:$F$229,MATCH($B237,$B$206:$B$229,FALSE))=0,NA(),INDEX(CQ$14:CQ$37,MATCH($B237,$B$14:$B$37,FALSE))/INDEX($F$206:$F$229,MATCH($B237,$B$206:$B$229,FALSE))),NA()),NA())</f>
        <v>#N/A</v>
      </c>
      <c r="CS237" s="65" t="e">
        <f>IF(CR45=1,IF(CR$13&lt;=COUNT($C17:$CS17),IF(INDEX($F$206:$F$229,MATCH($B237,$B$206:$B$229,FALSE))=0,NA(),INDEX(CR$14:CR$37,MATCH($B237,$B$14:$B$37,FALSE))/INDEX($F$206:$F$229,MATCH($B237,$B$206:$B$229,FALSE))),NA()),NA())</f>
        <v>#N/A</v>
      </c>
      <c r="CT237" s="49"/>
      <c r="CU237" s="49"/>
      <c r="CV237" s="49"/>
      <c r="CW237" s="49"/>
    </row>
    <row r="238" spans="1:101" x14ac:dyDescent="0.25">
      <c r="A238" s="97">
        <f t="shared" si="352"/>
        <v>0</v>
      </c>
      <c r="B238" s="29">
        <f t="shared" si="351"/>
        <v>2000</v>
      </c>
      <c r="C238" s="154" t="str">
        <f t="shared" si="353"/>
        <v/>
      </c>
      <c r="D238" s="54" t="e">
        <f>IF(C46=1,IF(C$13&lt;=COUNT($C18:$CS18),IF(INDEX($F$206:$F$229,MATCH($B238,$B$206:$B$229,FALSE))=0,NA(),INDEX(C$14:C$37,MATCH($B238,$B$14:$B$37,FALSE))/INDEX($F$206:$F$229,MATCH($B238,$B$206:$B$229,FALSE))),NA()),NA())</f>
        <v>#N/A</v>
      </c>
      <c r="E238" s="65" t="e">
        <f>IF(D46=1,IF(D$13&lt;=COUNT($C18:$CS18),IF(INDEX($F$206:$F$229,MATCH($B238,$B$206:$B$229,FALSE))=0,NA(),INDEX(D$14:D$37,MATCH($B238,$B$14:$B$37,FALSE))/INDEX($F$206:$F$229,MATCH($B238,$B$206:$B$229,FALSE))),NA()),NA())</f>
        <v>#N/A</v>
      </c>
      <c r="F238" s="65" t="e">
        <f>IF(E46=1,IF(E$13&lt;=COUNT($C18:$CS18),IF(INDEX($F$206:$F$229,MATCH($B238,$B$206:$B$229,FALSE))=0,NA(),INDEX(E$14:E$37,MATCH($B238,$B$14:$B$37,FALSE))/INDEX($F$206:$F$229,MATCH($B238,$B$206:$B$229,FALSE))),NA()),NA())</f>
        <v>#N/A</v>
      </c>
      <c r="G238" s="65" t="e">
        <f>IF(F46=1,IF(F$13&lt;=COUNT($C18:$CS18),IF(INDEX($F$206:$F$229,MATCH($B238,$B$206:$B$229,FALSE))=0,NA(),INDEX(F$14:F$37,MATCH($B238,$B$14:$B$37,FALSE))/INDEX($F$206:$F$229,MATCH($B238,$B$206:$B$229,FALSE))),NA()),NA())</f>
        <v>#N/A</v>
      </c>
      <c r="H238" s="65" t="e">
        <f>IF(G46=1,IF(G$13&lt;=COUNT($C18:$CS18),IF(INDEX($F$206:$F$229,MATCH($B238,$B$206:$B$229,FALSE))=0,NA(),INDEX(G$14:G$37,MATCH($B238,$B$14:$B$37,FALSE))/INDEX($F$206:$F$229,MATCH($B238,$B$206:$B$229,FALSE))),NA()),NA())</f>
        <v>#N/A</v>
      </c>
      <c r="I238" s="65" t="e">
        <f>IF(H46=1,IF(H$13&lt;=COUNT($C18:$CS18),IF(INDEX($F$206:$F$229,MATCH($B238,$B$206:$B$229,FALSE))=0,NA(),INDEX(H$14:H$37,MATCH($B238,$B$14:$B$37,FALSE))/INDEX($F$206:$F$229,MATCH($B238,$B$206:$B$229,FALSE))),NA()),NA())</f>
        <v>#N/A</v>
      </c>
      <c r="J238" s="65" t="e">
        <f>IF(I46=1,IF(I$13&lt;=COUNT($C18:$CS18),IF(INDEX($F$206:$F$229,MATCH($B238,$B$206:$B$229,FALSE))=0,NA(),INDEX(I$14:I$37,MATCH($B238,$B$14:$B$37,FALSE))/INDEX($F$206:$F$229,MATCH($B238,$B$206:$B$229,FALSE))),NA()),NA())</f>
        <v>#N/A</v>
      </c>
      <c r="K238" s="65" t="e">
        <f>IF(J46=1,IF(J$13&lt;=COUNT($C18:$CS18),IF(INDEX($F$206:$F$229,MATCH($B238,$B$206:$B$229,FALSE))=0,NA(),INDEX(J$14:J$37,MATCH($B238,$B$14:$B$37,FALSE))/INDEX($F$206:$F$229,MATCH($B238,$B$206:$B$229,FALSE))),NA()),NA())</f>
        <v>#N/A</v>
      </c>
      <c r="L238" s="65" t="e">
        <f>IF(K46=1,IF(K$13&lt;=COUNT($C18:$CS18),IF(INDEX($F$206:$F$229,MATCH($B238,$B$206:$B$229,FALSE))=0,NA(),INDEX(K$14:K$37,MATCH($B238,$B$14:$B$37,FALSE))/INDEX($F$206:$F$229,MATCH($B238,$B$206:$B$229,FALSE))),NA()),NA())</f>
        <v>#N/A</v>
      </c>
      <c r="M238" s="65" t="e">
        <f>IF(L46=1,IF(L$13&lt;=COUNT($C18:$CS18),IF(INDEX($F$206:$F$229,MATCH($B238,$B$206:$B$229,FALSE))=0,NA(),INDEX(L$14:L$37,MATCH($B238,$B$14:$B$37,FALSE))/INDEX($F$206:$F$229,MATCH($B238,$B$206:$B$229,FALSE))),NA()),NA())</f>
        <v>#N/A</v>
      </c>
      <c r="N238" s="65" t="e">
        <f>IF(M46=1,IF(M$13&lt;=COUNT($C18:$CS18),IF(INDEX($F$206:$F$229,MATCH($B238,$B$206:$B$229,FALSE))=0,NA(),INDEX(M$14:M$37,MATCH($B238,$B$14:$B$37,FALSE))/INDEX($F$206:$F$229,MATCH($B238,$B$206:$B$229,FALSE))),NA()),NA())</f>
        <v>#N/A</v>
      </c>
      <c r="O238" s="65" t="e">
        <f>IF(N46=1,IF(N$13&lt;=COUNT($C18:$CS18),IF(INDEX($F$206:$F$229,MATCH($B238,$B$206:$B$229,FALSE))=0,NA(),INDEX(N$14:N$37,MATCH($B238,$B$14:$B$37,FALSE))/INDEX($F$206:$F$229,MATCH($B238,$B$206:$B$229,FALSE))),NA()),NA())</f>
        <v>#N/A</v>
      </c>
      <c r="P238" s="65" t="e">
        <f>IF(O46=1,IF(O$13&lt;=COUNT($C18:$CS18),IF(INDEX($F$206:$F$229,MATCH($B238,$B$206:$B$229,FALSE))=0,NA(),INDEX(O$14:O$37,MATCH($B238,$B$14:$B$37,FALSE))/INDEX($F$206:$F$229,MATCH($B238,$B$206:$B$229,FALSE))),NA()),NA())</f>
        <v>#N/A</v>
      </c>
      <c r="Q238" s="65" t="e">
        <f>IF(P46=1,IF(P$13&lt;=COUNT($C18:$CS18),IF(INDEX($F$206:$F$229,MATCH($B238,$B$206:$B$229,FALSE))=0,NA(),INDEX(P$14:P$37,MATCH($B238,$B$14:$B$37,FALSE))/INDEX($F$206:$F$229,MATCH($B238,$B$206:$B$229,FALSE))),NA()),NA())</f>
        <v>#N/A</v>
      </c>
      <c r="R238" s="65" t="e">
        <f>IF(Q46=1,IF(Q$13&lt;=COUNT($C18:$CS18),IF(INDEX($F$206:$F$229,MATCH($B238,$B$206:$B$229,FALSE))=0,NA(),INDEX(Q$14:Q$37,MATCH($B238,$B$14:$B$37,FALSE))/INDEX($F$206:$F$229,MATCH($B238,$B$206:$B$229,FALSE))),NA()),NA())</f>
        <v>#N/A</v>
      </c>
      <c r="S238" s="65" t="e">
        <f>IF(R46=1,IF(R$13&lt;=COUNT($C18:$CS18),IF(INDEX($F$206:$F$229,MATCH($B238,$B$206:$B$229,FALSE))=0,NA(),INDEX(R$14:R$37,MATCH($B238,$B$14:$B$37,FALSE))/INDEX($F$206:$F$229,MATCH($B238,$B$206:$B$229,FALSE))),NA()),NA())</f>
        <v>#N/A</v>
      </c>
      <c r="T238" s="65" t="e">
        <f>IF(S46=1,IF(S$13&lt;=COUNT($C18:$CS18),IF(INDEX($F$206:$F$229,MATCH($B238,$B$206:$B$229,FALSE))=0,NA(),INDEX(S$14:S$37,MATCH($B238,$B$14:$B$37,FALSE))/INDEX($F$206:$F$229,MATCH($B238,$B$206:$B$229,FALSE))),NA()),NA())</f>
        <v>#N/A</v>
      </c>
      <c r="U238" s="65" t="e">
        <f>IF(T46=1,IF(T$13&lt;=COUNT($C18:$CS18),IF(INDEX($F$206:$F$229,MATCH($B238,$B$206:$B$229,FALSE))=0,NA(),INDEX(T$14:T$37,MATCH($B238,$B$14:$B$37,FALSE))/INDEX($F$206:$F$229,MATCH($B238,$B$206:$B$229,FALSE))),NA()),NA())</f>
        <v>#N/A</v>
      </c>
      <c r="V238" s="65" t="e">
        <f>IF(U46=1,IF(U$13&lt;=COUNT($C18:$CS18),IF(INDEX($F$206:$F$229,MATCH($B238,$B$206:$B$229,FALSE))=0,NA(),INDEX(U$14:U$37,MATCH($B238,$B$14:$B$37,FALSE))/INDEX($F$206:$F$229,MATCH($B238,$B$206:$B$229,FALSE))),NA()),NA())</f>
        <v>#N/A</v>
      </c>
      <c r="W238" s="65" t="e">
        <f>IF(V46=1,IF(V$13&lt;=COUNT($C18:$CS18),IF(INDEX($F$206:$F$229,MATCH($B238,$B$206:$B$229,FALSE))=0,NA(),INDEX(V$14:V$37,MATCH($B238,$B$14:$B$37,FALSE))/INDEX($F$206:$F$229,MATCH($B238,$B$206:$B$229,FALSE))),NA()),NA())</f>
        <v>#N/A</v>
      </c>
      <c r="X238" s="65" t="e">
        <f>IF(W46=1,IF(W$13&lt;=COUNT($C18:$CS18),IF(INDEX($F$206:$F$229,MATCH($B238,$B$206:$B$229,FALSE))=0,NA(),INDEX(W$14:W$37,MATCH($B238,$B$14:$B$37,FALSE))/INDEX($F$206:$F$229,MATCH($B238,$B$206:$B$229,FALSE))),NA()),NA())</f>
        <v>#N/A</v>
      </c>
      <c r="Y238" s="65" t="e">
        <f>IF(X46=1,IF(X$13&lt;=COUNT($C18:$CS18),IF(INDEX($F$206:$F$229,MATCH($B238,$B$206:$B$229,FALSE))=0,NA(),INDEX(X$14:X$37,MATCH($B238,$B$14:$B$37,FALSE))/INDEX($F$206:$F$229,MATCH($B238,$B$206:$B$229,FALSE))),NA()),NA())</f>
        <v>#N/A</v>
      </c>
      <c r="Z238" s="65" t="e">
        <f>IF(Y46=1,IF(Y$13&lt;=COUNT($C18:$CS18),IF(INDEX($F$206:$F$229,MATCH($B238,$B$206:$B$229,FALSE))=0,NA(),INDEX(Y$14:Y$37,MATCH($B238,$B$14:$B$37,FALSE))/INDEX($F$206:$F$229,MATCH($B238,$B$206:$B$229,FALSE))),NA()),NA())</f>
        <v>#N/A</v>
      </c>
      <c r="AA238" s="65" t="e">
        <f>IF(Z46=1,IF(Z$13&lt;=COUNT($C18:$CS18),IF(INDEX($F$206:$F$229,MATCH($B238,$B$206:$B$229,FALSE))=0,NA(),INDEX(Z$14:Z$37,MATCH($B238,$B$14:$B$37,FALSE))/INDEX($F$206:$F$229,MATCH($B238,$B$206:$B$229,FALSE))),NA()),NA())</f>
        <v>#N/A</v>
      </c>
      <c r="AB238" s="65" t="e">
        <f>IF(AA46=1,IF(AA$13&lt;=COUNT($C18:$CS18),IF(INDEX($F$206:$F$229,MATCH($B238,$B$206:$B$229,FALSE))=0,NA(),INDEX(AA$14:AA$37,MATCH($B238,$B$14:$B$37,FALSE))/INDEX($F$206:$F$229,MATCH($B238,$B$206:$B$229,FALSE))),NA()),NA())</f>
        <v>#N/A</v>
      </c>
      <c r="AC238" s="65" t="e">
        <f>IF(AB46=1,IF(AB$13&lt;=COUNT($C18:$CS18),IF(INDEX($F$206:$F$229,MATCH($B238,$B$206:$B$229,FALSE))=0,NA(),INDEX(AB$14:AB$37,MATCH($B238,$B$14:$B$37,FALSE))/INDEX($F$206:$F$229,MATCH($B238,$B$206:$B$229,FALSE))),NA()),NA())</f>
        <v>#N/A</v>
      </c>
      <c r="AD238" s="65" t="e">
        <f>IF(AC46=1,IF(AC$13&lt;=COUNT($C18:$CS18),IF(INDEX($F$206:$F$229,MATCH($B238,$B$206:$B$229,FALSE))=0,NA(),INDEX(AC$14:AC$37,MATCH($B238,$B$14:$B$37,FALSE))/INDEX($F$206:$F$229,MATCH($B238,$B$206:$B$229,FALSE))),NA()),NA())</f>
        <v>#N/A</v>
      </c>
      <c r="AE238" s="65" t="e">
        <f>IF(AD46=1,IF(AD$13&lt;=COUNT($C18:$CS18),IF(INDEX($F$206:$F$229,MATCH($B238,$B$206:$B$229,FALSE))=0,NA(),INDEX(AD$14:AD$37,MATCH($B238,$B$14:$B$37,FALSE))/INDEX($F$206:$F$229,MATCH($B238,$B$206:$B$229,FALSE))),NA()),NA())</f>
        <v>#N/A</v>
      </c>
      <c r="AF238" s="65" t="e">
        <f>IF(AE46=1,IF(AE$13&lt;=COUNT($C18:$CS18),IF(INDEX($F$206:$F$229,MATCH($B238,$B$206:$B$229,FALSE))=0,NA(),INDEX(AE$14:AE$37,MATCH($B238,$B$14:$B$37,FALSE))/INDEX($F$206:$F$229,MATCH($B238,$B$206:$B$229,FALSE))),NA()),NA())</f>
        <v>#N/A</v>
      </c>
      <c r="AG238" s="65" t="e">
        <f>IF(AF46=1,IF(AF$13&lt;=COUNT($C18:$CS18),IF(INDEX($F$206:$F$229,MATCH($B238,$B$206:$B$229,FALSE))=0,NA(),INDEX(AF$14:AF$37,MATCH($B238,$B$14:$B$37,FALSE))/INDEX($F$206:$F$229,MATCH($B238,$B$206:$B$229,FALSE))),NA()),NA())</f>
        <v>#N/A</v>
      </c>
      <c r="AH238" s="65" t="e">
        <f>IF(AG46=1,IF(AG$13&lt;=COUNT($C18:$CS18),IF(INDEX($F$206:$F$229,MATCH($B238,$B$206:$B$229,FALSE))=0,NA(),INDEX(AG$14:AG$37,MATCH($B238,$B$14:$B$37,FALSE))/INDEX($F$206:$F$229,MATCH($B238,$B$206:$B$229,FALSE))),NA()),NA())</f>
        <v>#N/A</v>
      </c>
      <c r="AI238" s="65" t="e">
        <f>IF(AH46=1,IF(AH$13&lt;=COUNT($C18:$CS18),IF(INDEX($F$206:$F$229,MATCH($B238,$B$206:$B$229,FALSE))=0,NA(),INDEX(AH$14:AH$37,MATCH($B238,$B$14:$B$37,FALSE))/INDEX($F$206:$F$229,MATCH($B238,$B$206:$B$229,FALSE))),NA()),NA())</f>
        <v>#N/A</v>
      </c>
      <c r="AJ238" s="65" t="e">
        <f>IF(AI46=1,IF(AI$13&lt;=COUNT($C18:$CS18),IF(INDEX($F$206:$F$229,MATCH($B238,$B$206:$B$229,FALSE))=0,NA(),INDEX(AI$14:AI$37,MATCH($B238,$B$14:$B$37,FALSE))/INDEX($F$206:$F$229,MATCH($B238,$B$206:$B$229,FALSE))),NA()),NA())</f>
        <v>#N/A</v>
      </c>
      <c r="AK238" s="65" t="e">
        <f>IF(AJ46=1,IF(AJ$13&lt;=COUNT($C18:$CS18),IF(INDEX($F$206:$F$229,MATCH($B238,$B$206:$B$229,FALSE))=0,NA(),INDEX(AJ$14:AJ$37,MATCH($B238,$B$14:$B$37,FALSE))/INDEX($F$206:$F$229,MATCH($B238,$B$206:$B$229,FALSE))),NA()),NA())</f>
        <v>#N/A</v>
      </c>
      <c r="AL238" s="65" t="e">
        <f>IF(AK46=1,IF(AK$13&lt;=COUNT($C18:$CS18),IF(INDEX($F$206:$F$229,MATCH($B238,$B$206:$B$229,FALSE))=0,NA(),INDEX(AK$14:AK$37,MATCH($B238,$B$14:$B$37,FALSE))/INDEX($F$206:$F$229,MATCH($B238,$B$206:$B$229,FALSE))),NA()),NA())</f>
        <v>#N/A</v>
      </c>
      <c r="AM238" s="65" t="e">
        <f>IF(AL46=1,IF(AL$13&lt;=COUNT($C18:$CS18),IF(INDEX($F$206:$F$229,MATCH($B238,$B$206:$B$229,FALSE))=0,NA(),INDEX(AL$14:AL$37,MATCH($B238,$B$14:$B$37,FALSE))/INDEX($F$206:$F$229,MATCH($B238,$B$206:$B$229,FALSE))),NA()),NA())</f>
        <v>#N/A</v>
      </c>
      <c r="AN238" s="65" t="e">
        <f>IF(AM46=1,IF(AM$13&lt;=COUNT($C18:$CS18),IF(INDEX($F$206:$F$229,MATCH($B238,$B$206:$B$229,FALSE))=0,NA(),INDEX(AM$14:AM$37,MATCH($B238,$B$14:$B$37,FALSE))/INDEX($F$206:$F$229,MATCH($B238,$B$206:$B$229,FALSE))),NA()),NA())</f>
        <v>#N/A</v>
      </c>
      <c r="AO238" s="65" t="e">
        <f>IF(AN46=1,IF(AN$13&lt;=COUNT($C18:$CS18),IF(INDEX($F$206:$F$229,MATCH($B238,$B$206:$B$229,FALSE))=0,NA(),INDEX(AN$14:AN$37,MATCH($B238,$B$14:$B$37,FALSE))/INDEX($F$206:$F$229,MATCH($B238,$B$206:$B$229,FALSE))),NA()),NA())</f>
        <v>#N/A</v>
      </c>
      <c r="AP238" s="65" t="e">
        <f>IF(AO46=1,IF(AO$13&lt;=COUNT($C18:$CS18),IF(INDEX($F$206:$F$229,MATCH($B238,$B$206:$B$229,FALSE))=0,NA(),INDEX(AO$14:AO$37,MATCH($B238,$B$14:$B$37,FALSE))/INDEX($F$206:$F$229,MATCH($B238,$B$206:$B$229,FALSE))),NA()),NA())</f>
        <v>#N/A</v>
      </c>
      <c r="AQ238" s="65" t="e">
        <f>IF(AP46=1,IF(AP$13&lt;=COUNT($C18:$CS18),IF(INDEX($F$206:$F$229,MATCH($B238,$B$206:$B$229,FALSE))=0,NA(),INDEX(AP$14:AP$37,MATCH($B238,$B$14:$B$37,FALSE))/INDEX($F$206:$F$229,MATCH($B238,$B$206:$B$229,FALSE))),NA()),NA())</f>
        <v>#N/A</v>
      </c>
      <c r="AR238" s="65" t="e">
        <f>IF(AQ46=1,IF(AQ$13&lt;=COUNT($C18:$CS18),IF(INDEX($F$206:$F$229,MATCH($B238,$B$206:$B$229,FALSE))=0,NA(),INDEX(AQ$14:AQ$37,MATCH($B238,$B$14:$B$37,FALSE))/INDEX($F$206:$F$229,MATCH($B238,$B$206:$B$229,FALSE))),NA()),NA())</f>
        <v>#N/A</v>
      </c>
      <c r="AS238" s="65" t="e">
        <f>IF(AR46=1,IF(AR$13&lt;=COUNT($C18:$CS18),IF(INDEX($F$206:$F$229,MATCH($B238,$B$206:$B$229,FALSE))=0,NA(),INDEX(AR$14:AR$37,MATCH($B238,$B$14:$B$37,FALSE))/INDEX($F$206:$F$229,MATCH($B238,$B$206:$B$229,FALSE))),NA()),NA())</f>
        <v>#N/A</v>
      </c>
      <c r="AT238" s="65" t="e">
        <f>IF(AS46=1,IF(AS$13&lt;=COUNT($C18:$CS18),IF(INDEX($F$206:$F$229,MATCH($B238,$B$206:$B$229,FALSE))=0,NA(),INDEX(AS$14:AS$37,MATCH($B238,$B$14:$B$37,FALSE))/INDEX($F$206:$F$229,MATCH($B238,$B$206:$B$229,FALSE))),NA()),NA())</f>
        <v>#N/A</v>
      </c>
      <c r="AU238" s="65" t="e">
        <f>IF(AT46=1,IF(AT$13&lt;=COUNT($C18:$CS18),IF(INDEX($F$206:$F$229,MATCH($B238,$B$206:$B$229,FALSE))=0,NA(),INDEX(AT$14:AT$37,MATCH($B238,$B$14:$B$37,FALSE))/INDEX($F$206:$F$229,MATCH($B238,$B$206:$B$229,FALSE))),NA()),NA())</f>
        <v>#N/A</v>
      </c>
      <c r="AV238" s="65" t="e">
        <f>IF(AU46=1,IF(AU$13&lt;=COUNT($C18:$CS18),IF(INDEX($F$206:$F$229,MATCH($B238,$B$206:$B$229,FALSE))=0,NA(),INDEX(AU$14:AU$37,MATCH($B238,$B$14:$B$37,FALSE))/INDEX($F$206:$F$229,MATCH($B238,$B$206:$B$229,FALSE))),NA()),NA())</f>
        <v>#N/A</v>
      </c>
      <c r="AW238" s="65" t="e">
        <f>IF(AV46=1,IF(AV$13&lt;=COUNT($C18:$CS18),IF(INDEX($F$206:$F$229,MATCH($B238,$B$206:$B$229,FALSE))=0,NA(),INDEX(AV$14:AV$37,MATCH($B238,$B$14:$B$37,FALSE))/INDEX($F$206:$F$229,MATCH($B238,$B$206:$B$229,FALSE))),NA()),NA())</f>
        <v>#N/A</v>
      </c>
      <c r="AX238" s="65" t="e">
        <f>IF(AW46=1,IF(AW$13&lt;=COUNT($C18:$CS18),IF(INDEX($F$206:$F$229,MATCH($B238,$B$206:$B$229,FALSE))=0,NA(),INDEX(AW$14:AW$37,MATCH($B238,$B$14:$B$37,FALSE))/INDEX($F$206:$F$229,MATCH($B238,$B$206:$B$229,FALSE))),NA()),NA())</f>
        <v>#N/A</v>
      </c>
      <c r="AY238" s="65" t="e">
        <f>IF(AX46=1,IF(AX$13&lt;=COUNT($C18:$CS18),IF(INDEX($F$206:$F$229,MATCH($B238,$B$206:$B$229,FALSE))=0,NA(),INDEX(AX$14:AX$37,MATCH($B238,$B$14:$B$37,FALSE))/INDEX($F$206:$F$229,MATCH($B238,$B$206:$B$229,FALSE))),NA()),NA())</f>
        <v>#N/A</v>
      </c>
      <c r="AZ238" s="65" t="e">
        <f>IF(AY46=1,IF(AY$13&lt;=COUNT($C18:$CS18),IF(INDEX($F$206:$F$229,MATCH($B238,$B$206:$B$229,FALSE))=0,NA(),INDEX(AY$14:AY$37,MATCH($B238,$B$14:$B$37,FALSE))/INDEX($F$206:$F$229,MATCH($B238,$B$206:$B$229,FALSE))),NA()),NA())</f>
        <v>#N/A</v>
      </c>
      <c r="BA238" s="65" t="e">
        <f>IF(AZ46=1,IF(AZ$13&lt;=COUNT($C18:$CS18),IF(INDEX($F$206:$F$229,MATCH($B238,$B$206:$B$229,FALSE))=0,NA(),INDEX(AZ$14:AZ$37,MATCH($B238,$B$14:$B$37,FALSE))/INDEX($F$206:$F$229,MATCH($B238,$B$206:$B$229,FALSE))),NA()),NA())</f>
        <v>#N/A</v>
      </c>
      <c r="BB238" s="65" t="e">
        <f>IF(BA46=1,IF(BA$13&lt;=COUNT($C18:$CS18),IF(INDEX($F$206:$F$229,MATCH($B238,$B$206:$B$229,FALSE))=0,NA(),INDEX(BA$14:BA$37,MATCH($B238,$B$14:$B$37,FALSE))/INDEX($F$206:$F$229,MATCH($B238,$B$206:$B$229,FALSE))),NA()),NA())</f>
        <v>#N/A</v>
      </c>
      <c r="BC238" s="65" t="e">
        <f>IF(BB46=1,IF(BB$13&lt;=COUNT($C18:$CS18),IF(INDEX($F$206:$F$229,MATCH($B238,$B$206:$B$229,FALSE))=0,NA(),INDEX(BB$14:BB$37,MATCH($B238,$B$14:$B$37,FALSE))/INDEX($F$206:$F$229,MATCH($B238,$B$206:$B$229,FALSE))),NA()),NA())</f>
        <v>#N/A</v>
      </c>
      <c r="BD238" s="65" t="e">
        <f>IF(BC46=1,IF(BC$13&lt;=COUNT($C18:$CS18),IF(INDEX($F$206:$F$229,MATCH($B238,$B$206:$B$229,FALSE))=0,NA(),INDEX(BC$14:BC$37,MATCH($B238,$B$14:$B$37,FALSE))/INDEX($F$206:$F$229,MATCH($B238,$B$206:$B$229,FALSE))),NA()),NA())</f>
        <v>#N/A</v>
      </c>
      <c r="BE238" s="65" t="e">
        <f>IF(BD46=1,IF(BD$13&lt;=COUNT($C18:$CS18),IF(INDEX($F$206:$F$229,MATCH($B238,$B$206:$B$229,FALSE))=0,NA(),INDEX(BD$14:BD$37,MATCH($B238,$B$14:$B$37,FALSE))/INDEX($F$206:$F$229,MATCH($B238,$B$206:$B$229,FALSE))),NA()),NA())</f>
        <v>#N/A</v>
      </c>
      <c r="BF238" s="65" t="e">
        <f>IF(BE46=1,IF(BE$13&lt;=COUNT($C18:$CS18),IF(INDEX($F$206:$F$229,MATCH($B238,$B$206:$B$229,FALSE))=0,NA(),INDEX(BE$14:BE$37,MATCH($B238,$B$14:$B$37,FALSE))/INDEX($F$206:$F$229,MATCH($B238,$B$206:$B$229,FALSE))),NA()),NA())</f>
        <v>#N/A</v>
      </c>
      <c r="BG238" s="65" t="e">
        <f>IF(BF46=1,IF(BF$13&lt;=COUNT($C18:$CS18),IF(INDEX($F$206:$F$229,MATCH($B238,$B$206:$B$229,FALSE))=0,NA(),INDEX(BF$14:BF$37,MATCH($B238,$B$14:$B$37,FALSE))/INDEX($F$206:$F$229,MATCH($B238,$B$206:$B$229,FALSE))),NA()),NA())</f>
        <v>#N/A</v>
      </c>
      <c r="BH238" s="65" t="e">
        <f>IF(BG46=1,IF(BG$13&lt;=COUNT($C18:$CS18),IF(INDEX($F$206:$F$229,MATCH($B238,$B$206:$B$229,FALSE))=0,NA(),INDEX(BG$14:BG$37,MATCH($B238,$B$14:$B$37,FALSE))/INDEX($F$206:$F$229,MATCH($B238,$B$206:$B$229,FALSE))),NA()),NA())</f>
        <v>#N/A</v>
      </c>
      <c r="BI238" s="65" t="e">
        <f>IF(BH46=1,IF(BH$13&lt;=COUNT($C18:$CS18),IF(INDEX($F$206:$F$229,MATCH($B238,$B$206:$B$229,FALSE))=0,NA(),INDEX(BH$14:BH$37,MATCH($B238,$B$14:$B$37,FALSE))/INDEX($F$206:$F$229,MATCH($B238,$B$206:$B$229,FALSE))),NA()),NA())</f>
        <v>#N/A</v>
      </c>
      <c r="BJ238" s="65" t="e">
        <f>IF(BI46=1,IF(BI$13&lt;=COUNT($C18:$CS18),IF(INDEX($F$206:$F$229,MATCH($B238,$B$206:$B$229,FALSE))=0,NA(),INDEX(BI$14:BI$37,MATCH($B238,$B$14:$B$37,FALSE))/INDEX($F$206:$F$229,MATCH($B238,$B$206:$B$229,FALSE))),NA()),NA())</f>
        <v>#N/A</v>
      </c>
      <c r="BK238" s="65" t="e">
        <f>IF(BJ46=1,IF(BJ$13&lt;=COUNT($C18:$CS18),IF(INDEX($F$206:$F$229,MATCH($B238,$B$206:$B$229,FALSE))=0,NA(),INDEX(BJ$14:BJ$37,MATCH($B238,$B$14:$B$37,FALSE))/INDEX($F$206:$F$229,MATCH($B238,$B$206:$B$229,FALSE))),NA()),NA())</f>
        <v>#N/A</v>
      </c>
      <c r="BL238" s="65" t="e">
        <f>IF(BK46=1,IF(BK$13&lt;=COUNT($C18:$CS18),IF(INDEX($F$206:$F$229,MATCH($B238,$B$206:$B$229,FALSE))=0,NA(),INDEX(BK$14:BK$37,MATCH($B238,$B$14:$B$37,FALSE))/INDEX($F$206:$F$229,MATCH($B238,$B$206:$B$229,FALSE))),NA()),NA())</f>
        <v>#N/A</v>
      </c>
      <c r="BM238" s="65" t="e">
        <f>IF(BL46=1,IF(BL$13&lt;=COUNT($C18:$CS18),IF(INDEX($F$206:$F$229,MATCH($B238,$B$206:$B$229,FALSE))=0,NA(),INDEX(BL$14:BL$37,MATCH($B238,$B$14:$B$37,FALSE))/INDEX($F$206:$F$229,MATCH($B238,$B$206:$B$229,FALSE))),NA()),NA())</f>
        <v>#N/A</v>
      </c>
      <c r="BN238" s="65" t="e">
        <f>IF(BM46=1,IF(BM$13&lt;=COUNT($C18:$CS18),IF(INDEX($F$206:$F$229,MATCH($B238,$B$206:$B$229,FALSE))=0,NA(),INDEX(BM$14:BM$37,MATCH($B238,$B$14:$B$37,FALSE))/INDEX($F$206:$F$229,MATCH($B238,$B$206:$B$229,FALSE))),NA()),NA())</f>
        <v>#N/A</v>
      </c>
      <c r="BO238" s="65" t="e">
        <f>IF(BN46=1,IF(BN$13&lt;=COUNT($C18:$CS18),IF(INDEX($F$206:$F$229,MATCH($B238,$B$206:$B$229,FALSE))=0,NA(),INDEX(BN$14:BN$37,MATCH($B238,$B$14:$B$37,FALSE))/INDEX($F$206:$F$229,MATCH($B238,$B$206:$B$229,FALSE))),NA()),NA())</f>
        <v>#N/A</v>
      </c>
      <c r="BP238" s="65" t="e">
        <f>IF(BO46=1,IF(BO$13&lt;=COUNT($C18:$CS18),IF(INDEX($F$206:$F$229,MATCH($B238,$B$206:$B$229,FALSE))=0,NA(),INDEX(BO$14:BO$37,MATCH($B238,$B$14:$B$37,FALSE))/INDEX($F$206:$F$229,MATCH($B238,$B$206:$B$229,FALSE))),NA()),NA())</f>
        <v>#N/A</v>
      </c>
      <c r="BQ238" s="65" t="e">
        <f>IF(BP46=1,IF(BP$13&lt;=COUNT($C18:$CS18),IF(INDEX($F$206:$F$229,MATCH($B238,$B$206:$B$229,FALSE))=0,NA(),INDEX(BP$14:BP$37,MATCH($B238,$B$14:$B$37,FALSE))/INDEX($F$206:$F$229,MATCH($B238,$B$206:$B$229,FALSE))),NA()),NA())</f>
        <v>#N/A</v>
      </c>
      <c r="BR238" s="65" t="e">
        <f>IF(BQ46=1,IF(BQ$13&lt;=COUNT($C18:$CS18),IF(INDEX($F$206:$F$229,MATCH($B238,$B$206:$B$229,FALSE))=0,NA(),INDEX(BQ$14:BQ$37,MATCH($B238,$B$14:$B$37,FALSE))/INDEX($F$206:$F$229,MATCH($B238,$B$206:$B$229,FALSE))),NA()),NA())</f>
        <v>#N/A</v>
      </c>
      <c r="BS238" s="65" t="e">
        <f>IF(BR46=1,IF(BR$13&lt;=COUNT($C18:$CS18),IF(INDEX($F$206:$F$229,MATCH($B238,$B$206:$B$229,FALSE))=0,NA(),INDEX(BR$14:BR$37,MATCH($B238,$B$14:$B$37,FALSE))/INDEX($F$206:$F$229,MATCH($B238,$B$206:$B$229,FALSE))),NA()),NA())</f>
        <v>#N/A</v>
      </c>
      <c r="BT238" s="65" t="e">
        <f>IF(BS46=1,IF(BS$13&lt;=COUNT($C18:$CS18),IF(INDEX($F$206:$F$229,MATCH($B238,$B$206:$B$229,FALSE))=0,NA(),INDEX(BS$14:BS$37,MATCH($B238,$B$14:$B$37,FALSE))/INDEX($F$206:$F$229,MATCH($B238,$B$206:$B$229,FALSE))),NA()),NA())</f>
        <v>#N/A</v>
      </c>
      <c r="BU238" s="65" t="e">
        <f>IF(BT46=1,IF(BT$13&lt;=COUNT($C18:$CS18),IF(INDEX($F$206:$F$229,MATCH($B238,$B$206:$B$229,FALSE))=0,NA(),INDEX(BT$14:BT$37,MATCH($B238,$B$14:$B$37,FALSE))/INDEX($F$206:$F$229,MATCH($B238,$B$206:$B$229,FALSE))),NA()),NA())</f>
        <v>#N/A</v>
      </c>
      <c r="BV238" s="65" t="e">
        <f>IF(BU46=1,IF(BU$13&lt;=COUNT($C18:$CS18),IF(INDEX($F$206:$F$229,MATCH($B238,$B$206:$B$229,FALSE))=0,NA(),INDEX(BU$14:BU$37,MATCH($B238,$B$14:$B$37,FALSE))/INDEX($F$206:$F$229,MATCH($B238,$B$206:$B$229,FALSE))),NA()),NA())</f>
        <v>#N/A</v>
      </c>
      <c r="BW238" s="65" t="e">
        <f>IF(BV46=1,IF(BV$13&lt;=COUNT($C18:$CS18),IF(INDEX($F$206:$F$229,MATCH($B238,$B$206:$B$229,FALSE))=0,NA(),INDEX(BV$14:BV$37,MATCH($B238,$B$14:$B$37,FALSE))/INDEX($F$206:$F$229,MATCH($B238,$B$206:$B$229,FALSE))),NA()),NA())</f>
        <v>#N/A</v>
      </c>
      <c r="BX238" s="65" t="e">
        <f>IF(BW46=1,IF(BW$13&lt;=COUNT($C18:$CS18),IF(INDEX($F$206:$F$229,MATCH($B238,$B$206:$B$229,FALSE))=0,NA(),INDEX(BW$14:BW$37,MATCH($B238,$B$14:$B$37,FALSE))/INDEX($F$206:$F$229,MATCH($B238,$B$206:$B$229,FALSE))),NA()),NA())</f>
        <v>#N/A</v>
      </c>
      <c r="BY238" s="65" t="e">
        <f>IF(BX46=1,IF(BX$13&lt;=COUNT($C18:$CS18),IF(INDEX($F$206:$F$229,MATCH($B238,$B$206:$B$229,FALSE))=0,NA(),INDEX(BX$14:BX$37,MATCH($B238,$B$14:$B$37,FALSE))/INDEX($F$206:$F$229,MATCH($B238,$B$206:$B$229,FALSE))),NA()),NA())</f>
        <v>#N/A</v>
      </c>
      <c r="BZ238" s="65" t="e">
        <f>IF(BY46=1,IF(BY$13&lt;=COUNT($C18:$CS18),IF(INDEX($F$206:$F$229,MATCH($B238,$B$206:$B$229,FALSE))=0,NA(),INDEX(BY$14:BY$37,MATCH($B238,$B$14:$B$37,FALSE))/INDEX($F$206:$F$229,MATCH($B238,$B$206:$B$229,FALSE))),NA()),NA())</f>
        <v>#N/A</v>
      </c>
      <c r="CA238" s="65" t="e">
        <f>IF(BZ46=1,IF(BZ$13&lt;=COUNT($C18:$CS18),IF(INDEX($F$206:$F$229,MATCH($B238,$B$206:$B$229,FALSE))=0,NA(),INDEX(BZ$14:BZ$37,MATCH($B238,$B$14:$B$37,FALSE))/INDEX($F$206:$F$229,MATCH($B238,$B$206:$B$229,FALSE))),NA()),NA())</f>
        <v>#N/A</v>
      </c>
      <c r="CB238" s="65" t="e">
        <f>IF(CA46=1,IF(CA$13&lt;=COUNT($C18:$CS18),IF(INDEX($F$206:$F$229,MATCH($B238,$B$206:$B$229,FALSE))=0,NA(),INDEX(CA$14:CA$37,MATCH($B238,$B$14:$B$37,FALSE))/INDEX($F$206:$F$229,MATCH($B238,$B$206:$B$229,FALSE))),NA()),NA())</f>
        <v>#N/A</v>
      </c>
      <c r="CC238" s="65" t="e">
        <f>IF(CB46=1,IF(CB$13&lt;=COUNT($C18:$CS18),IF(INDEX($F$206:$F$229,MATCH($B238,$B$206:$B$229,FALSE))=0,NA(),INDEX(CB$14:CB$37,MATCH($B238,$B$14:$B$37,FALSE))/INDEX($F$206:$F$229,MATCH($B238,$B$206:$B$229,FALSE))),NA()),NA())</f>
        <v>#N/A</v>
      </c>
      <c r="CD238" s="65" t="e">
        <f>IF(CC46=1,IF(CC$13&lt;=COUNT($C18:$CS18),IF(INDEX($F$206:$F$229,MATCH($B238,$B$206:$B$229,FALSE))=0,NA(),INDEX(CC$14:CC$37,MATCH($B238,$B$14:$B$37,FALSE))/INDEX($F$206:$F$229,MATCH($B238,$B$206:$B$229,FALSE))),NA()),NA())</f>
        <v>#N/A</v>
      </c>
      <c r="CE238" s="65" t="e">
        <f>IF(CD46=1,IF(CD$13&lt;=COUNT($C18:$CS18),IF(INDEX($F$206:$F$229,MATCH($B238,$B$206:$B$229,FALSE))=0,NA(),INDEX(CD$14:CD$37,MATCH($B238,$B$14:$B$37,FALSE))/INDEX($F$206:$F$229,MATCH($B238,$B$206:$B$229,FALSE))),NA()),NA())</f>
        <v>#N/A</v>
      </c>
      <c r="CF238" s="65" t="e">
        <f>IF(CE46=1,IF(CE$13&lt;=COUNT($C18:$CS18),IF(INDEX($F$206:$F$229,MATCH($B238,$B$206:$B$229,FALSE))=0,NA(),INDEX(CE$14:CE$37,MATCH($B238,$B$14:$B$37,FALSE))/INDEX($F$206:$F$229,MATCH($B238,$B$206:$B$229,FALSE))),NA()),NA())</f>
        <v>#N/A</v>
      </c>
      <c r="CG238" s="65" t="e">
        <f>IF(CF46=1,IF(CF$13&lt;=COUNT($C18:$CS18),IF(INDEX($F$206:$F$229,MATCH($B238,$B$206:$B$229,FALSE))=0,NA(),INDEX(CF$14:CF$37,MATCH($B238,$B$14:$B$37,FALSE))/INDEX($F$206:$F$229,MATCH($B238,$B$206:$B$229,FALSE))),NA()),NA())</f>
        <v>#N/A</v>
      </c>
      <c r="CH238" s="65" t="e">
        <f>IF(CG46=1,IF(CG$13&lt;=COUNT($C18:$CS18),IF(INDEX($F$206:$F$229,MATCH($B238,$B$206:$B$229,FALSE))=0,NA(),INDEX(CG$14:CG$37,MATCH($B238,$B$14:$B$37,FALSE))/INDEX($F$206:$F$229,MATCH($B238,$B$206:$B$229,FALSE))),NA()),NA())</f>
        <v>#N/A</v>
      </c>
      <c r="CI238" s="65" t="e">
        <f>IF(CH46=1,IF(CH$13&lt;=COUNT($C18:$CS18),IF(INDEX($F$206:$F$229,MATCH($B238,$B$206:$B$229,FALSE))=0,NA(),INDEX(CH$14:CH$37,MATCH($B238,$B$14:$B$37,FALSE))/INDEX($F$206:$F$229,MATCH($B238,$B$206:$B$229,FALSE))),NA()),NA())</f>
        <v>#N/A</v>
      </c>
      <c r="CJ238" s="65" t="e">
        <f>IF(CI46=1,IF(CI$13&lt;=COUNT($C18:$CS18),IF(INDEX($F$206:$F$229,MATCH($B238,$B$206:$B$229,FALSE))=0,NA(),INDEX(CI$14:CI$37,MATCH($B238,$B$14:$B$37,FALSE))/INDEX($F$206:$F$229,MATCH($B238,$B$206:$B$229,FALSE))),NA()),NA())</f>
        <v>#N/A</v>
      </c>
      <c r="CK238" s="65" t="e">
        <f>IF(CJ46=1,IF(CJ$13&lt;=COUNT($C18:$CS18),IF(INDEX($F$206:$F$229,MATCH($B238,$B$206:$B$229,FALSE))=0,NA(),INDEX(CJ$14:CJ$37,MATCH($B238,$B$14:$B$37,FALSE))/INDEX($F$206:$F$229,MATCH($B238,$B$206:$B$229,FALSE))),NA()),NA())</f>
        <v>#N/A</v>
      </c>
      <c r="CL238" s="65" t="e">
        <f>IF(CK46=1,IF(CK$13&lt;=COUNT($C18:$CS18),IF(INDEX($F$206:$F$229,MATCH($B238,$B$206:$B$229,FALSE))=0,NA(),INDEX(CK$14:CK$37,MATCH($B238,$B$14:$B$37,FALSE))/INDEX($F$206:$F$229,MATCH($B238,$B$206:$B$229,FALSE))),NA()),NA())</f>
        <v>#N/A</v>
      </c>
      <c r="CM238" s="65" t="e">
        <f>IF(CL46=1,IF(CL$13&lt;=COUNT($C18:$CS18),IF(INDEX($F$206:$F$229,MATCH($B238,$B$206:$B$229,FALSE))=0,NA(),INDEX(CL$14:CL$37,MATCH($B238,$B$14:$B$37,FALSE))/INDEX($F$206:$F$229,MATCH($B238,$B$206:$B$229,FALSE))),NA()),NA())</f>
        <v>#N/A</v>
      </c>
      <c r="CN238" s="65" t="e">
        <f>IF(CM46=1,IF(CM$13&lt;=COUNT($C18:$CS18),IF(INDEX($F$206:$F$229,MATCH($B238,$B$206:$B$229,FALSE))=0,NA(),INDEX(CM$14:CM$37,MATCH($B238,$B$14:$B$37,FALSE))/INDEX($F$206:$F$229,MATCH($B238,$B$206:$B$229,FALSE))),NA()),NA())</f>
        <v>#N/A</v>
      </c>
      <c r="CO238" s="65" t="e">
        <f>IF(CN46=1,IF(CN$13&lt;=COUNT($C18:$CS18),IF(INDEX($F$206:$F$229,MATCH($B238,$B$206:$B$229,FALSE))=0,NA(),INDEX(CN$14:CN$37,MATCH($B238,$B$14:$B$37,FALSE))/INDEX($F$206:$F$229,MATCH($B238,$B$206:$B$229,FALSE))),NA()),NA())</f>
        <v>#N/A</v>
      </c>
      <c r="CP238" s="65" t="e">
        <f>IF(CO46=1,IF(CO$13&lt;=COUNT($C18:$CS18),IF(INDEX($F$206:$F$229,MATCH($B238,$B$206:$B$229,FALSE))=0,NA(),INDEX(CO$14:CO$37,MATCH($B238,$B$14:$B$37,FALSE))/INDEX($F$206:$F$229,MATCH($B238,$B$206:$B$229,FALSE))),NA()),NA())</f>
        <v>#N/A</v>
      </c>
      <c r="CQ238" s="65" t="e">
        <f>IF(CP46=1,IF(CP$13&lt;=COUNT($C18:$CS18),IF(INDEX($F$206:$F$229,MATCH($B238,$B$206:$B$229,FALSE))=0,NA(),INDEX(CP$14:CP$37,MATCH($B238,$B$14:$B$37,FALSE))/INDEX($F$206:$F$229,MATCH($B238,$B$206:$B$229,FALSE))),NA()),NA())</f>
        <v>#N/A</v>
      </c>
      <c r="CR238" s="65" t="e">
        <f>IF(CQ46=1,IF(CQ$13&lt;=COUNT($C18:$CS18),IF(INDEX($F$206:$F$229,MATCH($B238,$B$206:$B$229,FALSE))=0,NA(),INDEX(CQ$14:CQ$37,MATCH($B238,$B$14:$B$37,FALSE))/INDEX($F$206:$F$229,MATCH($B238,$B$206:$B$229,FALSE))),NA()),NA())</f>
        <v>#N/A</v>
      </c>
      <c r="CS238" s="65" t="e">
        <f>IF(CR46=1,IF(CR$13&lt;=COUNT($C18:$CS18),IF(INDEX($F$206:$F$229,MATCH($B238,$B$206:$B$229,FALSE))=0,NA(),INDEX(CR$14:CR$37,MATCH($B238,$B$14:$B$37,FALSE))/INDEX($F$206:$F$229,MATCH($B238,$B$206:$B$229,FALSE))),NA()),NA())</f>
        <v>#N/A</v>
      </c>
      <c r="CT238" s="49"/>
      <c r="CU238" s="49"/>
      <c r="CV238" s="49"/>
      <c r="CW238" s="49"/>
    </row>
    <row r="239" spans="1:101" x14ac:dyDescent="0.25">
      <c r="A239" s="97">
        <f t="shared" si="352"/>
        <v>0</v>
      </c>
      <c r="B239" s="29">
        <f t="shared" si="351"/>
        <v>2001</v>
      </c>
      <c r="C239" s="154" t="str">
        <f t="shared" si="353"/>
        <v/>
      </c>
      <c r="D239" s="54" t="e">
        <f>IF(C47=1,IF(C$13&lt;=COUNT($C19:$CS19),IF(INDEX($F$206:$F$229,MATCH($B239,$B$206:$B$229,FALSE))=0,NA(),INDEX(C$14:C$37,MATCH($B239,$B$14:$B$37,FALSE))/INDEX($F$206:$F$229,MATCH($B239,$B$206:$B$229,FALSE))),NA()),NA())</f>
        <v>#N/A</v>
      </c>
      <c r="E239" s="65" t="e">
        <f>IF(D47=1,IF(D$13&lt;=COUNT($C19:$CS19),IF(INDEX($F$206:$F$229,MATCH($B239,$B$206:$B$229,FALSE))=0,NA(),INDEX(D$14:D$37,MATCH($B239,$B$14:$B$37,FALSE))/INDEX($F$206:$F$229,MATCH($B239,$B$206:$B$229,FALSE))),NA()),NA())</f>
        <v>#N/A</v>
      </c>
      <c r="F239" s="65" t="e">
        <f>IF(E47=1,IF(E$13&lt;=COUNT($C19:$CS19),IF(INDEX($F$206:$F$229,MATCH($B239,$B$206:$B$229,FALSE))=0,NA(),INDEX(E$14:E$37,MATCH($B239,$B$14:$B$37,FALSE))/INDEX($F$206:$F$229,MATCH($B239,$B$206:$B$229,FALSE))),NA()),NA())</f>
        <v>#N/A</v>
      </c>
      <c r="G239" s="65" t="e">
        <f>IF(F47=1,IF(F$13&lt;=COUNT($C19:$CS19),IF(INDEX($F$206:$F$229,MATCH($B239,$B$206:$B$229,FALSE))=0,NA(),INDEX(F$14:F$37,MATCH($B239,$B$14:$B$37,FALSE))/INDEX($F$206:$F$229,MATCH($B239,$B$206:$B$229,FALSE))),NA()),NA())</f>
        <v>#N/A</v>
      </c>
      <c r="H239" s="65" t="e">
        <f>IF(G47=1,IF(G$13&lt;=COUNT($C19:$CS19),IF(INDEX($F$206:$F$229,MATCH($B239,$B$206:$B$229,FALSE))=0,NA(),INDEX(G$14:G$37,MATCH($B239,$B$14:$B$37,FALSE))/INDEX($F$206:$F$229,MATCH($B239,$B$206:$B$229,FALSE))),NA()),NA())</f>
        <v>#N/A</v>
      </c>
      <c r="I239" s="65" t="e">
        <f>IF(H47=1,IF(H$13&lt;=COUNT($C19:$CS19),IF(INDEX($F$206:$F$229,MATCH($B239,$B$206:$B$229,FALSE))=0,NA(),INDEX(H$14:H$37,MATCH($B239,$B$14:$B$37,FALSE))/INDEX($F$206:$F$229,MATCH($B239,$B$206:$B$229,FALSE))),NA()),NA())</f>
        <v>#N/A</v>
      </c>
      <c r="J239" s="65" t="e">
        <f>IF(I47=1,IF(I$13&lt;=COUNT($C19:$CS19),IF(INDEX($F$206:$F$229,MATCH($B239,$B$206:$B$229,FALSE))=0,NA(),INDEX(I$14:I$37,MATCH($B239,$B$14:$B$37,FALSE))/INDEX($F$206:$F$229,MATCH($B239,$B$206:$B$229,FALSE))),NA()),NA())</f>
        <v>#N/A</v>
      </c>
      <c r="K239" s="65" t="e">
        <f>IF(J47=1,IF(J$13&lt;=COUNT($C19:$CS19),IF(INDEX($F$206:$F$229,MATCH($B239,$B$206:$B$229,FALSE))=0,NA(),INDEX(J$14:J$37,MATCH($B239,$B$14:$B$37,FALSE))/INDEX($F$206:$F$229,MATCH($B239,$B$206:$B$229,FALSE))),NA()),NA())</f>
        <v>#N/A</v>
      </c>
      <c r="L239" s="65" t="e">
        <f>IF(K47=1,IF(K$13&lt;=COUNT($C19:$CS19),IF(INDEX($F$206:$F$229,MATCH($B239,$B$206:$B$229,FALSE))=0,NA(),INDEX(K$14:K$37,MATCH($B239,$B$14:$B$37,FALSE))/INDEX($F$206:$F$229,MATCH($B239,$B$206:$B$229,FALSE))),NA()),NA())</f>
        <v>#N/A</v>
      </c>
      <c r="M239" s="65" t="e">
        <f>IF(L47=1,IF(L$13&lt;=COUNT($C19:$CS19),IF(INDEX($F$206:$F$229,MATCH($B239,$B$206:$B$229,FALSE))=0,NA(),INDEX(L$14:L$37,MATCH($B239,$B$14:$B$37,FALSE))/INDEX($F$206:$F$229,MATCH($B239,$B$206:$B$229,FALSE))),NA()),NA())</f>
        <v>#N/A</v>
      </c>
      <c r="N239" s="65" t="e">
        <f>IF(M47=1,IF(M$13&lt;=COUNT($C19:$CS19),IF(INDEX($F$206:$F$229,MATCH($B239,$B$206:$B$229,FALSE))=0,NA(),INDEX(M$14:M$37,MATCH($B239,$B$14:$B$37,FALSE))/INDEX($F$206:$F$229,MATCH($B239,$B$206:$B$229,FALSE))),NA()),NA())</f>
        <v>#N/A</v>
      </c>
      <c r="O239" s="65" t="e">
        <f>IF(N47=1,IF(N$13&lt;=COUNT($C19:$CS19),IF(INDEX($F$206:$F$229,MATCH($B239,$B$206:$B$229,FALSE))=0,NA(),INDEX(N$14:N$37,MATCH($B239,$B$14:$B$37,FALSE))/INDEX($F$206:$F$229,MATCH($B239,$B$206:$B$229,FALSE))),NA()),NA())</f>
        <v>#N/A</v>
      </c>
      <c r="P239" s="65" t="e">
        <f>IF(O47=1,IF(O$13&lt;=COUNT($C19:$CS19),IF(INDEX($F$206:$F$229,MATCH($B239,$B$206:$B$229,FALSE))=0,NA(),INDEX(O$14:O$37,MATCH($B239,$B$14:$B$37,FALSE))/INDEX($F$206:$F$229,MATCH($B239,$B$206:$B$229,FALSE))),NA()),NA())</f>
        <v>#N/A</v>
      </c>
      <c r="Q239" s="65" t="e">
        <f>IF(P47=1,IF(P$13&lt;=COUNT($C19:$CS19),IF(INDEX($F$206:$F$229,MATCH($B239,$B$206:$B$229,FALSE))=0,NA(),INDEX(P$14:P$37,MATCH($B239,$B$14:$B$37,FALSE))/INDEX($F$206:$F$229,MATCH($B239,$B$206:$B$229,FALSE))),NA()),NA())</f>
        <v>#N/A</v>
      </c>
      <c r="R239" s="65" t="e">
        <f>IF(Q47=1,IF(Q$13&lt;=COUNT($C19:$CS19),IF(INDEX($F$206:$F$229,MATCH($B239,$B$206:$B$229,FALSE))=0,NA(),INDEX(Q$14:Q$37,MATCH($B239,$B$14:$B$37,FALSE))/INDEX($F$206:$F$229,MATCH($B239,$B$206:$B$229,FALSE))),NA()),NA())</f>
        <v>#N/A</v>
      </c>
      <c r="S239" s="65" t="e">
        <f>IF(R47=1,IF(R$13&lt;=COUNT($C19:$CS19),IF(INDEX($F$206:$F$229,MATCH($B239,$B$206:$B$229,FALSE))=0,NA(),INDEX(R$14:R$37,MATCH($B239,$B$14:$B$37,FALSE))/INDEX($F$206:$F$229,MATCH($B239,$B$206:$B$229,FALSE))),NA()),NA())</f>
        <v>#N/A</v>
      </c>
      <c r="T239" s="65" t="e">
        <f>IF(S47=1,IF(S$13&lt;=COUNT($C19:$CS19),IF(INDEX($F$206:$F$229,MATCH($B239,$B$206:$B$229,FALSE))=0,NA(),INDEX(S$14:S$37,MATCH($B239,$B$14:$B$37,FALSE))/INDEX($F$206:$F$229,MATCH($B239,$B$206:$B$229,FALSE))),NA()),NA())</f>
        <v>#N/A</v>
      </c>
      <c r="U239" s="65" t="e">
        <f>IF(T47=1,IF(T$13&lt;=COUNT($C19:$CS19),IF(INDEX($F$206:$F$229,MATCH($B239,$B$206:$B$229,FALSE))=0,NA(),INDEX(T$14:T$37,MATCH($B239,$B$14:$B$37,FALSE))/INDEX($F$206:$F$229,MATCH($B239,$B$206:$B$229,FALSE))),NA()),NA())</f>
        <v>#N/A</v>
      </c>
      <c r="V239" s="65" t="e">
        <f>IF(U47=1,IF(U$13&lt;=COUNT($C19:$CS19),IF(INDEX($F$206:$F$229,MATCH($B239,$B$206:$B$229,FALSE))=0,NA(),INDEX(U$14:U$37,MATCH($B239,$B$14:$B$37,FALSE))/INDEX($F$206:$F$229,MATCH($B239,$B$206:$B$229,FALSE))),NA()),NA())</f>
        <v>#N/A</v>
      </c>
      <c r="W239" s="65" t="e">
        <f>IF(V47=1,IF(V$13&lt;=COUNT($C19:$CS19),IF(INDEX($F$206:$F$229,MATCH($B239,$B$206:$B$229,FALSE))=0,NA(),INDEX(V$14:V$37,MATCH($B239,$B$14:$B$37,FALSE))/INDEX($F$206:$F$229,MATCH($B239,$B$206:$B$229,FALSE))),NA()),NA())</f>
        <v>#N/A</v>
      </c>
      <c r="X239" s="65" t="e">
        <f>IF(W47=1,IF(W$13&lt;=COUNT($C19:$CS19),IF(INDEX($F$206:$F$229,MATCH($B239,$B$206:$B$229,FALSE))=0,NA(),INDEX(W$14:W$37,MATCH($B239,$B$14:$B$37,FALSE))/INDEX($F$206:$F$229,MATCH($B239,$B$206:$B$229,FALSE))),NA()),NA())</f>
        <v>#N/A</v>
      </c>
      <c r="Y239" s="65" t="e">
        <f>IF(X47=1,IF(X$13&lt;=COUNT($C19:$CS19),IF(INDEX($F$206:$F$229,MATCH($B239,$B$206:$B$229,FALSE))=0,NA(),INDEX(X$14:X$37,MATCH($B239,$B$14:$B$37,FALSE))/INDEX($F$206:$F$229,MATCH($B239,$B$206:$B$229,FALSE))),NA()),NA())</f>
        <v>#N/A</v>
      </c>
      <c r="Z239" s="65" t="e">
        <f>IF(Y47=1,IF(Y$13&lt;=COUNT($C19:$CS19),IF(INDEX($F$206:$F$229,MATCH($B239,$B$206:$B$229,FALSE))=0,NA(),INDEX(Y$14:Y$37,MATCH($B239,$B$14:$B$37,FALSE))/INDEX($F$206:$F$229,MATCH($B239,$B$206:$B$229,FALSE))),NA()),NA())</f>
        <v>#N/A</v>
      </c>
      <c r="AA239" s="65" t="e">
        <f>IF(Z47=1,IF(Z$13&lt;=COUNT($C19:$CS19),IF(INDEX($F$206:$F$229,MATCH($B239,$B$206:$B$229,FALSE))=0,NA(),INDEX(Z$14:Z$37,MATCH($B239,$B$14:$B$37,FALSE))/INDEX($F$206:$F$229,MATCH($B239,$B$206:$B$229,FALSE))),NA()),NA())</f>
        <v>#N/A</v>
      </c>
      <c r="AB239" s="65" t="e">
        <f>IF(AA47=1,IF(AA$13&lt;=COUNT($C19:$CS19),IF(INDEX($F$206:$F$229,MATCH($B239,$B$206:$B$229,FALSE))=0,NA(),INDEX(AA$14:AA$37,MATCH($B239,$B$14:$B$37,FALSE))/INDEX($F$206:$F$229,MATCH($B239,$B$206:$B$229,FALSE))),NA()),NA())</f>
        <v>#N/A</v>
      </c>
      <c r="AC239" s="65" t="e">
        <f>IF(AB47=1,IF(AB$13&lt;=COUNT($C19:$CS19),IF(INDEX($F$206:$F$229,MATCH($B239,$B$206:$B$229,FALSE))=0,NA(),INDEX(AB$14:AB$37,MATCH($B239,$B$14:$B$37,FALSE))/INDEX($F$206:$F$229,MATCH($B239,$B$206:$B$229,FALSE))),NA()),NA())</f>
        <v>#N/A</v>
      </c>
      <c r="AD239" s="65" t="e">
        <f>IF(AC47=1,IF(AC$13&lt;=COUNT($C19:$CS19),IF(INDEX($F$206:$F$229,MATCH($B239,$B$206:$B$229,FALSE))=0,NA(),INDEX(AC$14:AC$37,MATCH($B239,$B$14:$B$37,FALSE))/INDEX($F$206:$F$229,MATCH($B239,$B$206:$B$229,FALSE))),NA()),NA())</f>
        <v>#N/A</v>
      </c>
      <c r="AE239" s="65" t="e">
        <f>IF(AD47=1,IF(AD$13&lt;=COUNT($C19:$CS19),IF(INDEX($F$206:$F$229,MATCH($B239,$B$206:$B$229,FALSE))=0,NA(),INDEX(AD$14:AD$37,MATCH($B239,$B$14:$B$37,FALSE))/INDEX($F$206:$F$229,MATCH($B239,$B$206:$B$229,FALSE))),NA()),NA())</f>
        <v>#N/A</v>
      </c>
      <c r="AF239" s="65" t="e">
        <f>IF(AE47=1,IF(AE$13&lt;=COUNT($C19:$CS19),IF(INDEX($F$206:$F$229,MATCH($B239,$B$206:$B$229,FALSE))=0,NA(),INDEX(AE$14:AE$37,MATCH($B239,$B$14:$B$37,FALSE))/INDEX($F$206:$F$229,MATCH($B239,$B$206:$B$229,FALSE))),NA()),NA())</f>
        <v>#N/A</v>
      </c>
      <c r="AG239" s="65" t="e">
        <f>IF(AF47=1,IF(AF$13&lt;=COUNT($C19:$CS19),IF(INDEX($F$206:$F$229,MATCH($B239,$B$206:$B$229,FALSE))=0,NA(),INDEX(AF$14:AF$37,MATCH($B239,$B$14:$B$37,FALSE))/INDEX($F$206:$F$229,MATCH($B239,$B$206:$B$229,FALSE))),NA()),NA())</f>
        <v>#N/A</v>
      </c>
      <c r="AH239" s="65" t="e">
        <f>IF(AG47=1,IF(AG$13&lt;=COUNT($C19:$CS19),IF(INDEX($F$206:$F$229,MATCH($B239,$B$206:$B$229,FALSE))=0,NA(),INDEX(AG$14:AG$37,MATCH($B239,$B$14:$B$37,FALSE))/INDEX($F$206:$F$229,MATCH($B239,$B$206:$B$229,FALSE))),NA()),NA())</f>
        <v>#N/A</v>
      </c>
      <c r="AI239" s="65" t="e">
        <f>IF(AH47=1,IF(AH$13&lt;=COUNT($C19:$CS19),IF(INDEX($F$206:$F$229,MATCH($B239,$B$206:$B$229,FALSE))=0,NA(),INDEX(AH$14:AH$37,MATCH($B239,$B$14:$B$37,FALSE))/INDEX($F$206:$F$229,MATCH($B239,$B$206:$B$229,FALSE))),NA()),NA())</f>
        <v>#N/A</v>
      </c>
      <c r="AJ239" s="65" t="e">
        <f>IF(AI47=1,IF(AI$13&lt;=COUNT($C19:$CS19),IF(INDEX($F$206:$F$229,MATCH($B239,$B$206:$B$229,FALSE))=0,NA(),INDEX(AI$14:AI$37,MATCH($B239,$B$14:$B$37,FALSE))/INDEX($F$206:$F$229,MATCH($B239,$B$206:$B$229,FALSE))),NA()),NA())</f>
        <v>#N/A</v>
      </c>
      <c r="AK239" s="65" t="e">
        <f>IF(AJ47=1,IF(AJ$13&lt;=COUNT($C19:$CS19),IF(INDEX($F$206:$F$229,MATCH($B239,$B$206:$B$229,FALSE))=0,NA(),INDEX(AJ$14:AJ$37,MATCH($B239,$B$14:$B$37,FALSE))/INDEX($F$206:$F$229,MATCH($B239,$B$206:$B$229,FALSE))),NA()),NA())</f>
        <v>#N/A</v>
      </c>
      <c r="AL239" s="65" t="e">
        <f>IF(AK47=1,IF(AK$13&lt;=COUNT($C19:$CS19),IF(INDEX($F$206:$F$229,MATCH($B239,$B$206:$B$229,FALSE))=0,NA(),INDEX(AK$14:AK$37,MATCH($B239,$B$14:$B$37,FALSE))/INDEX($F$206:$F$229,MATCH($B239,$B$206:$B$229,FALSE))),NA()),NA())</f>
        <v>#N/A</v>
      </c>
      <c r="AM239" s="65" t="e">
        <f>IF(AL47=1,IF(AL$13&lt;=COUNT($C19:$CS19),IF(INDEX($F$206:$F$229,MATCH($B239,$B$206:$B$229,FALSE))=0,NA(),INDEX(AL$14:AL$37,MATCH($B239,$B$14:$B$37,FALSE))/INDEX($F$206:$F$229,MATCH($B239,$B$206:$B$229,FALSE))),NA()),NA())</f>
        <v>#N/A</v>
      </c>
      <c r="AN239" s="65" t="e">
        <f>IF(AM47=1,IF(AM$13&lt;=COUNT($C19:$CS19),IF(INDEX($F$206:$F$229,MATCH($B239,$B$206:$B$229,FALSE))=0,NA(),INDEX(AM$14:AM$37,MATCH($B239,$B$14:$B$37,FALSE))/INDEX($F$206:$F$229,MATCH($B239,$B$206:$B$229,FALSE))),NA()),NA())</f>
        <v>#N/A</v>
      </c>
      <c r="AO239" s="65" t="e">
        <f>IF(AN47=1,IF(AN$13&lt;=COUNT($C19:$CS19),IF(INDEX($F$206:$F$229,MATCH($B239,$B$206:$B$229,FALSE))=0,NA(),INDEX(AN$14:AN$37,MATCH($B239,$B$14:$B$37,FALSE))/INDEX($F$206:$F$229,MATCH($B239,$B$206:$B$229,FALSE))),NA()),NA())</f>
        <v>#N/A</v>
      </c>
      <c r="AP239" s="65" t="e">
        <f>IF(AO47=1,IF(AO$13&lt;=COUNT($C19:$CS19),IF(INDEX($F$206:$F$229,MATCH($B239,$B$206:$B$229,FALSE))=0,NA(),INDEX(AO$14:AO$37,MATCH($B239,$B$14:$B$37,FALSE))/INDEX($F$206:$F$229,MATCH($B239,$B$206:$B$229,FALSE))),NA()),NA())</f>
        <v>#N/A</v>
      </c>
      <c r="AQ239" s="65" t="e">
        <f>IF(AP47=1,IF(AP$13&lt;=COUNT($C19:$CS19),IF(INDEX($F$206:$F$229,MATCH($B239,$B$206:$B$229,FALSE))=0,NA(),INDEX(AP$14:AP$37,MATCH($B239,$B$14:$B$37,FALSE))/INDEX($F$206:$F$229,MATCH($B239,$B$206:$B$229,FALSE))),NA()),NA())</f>
        <v>#N/A</v>
      </c>
      <c r="AR239" s="65" t="e">
        <f>IF(AQ47=1,IF(AQ$13&lt;=COUNT($C19:$CS19),IF(INDEX($F$206:$F$229,MATCH($B239,$B$206:$B$229,FALSE))=0,NA(),INDEX(AQ$14:AQ$37,MATCH($B239,$B$14:$B$37,FALSE))/INDEX($F$206:$F$229,MATCH($B239,$B$206:$B$229,FALSE))),NA()),NA())</f>
        <v>#N/A</v>
      </c>
      <c r="AS239" s="65" t="e">
        <f>IF(AR47=1,IF(AR$13&lt;=COUNT($C19:$CS19),IF(INDEX($F$206:$F$229,MATCH($B239,$B$206:$B$229,FALSE))=0,NA(),INDEX(AR$14:AR$37,MATCH($B239,$B$14:$B$37,FALSE))/INDEX($F$206:$F$229,MATCH($B239,$B$206:$B$229,FALSE))),NA()),NA())</f>
        <v>#N/A</v>
      </c>
      <c r="AT239" s="65" t="e">
        <f>IF(AS47=1,IF(AS$13&lt;=COUNT($C19:$CS19),IF(INDEX($F$206:$F$229,MATCH($B239,$B$206:$B$229,FALSE))=0,NA(),INDEX(AS$14:AS$37,MATCH($B239,$B$14:$B$37,FALSE))/INDEX($F$206:$F$229,MATCH($B239,$B$206:$B$229,FALSE))),NA()),NA())</f>
        <v>#N/A</v>
      </c>
      <c r="AU239" s="65" t="e">
        <f>IF(AT47=1,IF(AT$13&lt;=COUNT($C19:$CS19),IF(INDEX($F$206:$F$229,MATCH($B239,$B$206:$B$229,FALSE))=0,NA(),INDEX(AT$14:AT$37,MATCH($B239,$B$14:$B$37,FALSE))/INDEX($F$206:$F$229,MATCH($B239,$B$206:$B$229,FALSE))),NA()),NA())</f>
        <v>#N/A</v>
      </c>
      <c r="AV239" s="65" t="e">
        <f>IF(AU47=1,IF(AU$13&lt;=COUNT($C19:$CS19),IF(INDEX($F$206:$F$229,MATCH($B239,$B$206:$B$229,FALSE))=0,NA(),INDEX(AU$14:AU$37,MATCH($B239,$B$14:$B$37,FALSE))/INDEX($F$206:$F$229,MATCH($B239,$B$206:$B$229,FALSE))),NA()),NA())</f>
        <v>#N/A</v>
      </c>
      <c r="AW239" s="65" t="e">
        <f>IF(AV47=1,IF(AV$13&lt;=COUNT($C19:$CS19),IF(INDEX($F$206:$F$229,MATCH($B239,$B$206:$B$229,FALSE))=0,NA(),INDEX(AV$14:AV$37,MATCH($B239,$B$14:$B$37,FALSE))/INDEX($F$206:$F$229,MATCH($B239,$B$206:$B$229,FALSE))),NA()),NA())</f>
        <v>#N/A</v>
      </c>
      <c r="AX239" s="65" t="e">
        <f>IF(AW47=1,IF(AW$13&lt;=COUNT($C19:$CS19),IF(INDEX($F$206:$F$229,MATCH($B239,$B$206:$B$229,FALSE))=0,NA(),INDEX(AW$14:AW$37,MATCH($B239,$B$14:$B$37,FALSE))/INDEX($F$206:$F$229,MATCH($B239,$B$206:$B$229,FALSE))),NA()),NA())</f>
        <v>#N/A</v>
      </c>
      <c r="AY239" s="65" t="e">
        <f>IF(AX47=1,IF(AX$13&lt;=COUNT($C19:$CS19),IF(INDEX($F$206:$F$229,MATCH($B239,$B$206:$B$229,FALSE))=0,NA(),INDEX(AX$14:AX$37,MATCH($B239,$B$14:$B$37,FALSE))/INDEX($F$206:$F$229,MATCH($B239,$B$206:$B$229,FALSE))),NA()),NA())</f>
        <v>#N/A</v>
      </c>
      <c r="AZ239" s="65" t="e">
        <f>IF(AY47=1,IF(AY$13&lt;=COUNT($C19:$CS19),IF(INDEX($F$206:$F$229,MATCH($B239,$B$206:$B$229,FALSE))=0,NA(),INDEX(AY$14:AY$37,MATCH($B239,$B$14:$B$37,FALSE))/INDEX($F$206:$F$229,MATCH($B239,$B$206:$B$229,FALSE))),NA()),NA())</f>
        <v>#N/A</v>
      </c>
      <c r="BA239" s="65" t="e">
        <f>IF(AZ47=1,IF(AZ$13&lt;=COUNT($C19:$CS19),IF(INDEX($F$206:$F$229,MATCH($B239,$B$206:$B$229,FALSE))=0,NA(),INDEX(AZ$14:AZ$37,MATCH($B239,$B$14:$B$37,FALSE))/INDEX($F$206:$F$229,MATCH($B239,$B$206:$B$229,FALSE))),NA()),NA())</f>
        <v>#N/A</v>
      </c>
      <c r="BB239" s="65" t="e">
        <f>IF(BA47=1,IF(BA$13&lt;=COUNT($C19:$CS19),IF(INDEX($F$206:$F$229,MATCH($B239,$B$206:$B$229,FALSE))=0,NA(),INDEX(BA$14:BA$37,MATCH($B239,$B$14:$B$37,FALSE))/INDEX($F$206:$F$229,MATCH($B239,$B$206:$B$229,FALSE))),NA()),NA())</f>
        <v>#N/A</v>
      </c>
      <c r="BC239" s="65" t="e">
        <f>IF(BB47=1,IF(BB$13&lt;=COUNT($C19:$CS19),IF(INDEX($F$206:$F$229,MATCH($B239,$B$206:$B$229,FALSE))=0,NA(),INDEX(BB$14:BB$37,MATCH($B239,$B$14:$B$37,FALSE))/INDEX($F$206:$F$229,MATCH($B239,$B$206:$B$229,FALSE))),NA()),NA())</f>
        <v>#N/A</v>
      </c>
      <c r="BD239" s="65" t="e">
        <f>IF(BC47=1,IF(BC$13&lt;=COUNT($C19:$CS19),IF(INDEX($F$206:$F$229,MATCH($B239,$B$206:$B$229,FALSE))=0,NA(),INDEX(BC$14:BC$37,MATCH($B239,$B$14:$B$37,FALSE))/INDEX($F$206:$F$229,MATCH($B239,$B$206:$B$229,FALSE))),NA()),NA())</f>
        <v>#N/A</v>
      </c>
      <c r="BE239" s="65" t="e">
        <f>IF(BD47=1,IF(BD$13&lt;=COUNT($C19:$CS19),IF(INDEX($F$206:$F$229,MATCH($B239,$B$206:$B$229,FALSE))=0,NA(),INDEX(BD$14:BD$37,MATCH($B239,$B$14:$B$37,FALSE))/INDEX($F$206:$F$229,MATCH($B239,$B$206:$B$229,FALSE))),NA()),NA())</f>
        <v>#N/A</v>
      </c>
      <c r="BF239" s="65" t="e">
        <f>IF(BE47=1,IF(BE$13&lt;=COUNT($C19:$CS19),IF(INDEX($F$206:$F$229,MATCH($B239,$B$206:$B$229,FALSE))=0,NA(),INDEX(BE$14:BE$37,MATCH($B239,$B$14:$B$37,FALSE))/INDEX($F$206:$F$229,MATCH($B239,$B$206:$B$229,FALSE))),NA()),NA())</f>
        <v>#N/A</v>
      </c>
      <c r="BG239" s="65" t="e">
        <f>IF(BF47=1,IF(BF$13&lt;=COUNT($C19:$CS19),IF(INDEX($F$206:$F$229,MATCH($B239,$B$206:$B$229,FALSE))=0,NA(),INDEX(BF$14:BF$37,MATCH($B239,$B$14:$B$37,FALSE))/INDEX($F$206:$F$229,MATCH($B239,$B$206:$B$229,FALSE))),NA()),NA())</f>
        <v>#N/A</v>
      </c>
      <c r="BH239" s="65" t="e">
        <f>IF(BG47=1,IF(BG$13&lt;=COUNT($C19:$CS19),IF(INDEX($F$206:$F$229,MATCH($B239,$B$206:$B$229,FALSE))=0,NA(),INDEX(BG$14:BG$37,MATCH($B239,$B$14:$B$37,FALSE))/INDEX($F$206:$F$229,MATCH($B239,$B$206:$B$229,FALSE))),NA()),NA())</f>
        <v>#N/A</v>
      </c>
      <c r="BI239" s="65" t="e">
        <f>IF(BH47=1,IF(BH$13&lt;=COUNT($C19:$CS19),IF(INDEX($F$206:$F$229,MATCH($B239,$B$206:$B$229,FALSE))=0,NA(),INDEX(BH$14:BH$37,MATCH($B239,$B$14:$B$37,FALSE))/INDEX($F$206:$F$229,MATCH($B239,$B$206:$B$229,FALSE))),NA()),NA())</f>
        <v>#N/A</v>
      </c>
      <c r="BJ239" s="65" t="e">
        <f>IF(BI47=1,IF(BI$13&lt;=COUNT($C19:$CS19),IF(INDEX($F$206:$F$229,MATCH($B239,$B$206:$B$229,FALSE))=0,NA(),INDEX(BI$14:BI$37,MATCH($B239,$B$14:$B$37,FALSE))/INDEX($F$206:$F$229,MATCH($B239,$B$206:$B$229,FALSE))),NA()),NA())</f>
        <v>#N/A</v>
      </c>
      <c r="BK239" s="65" t="e">
        <f>IF(BJ47=1,IF(BJ$13&lt;=COUNT($C19:$CS19),IF(INDEX($F$206:$F$229,MATCH($B239,$B$206:$B$229,FALSE))=0,NA(),INDEX(BJ$14:BJ$37,MATCH($B239,$B$14:$B$37,FALSE))/INDEX($F$206:$F$229,MATCH($B239,$B$206:$B$229,FALSE))),NA()),NA())</f>
        <v>#N/A</v>
      </c>
      <c r="BL239" s="65" t="e">
        <f>IF(BK47=1,IF(BK$13&lt;=COUNT($C19:$CS19),IF(INDEX($F$206:$F$229,MATCH($B239,$B$206:$B$229,FALSE))=0,NA(),INDEX(BK$14:BK$37,MATCH($B239,$B$14:$B$37,FALSE))/INDEX($F$206:$F$229,MATCH($B239,$B$206:$B$229,FALSE))),NA()),NA())</f>
        <v>#N/A</v>
      </c>
      <c r="BM239" s="65" t="e">
        <f>IF(BL47=1,IF(BL$13&lt;=COUNT($C19:$CS19),IF(INDEX($F$206:$F$229,MATCH($B239,$B$206:$B$229,FALSE))=0,NA(),INDEX(BL$14:BL$37,MATCH($B239,$B$14:$B$37,FALSE))/INDEX($F$206:$F$229,MATCH($B239,$B$206:$B$229,FALSE))),NA()),NA())</f>
        <v>#N/A</v>
      </c>
      <c r="BN239" s="65" t="e">
        <f>IF(BM47=1,IF(BM$13&lt;=COUNT($C19:$CS19),IF(INDEX($F$206:$F$229,MATCH($B239,$B$206:$B$229,FALSE))=0,NA(),INDEX(BM$14:BM$37,MATCH($B239,$B$14:$B$37,FALSE))/INDEX($F$206:$F$229,MATCH($B239,$B$206:$B$229,FALSE))),NA()),NA())</f>
        <v>#N/A</v>
      </c>
      <c r="BO239" s="65" t="e">
        <f>IF(BN47=1,IF(BN$13&lt;=COUNT($C19:$CS19),IF(INDEX($F$206:$F$229,MATCH($B239,$B$206:$B$229,FALSE))=0,NA(),INDEX(BN$14:BN$37,MATCH($B239,$B$14:$B$37,FALSE))/INDEX($F$206:$F$229,MATCH($B239,$B$206:$B$229,FALSE))),NA()),NA())</f>
        <v>#N/A</v>
      </c>
      <c r="BP239" s="65" t="e">
        <f>IF(BO47=1,IF(BO$13&lt;=COUNT($C19:$CS19),IF(INDEX($F$206:$F$229,MATCH($B239,$B$206:$B$229,FALSE))=0,NA(),INDEX(BO$14:BO$37,MATCH($B239,$B$14:$B$37,FALSE))/INDEX($F$206:$F$229,MATCH($B239,$B$206:$B$229,FALSE))),NA()),NA())</f>
        <v>#N/A</v>
      </c>
      <c r="BQ239" s="65" t="e">
        <f>IF(BP47=1,IF(BP$13&lt;=COUNT($C19:$CS19),IF(INDEX($F$206:$F$229,MATCH($B239,$B$206:$B$229,FALSE))=0,NA(),INDEX(BP$14:BP$37,MATCH($B239,$B$14:$B$37,FALSE))/INDEX($F$206:$F$229,MATCH($B239,$B$206:$B$229,FALSE))),NA()),NA())</f>
        <v>#N/A</v>
      </c>
      <c r="BR239" s="65" t="e">
        <f>IF(BQ47=1,IF(BQ$13&lt;=COUNT($C19:$CS19),IF(INDEX($F$206:$F$229,MATCH($B239,$B$206:$B$229,FALSE))=0,NA(),INDEX(BQ$14:BQ$37,MATCH($B239,$B$14:$B$37,FALSE))/INDEX($F$206:$F$229,MATCH($B239,$B$206:$B$229,FALSE))),NA()),NA())</f>
        <v>#N/A</v>
      </c>
      <c r="BS239" s="65" t="e">
        <f>IF(BR47=1,IF(BR$13&lt;=COUNT($C19:$CS19),IF(INDEX($F$206:$F$229,MATCH($B239,$B$206:$B$229,FALSE))=0,NA(),INDEX(BR$14:BR$37,MATCH($B239,$B$14:$B$37,FALSE))/INDEX($F$206:$F$229,MATCH($B239,$B$206:$B$229,FALSE))),NA()),NA())</f>
        <v>#N/A</v>
      </c>
      <c r="BT239" s="65" t="e">
        <f>IF(BS47=1,IF(BS$13&lt;=COUNT($C19:$CS19),IF(INDEX($F$206:$F$229,MATCH($B239,$B$206:$B$229,FALSE))=0,NA(),INDEX(BS$14:BS$37,MATCH($B239,$B$14:$B$37,FALSE))/INDEX($F$206:$F$229,MATCH($B239,$B$206:$B$229,FALSE))),NA()),NA())</f>
        <v>#N/A</v>
      </c>
      <c r="BU239" s="65" t="e">
        <f>IF(BT47=1,IF(BT$13&lt;=COUNT($C19:$CS19),IF(INDEX($F$206:$F$229,MATCH($B239,$B$206:$B$229,FALSE))=0,NA(),INDEX(BT$14:BT$37,MATCH($B239,$B$14:$B$37,FALSE))/INDEX($F$206:$F$229,MATCH($B239,$B$206:$B$229,FALSE))),NA()),NA())</f>
        <v>#N/A</v>
      </c>
      <c r="BV239" s="65" t="e">
        <f>IF(BU47=1,IF(BU$13&lt;=COUNT($C19:$CS19),IF(INDEX($F$206:$F$229,MATCH($B239,$B$206:$B$229,FALSE))=0,NA(),INDEX(BU$14:BU$37,MATCH($B239,$B$14:$B$37,FALSE))/INDEX($F$206:$F$229,MATCH($B239,$B$206:$B$229,FALSE))),NA()),NA())</f>
        <v>#N/A</v>
      </c>
      <c r="BW239" s="65" t="e">
        <f>IF(BV47=1,IF(BV$13&lt;=COUNT($C19:$CS19),IF(INDEX($F$206:$F$229,MATCH($B239,$B$206:$B$229,FALSE))=0,NA(),INDEX(BV$14:BV$37,MATCH($B239,$B$14:$B$37,FALSE))/INDEX($F$206:$F$229,MATCH($B239,$B$206:$B$229,FALSE))),NA()),NA())</f>
        <v>#N/A</v>
      </c>
      <c r="BX239" s="65" t="e">
        <f>IF(BW47=1,IF(BW$13&lt;=COUNT($C19:$CS19),IF(INDEX($F$206:$F$229,MATCH($B239,$B$206:$B$229,FALSE))=0,NA(),INDEX(BW$14:BW$37,MATCH($B239,$B$14:$B$37,FALSE))/INDEX($F$206:$F$229,MATCH($B239,$B$206:$B$229,FALSE))),NA()),NA())</f>
        <v>#N/A</v>
      </c>
      <c r="BY239" s="65" t="e">
        <f>IF(BX47=1,IF(BX$13&lt;=COUNT($C19:$CS19),IF(INDEX($F$206:$F$229,MATCH($B239,$B$206:$B$229,FALSE))=0,NA(),INDEX(BX$14:BX$37,MATCH($B239,$B$14:$B$37,FALSE))/INDEX($F$206:$F$229,MATCH($B239,$B$206:$B$229,FALSE))),NA()),NA())</f>
        <v>#N/A</v>
      </c>
      <c r="BZ239" s="65" t="e">
        <f>IF(BY47=1,IF(BY$13&lt;=COUNT($C19:$CS19),IF(INDEX($F$206:$F$229,MATCH($B239,$B$206:$B$229,FALSE))=0,NA(),INDEX(BY$14:BY$37,MATCH($B239,$B$14:$B$37,FALSE))/INDEX($F$206:$F$229,MATCH($B239,$B$206:$B$229,FALSE))),NA()),NA())</f>
        <v>#N/A</v>
      </c>
      <c r="CA239" s="65" t="e">
        <f>IF(BZ47=1,IF(BZ$13&lt;=COUNT($C19:$CS19),IF(INDEX($F$206:$F$229,MATCH($B239,$B$206:$B$229,FALSE))=0,NA(),INDEX(BZ$14:BZ$37,MATCH($B239,$B$14:$B$37,FALSE))/INDEX($F$206:$F$229,MATCH($B239,$B$206:$B$229,FALSE))),NA()),NA())</f>
        <v>#N/A</v>
      </c>
      <c r="CB239" s="65" t="e">
        <f>IF(CA47=1,IF(CA$13&lt;=COUNT($C19:$CS19),IF(INDEX($F$206:$F$229,MATCH($B239,$B$206:$B$229,FALSE))=0,NA(),INDEX(CA$14:CA$37,MATCH($B239,$B$14:$B$37,FALSE))/INDEX($F$206:$F$229,MATCH($B239,$B$206:$B$229,FALSE))),NA()),NA())</f>
        <v>#N/A</v>
      </c>
      <c r="CC239" s="65" t="e">
        <f>IF(CB47=1,IF(CB$13&lt;=COUNT($C19:$CS19),IF(INDEX($F$206:$F$229,MATCH($B239,$B$206:$B$229,FALSE))=0,NA(),INDEX(CB$14:CB$37,MATCH($B239,$B$14:$B$37,FALSE))/INDEX($F$206:$F$229,MATCH($B239,$B$206:$B$229,FALSE))),NA()),NA())</f>
        <v>#N/A</v>
      </c>
      <c r="CD239" s="65" t="e">
        <f>IF(CC47=1,IF(CC$13&lt;=COUNT($C19:$CS19),IF(INDEX($F$206:$F$229,MATCH($B239,$B$206:$B$229,FALSE))=0,NA(),INDEX(CC$14:CC$37,MATCH($B239,$B$14:$B$37,FALSE))/INDEX($F$206:$F$229,MATCH($B239,$B$206:$B$229,FALSE))),NA()),NA())</f>
        <v>#N/A</v>
      </c>
      <c r="CE239" s="65" t="e">
        <f>IF(CD47=1,IF(CD$13&lt;=COUNT($C19:$CS19),IF(INDEX($F$206:$F$229,MATCH($B239,$B$206:$B$229,FALSE))=0,NA(),INDEX(CD$14:CD$37,MATCH($B239,$B$14:$B$37,FALSE))/INDEX($F$206:$F$229,MATCH($B239,$B$206:$B$229,FALSE))),NA()),NA())</f>
        <v>#N/A</v>
      </c>
      <c r="CF239" s="65" t="e">
        <f>IF(CE47=1,IF(CE$13&lt;=COUNT($C19:$CS19),IF(INDEX($F$206:$F$229,MATCH($B239,$B$206:$B$229,FALSE))=0,NA(),INDEX(CE$14:CE$37,MATCH($B239,$B$14:$B$37,FALSE))/INDEX($F$206:$F$229,MATCH($B239,$B$206:$B$229,FALSE))),NA()),NA())</f>
        <v>#N/A</v>
      </c>
      <c r="CG239" s="65" t="e">
        <f>IF(CF47=1,IF(CF$13&lt;=COUNT($C19:$CS19),IF(INDEX($F$206:$F$229,MATCH($B239,$B$206:$B$229,FALSE))=0,NA(),INDEX(CF$14:CF$37,MATCH($B239,$B$14:$B$37,FALSE))/INDEX($F$206:$F$229,MATCH($B239,$B$206:$B$229,FALSE))),NA()),NA())</f>
        <v>#N/A</v>
      </c>
      <c r="CH239" s="65" t="e">
        <f>IF(CG47=1,IF(CG$13&lt;=COUNT($C19:$CS19),IF(INDEX($F$206:$F$229,MATCH($B239,$B$206:$B$229,FALSE))=0,NA(),INDEX(CG$14:CG$37,MATCH($B239,$B$14:$B$37,FALSE))/INDEX($F$206:$F$229,MATCH($B239,$B$206:$B$229,FALSE))),NA()),NA())</f>
        <v>#N/A</v>
      </c>
      <c r="CI239" s="65" t="e">
        <f>IF(CH47=1,IF(CH$13&lt;=COUNT($C19:$CS19),IF(INDEX($F$206:$F$229,MATCH($B239,$B$206:$B$229,FALSE))=0,NA(),INDEX(CH$14:CH$37,MATCH($B239,$B$14:$B$37,FALSE))/INDEX($F$206:$F$229,MATCH($B239,$B$206:$B$229,FALSE))),NA()),NA())</f>
        <v>#N/A</v>
      </c>
      <c r="CJ239" s="65" t="e">
        <f>IF(CI47=1,IF(CI$13&lt;=COUNT($C19:$CS19),IF(INDEX($F$206:$F$229,MATCH($B239,$B$206:$B$229,FALSE))=0,NA(),INDEX(CI$14:CI$37,MATCH($B239,$B$14:$B$37,FALSE))/INDEX($F$206:$F$229,MATCH($B239,$B$206:$B$229,FALSE))),NA()),NA())</f>
        <v>#N/A</v>
      </c>
      <c r="CK239" s="65" t="e">
        <f>IF(CJ47=1,IF(CJ$13&lt;=COUNT($C19:$CS19),IF(INDEX($F$206:$F$229,MATCH($B239,$B$206:$B$229,FALSE))=0,NA(),INDEX(CJ$14:CJ$37,MATCH($B239,$B$14:$B$37,FALSE))/INDEX($F$206:$F$229,MATCH($B239,$B$206:$B$229,FALSE))),NA()),NA())</f>
        <v>#N/A</v>
      </c>
      <c r="CL239" s="65" t="e">
        <f>IF(CK47=1,IF(CK$13&lt;=COUNT($C19:$CS19),IF(INDEX($F$206:$F$229,MATCH($B239,$B$206:$B$229,FALSE))=0,NA(),INDEX(CK$14:CK$37,MATCH($B239,$B$14:$B$37,FALSE))/INDEX($F$206:$F$229,MATCH($B239,$B$206:$B$229,FALSE))),NA()),NA())</f>
        <v>#N/A</v>
      </c>
      <c r="CM239" s="65" t="e">
        <f>IF(CL47=1,IF(CL$13&lt;=COUNT($C19:$CS19),IF(INDEX($F$206:$F$229,MATCH($B239,$B$206:$B$229,FALSE))=0,NA(),INDEX(CL$14:CL$37,MATCH($B239,$B$14:$B$37,FALSE))/INDEX($F$206:$F$229,MATCH($B239,$B$206:$B$229,FALSE))),NA()),NA())</f>
        <v>#N/A</v>
      </c>
      <c r="CN239" s="65" t="e">
        <f>IF(CM47=1,IF(CM$13&lt;=COUNT($C19:$CS19),IF(INDEX($F$206:$F$229,MATCH($B239,$B$206:$B$229,FALSE))=0,NA(),INDEX(CM$14:CM$37,MATCH($B239,$B$14:$B$37,FALSE))/INDEX($F$206:$F$229,MATCH($B239,$B$206:$B$229,FALSE))),NA()),NA())</f>
        <v>#N/A</v>
      </c>
      <c r="CO239" s="65" t="e">
        <f>IF(CN47=1,IF(CN$13&lt;=COUNT($C19:$CS19),IF(INDEX($F$206:$F$229,MATCH($B239,$B$206:$B$229,FALSE))=0,NA(),INDEX(CN$14:CN$37,MATCH($B239,$B$14:$B$37,FALSE))/INDEX($F$206:$F$229,MATCH($B239,$B$206:$B$229,FALSE))),NA()),NA())</f>
        <v>#N/A</v>
      </c>
      <c r="CP239" s="65" t="e">
        <f>IF(CO47=1,IF(CO$13&lt;=COUNT($C19:$CS19),IF(INDEX($F$206:$F$229,MATCH($B239,$B$206:$B$229,FALSE))=0,NA(),INDEX(CO$14:CO$37,MATCH($B239,$B$14:$B$37,FALSE))/INDEX($F$206:$F$229,MATCH($B239,$B$206:$B$229,FALSE))),NA()),NA())</f>
        <v>#N/A</v>
      </c>
      <c r="CQ239" s="65" t="e">
        <f>IF(CP47=1,IF(CP$13&lt;=COUNT($C19:$CS19),IF(INDEX($F$206:$F$229,MATCH($B239,$B$206:$B$229,FALSE))=0,NA(),INDEX(CP$14:CP$37,MATCH($B239,$B$14:$B$37,FALSE))/INDEX($F$206:$F$229,MATCH($B239,$B$206:$B$229,FALSE))),NA()),NA())</f>
        <v>#N/A</v>
      </c>
      <c r="CR239" s="65" t="e">
        <f>IF(CQ47=1,IF(CQ$13&lt;=COUNT($C19:$CS19),IF(INDEX($F$206:$F$229,MATCH($B239,$B$206:$B$229,FALSE))=0,NA(),INDEX(CQ$14:CQ$37,MATCH($B239,$B$14:$B$37,FALSE))/INDEX($F$206:$F$229,MATCH($B239,$B$206:$B$229,FALSE))),NA()),NA())</f>
        <v>#N/A</v>
      </c>
      <c r="CS239" s="65" t="e">
        <f>IF(CR47=1,IF(CR$13&lt;=COUNT($C19:$CS19),IF(INDEX($F$206:$F$229,MATCH($B239,$B$206:$B$229,FALSE))=0,NA(),INDEX(CR$14:CR$37,MATCH($B239,$B$14:$B$37,FALSE))/INDEX($F$206:$F$229,MATCH($B239,$B$206:$B$229,FALSE))),NA()),NA())</f>
        <v>#N/A</v>
      </c>
      <c r="CT239" s="49"/>
      <c r="CU239" s="49"/>
      <c r="CV239" s="49"/>
      <c r="CW239" s="49"/>
    </row>
    <row r="240" spans="1:101" x14ac:dyDescent="0.25">
      <c r="A240" s="97">
        <f t="shared" si="352"/>
        <v>0</v>
      </c>
      <c r="B240" s="29">
        <f t="shared" si="351"/>
        <v>2002</v>
      </c>
      <c r="C240" s="154" t="str">
        <f t="shared" si="353"/>
        <v/>
      </c>
      <c r="D240" s="54" t="e">
        <f>IF(C48=1,IF(C$13&lt;=COUNT($C20:$CS20),IF(INDEX($F$206:$F$229,MATCH($B240,$B$206:$B$229,FALSE))=0,NA(),INDEX(C$14:C$37,MATCH($B240,$B$14:$B$37,FALSE))/INDEX($F$206:$F$229,MATCH($B240,$B$206:$B$229,FALSE))),NA()),NA())</f>
        <v>#N/A</v>
      </c>
      <c r="E240" s="65" t="e">
        <f>IF(D48=1,IF(D$13&lt;=COUNT($C20:$CS20),IF(INDEX($F$206:$F$229,MATCH($B240,$B$206:$B$229,FALSE))=0,NA(),INDEX(D$14:D$37,MATCH($B240,$B$14:$B$37,FALSE))/INDEX($F$206:$F$229,MATCH($B240,$B$206:$B$229,FALSE))),NA()),NA())</f>
        <v>#N/A</v>
      </c>
      <c r="F240" s="65" t="e">
        <f>IF(E48=1,IF(E$13&lt;=COUNT($C20:$CS20),IF(INDEX($F$206:$F$229,MATCH($B240,$B$206:$B$229,FALSE))=0,NA(),INDEX(E$14:E$37,MATCH($B240,$B$14:$B$37,FALSE))/INDEX($F$206:$F$229,MATCH($B240,$B$206:$B$229,FALSE))),NA()),NA())</f>
        <v>#N/A</v>
      </c>
      <c r="G240" s="65" t="e">
        <f>IF(F48=1,IF(F$13&lt;=COUNT($C20:$CS20),IF(INDEX($F$206:$F$229,MATCH($B240,$B$206:$B$229,FALSE))=0,NA(),INDEX(F$14:F$37,MATCH($B240,$B$14:$B$37,FALSE))/INDEX($F$206:$F$229,MATCH($B240,$B$206:$B$229,FALSE))),NA()),NA())</f>
        <v>#N/A</v>
      </c>
      <c r="H240" s="65" t="e">
        <f>IF(G48=1,IF(G$13&lt;=COUNT($C20:$CS20),IF(INDEX($F$206:$F$229,MATCH($B240,$B$206:$B$229,FALSE))=0,NA(),INDEX(G$14:G$37,MATCH($B240,$B$14:$B$37,FALSE))/INDEX($F$206:$F$229,MATCH($B240,$B$206:$B$229,FALSE))),NA()),NA())</f>
        <v>#N/A</v>
      </c>
      <c r="I240" s="65" t="e">
        <f>IF(H48=1,IF(H$13&lt;=COUNT($C20:$CS20),IF(INDEX($F$206:$F$229,MATCH($B240,$B$206:$B$229,FALSE))=0,NA(),INDEX(H$14:H$37,MATCH($B240,$B$14:$B$37,FALSE))/INDEX($F$206:$F$229,MATCH($B240,$B$206:$B$229,FALSE))),NA()),NA())</f>
        <v>#N/A</v>
      </c>
      <c r="J240" s="65" t="e">
        <f>IF(I48=1,IF(I$13&lt;=COUNT($C20:$CS20),IF(INDEX($F$206:$F$229,MATCH($B240,$B$206:$B$229,FALSE))=0,NA(),INDEX(I$14:I$37,MATCH($B240,$B$14:$B$37,FALSE))/INDEX($F$206:$F$229,MATCH($B240,$B$206:$B$229,FALSE))),NA()),NA())</f>
        <v>#N/A</v>
      </c>
      <c r="K240" s="65" t="e">
        <f>IF(J48=1,IF(J$13&lt;=COUNT($C20:$CS20),IF(INDEX($F$206:$F$229,MATCH($B240,$B$206:$B$229,FALSE))=0,NA(),INDEX(J$14:J$37,MATCH($B240,$B$14:$B$37,FALSE))/INDEX($F$206:$F$229,MATCH($B240,$B$206:$B$229,FALSE))),NA()),NA())</f>
        <v>#N/A</v>
      </c>
      <c r="L240" s="65" t="e">
        <f>IF(K48=1,IF(K$13&lt;=COUNT($C20:$CS20),IF(INDEX($F$206:$F$229,MATCH($B240,$B$206:$B$229,FALSE))=0,NA(),INDEX(K$14:K$37,MATCH($B240,$B$14:$B$37,FALSE))/INDEX($F$206:$F$229,MATCH($B240,$B$206:$B$229,FALSE))),NA()),NA())</f>
        <v>#N/A</v>
      </c>
      <c r="M240" s="65" t="e">
        <f>IF(L48=1,IF(L$13&lt;=COUNT($C20:$CS20),IF(INDEX($F$206:$F$229,MATCH($B240,$B$206:$B$229,FALSE))=0,NA(),INDEX(L$14:L$37,MATCH($B240,$B$14:$B$37,FALSE))/INDEX($F$206:$F$229,MATCH($B240,$B$206:$B$229,FALSE))),NA()),NA())</f>
        <v>#N/A</v>
      </c>
      <c r="N240" s="65" t="e">
        <f>IF(M48=1,IF(M$13&lt;=COUNT($C20:$CS20),IF(INDEX($F$206:$F$229,MATCH($B240,$B$206:$B$229,FALSE))=0,NA(),INDEX(M$14:M$37,MATCH($B240,$B$14:$B$37,FALSE))/INDEX($F$206:$F$229,MATCH($B240,$B$206:$B$229,FALSE))),NA()),NA())</f>
        <v>#N/A</v>
      </c>
      <c r="O240" s="65" t="e">
        <f>IF(N48=1,IF(N$13&lt;=COUNT($C20:$CS20),IF(INDEX($F$206:$F$229,MATCH($B240,$B$206:$B$229,FALSE))=0,NA(),INDEX(N$14:N$37,MATCH($B240,$B$14:$B$37,FALSE))/INDEX($F$206:$F$229,MATCH($B240,$B$206:$B$229,FALSE))),NA()),NA())</f>
        <v>#N/A</v>
      </c>
      <c r="P240" s="65" t="e">
        <f>IF(O48=1,IF(O$13&lt;=COUNT($C20:$CS20),IF(INDEX($F$206:$F$229,MATCH($B240,$B$206:$B$229,FALSE))=0,NA(),INDEX(O$14:O$37,MATCH($B240,$B$14:$B$37,FALSE))/INDEX($F$206:$F$229,MATCH($B240,$B$206:$B$229,FALSE))),NA()),NA())</f>
        <v>#N/A</v>
      </c>
      <c r="Q240" s="65" t="e">
        <f>IF(P48=1,IF(P$13&lt;=COUNT($C20:$CS20),IF(INDEX($F$206:$F$229,MATCH($B240,$B$206:$B$229,FALSE))=0,NA(),INDEX(P$14:P$37,MATCH($B240,$B$14:$B$37,FALSE))/INDEX($F$206:$F$229,MATCH($B240,$B$206:$B$229,FALSE))),NA()),NA())</f>
        <v>#N/A</v>
      </c>
      <c r="R240" s="65" t="e">
        <f>IF(Q48=1,IF(Q$13&lt;=COUNT($C20:$CS20),IF(INDEX($F$206:$F$229,MATCH($B240,$B$206:$B$229,FALSE))=0,NA(),INDEX(Q$14:Q$37,MATCH($B240,$B$14:$B$37,FALSE))/INDEX($F$206:$F$229,MATCH($B240,$B$206:$B$229,FALSE))),NA()),NA())</f>
        <v>#N/A</v>
      </c>
      <c r="S240" s="65" t="e">
        <f>IF(R48=1,IF(R$13&lt;=COUNT($C20:$CS20),IF(INDEX($F$206:$F$229,MATCH($B240,$B$206:$B$229,FALSE))=0,NA(),INDEX(R$14:R$37,MATCH($B240,$B$14:$B$37,FALSE))/INDEX($F$206:$F$229,MATCH($B240,$B$206:$B$229,FALSE))),NA()),NA())</f>
        <v>#N/A</v>
      </c>
      <c r="T240" s="65" t="e">
        <f>IF(S48=1,IF(S$13&lt;=COUNT($C20:$CS20),IF(INDEX($F$206:$F$229,MATCH($B240,$B$206:$B$229,FALSE))=0,NA(),INDEX(S$14:S$37,MATCH($B240,$B$14:$B$37,FALSE))/INDEX($F$206:$F$229,MATCH($B240,$B$206:$B$229,FALSE))),NA()),NA())</f>
        <v>#N/A</v>
      </c>
      <c r="U240" s="65" t="e">
        <f>IF(T48=1,IF(T$13&lt;=COUNT($C20:$CS20),IF(INDEX($F$206:$F$229,MATCH($B240,$B$206:$B$229,FALSE))=0,NA(),INDEX(T$14:T$37,MATCH($B240,$B$14:$B$37,FALSE))/INDEX($F$206:$F$229,MATCH($B240,$B$206:$B$229,FALSE))),NA()),NA())</f>
        <v>#N/A</v>
      </c>
      <c r="V240" s="65" t="e">
        <f>IF(U48=1,IF(U$13&lt;=COUNT($C20:$CS20),IF(INDEX($F$206:$F$229,MATCH($B240,$B$206:$B$229,FALSE))=0,NA(),INDEX(U$14:U$37,MATCH($B240,$B$14:$B$37,FALSE))/INDEX($F$206:$F$229,MATCH($B240,$B$206:$B$229,FALSE))),NA()),NA())</f>
        <v>#N/A</v>
      </c>
      <c r="W240" s="65" t="e">
        <f>IF(V48=1,IF(V$13&lt;=COUNT($C20:$CS20),IF(INDEX($F$206:$F$229,MATCH($B240,$B$206:$B$229,FALSE))=0,NA(),INDEX(V$14:V$37,MATCH($B240,$B$14:$B$37,FALSE))/INDEX($F$206:$F$229,MATCH($B240,$B$206:$B$229,FALSE))),NA()),NA())</f>
        <v>#N/A</v>
      </c>
      <c r="X240" s="65" t="e">
        <f>IF(W48=1,IF(W$13&lt;=COUNT($C20:$CS20),IF(INDEX($F$206:$F$229,MATCH($B240,$B$206:$B$229,FALSE))=0,NA(),INDEX(W$14:W$37,MATCH($B240,$B$14:$B$37,FALSE))/INDEX($F$206:$F$229,MATCH($B240,$B$206:$B$229,FALSE))),NA()),NA())</f>
        <v>#N/A</v>
      </c>
      <c r="Y240" s="65" t="e">
        <f>IF(X48=1,IF(X$13&lt;=COUNT($C20:$CS20),IF(INDEX($F$206:$F$229,MATCH($B240,$B$206:$B$229,FALSE))=0,NA(),INDEX(X$14:X$37,MATCH($B240,$B$14:$B$37,FALSE))/INDEX($F$206:$F$229,MATCH($B240,$B$206:$B$229,FALSE))),NA()),NA())</f>
        <v>#N/A</v>
      </c>
      <c r="Z240" s="65" t="e">
        <f>IF(Y48=1,IF(Y$13&lt;=COUNT($C20:$CS20),IF(INDEX($F$206:$F$229,MATCH($B240,$B$206:$B$229,FALSE))=0,NA(),INDEX(Y$14:Y$37,MATCH($B240,$B$14:$B$37,FALSE))/INDEX($F$206:$F$229,MATCH($B240,$B$206:$B$229,FALSE))),NA()),NA())</f>
        <v>#N/A</v>
      </c>
      <c r="AA240" s="65" t="e">
        <f>IF(Z48=1,IF(Z$13&lt;=COUNT($C20:$CS20),IF(INDEX($F$206:$F$229,MATCH($B240,$B$206:$B$229,FALSE))=0,NA(),INDEX(Z$14:Z$37,MATCH($B240,$B$14:$B$37,FALSE))/INDEX($F$206:$F$229,MATCH($B240,$B$206:$B$229,FALSE))),NA()),NA())</f>
        <v>#N/A</v>
      </c>
      <c r="AB240" s="65" t="e">
        <f>IF(AA48=1,IF(AA$13&lt;=COUNT($C20:$CS20),IF(INDEX($F$206:$F$229,MATCH($B240,$B$206:$B$229,FALSE))=0,NA(),INDEX(AA$14:AA$37,MATCH($B240,$B$14:$B$37,FALSE))/INDEX($F$206:$F$229,MATCH($B240,$B$206:$B$229,FALSE))),NA()),NA())</f>
        <v>#N/A</v>
      </c>
      <c r="AC240" s="65" t="e">
        <f>IF(AB48=1,IF(AB$13&lt;=COUNT($C20:$CS20),IF(INDEX($F$206:$F$229,MATCH($B240,$B$206:$B$229,FALSE))=0,NA(),INDEX(AB$14:AB$37,MATCH($B240,$B$14:$B$37,FALSE))/INDEX($F$206:$F$229,MATCH($B240,$B$206:$B$229,FALSE))),NA()),NA())</f>
        <v>#N/A</v>
      </c>
      <c r="AD240" s="65" t="e">
        <f>IF(AC48=1,IF(AC$13&lt;=COUNT($C20:$CS20),IF(INDEX($F$206:$F$229,MATCH($B240,$B$206:$B$229,FALSE))=0,NA(),INDEX(AC$14:AC$37,MATCH($B240,$B$14:$B$37,FALSE))/INDEX($F$206:$F$229,MATCH($B240,$B$206:$B$229,FALSE))),NA()),NA())</f>
        <v>#N/A</v>
      </c>
      <c r="AE240" s="65" t="e">
        <f>IF(AD48=1,IF(AD$13&lt;=COUNT($C20:$CS20),IF(INDEX($F$206:$F$229,MATCH($B240,$B$206:$B$229,FALSE))=0,NA(),INDEX(AD$14:AD$37,MATCH($B240,$B$14:$B$37,FALSE))/INDEX($F$206:$F$229,MATCH($B240,$B$206:$B$229,FALSE))),NA()),NA())</f>
        <v>#N/A</v>
      </c>
      <c r="AF240" s="65" t="e">
        <f>IF(AE48=1,IF(AE$13&lt;=COUNT($C20:$CS20),IF(INDEX($F$206:$F$229,MATCH($B240,$B$206:$B$229,FALSE))=0,NA(),INDEX(AE$14:AE$37,MATCH($B240,$B$14:$B$37,FALSE))/INDEX($F$206:$F$229,MATCH($B240,$B$206:$B$229,FALSE))),NA()),NA())</f>
        <v>#N/A</v>
      </c>
      <c r="AG240" s="65" t="e">
        <f>IF(AF48=1,IF(AF$13&lt;=COUNT($C20:$CS20),IF(INDEX($F$206:$F$229,MATCH($B240,$B$206:$B$229,FALSE))=0,NA(),INDEX(AF$14:AF$37,MATCH($B240,$B$14:$B$37,FALSE))/INDEX($F$206:$F$229,MATCH($B240,$B$206:$B$229,FALSE))),NA()),NA())</f>
        <v>#N/A</v>
      </c>
      <c r="AH240" s="65" t="e">
        <f>IF(AG48=1,IF(AG$13&lt;=COUNT($C20:$CS20),IF(INDEX($F$206:$F$229,MATCH($B240,$B$206:$B$229,FALSE))=0,NA(),INDEX(AG$14:AG$37,MATCH($B240,$B$14:$B$37,FALSE))/INDEX($F$206:$F$229,MATCH($B240,$B$206:$B$229,FALSE))),NA()),NA())</f>
        <v>#N/A</v>
      </c>
      <c r="AI240" s="65" t="e">
        <f>IF(AH48=1,IF(AH$13&lt;=COUNT($C20:$CS20),IF(INDEX($F$206:$F$229,MATCH($B240,$B$206:$B$229,FALSE))=0,NA(),INDEX(AH$14:AH$37,MATCH($B240,$B$14:$B$37,FALSE))/INDEX($F$206:$F$229,MATCH($B240,$B$206:$B$229,FALSE))),NA()),NA())</f>
        <v>#N/A</v>
      </c>
      <c r="AJ240" s="65" t="e">
        <f>IF(AI48=1,IF(AI$13&lt;=COUNT($C20:$CS20),IF(INDEX($F$206:$F$229,MATCH($B240,$B$206:$B$229,FALSE))=0,NA(),INDEX(AI$14:AI$37,MATCH($B240,$B$14:$B$37,FALSE))/INDEX($F$206:$F$229,MATCH($B240,$B$206:$B$229,FALSE))),NA()),NA())</f>
        <v>#N/A</v>
      </c>
      <c r="AK240" s="65" t="e">
        <f>IF(AJ48=1,IF(AJ$13&lt;=COUNT($C20:$CS20),IF(INDEX($F$206:$F$229,MATCH($B240,$B$206:$B$229,FALSE))=0,NA(),INDEX(AJ$14:AJ$37,MATCH($B240,$B$14:$B$37,FALSE))/INDEX($F$206:$F$229,MATCH($B240,$B$206:$B$229,FALSE))),NA()),NA())</f>
        <v>#N/A</v>
      </c>
      <c r="AL240" s="65" t="e">
        <f>IF(AK48=1,IF(AK$13&lt;=COUNT($C20:$CS20),IF(INDEX($F$206:$F$229,MATCH($B240,$B$206:$B$229,FALSE))=0,NA(),INDEX(AK$14:AK$37,MATCH($B240,$B$14:$B$37,FALSE))/INDEX($F$206:$F$229,MATCH($B240,$B$206:$B$229,FALSE))),NA()),NA())</f>
        <v>#N/A</v>
      </c>
      <c r="AM240" s="65" t="e">
        <f>IF(AL48=1,IF(AL$13&lt;=COUNT($C20:$CS20),IF(INDEX($F$206:$F$229,MATCH($B240,$B$206:$B$229,FALSE))=0,NA(),INDEX(AL$14:AL$37,MATCH($B240,$B$14:$B$37,FALSE))/INDEX($F$206:$F$229,MATCH($B240,$B$206:$B$229,FALSE))),NA()),NA())</f>
        <v>#N/A</v>
      </c>
      <c r="AN240" s="65" t="e">
        <f>IF(AM48=1,IF(AM$13&lt;=COUNT($C20:$CS20),IF(INDEX($F$206:$F$229,MATCH($B240,$B$206:$B$229,FALSE))=0,NA(),INDEX(AM$14:AM$37,MATCH($B240,$B$14:$B$37,FALSE))/INDEX($F$206:$F$229,MATCH($B240,$B$206:$B$229,FALSE))),NA()),NA())</f>
        <v>#N/A</v>
      </c>
      <c r="AO240" s="65" t="e">
        <f>IF(AN48=1,IF(AN$13&lt;=COUNT($C20:$CS20),IF(INDEX($F$206:$F$229,MATCH($B240,$B$206:$B$229,FALSE))=0,NA(),INDEX(AN$14:AN$37,MATCH($B240,$B$14:$B$37,FALSE))/INDEX($F$206:$F$229,MATCH($B240,$B$206:$B$229,FALSE))),NA()),NA())</f>
        <v>#N/A</v>
      </c>
      <c r="AP240" s="65" t="e">
        <f>IF(AO48=1,IF(AO$13&lt;=COUNT($C20:$CS20),IF(INDEX($F$206:$F$229,MATCH($B240,$B$206:$B$229,FALSE))=0,NA(),INDEX(AO$14:AO$37,MATCH($B240,$B$14:$B$37,FALSE))/INDEX($F$206:$F$229,MATCH($B240,$B$206:$B$229,FALSE))),NA()),NA())</f>
        <v>#N/A</v>
      </c>
      <c r="AQ240" s="65" t="e">
        <f>IF(AP48=1,IF(AP$13&lt;=COUNT($C20:$CS20),IF(INDEX($F$206:$F$229,MATCH($B240,$B$206:$B$229,FALSE))=0,NA(),INDEX(AP$14:AP$37,MATCH($B240,$B$14:$B$37,FALSE))/INDEX($F$206:$F$229,MATCH($B240,$B$206:$B$229,FALSE))),NA()),NA())</f>
        <v>#N/A</v>
      </c>
      <c r="AR240" s="65" t="e">
        <f>IF(AQ48=1,IF(AQ$13&lt;=COUNT($C20:$CS20),IF(INDEX($F$206:$F$229,MATCH($B240,$B$206:$B$229,FALSE))=0,NA(),INDEX(AQ$14:AQ$37,MATCH($B240,$B$14:$B$37,FALSE))/INDEX($F$206:$F$229,MATCH($B240,$B$206:$B$229,FALSE))),NA()),NA())</f>
        <v>#N/A</v>
      </c>
      <c r="AS240" s="65" t="e">
        <f>IF(AR48=1,IF(AR$13&lt;=COUNT($C20:$CS20),IF(INDEX($F$206:$F$229,MATCH($B240,$B$206:$B$229,FALSE))=0,NA(),INDEX(AR$14:AR$37,MATCH($B240,$B$14:$B$37,FALSE))/INDEX($F$206:$F$229,MATCH($B240,$B$206:$B$229,FALSE))),NA()),NA())</f>
        <v>#N/A</v>
      </c>
      <c r="AT240" s="65" t="e">
        <f>IF(AS48=1,IF(AS$13&lt;=COUNT($C20:$CS20),IF(INDEX($F$206:$F$229,MATCH($B240,$B$206:$B$229,FALSE))=0,NA(),INDEX(AS$14:AS$37,MATCH($B240,$B$14:$B$37,FALSE))/INDEX($F$206:$F$229,MATCH($B240,$B$206:$B$229,FALSE))),NA()),NA())</f>
        <v>#N/A</v>
      </c>
      <c r="AU240" s="65" t="e">
        <f>IF(AT48=1,IF(AT$13&lt;=COUNT($C20:$CS20),IF(INDEX($F$206:$F$229,MATCH($B240,$B$206:$B$229,FALSE))=0,NA(),INDEX(AT$14:AT$37,MATCH($B240,$B$14:$B$37,FALSE))/INDEX($F$206:$F$229,MATCH($B240,$B$206:$B$229,FALSE))),NA()),NA())</f>
        <v>#N/A</v>
      </c>
      <c r="AV240" s="65" t="e">
        <f>IF(AU48=1,IF(AU$13&lt;=COUNT($C20:$CS20),IF(INDEX($F$206:$F$229,MATCH($B240,$B$206:$B$229,FALSE))=0,NA(),INDEX(AU$14:AU$37,MATCH($B240,$B$14:$B$37,FALSE))/INDEX($F$206:$F$229,MATCH($B240,$B$206:$B$229,FALSE))),NA()),NA())</f>
        <v>#N/A</v>
      </c>
      <c r="AW240" s="65" t="e">
        <f>IF(AV48=1,IF(AV$13&lt;=COUNT($C20:$CS20),IF(INDEX($F$206:$F$229,MATCH($B240,$B$206:$B$229,FALSE))=0,NA(),INDEX(AV$14:AV$37,MATCH($B240,$B$14:$B$37,FALSE))/INDEX($F$206:$F$229,MATCH($B240,$B$206:$B$229,FALSE))),NA()),NA())</f>
        <v>#N/A</v>
      </c>
      <c r="AX240" s="65" t="e">
        <f>IF(AW48=1,IF(AW$13&lt;=COUNT($C20:$CS20),IF(INDEX($F$206:$F$229,MATCH($B240,$B$206:$B$229,FALSE))=0,NA(),INDEX(AW$14:AW$37,MATCH($B240,$B$14:$B$37,FALSE))/INDEX($F$206:$F$229,MATCH($B240,$B$206:$B$229,FALSE))),NA()),NA())</f>
        <v>#N/A</v>
      </c>
      <c r="AY240" s="65" t="e">
        <f>IF(AX48=1,IF(AX$13&lt;=COUNT($C20:$CS20),IF(INDEX($F$206:$F$229,MATCH($B240,$B$206:$B$229,FALSE))=0,NA(),INDEX(AX$14:AX$37,MATCH($B240,$B$14:$B$37,FALSE))/INDEX($F$206:$F$229,MATCH($B240,$B$206:$B$229,FALSE))),NA()),NA())</f>
        <v>#N/A</v>
      </c>
      <c r="AZ240" s="65" t="e">
        <f>IF(AY48=1,IF(AY$13&lt;=COUNT($C20:$CS20),IF(INDEX($F$206:$F$229,MATCH($B240,$B$206:$B$229,FALSE))=0,NA(),INDEX(AY$14:AY$37,MATCH($B240,$B$14:$B$37,FALSE))/INDEX($F$206:$F$229,MATCH($B240,$B$206:$B$229,FALSE))),NA()),NA())</f>
        <v>#N/A</v>
      </c>
      <c r="BA240" s="65" t="e">
        <f>IF(AZ48=1,IF(AZ$13&lt;=COUNT($C20:$CS20),IF(INDEX($F$206:$F$229,MATCH($B240,$B$206:$B$229,FALSE))=0,NA(),INDEX(AZ$14:AZ$37,MATCH($B240,$B$14:$B$37,FALSE))/INDEX($F$206:$F$229,MATCH($B240,$B$206:$B$229,FALSE))),NA()),NA())</f>
        <v>#N/A</v>
      </c>
      <c r="BB240" s="65" t="e">
        <f>IF(BA48=1,IF(BA$13&lt;=COUNT($C20:$CS20),IF(INDEX($F$206:$F$229,MATCH($B240,$B$206:$B$229,FALSE))=0,NA(),INDEX(BA$14:BA$37,MATCH($B240,$B$14:$B$37,FALSE))/INDEX($F$206:$F$229,MATCH($B240,$B$206:$B$229,FALSE))),NA()),NA())</f>
        <v>#N/A</v>
      </c>
      <c r="BC240" s="65" t="e">
        <f>IF(BB48=1,IF(BB$13&lt;=COUNT($C20:$CS20),IF(INDEX($F$206:$F$229,MATCH($B240,$B$206:$B$229,FALSE))=0,NA(),INDEX(BB$14:BB$37,MATCH($B240,$B$14:$B$37,FALSE))/INDEX($F$206:$F$229,MATCH($B240,$B$206:$B$229,FALSE))),NA()),NA())</f>
        <v>#N/A</v>
      </c>
      <c r="BD240" s="65" t="e">
        <f>IF(BC48=1,IF(BC$13&lt;=COUNT($C20:$CS20),IF(INDEX($F$206:$F$229,MATCH($B240,$B$206:$B$229,FALSE))=0,NA(),INDEX(BC$14:BC$37,MATCH($B240,$B$14:$B$37,FALSE))/INDEX($F$206:$F$229,MATCH($B240,$B$206:$B$229,FALSE))),NA()),NA())</f>
        <v>#N/A</v>
      </c>
      <c r="BE240" s="65" t="e">
        <f>IF(BD48=1,IF(BD$13&lt;=COUNT($C20:$CS20),IF(INDEX($F$206:$F$229,MATCH($B240,$B$206:$B$229,FALSE))=0,NA(),INDEX(BD$14:BD$37,MATCH($B240,$B$14:$B$37,FALSE))/INDEX($F$206:$F$229,MATCH($B240,$B$206:$B$229,FALSE))),NA()),NA())</f>
        <v>#N/A</v>
      </c>
      <c r="BF240" s="65" t="e">
        <f>IF(BE48=1,IF(BE$13&lt;=COUNT($C20:$CS20),IF(INDEX($F$206:$F$229,MATCH($B240,$B$206:$B$229,FALSE))=0,NA(),INDEX(BE$14:BE$37,MATCH($B240,$B$14:$B$37,FALSE))/INDEX($F$206:$F$229,MATCH($B240,$B$206:$B$229,FALSE))),NA()),NA())</f>
        <v>#N/A</v>
      </c>
      <c r="BG240" s="65" t="e">
        <f>IF(BF48=1,IF(BF$13&lt;=COUNT($C20:$CS20),IF(INDEX($F$206:$F$229,MATCH($B240,$B$206:$B$229,FALSE))=0,NA(),INDEX(BF$14:BF$37,MATCH($B240,$B$14:$B$37,FALSE))/INDEX($F$206:$F$229,MATCH($B240,$B$206:$B$229,FALSE))),NA()),NA())</f>
        <v>#N/A</v>
      </c>
      <c r="BH240" s="65" t="e">
        <f>IF(BG48=1,IF(BG$13&lt;=COUNT($C20:$CS20),IF(INDEX($F$206:$F$229,MATCH($B240,$B$206:$B$229,FALSE))=0,NA(),INDEX(BG$14:BG$37,MATCH($B240,$B$14:$B$37,FALSE))/INDEX($F$206:$F$229,MATCH($B240,$B$206:$B$229,FALSE))),NA()),NA())</f>
        <v>#N/A</v>
      </c>
      <c r="BI240" s="65" t="e">
        <f>IF(BH48=1,IF(BH$13&lt;=COUNT($C20:$CS20),IF(INDEX($F$206:$F$229,MATCH($B240,$B$206:$B$229,FALSE))=0,NA(),INDEX(BH$14:BH$37,MATCH($B240,$B$14:$B$37,FALSE))/INDEX($F$206:$F$229,MATCH($B240,$B$206:$B$229,FALSE))),NA()),NA())</f>
        <v>#N/A</v>
      </c>
      <c r="BJ240" s="65" t="e">
        <f>IF(BI48=1,IF(BI$13&lt;=COUNT($C20:$CS20),IF(INDEX($F$206:$F$229,MATCH($B240,$B$206:$B$229,FALSE))=0,NA(),INDEX(BI$14:BI$37,MATCH($B240,$B$14:$B$37,FALSE))/INDEX($F$206:$F$229,MATCH($B240,$B$206:$B$229,FALSE))),NA()),NA())</f>
        <v>#N/A</v>
      </c>
      <c r="BK240" s="65" t="e">
        <f>IF(BJ48=1,IF(BJ$13&lt;=COUNT($C20:$CS20),IF(INDEX($F$206:$F$229,MATCH($B240,$B$206:$B$229,FALSE))=0,NA(),INDEX(BJ$14:BJ$37,MATCH($B240,$B$14:$B$37,FALSE))/INDEX($F$206:$F$229,MATCH($B240,$B$206:$B$229,FALSE))),NA()),NA())</f>
        <v>#N/A</v>
      </c>
      <c r="BL240" s="65" t="e">
        <f>IF(BK48=1,IF(BK$13&lt;=COUNT($C20:$CS20),IF(INDEX($F$206:$F$229,MATCH($B240,$B$206:$B$229,FALSE))=0,NA(),INDEX(BK$14:BK$37,MATCH($B240,$B$14:$B$37,FALSE))/INDEX($F$206:$F$229,MATCH($B240,$B$206:$B$229,FALSE))),NA()),NA())</f>
        <v>#N/A</v>
      </c>
      <c r="BM240" s="65" t="e">
        <f>IF(BL48=1,IF(BL$13&lt;=COUNT($C20:$CS20),IF(INDEX($F$206:$F$229,MATCH($B240,$B$206:$B$229,FALSE))=0,NA(),INDEX(BL$14:BL$37,MATCH($B240,$B$14:$B$37,FALSE))/INDEX($F$206:$F$229,MATCH($B240,$B$206:$B$229,FALSE))),NA()),NA())</f>
        <v>#N/A</v>
      </c>
      <c r="BN240" s="65" t="e">
        <f>IF(BM48=1,IF(BM$13&lt;=COUNT($C20:$CS20),IF(INDEX($F$206:$F$229,MATCH($B240,$B$206:$B$229,FALSE))=0,NA(),INDEX(BM$14:BM$37,MATCH($B240,$B$14:$B$37,FALSE))/INDEX($F$206:$F$229,MATCH($B240,$B$206:$B$229,FALSE))),NA()),NA())</f>
        <v>#N/A</v>
      </c>
      <c r="BO240" s="65" t="e">
        <f>IF(BN48=1,IF(BN$13&lt;=COUNT($C20:$CS20),IF(INDEX($F$206:$F$229,MATCH($B240,$B$206:$B$229,FALSE))=0,NA(),INDEX(BN$14:BN$37,MATCH($B240,$B$14:$B$37,FALSE))/INDEX($F$206:$F$229,MATCH($B240,$B$206:$B$229,FALSE))),NA()),NA())</f>
        <v>#N/A</v>
      </c>
      <c r="BP240" s="65" t="e">
        <f>IF(BO48=1,IF(BO$13&lt;=COUNT($C20:$CS20),IF(INDEX($F$206:$F$229,MATCH($B240,$B$206:$B$229,FALSE))=0,NA(),INDEX(BO$14:BO$37,MATCH($B240,$B$14:$B$37,FALSE))/INDEX($F$206:$F$229,MATCH($B240,$B$206:$B$229,FALSE))),NA()),NA())</f>
        <v>#N/A</v>
      </c>
      <c r="BQ240" s="65" t="e">
        <f>IF(BP48=1,IF(BP$13&lt;=COUNT($C20:$CS20),IF(INDEX($F$206:$F$229,MATCH($B240,$B$206:$B$229,FALSE))=0,NA(),INDEX(BP$14:BP$37,MATCH($B240,$B$14:$B$37,FALSE))/INDEX($F$206:$F$229,MATCH($B240,$B$206:$B$229,FALSE))),NA()),NA())</f>
        <v>#N/A</v>
      </c>
      <c r="BR240" s="65" t="e">
        <f>IF(BQ48=1,IF(BQ$13&lt;=COUNT($C20:$CS20),IF(INDEX($F$206:$F$229,MATCH($B240,$B$206:$B$229,FALSE))=0,NA(),INDEX(BQ$14:BQ$37,MATCH($B240,$B$14:$B$37,FALSE))/INDEX($F$206:$F$229,MATCH($B240,$B$206:$B$229,FALSE))),NA()),NA())</f>
        <v>#N/A</v>
      </c>
      <c r="BS240" s="65" t="e">
        <f>IF(BR48=1,IF(BR$13&lt;=COUNT($C20:$CS20),IF(INDEX($F$206:$F$229,MATCH($B240,$B$206:$B$229,FALSE))=0,NA(),INDEX(BR$14:BR$37,MATCH($B240,$B$14:$B$37,FALSE))/INDEX($F$206:$F$229,MATCH($B240,$B$206:$B$229,FALSE))),NA()),NA())</f>
        <v>#N/A</v>
      </c>
      <c r="BT240" s="65" t="e">
        <f>IF(BS48=1,IF(BS$13&lt;=COUNT($C20:$CS20),IF(INDEX($F$206:$F$229,MATCH($B240,$B$206:$B$229,FALSE))=0,NA(),INDEX(BS$14:BS$37,MATCH($B240,$B$14:$B$37,FALSE))/INDEX($F$206:$F$229,MATCH($B240,$B$206:$B$229,FALSE))),NA()),NA())</f>
        <v>#N/A</v>
      </c>
      <c r="BU240" s="65" t="e">
        <f>IF(BT48=1,IF(BT$13&lt;=COUNT($C20:$CS20),IF(INDEX($F$206:$F$229,MATCH($B240,$B$206:$B$229,FALSE))=0,NA(),INDEX(BT$14:BT$37,MATCH($B240,$B$14:$B$37,FALSE))/INDEX($F$206:$F$229,MATCH($B240,$B$206:$B$229,FALSE))),NA()),NA())</f>
        <v>#N/A</v>
      </c>
      <c r="BV240" s="65" t="e">
        <f>IF(BU48=1,IF(BU$13&lt;=COUNT($C20:$CS20),IF(INDEX($F$206:$F$229,MATCH($B240,$B$206:$B$229,FALSE))=0,NA(),INDEX(BU$14:BU$37,MATCH($B240,$B$14:$B$37,FALSE))/INDEX($F$206:$F$229,MATCH($B240,$B$206:$B$229,FALSE))),NA()),NA())</f>
        <v>#N/A</v>
      </c>
      <c r="BW240" s="65" t="e">
        <f>IF(BV48=1,IF(BV$13&lt;=COUNT($C20:$CS20),IF(INDEX($F$206:$F$229,MATCH($B240,$B$206:$B$229,FALSE))=0,NA(),INDEX(BV$14:BV$37,MATCH($B240,$B$14:$B$37,FALSE))/INDEX($F$206:$F$229,MATCH($B240,$B$206:$B$229,FALSE))),NA()),NA())</f>
        <v>#N/A</v>
      </c>
      <c r="BX240" s="65" t="e">
        <f>IF(BW48=1,IF(BW$13&lt;=COUNT($C20:$CS20),IF(INDEX($F$206:$F$229,MATCH($B240,$B$206:$B$229,FALSE))=0,NA(),INDEX(BW$14:BW$37,MATCH($B240,$B$14:$B$37,FALSE))/INDEX($F$206:$F$229,MATCH($B240,$B$206:$B$229,FALSE))),NA()),NA())</f>
        <v>#N/A</v>
      </c>
      <c r="BY240" s="65" t="e">
        <f>IF(BX48=1,IF(BX$13&lt;=COUNT($C20:$CS20),IF(INDEX($F$206:$F$229,MATCH($B240,$B$206:$B$229,FALSE))=0,NA(),INDEX(BX$14:BX$37,MATCH($B240,$B$14:$B$37,FALSE))/INDEX($F$206:$F$229,MATCH($B240,$B$206:$B$229,FALSE))),NA()),NA())</f>
        <v>#N/A</v>
      </c>
      <c r="BZ240" s="65" t="e">
        <f>IF(BY48=1,IF(BY$13&lt;=COUNT($C20:$CS20),IF(INDEX($F$206:$F$229,MATCH($B240,$B$206:$B$229,FALSE))=0,NA(),INDEX(BY$14:BY$37,MATCH($B240,$B$14:$B$37,FALSE))/INDEX($F$206:$F$229,MATCH($B240,$B$206:$B$229,FALSE))),NA()),NA())</f>
        <v>#N/A</v>
      </c>
      <c r="CA240" s="65" t="e">
        <f>IF(BZ48=1,IF(BZ$13&lt;=COUNT($C20:$CS20),IF(INDEX($F$206:$F$229,MATCH($B240,$B$206:$B$229,FALSE))=0,NA(),INDEX(BZ$14:BZ$37,MATCH($B240,$B$14:$B$37,FALSE))/INDEX($F$206:$F$229,MATCH($B240,$B$206:$B$229,FALSE))),NA()),NA())</f>
        <v>#N/A</v>
      </c>
      <c r="CB240" s="65" t="e">
        <f>IF(CA48=1,IF(CA$13&lt;=COUNT($C20:$CS20),IF(INDEX($F$206:$F$229,MATCH($B240,$B$206:$B$229,FALSE))=0,NA(),INDEX(CA$14:CA$37,MATCH($B240,$B$14:$B$37,FALSE))/INDEX($F$206:$F$229,MATCH($B240,$B$206:$B$229,FALSE))),NA()),NA())</f>
        <v>#N/A</v>
      </c>
      <c r="CC240" s="65" t="e">
        <f>IF(CB48=1,IF(CB$13&lt;=COUNT($C20:$CS20),IF(INDEX($F$206:$F$229,MATCH($B240,$B$206:$B$229,FALSE))=0,NA(),INDEX(CB$14:CB$37,MATCH($B240,$B$14:$B$37,FALSE))/INDEX($F$206:$F$229,MATCH($B240,$B$206:$B$229,FALSE))),NA()),NA())</f>
        <v>#N/A</v>
      </c>
      <c r="CD240" s="65" t="e">
        <f>IF(CC48=1,IF(CC$13&lt;=COUNT($C20:$CS20),IF(INDEX($F$206:$F$229,MATCH($B240,$B$206:$B$229,FALSE))=0,NA(),INDEX(CC$14:CC$37,MATCH($B240,$B$14:$B$37,FALSE))/INDEX($F$206:$F$229,MATCH($B240,$B$206:$B$229,FALSE))),NA()),NA())</f>
        <v>#N/A</v>
      </c>
      <c r="CE240" s="65" t="e">
        <f>IF(CD48=1,IF(CD$13&lt;=COUNT($C20:$CS20),IF(INDEX($F$206:$F$229,MATCH($B240,$B$206:$B$229,FALSE))=0,NA(),INDEX(CD$14:CD$37,MATCH($B240,$B$14:$B$37,FALSE))/INDEX($F$206:$F$229,MATCH($B240,$B$206:$B$229,FALSE))),NA()),NA())</f>
        <v>#N/A</v>
      </c>
      <c r="CF240" s="65" t="e">
        <f>IF(CE48=1,IF(CE$13&lt;=COUNT($C20:$CS20),IF(INDEX($F$206:$F$229,MATCH($B240,$B$206:$B$229,FALSE))=0,NA(),INDEX(CE$14:CE$37,MATCH($B240,$B$14:$B$37,FALSE))/INDEX($F$206:$F$229,MATCH($B240,$B$206:$B$229,FALSE))),NA()),NA())</f>
        <v>#N/A</v>
      </c>
      <c r="CG240" s="65" t="e">
        <f>IF(CF48=1,IF(CF$13&lt;=COUNT($C20:$CS20),IF(INDEX($F$206:$F$229,MATCH($B240,$B$206:$B$229,FALSE))=0,NA(),INDEX(CF$14:CF$37,MATCH($B240,$B$14:$B$37,FALSE))/INDEX($F$206:$F$229,MATCH($B240,$B$206:$B$229,FALSE))),NA()),NA())</f>
        <v>#N/A</v>
      </c>
      <c r="CH240" s="65" t="e">
        <f>IF(CG48=1,IF(CG$13&lt;=COUNT($C20:$CS20),IF(INDEX($F$206:$F$229,MATCH($B240,$B$206:$B$229,FALSE))=0,NA(),INDEX(CG$14:CG$37,MATCH($B240,$B$14:$B$37,FALSE))/INDEX($F$206:$F$229,MATCH($B240,$B$206:$B$229,FALSE))),NA()),NA())</f>
        <v>#N/A</v>
      </c>
      <c r="CI240" s="65" t="e">
        <f>IF(CH48=1,IF(CH$13&lt;=COUNT($C20:$CS20),IF(INDEX($F$206:$F$229,MATCH($B240,$B$206:$B$229,FALSE))=0,NA(),INDEX(CH$14:CH$37,MATCH($B240,$B$14:$B$37,FALSE))/INDEX($F$206:$F$229,MATCH($B240,$B$206:$B$229,FALSE))),NA()),NA())</f>
        <v>#N/A</v>
      </c>
      <c r="CJ240" s="65" t="e">
        <f>IF(CI48=1,IF(CI$13&lt;=COUNT($C20:$CS20),IF(INDEX($F$206:$F$229,MATCH($B240,$B$206:$B$229,FALSE))=0,NA(),INDEX(CI$14:CI$37,MATCH($B240,$B$14:$B$37,FALSE))/INDEX($F$206:$F$229,MATCH($B240,$B$206:$B$229,FALSE))),NA()),NA())</f>
        <v>#N/A</v>
      </c>
      <c r="CK240" s="65" t="e">
        <f>IF(CJ48=1,IF(CJ$13&lt;=COUNT($C20:$CS20),IF(INDEX($F$206:$F$229,MATCH($B240,$B$206:$B$229,FALSE))=0,NA(),INDEX(CJ$14:CJ$37,MATCH($B240,$B$14:$B$37,FALSE))/INDEX($F$206:$F$229,MATCH($B240,$B$206:$B$229,FALSE))),NA()),NA())</f>
        <v>#N/A</v>
      </c>
      <c r="CL240" s="65" t="e">
        <f>IF(CK48=1,IF(CK$13&lt;=COUNT($C20:$CS20),IF(INDEX($F$206:$F$229,MATCH($B240,$B$206:$B$229,FALSE))=0,NA(),INDEX(CK$14:CK$37,MATCH($B240,$B$14:$B$37,FALSE))/INDEX($F$206:$F$229,MATCH($B240,$B$206:$B$229,FALSE))),NA()),NA())</f>
        <v>#N/A</v>
      </c>
      <c r="CM240" s="65" t="e">
        <f>IF(CL48=1,IF(CL$13&lt;=COUNT($C20:$CS20),IF(INDEX($F$206:$F$229,MATCH($B240,$B$206:$B$229,FALSE))=0,NA(),INDEX(CL$14:CL$37,MATCH($B240,$B$14:$B$37,FALSE))/INDEX($F$206:$F$229,MATCH($B240,$B$206:$B$229,FALSE))),NA()),NA())</f>
        <v>#N/A</v>
      </c>
      <c r="CN240" s="65" t="e">
        <f>IF(CM48=1,IF(CM$13&lt;=COUNT($C20:$CS20),IF(INDEX($F$206:$F$229,MATCH($B240,$B$206:$B$229,FALSE))=0,NA(),INDEX(CM$14:CM$37,MATCH($B240,$B$14:$B$37,FALSE))/INDEX($F$206:$F$229,MATCH($B240,$B$206:$B$229,FALSE))),NA()),NA())</f>
        <v>#N/A</v>
      </c>
      <c r="CO240" s="65" t="e">
        <f>IF(CN48=1,IF(CN$13&lt;=COUNT($C20:$CS20),IF(INDEX($F$206:$F$229,MATCH($B240,$B$206:$B$229,FALSE))=0,NA(),INDEX(CN$14:CN$37,MATCH($B240,$B$14:$B$37,FALSE))/INDEX($F$206:$F$229,MATCH($B240,$B$206:$B$229,FALSE))),NA()),NA())</f>
        <v>#N/A</v>
      </c>
      <c r="CP240" s="65" t="e">
        <f>IF(CO48=1,IF(CO$13&lt;=COUNT($C20:$CS20),IF(INDEX($F$206:$F$229,MATCH($B240,$B$206:$B$229,FALSE))=0,NA(),INDEX(CO$14:CO$37,MATCH($B240,$B$14:$B$37,FALSE))/INDEX($F$206:$F$229,MATCH($B240,$B$206:$B$229,FALSE))),NA()),NA())</f>
        <v>#N/A</v>
      </c>
      <c r="CQ240" s="65" t="e">
        <f>IF(CP48=1,IF(CP$13&lt;=COUNT($C20:$CS20),IF(INDEX($F$206:$F$229,MATCH($B240,$B$206:$B$229,FALSE))=0,NA(),INDEX(CP$14:CP$37,MATCH($B240,$B$14:$B$37,FALSE))/INDEX($F$206:$F$229,MATCH($B240,$B$206:$B$229,FALSE))),NA()),NA())</f>
        <v>#N/A</v>
      </c>
      <c r="CR240" s="65" t="e">
        <f>IF(CQ48=1,IF(CQ$13&lt;=COUNT($C20:$CS20),IF(INDEX($F$206:$F$229,MATCH($B240,$B$206:$B$229,FALSE))=0,NA(),INDEX(CQ$14:CQ$37,MATCH($B240,$B$14:$B$37,FALSE))/INDEX($F$206:$F$229,MATCH($B240,$B$206:$B$229,FALSE))),NA()),NA())</f>
        <v>#N/A</v>
      </c>
      <c r="CS240" s="65" t="e">
        <f>IF(CR48=1,IF(CR$13&lt;=COUNT($C20:$CS20),IF(INDEX($F$206:$F$229,MATCH($B240,$B$206:$B$229,FALSE))=0,NA(),INDEX(CR$14:CR$37,MATCH($B240,$B$14:$B$37,FALSE))/INDEX($F$206:$F$229,MATCH($B240,$B$206:$B$229,FALSE))),NA()),NA())</f>
        <v>#N/A</v>
      </c>
      <c r="CT240" s="49"/>
      <c r="CU240" s="49"/>
      <c r="CV240" s="49"/>
      <c r="CW240" s="49"/>
    </row>
    <row r="241" spans="1:101" x14ac:dyDescent="0.25">
      <c r="A241" s="97">
        <f t="shared" si="352"/>
        <v>0</v>
      </c>
      <c r="B241" s="29">
        <f t="shared" si="351"/>
        <v>2003</v>
      </c>
      <c r="C241" s="154" t="str">
        <f t="shared" si="353"/>
        <v/>
      </c>
      <c r="D241" s="54" t="e">
        <f>IF(C49=1,IF(C$13&lt;=COUNT($C21:$CS21),IF(INDEX($F$206:$F$229,MATCH($B241,$B$206:$B$229,FALSE))=0,NA(),INDEX(C$14:C$37,MATCH($B241,$B$14:$B$37,FALSE))/INDEX($F$206:$F$229,MATCH($B241,$B$206:$B$229,FALSE))),NA()),NA())</f>
        <v>#N/A</v>
      </c>
      <c r="E241" s="65" t="e">
        <f>IF(D49=1,IF(D$13&lt;=COUNT($C21:$CS21),IF(INDEX($F$206:$F$229,MATCH($B241,$B$206:$B$229,FALSE))=0,NA(),INDEX(D$14:D$37,MATCH($B241,$B$14:$B$37,FALSE))/INDEX($F$206:$F$229,MATCH($B241,$B$206:$B$229,FALSE))),NA()),NA())</f>
        <v>#N/A</v>
      </c>
      <c r="F241" s="65" t="e">
        <f>IF(E49=1,IF(E$13&lt;=COUNT($C21:$CS21),IF(INDEX($F$206:$F$229,MATCH($B241,$B$206:$B$229,FALSE))=0,NA(),INDEX(E$14:E$37,MATCH($B241,$B$14:$B$37,FALSE))/INDEX($F$206:$F$229,MATCH($B241,$B$206:$B$229,FALSE))),NA()),NA())</f>
        <v>#N/A</v>
      </c>
      <c r="G241" s="65" t="e">
        <f>IF(F49=1,IF(F$13&lt;=COUNT($C21:$CS21),IF(INDEX($F$206:$F$229,MATCH($B241,$B$206:$B$229,FALSE))=0,NA(),INDEX(F$14:F$37,MATCH($B241,$B$14:$B$37,FALSE))/INDEX($F$206:$F$229,MATCH($B241,$B$206:$B$229,FALSE))),NA()),NA())</f>
        <v>#N/A</v>
      </c>
      <c r="H241" s="65" t="e">
        <f>IF(G49=1,IF(G$13&lt;=COUNT($C21:$CS21),IF(INDEX($F$206:$F$229,MATCH($B241,$B$206:$B$229,FALSE))=0,NA(),INDEX(G$14:G$37,MATCH($B241,$B$14:$B$37,FALSE))/INDEX($F$206:$F$229,MATCH($B241,$B$206:$B$229,FALSE))),NA()),NA())</f>
        <v>#N/A</v>
      </c>
      <c r="I241" s="65" t="e">
        <f>IF(H49=1,IF(H$13&lt;=COUNT($C21:$CS21),IF(INDEX($F$206:$F$229,MATCH($B241,$B$206:$B$229,FALSE))=0,NA(),INDEX(H$14:H$37,MATCH($B241,$B$14:$B$37,FALSE))/INDEX($F$206:$F$229,MATCH($B241,$B$206:$B$229,FALSE))),NA()),NA())</f>
        <v>#N/A</v>
      </c>
      <c r="J241" s="65" t="e">
        <f>IF(I49=1,IF(I$13&lt;=COUNT($C21:$CS21),IF(INDEX($F$206:$F$229,MATCH($B241,$B$206:$B$229,FALSE))=0,NA(),INDEX(I$14:I$37,MATCH($B241,$B$14:$B$37,FALSE))/INDEX($F$206:$F$229,MATCH($B241,$B$206:$B$229,FALSE))),NA()),NA())</f>
        <v>#N/A</v>
      </c>
      <c r="K241" s="65" t="e">
        <f>IF(J49=1,IF(J$13&lt;=COUNT($C21:$CS21),IF(INDEX($F$206:$F$229,MATCH($B241,$B$206:$B$229,FALSE))=0,NA(),INDEX(J$14:J$37,MATCH($B241,$B$14:$B$37,FALSE))/INDEX($F$206:$F$229,MATCH($B241,$B$206:$B$229,FALSE))),NA()),NA())</f>
        <v>#N/A</v>
      </c>
      <c r="L241" s="65" t="e">
        <f>IF(K49=1,IF(K$13&lt;=COUNT($C21:$CS21),IF(INDEX($F$206:$F$229,MATCH($B241,$B$206:$B$229,FALSE))=0,NA(),INDEX(K$14:K$37,MATCH($B241,$B$14:$B$37,FALSE))/INDEX($F$206:$F$229,MATCH($B241,$B$206:$B$229,FALSE))),NA()),NA())</f>
        <v>#N/A</v>
      </c>
      <c r="M241" s="65" t="e">
        <f>IF(L49=1,IF(L$13&lt;=COUNT($C21:$CS21),IF(INDEX($F$206:$F$229,MATCH($B241,$B$206:$B$229,FALSE))=0,NA(),INDEX(L$14:L$37,MATCH($B241,$B$14:$B$37,FALSE))/INDEX($F$206:$F$229,MATCH($B241,$B$206:$B$229,FALSE))),NA()),NA())</f>
        <v>#N/A</v>
      </c>
      <c r="N241" s="65" t="e">
        <f>IF(M49=1,IF(M$13&lt;=COUNT($C21:$CS21),IF(INDEX($F$206:$F$229,MATCH($B241,$B$206:$B$229,FALSE))=0,NA(),INDEX(M$14:M$37,MATCH($B241,$B$14:$B$37,FALSE))/INDEX($F$206:$F$229,MATCH($B241,$B$206:$B$229,FALSE))),NA()),NA())</f>
        <v>#N/A</v>
      </c>
      <c r="O241" s="65" t="e">
        <f>IF(N49=1,IF(N$13&lt;=COUNT($C21:$CS21),IF(INDEX($F$206:$F$229,MATCH($B241,$B$206:$B$229,FALSE))=0,NA(),INDEX(N$14:N$37,MATCH($B241,$B$14:$B$37,FALSE))/INDEX($F$206:$F$229,MATCH($B241,$B$206:$B$229,FALSE))),NA()),NA())</f>
        <v>#N/A</v>
      </c>
      <c r="P241" s="65" t="e">
        <f>IF(O49=1,IF(O$13&lt;=COUNT($C21:$CS21),IF(INDEX($F$206:$F$229,MATCH($B241,$B$206:$B$229,FALSE))=0,NA(),INDEX(O$14:O$37,MATCH($B241,$B$14:$B$37,FALSE))/INDEX($F$206:$F$229,MATCH($B241,$B$206:$B$229,FALSE))),NA()),NA())</f>
        <v>#N/A</v>
      </c>
      <c r="Q241" s="65" t="e">
        <f>IF(P49=1,IF(P$13&lt;=COUNT($C21:$CS21),IF(INDEX($F$206:$F$229,MATCH($B241,$B$206:$B$229,FALSE))=0,NA(),INDEX(P$14:P$37,MATCH($B241,$B$14:$B$37,FALSE))/INDEX($F$206:$F$229,MATCH($B241,$B$206:$B$229,FALSE))),NA()),NA())</f>
        <v>#N/A</v>
      </c>
      <c r="R241" s="65" t="e">
        <f>IF(Q49=1,IF(Q$13&lt;=COUNT($C21:$CS21),IF(INDEX($F$206:$F$229,MATCH($B241,$B$206:$B$229,FALSE))=0,NA(),INDEX(Q$14:Q$37,MATCH($B241,$B$14:$B$37,FALSE))/INDEX($F$206:$F$229,MATCH($B241,$B$206:$B$229,FALSE))),NA()),NA())</f>
        <v>#N/A</v>
      </c>
      <c r="S241" s="65" t="e">
        <f>IF(R49=1,IF(R$13&lt;=COUNT($C21:$CS21),IF(INDEX($F$206:$F$229,MATCH($B241,$B$206:$B$229,FALSE))=0,NA(),INDEX(R$14:R$37,MATCH($B241,$B$14:$B$37,FALSE))/INDEX($F$206:$F$229,MATCH($B241,$B$206:$B$229,FALSE))),NA()),NA())</f>
        <v>#N/A</v>
      </c>
      <c r="T241" s="65" t="e">
        <f>IF(S49=1,IF(S$13&lt;=COUNT($C21:$CS21),IF(INDEX($F$206:$F$229,MATCH($B241,$B$206:$B$229,FALSE))=0,NA(),INDEX(S$14:S$37,MATCH($B241,$B$14:$B$37,FALSE))/INDEX($F$206:$F$229,MATCH($B241,$B$206:$B$229,FALSE))),NA()),NA())</f>
        <v>#N/A</v>
      </c>
      <c r="U241" s="65" t="e">
        <f>IF(T49=1,IF(T$13&lt;=COUNT($C21:$CS21),IF(INDEX($F$206:$F$229,MATCH($B241,$B$206:$B$229,FALSE))=0,NA(),INDEX(T$14:T$37,MATCH($B241,$B$14:$B$37,FALSE))/INDEX($F$206:$F$229,MATCH($B241,$B$206:$B$229,FALSE))),NA()),NA())</f>
        <v>#N/A</v>
      </c>
      <c r="V241" s="65" t="e">
        <f>IF(U49=1,IF(U$13&lt;=COUNT($C21:$CS21),IF(INDEX($F$206:$F$229,MATCH($B241,$B$206:$B$229,FALSE))=0,NA(),INDEX(U$14:U$37,MATCH($B241,$B$14:$B$37,FALSE))/INDEX($F$206:$F$229,MATCH($B241,$B$206:$B$229,FALSE))),NA()),NA())</f>
        <v>#N/A</v>
      </c>
      <c r="W241" s="65" t="e">
        <f>IF(V49=1,IF(V$13&lt;=COUNT($C21:$CS21),IF(INDEX($F$206:$F$229,MATCH($B241,$B$206:$B$229,FALSE))=0,NA(),INDEX(V$14:V$37,MATCH($B241,$B$14:$B$37,FALSE))/INDEX($F$206:$F$229,MATCH($B241,$B$206:$B$229,FALSE))),NA()),NA())</f>
        <v>#N/A</v>
      </c>
      <c r="X241" s="65" t="e">
        <f>IF(W49=1,IF(W$13&lt;=COUNT($C21:$CS21),IF(INDEX($F$206:$F$229,MATCH($B241,$B$206:$B$229,FALSE))=0,NA(),INDEX(W$14:W$37,MATCH($B241,$B$14:$B$37,FALSE))/INDEX($F$206:$F$229,MATCH($B241,$B$206:$B$229,FALSE))),NA()),NA())</f>
        <v>#N/A</v>
      </c>
      <c r="Y241" s="65" t="e">
        <f>IF(X49=1,IF(X$13&lt;=COUNT($C21:$CS21),IF(INDEX($F$206:$F$229,MATCH($B241,$B$206:$B$229,FALSE))=0,NA(),INDEX(X$14:X$37,MATCH($B241,$B$14:$B$37,FALSE))/INDEX($F$206:$F$229,MATCH($B241,$B$206:$B$229,FALSE))),NA()),NA())</f>
        <v>#N/A</v>
      </c>
      <c r="Z241" s="65" t="e">
        <f>IF(Y49=1,IF(Y$13&lt;=COUNT($C21:$CS21),IF(INDEX($F$206:$F$229,MATCH($B241,$B$206:$B$229,FALSE))=0,NA(),INDEX(Y$14:Y$37,MATCH($B241,$B$14:$B$37,FALSE))/INDEX($F$206:$F$229,MATCH($B241,$B$206:$B$229,FALSE))),NA()),NA())</f>
        <v>#N/A</v>
      </c>
      <c r="AA241" s="65" t="e">
        <f>IF(Z49=1,IF(Z$13&lt;=COUNT($C21:$CS21),IF(INDEX($F$206:$F$229,MATCH($B241,$B$206:$B$229,FALSE))=0,NA(),INDEX(Z$14:Z$37,MATCH($B241,$B$14:$B$37,FALSE))/INDEX($F$206:$F$229,MATCH($B241,$B$206:$B$229,FALSE))),NA()),NA())</f>
        <v>#N/A</v>
      </c>
      <c r="AB241" s="65" t="e">
        <f>IF(AA49=1,IF(AA$13&lt;=COUNT($C21:$CS21),IF(INDEX($F$206:$F$229,MATCH($B241,$B$206:$B$229,FALSE))=0,NA(),INDEX(AA$14:AA$37,MATCH($B241,$B$14:$B$37,FALSE))/INDEX($F$206:$F$229,MATCH($B241,$B$206:$B$229,FALSE))),NA()),NA())</f>
        <v>#N/A</v>
      </c>
      <c r="AC241" s="65" t="e">
        <f>IF(AB49=1,IF(AB$13&lt;=COUNT($C21:$CS21),IF(INDEX($F$206:$F$229,MATCH($B241,$B$206:$B$229,FALSE))=0,NA(),INDEX(AB$14:AB$37,MATCH($B241,$B$14:$B$37,FALSE))/INDEX($F$206:$F$229,MATCH($B241,$B$206:$B$229,FALSE))),NA()),NA())</f>
        <v>#N/A</v>
      </c>
      <c r="AD241" s="65" t="e">
        <f>IF(AC49=1,IF(AC$13&lt;=COUNT($C21:$CS21),IF(INDEX($F$206:$F$229,MATCH($B241,$B$206:$B$229,FALSE))=0,NA(),INDEX(AC$14:AC$37,MATCH($B241,$B$14:$B$37,FALSE))/INDEX($F$206:$F$229,MATCH($B241,$B$206:$B$229,FALSE))),NA()),NA())</f>
        <v>#N/A</v>
      </c>
      <c r="AE241" s="65" t="e">
        <f>IF(AD49=1,IF(AD$13&lt;=COUNT($C21:$CS21),IF(INDEX($F$206:$F$229,MATCH($B241,$B$206:$B$229,FALSE))=0,NA(),INDEX(AD$14:AD$37,MATCH($B241,$B$14:$B$37,FALSE))/INDEX($F$206:$F$229,MATCH($B241,$B$206:$B$229,FALSE))),NA()),NA())</f>
        <v>#N/A</v>
      </c>
      <c r="AF241" s="65" t="e">
        <f>IF(AE49=1,IF(AE$13&lt;=COUNT($C21:$CS21),IF(INDEX($F$206:$F$229,MATCH($B241,$B$206:$B$229,FALSE))=0,NA(),INDEX(AE$14:AE$37,MATCH($B241,$B$14:$B$37,FALSE))/INDEX($F$206:$F$229,MATCH($B241,$B$206:$B$229,FALSE))),NA()),NA())</f>
        <v>#N/A</v>
      </c>
      <c r="AG241" s="65" t="e">
        <f>IF(AF49=1,IF(AF$13&lt;=COUNT($C21:$CS21),IF(INDEX($F$206:$F$229,MATCH($B241,$B$206:$B$229,FALSE))=0,NA(),INDEX(AF$14:AF$37,MATCH($B241,$B$14:$B$37,FALSE))/INDEX($F$206:$F$229,MATCH($B241,$B$206:$B$229,FALSE))),NA()),NA())</f>
        <v>#N/A</v>
      </c>
      <c r="AH241" s="65" t="e">
        <f>IF(AG49=1,IF(AG$13&lt;=COUNT($C21:$CS21),IF(INDEX($F$206:$F$229,MATCH($B241,$B$206:$B$229,FALSE))=0,NA(),INDEX(AG$14:AG$37,MATCH($B241,$B$14:$B$37,FALSE))/INDEX($F$206:$F$229,MATCH($B241,$B$206:$B$229,FALSE))),NA()),NA())</f>
        <v>#N/A</v>
      </c>
      <c r="AI241" s="65" t="e">
        <f>IF(AH49=1,IF(AH$13&lt;=COUNT($C21:$CS21),IF(INDEX($F$206:$F$229,MATCH($B241,$B$206:$B$229,FALSE))=0,NA(),INDEX(AH$14:AH$37,MATCH($B241,$B$14:$B$37,FALSE))/INDEX($F$206:$F$229,MATCH($B241,$B$206:$B$229,FALSE))),NA()),NA())</f>
        <v>#N/A</v>
      </c>
      <c r="AJ241" s="65" t="e">
        <f>IF(AI49=1,IF(AI$13&lt;=COUNT($C21:$CS21),IF(INDEX($F$206:$F$229,MATCH($B241,$B$206:$B$229,FALSE))=0,NA(),INDEX(AI$14:AI$37,MATCH($B241,$B$14:$B$37,FALSE))/INDEX($F$206:$F$229,MATCH($B241,$B$206:$B$229,FALSE))),NA()),NA())</f>
        <v>#N/A</v>
      </c>
      <c r="AK241" s="65" t="e">
        <f>IF(AJ49=1,IF(AJ$13&lt;=COUNT($C21:$CS21),IF(INDEX($F$206:$F$229,MATCH($B241,$B$206:$B$229,FALSE))=0,NA(),INDEX(AJ$14:AJ$37,MATCH($B241,$B$14:$B$37,FALSE))/INDEX($F$206:$F$229,MATCH($B241,$B$206:$B$229,FALSE))),NA()),NA())</f>
        <v>#N/A</v>
      </c>
      <c r="AL241" s="65" t="e">
        <f>IF(AK49=1,IF(AK$13&lt;=COUNT($C21:$CS21),IF(INDEX($F$206:$F$229,MATCH($B241,$B$206:$B$229,FALSE))=0,NA(),INDEX(AK$14:AK$37,MATCH($B241,$B$14:$B$37,FALSE))/INDEX($F$206:$F$229,MATCH($B241,$B$206:$B$229,FALSE))),NA()),NA())</f>
        <v>#N/A</v>
      </c>
      <c r="AM241" s="65" t="e">
        <f>IF(AL49=1,IF(AL$13&lt;=COUNT($C21:$CS21),IF(INDEX($F$206:$F$229,MATCH($B241,$B$206:$B$229,FALSE))=0,NA(),INDEX(AL$14:AL$37,MATCH($B241,$B$14:$B$37,FALSE))/INDEX($F$206:$F$229,MATCH($B241,$B$206:$B$229,FALSE))),NA()),NA())</f>
        <v>#N/A</v>
      </c>
      <c r="AN241" s="65" t="e">
        <f>IF(AM49=1,IF(AM$13&lt;=COUNT($C21:$CS21),IF(INDEX($F$206:$F$229,MATCH($B241,$B$206:$B$229,FALSE))=0,NA(),INDEX(AM$14:AM$37,MATCH($B241,$B$14:$B$37,FALSE))/INDEX($F$206:$F$229,MATCH($B241,$B$206:$B$229,FALSE))),NA()),NA())</f>
        <v>#N/A</v>
      </c>
      <c r="AO241" s="65" t="e">
        <f>IF(AN49=1,IF(AN$13&lt;=COUNT($C21:$CS21),IF(INDEX($F$206:$F$229,MATCH($B241,$B$206:$B$229,FALSE))=0,NA(),INDEX(AN$14:AN$37,MATCH($B241,$B$14:$B$37,FALSE))/INDEX($F$206:$F$229,MATCH($B241,$B$206:$B$229,FALSE))),NA()),NA())</f>
        <v>#N/A</v>
      </c>
      <c r="AP241" s="65" t="e">
        <f>IF(AO49=1,IF(AO$13&lt;=COUNT($C21:$CS21),IF(INDEX($F$206:$F$229,MATCH($B241,$B$206:$B$229,FALSE))=0,NA(),INDEX(AO$14:AO$37,MATCH($B241,$B$14:$B$37,FALSE))/INDEX($F$206:$F$229,MATCH($B241,$B$206:$B$229,FALSE))),NA()),NA())</f>
        <v>#N/A</v>
      </c>
      <c r="AQ241" s="65" t="e">
        <f>IF(AP49=1,IF(AP$13&lt;=COUNT($C21:$CS21),IF(INDEX($F$206:$F$229,MATCH($B241,$B$206:$B$229,FALSE))=0,NA(),INDEX(AP$14:AP$37,MATCH($B241,$B$14:$B$37,FALSE))/INDEX($F$206:$F$229,MATCH($B241,$B$206:$B$229,FALSE))),NA()),NA())</f>
        <v>#N/A</v>
      </c>
      <c r="AR241" s="65" t="e">
        <f>IF(AQ49=1,IF(AQ$13&lt;=COUNT($C21:$CS21),IF(INDEX($F$206:$F$229,MATCH($B241,$B$206:$B$229,FALSE))=0,NA(),INDEX(AQ$14:AQ$37,MATCH($B241,$B$14:$B$37,FALSE))/INDEX($F$206:$F$229,MATCH($B241,$B$206:$B$229,FALSE))),NA()),NA())</f>
        <v>#N/A</v>
      </c>
      <c r="AS241" s="65" t="e">
        <f>IF(AR49=1,IF(AR$13&lt;=COUNT($C21:$CS21),IF(INDEX($F$206:$F$229,MATCH($B241,$B$206:$B$229,FALSE))=0,NA(),INDEX(AR$14:AR$37,MATCH($B241,$B$14:$B$37,FALSE))/INDEX($F$206:$F$229,MATCH($B241,$B$206:$B$229,FALSE))),NA()),NA())</f>
        <v>#N/A</v>
      </c>
      <c r="AT241" s="65" t="e">
        <f>IF(AS49=1,IF(AS$13&lt;=COUNT($C21:$CS21),IF(INDEX($F$206:$F$229,MATCH($B241,$B$206:$B$229,FALSE))=0,NA(),INDEX(AS$14:AS$37,MATCH($B241,$B$14:$B$37,FALSE))/INDEX($F$206:$F$229,MATCH($B241,$B$206:$B$229,FALSE))),NA()),NA())</f>
        <v>#N/A</v>
      </c>
      <c r="AU241" s="65" t="e">
        <f>IF(AT49=1,IF(AT$13&lt;=COUNT($C21:$CS21),IF(INDEX($F$206:$F$229,MATCH($B241,$B$206:$B$229,FALSE))=0,NA(),INDEX(AT$14:AT$37,MATCH($B241,$B$14:$B$37,FALSE))/INDEX($F$206:$F$229,MATCH($B241,$B$206:$B$229,FALSE))),NA()),NA())</f>
        <v>#N/A</v>
      </c>
      <c r="AV241" s="65" t="e">
        <f>IF(AU49=1,IF(AU$13&lt;=COUNT($C21:$CS21),IF(INDEX($F$206:$F$229,MATCH($B241,$B$206:$B$229,FALSE))=0,NA(),INDEX(AU$14:AU$37,MATCH($B241,$B$14:$B$37,FALSE))/INDEX($F$206:$F$229,MATCH($B241,$B$206:$B$229,FALSE))),NA()),NA())</f>
        <v>#N/A</v>
      </c>
      <c r="AW241" s="65" t="e">
        <f>IF(AV49=1,IF(AV$13&lt;=COUNT($C21:$CS21),IF(INDEX($F$206:$F$229,MATCH($B241,$B$206:$B$229,FALSE))=0,NA(),INDEX(AV$14:AV$37,MATCH($B241,$B$14:$B$37,FALSE))/INDEX($F$206:$F$229,MATCH($B241,$B$206:$B$229,FALSE))),NA()),NA())</f>
        <v>#N/A</v>
      </c>
      <c r="AX241" s="65" t="e">
        <f>IF(AW49=1,IF(AW$13&lt;=COUNT($C21:$CS21),IF(INDEX($F$206:$F$229,MATCH($B241,$B$206:$B$229,FALSE))=0,NA(),INDEX(AW$14:AW$37,MATCH($B241,$B$14:$B$37,FALSE))/INDEX($F$206:$F$229,MATCH($B241,$B$206:$B$229,FALSE))),NA()),NA())</f>
        <v>#N/A</v>
      </c>
      <c r="AY241" s="65" t="e">
        <f>IF(AX49=1,IF(AX$13&lt;=COUNT($C21:$CS21),IF(INDEX($F$206:$F$229,MATCH($B241,$B$206:$B$229,FALSE))=0,NA(),INDEX(AX$14:AX$37,MATCH($B241,$B$14:$B$37,FALSE))/INDEX($F$206:$F$229,MATCH($B241,$B$206:$B$229,FALSE))),NA()),NA())</f>
        <v>#N/A</v>
      </c>
      <c r="AZ241" s="65" t="e">
        <f>IF(AY49=1,IF(AY$13&lt;=COUNT($C21:$CS21),IF(INDEX($F$206:$F$229,MATCH($B241,$B$206:$B$229,FALSE))=0,NA(),INDEX(AY$14:AY$37,MATCH($B241,$B$14:$B$37,FALSE))/INDEX($F$206:$F$229,MATCH($B241,$B$206:$B$229,FALSE))),NA()),NA())</f>
        <v>#N/A</v>
      </c>
      <c r="BA241" s="65" t="e">
        <f>IF(AZ49=1,IF(AZ$13&lt;=COUNT($C21:$CS21),IF(INDEX($F$206:$F$229,MATCH($B241,$B$206:$B$229,FALSE))=0,NA(),INDEX(AZ$14:AZ$37,MATCH($B241,$B$14:$B$37,FALSE))/INDEX($F$206:$F$229,MATCH($B241,$B$206:$B$229,FALSE))),NA()),NA())</f>
        <v>#N/A</v>
      </c>
      <c r="BB241" s="65" t="e">
        <f>IF(BA49=1,IF(BA$13&lt;=COUNT($C21:$CS21),IF(INDEX($F$206:$F$229,MATCH($B241,$B$206:$B$229,FALSE))=0,NA(),INDEX(BA$14:BA$37,MATCH($B241,$B$14:$B$37,FALSE))/INDEX($F$206:$F$229,MATCH($B241,$B$206:$B$229,FALSE))),NA()),NA())</f>
        <v>#N/A</v>
      </c>
      <c r="BC241" s="65" t="e">
        <f>IF(BB49=1,IF(BB$13&lt;=COUNT($C21:$CS21),IF(INDEX($F$206:$F$229,MATCH($B241,$B$206:$B$229,FALSE))=0,NA(),INDEX(BB$14:BB$37,MATCH($B241,$B$14:$B$37,FALSE))/INDEX($F$206:$F$229,MATCH($B241,$B$206:$B$229,FALSE))),NA()),NA())</f>
        <v>#N/A</v>
      </c>
      <c r="BD241" s="65" t="e">
        <f>IF(BC49=1,IF(BC$13&lt;=COUNT($C21:$CS21),IF(INDEX($F$206:$F$229,MATCH($B241,$B$206:$B$229,FALSE))=0,NA(),INDEX(BC$14:BC$37,MATCH($B241,$B$14:$B$37,FALSE))/INDEX($F$206:$F$229,MATCH($B241,$B$206:$B$229,FALSE))),NA()),NA())</f>
        <v>#N/A</v>
      </c>
      <c r="BE241" s="65" t="e">
        <f>IF(BD49=1,IF(BD$13&lt;=COUNT($C21:$CS21),IF(INDEX($F$206:$F$229,MATCH($B241,$B$206:$B$229,FALSE))=0,NA(),INDEX(BD$14:BD$37,MATCH($B241,$B$14:$B$37,FALSE))/INDEX($F$206:$F$229,MATCH($B241,$B$206:$B$229,FALSE))),NA()),NA())</f>
        <v>#N/A</v>
      </c>
      <c r="BF241" s="65" t="e">
        <f>IF(BE49=1,IF(BE$13&lt;=COUNT($C21:$CS21),IF(INDEX($F$206:$F$229,MATCH($B241,$B$206:$B$229,FALSE))=0,NA(),INDEX(BE$14:BE$37,MATCH($B241,$B$14:$B$37,FALSE))/INDEX($F$206:$F$229,MATCH($B241,$B$206:$B$229,FALSE))),NA()),NA())</f>
        <v>#N/A</v>
      </c>
      <c r="BG241" s="65" t="e">
        <f>IF(BF49=1,IF(BF$13&lt;=COUNT($C21:$CS21),IF(INDEX($F$206:$F$229,MATCH($B241,$B$206:$B$229,FALSE))=0,NA(),INDEX(BF$14:BF$37,MATCH($B241,$B$14:$B$37,FALSE))/INDEX($F$206:$F$229,MATCH($B241,$B$206:$B$229,FALSE))),NA()),NA())</f>
        <v>#N/A</v>
      </c>
      <c r="BH241" s="65" t="e">
        <f>IF(BG49=1,IF(BG$13&lt;=COUNT($C21:$CS21),IF(INDEX($F$206:$F$229,MATCH($B241,$B$206:$B$229,FALSE))=0,NA(),INDEX(BG$14:BG$37,MATCH($B241,$B$14:$B$37,FALSE))/INDEX($F$206:$F$229,MATCH($B241,$B$206:$B$229,FALSE))),NA()),NA())</f>
        <v>#N/A</v>
      </c>
      <c r="BI241" s="65" t="e">
        <f>IF(BH49=1,IF(BH$13&lt;=COUNT($C21:$CS21),IF(INDEX($F$206:$F$229,MATCH($B241,$B$206:$B$229,FALSE))=0,NA(),INDEX(BH$14:BH$37,MATCH($B241,$B$14:$B$37,FALSE))/INDEX($F$206:$F$229,MATCH($B241,$B$206:$B$229,FALSE))),NA()),NA())</f>
        <v>#N/A</v>
      </c>
      <c r="BJ241" s="65" t="e">
        <f>IF(BI49=1,IF(BI$13&lt;=COUNT($C21:$CS21),IF(INDEX($F$206:$F$229,MATCH($B241,$B$206:$B$229,FALSE))=0,NA(),INDEX(BI$14:BI$37,MATCH($B241,$B$14:$B$37,FALSE))/INDEX($F$206:$F$229,MATCH($B241,$B$206:$B$229,FALSE))),NA()),NA())</f>
        <v>#N/A</v>
      </c>
      <c r="BK241" s="65" t="e">
        <f>IF(BJ49=1,IF(BJ$13&lt;=COUNT($C21:$CS21),IF(INDEX($F$206:$F$229,MATCH($B241,$B$206:$B$229,FALSE))=0,NA(),INDEX(BJ$14:BJ$37,MATCH($B241,$B$14:$B$37,FALSE))/INDEX($F$206:$F$229,MATCH($B241,$B$206:$B$229,FALSE))),NA()),NA())</f>
        <v>#N/A</v>
      </c>
      <c r="BL241" s="65" t="e">
        <f>IF(BK49=1,IF(BK$13&lt;=COUNT($C21:$CS21),IF(INDEX($F$206:$F$229,MATCH($B241,$B$206:$B$229,FALSE))=0,NA(),INDEX(BK$14:BK$37,MATCH($B241,$B$14:$B$37,FALSE))/INDEX($F$206:$F$229,MATCH($B241,$B$206:$B$229,FALSE))),NA()),NA())</f>
        <v>#N/A</v>
      </c>
      <c r="BM241" s="65" t="e">
        <f>IF(BL49=1,IF(BL$13&lt;=COUNT($C21:$CS21),IF(INDEX($F$206:$F$229,MATCH($B241,$B$206:$B$229,FALSE))=0,NA(),INDEX(BL$14:BL$37,MATCH($B241,$B$14:$B$37,FALSE))/INDEX($F$206:$F$229,MATCH($B241,$B$206:$B$229,FALSE))),NA()),NA())</f>
        <v>#N/A</v>
      </c>
      <c r="BN241" s="65" t="e">
        <f>IF(BM49=1,IF(BM$13&lt;=COUNT($C21:$CS21),IF(INDEX($F$206:$F$229,MATCH($B241,$B$206:$B$229,FALSE))=0,NA(),INDEX(BM$14:BM$37,MATCH($B241,$B$14:$B$37,FALSE))/INDEX($F$206:$F$229,MATCH($B241,$B$206:$B$229,FALSE))),NA()),NA())</f>
        <v>#N/A</v>
      </c>
      <c r="BO241" s="65" t="e">
        <f>IF(BN49=1,IF(BN$13&lt;=COUNT($C21:$CS21),IF(INDEX($F$206:$F$229,MATCH($B241,$B$206:$B$229,FALSE))=0,NA(),INDEX(BN$14:BN$37,MATCH($B241,$B$14:$B$37,FALSE))/INDEX($F$206:$F$229,MATCH($B241,$B$206:$B$229,FALSE))),NA()),NA())</f>
        <v>#N/A</v>
      </c>
      <c r="BP241" s="65" t="e">
        <f>IF(BO49=1,IF(BO$13&lt;=COUNT($C21:$CS21),IF(INDEX($F$206:$F$229,MATCH($B241,$B$206:$B$229,FALSE))=0,NA(),INDEX(BO$14:BO$37,MATCH($B241,$B$14:$B$37,FALSE))/INDEX($F$206:$F$229,MATCH($B241,$B$206:$B$229,FALSE))),NA()),NA())</f>
        <v>#N/A</v>
      </c>
      <c r="BQ241" s="65" t="e">
        <f>IF(BP49=1,IF(BP$13&lt;=COUNT($C21:$CS21),IF(INDEX($F$206:$F$229,MATCH($B241,$B$206:$B$229,FALSE))=0,NA(),INDEX(BP$14:BP$37,MATCH($B241,$B$14:$B$37,FALSE))/INDEX($F$206:$F$229,MATCH($B241,$B$206:$B$229,FALSE))),NA()),NA())</f>
        <v>#N/A</v>
      </c>
      <c r="BR241" s="65" t="e">
        <f>IF(BQ49=1,IF(BQ$13&lt;=COUNT($C21:$CS21),IF(INDEX($F$206:$F$229,MATCH($B241,$B$206:$B$229,FALSE))=0,NA(),INDEX(BQ$14:BQ$37,MATCH($B241,$B$14:$B$37,FALSE))/INDEX($F$206:$F$229,MATCH($B241,$B$206:$B$229,FALSE))),NA()),NA())</f>
        <v>#N/A</v>
      </c>
      <c r="BS241" s="65" t="e">
        <f>IF(BR49=1,IF(BR$13&lt;=COUNT($C21:$CS21),IF(INDEX($F$206:$F$229,MATCH($B241,$B$206:$B$229,FALSE))=0,NA(),INDEX(BR$14:BR$37,MATCH($B241,$B$14:$B$37,FALSE))/INDEX($F$206:$F$229,MATCH($B241,$B$206:$B$229,FALSE))),NA()),NA())</f>
        <v>#N/A</v>
      </c>
      <c r="BT241" s="65" t="e">
        <f>IF(BS49=1,IF(BS$13&lt;=COUNT($C21:$CS21),IF(INDEX($F$206:$F$229,MATCH($B241,$B$206:$B$229,FALSE))=0,NA(),INDEX(BS$14:BS$37,MATCH($B241,$B$14:$B$37,FALSE))/INDEX($F$206:$F$229,MATCH($B241,$B$206:$B$229,FALSE))),NA()),NA())</f>
        <v>#N/A</v>
      </c>
      <c r="BU241" s="65" t="e">
        <f>IF(BT49=1,IF(BT$13&lt;=COUNT($C21:$CS21),IF(INDEX($F$206:$F$229,MATCH($B241,$B$206:$B$229,FALSE))=0,NA(),INDEX(BT$14:BT$37,MATCH($B241,$B$14:$B$37,FALSE))/INDEX($F$206:$F$229,MATCH($B241,$B$206:$B$229,FALSE))),NA()),NA())</f>
        <v>#N/A</v>
      </c>
      <c r="BV241" s="65" t="e">
        <f>IF(BU49=1,IF(BU$13&lt;=COUNT($C21:$CS21),IF(INDEX($F$206:$F$229,MATCH($B241,$B$206:$B$229,FALSE))=0,NA(),INDEX(BU$14:BU$37,MATCH($B241,$B$14:$B$37,FALSE))/INDEX($F$206:$F$229,MATCH($B241,$B$206:$B$229,FALSE))),NA()),NA())</f>
        <v>#N/A</v>
      </c>
      <c r="BW241" s="65" t="e">
        <f>IF(BV49=1,IF(BV$13&lt;=COUNT($C21:$CS21),IF(INDEX($F$206:$F$229,MATCH($B241,$B$206:$B$229,FALSE))=0,NA(),INDEX(BV$14:BV$37,MATCH($B241,$B$14:$B$37,FALSE))/INDEX($F$206:$F$229,MATCH($B241,$B$206:$B$229,FALSE))),NA()),NA())</f>
        <v>#N/A</v>
      </c>
      <c r="BX241" s="65" t="e">
        <f>IF(BW49=1,IF(BW$13&lt;=COUNT($C21:$CS21),IF(INDEX($F$206:$F$229,MATCH($B241,$B$206:$B$229,FALSE))=0,NA(),INDEX(BW$14:BW$37,MATCH($B241,$B$14:$B$37,FALSE))/INDEX($F$206:$F$229,MATCH($B241,$B$206:$B$229,FALSE))),NA()),NA())</f>
        <v>#N/A</v>
      </c>
      <c r="BY241" s="65" t="e">
        <f>IF(BX49=1,IF(BX$13&lt;=COUNT($C21:$CS21),IF(INDEX($F$206:$F$229,MATCH($B241,$B$206:$B$229,FALSE))=0,NA(),INDEX(BX$14:BX$37,MATCH($B241,$B$14:$B$37,FALSE))/INDEX($F$206:$F$229,MATCH($B241,$B$206:$B$229,FALSE))),NA()),NA())</f>
        <v>#N/A</v>
      </c>
      <c r="BZ241" s="65" t="e">
        <f>IF(BY49=1,IF(BY$13&lt;=COUNT($C21:$CS21),IF(INDEX($F$206:$F$229,MATCH($B241,$B$206:$B$229,FALSE))=0,NA(),INDEX(BY$14:BY$37,MATCH($B241,$B$14:$B$37,FALSE))/INDEX($F$206:$F$229,MATCH($B241,$B$206:$B$229,FALSE))),NA()),NA())</f>
        <v>#N/A</v>
      </c>
      <c r="CA241" s="65" t="e">
        <f>IF(BZ49=1,IF(BZ$13&lt;=COUNT($C21:$CS21),IF(INDEX($F$206:$F$229,MATCH($B241,$B$206:$B$229,FALSE))=0,NA(),INDEX(BZ$14:BZ$37,MATCH($B241,$B$14:$B$37,FALSE))/INDEX($F$206:$F$229,MATCH($B241,$B$206:$B$229,FALSE))),NA()),NA())</f>
        <v>#N/A</v>
      </c>
      <c r="CB241" s="65" t="e">
        <f>IF(CA49=1,IF(CA$13&lt;=COUNT($C21:$CS21),IF(INDEX($F$206:$F$229,MATCH($B241,$B$206:$B$229,FALSE))=0,NA(),INDEX(CA$14:CA$37,MATCH($B241,$B$14:$B$37,FALSE))/INDEX($F$206:$F$229,MATCH($B241,$B$206:$B$229,FALSE))),NA()),NA())</f>
        <v>#N/A</v>
      </c>
      <c r="CC241" s="65" t="e">
        <f>IF(CB49=1,IF(CB$13&lt;=COUNT($C21:$CS21),IF(INDEX($F$206:$F$229,MATCH($B241,$B$206:$B$229,FALSE))=0,NA(),INDEX(CB$14:CB$37,MATCH($B241,$B$14:$B$37,FALSE))/INDEX($F$206:$F$229,MATCH($B241,$B$206:$B$229,FALSE))),NA()),NA())</f>
        <v>#N/A</v>
      </c>
      <c r="CD241" s="65" t="e">
        <f>IF(CC49=1,IF(CC$13&lt;=COUNT($C21:$CS21),IF(INDEX($F$206:$F$229,MATCH($B241,$B$206:$B$229,FALSE))=0,NA(),INDEX(CC$14:CC$37,MATCH($B241,$B$14:$B$37,FALSE))/INDEX($F$206:$F$229,MATCH($B241,$B$206:$B$229,FALSE))),NA()),NA())</f>
        <v>#N/A</v>
      </c>
      <c r="CE241" s="65" t="e">
        <f>IF(CD49=1,IF(CD$13&lt;=COUNT($C21:$CS21),IF(INDEX($F$206:$F$229,MATCH($B241,$B$206:$B$229,FALSE))=0,NA(),INDEX(CD$14:CD$37,MATCH($B241,$B$14:$B$37,FALSE))/INDEX($F$206:$F$229,MATCH($B241,$B$206:$B$229,FALSE))),NA()),NA())</f>
        <v>#N/A</v>
      </c>
      <c r="CF241" s="65" t="e">
        <f>IF(CE49=1,IF(CE$13&lt;=COUNT($C21:$CS21),IF(INDEX($F$206:$F$229,MATCH($B241,$B$206:$B$229,FALSE))=0,NA(),INDEX(CE$14:CE$37,MATCH($B241,$B$14:$B$37,FALSE))/INDEX($F$206:$F$229,MATCH($B241,$B$206:$B$229,FALSE))),NA()),NA())</f>
        <v>#N/A</v>
      </c>
      <c r="CG241" s="65" t="e">
        <f>IF(CF49=1,IF(CF$13&lt;=COUNT($C21:$CS21),IF(INDEX($F$206:$F$229,MATCH($B241,$B$206:$B$229,FALSE))=0,NA(),INDEX(CF$14:CF$37,MATCH($B241,$B$14:$B$37,FALSE))/INDEX($F$206:$F$229,MATCH($B241,$B$206:$B$229,FALSE))),NA()),NA())</f>
        <v>#N/A</v>
      </c>
      <c r="CH241" s="65" t="e">
        <f>IF(CG49=1,IF(CG$13&lt;=COUNT($C21:$CS21),IF(INDEX($F$206:$F$229,MATCH($B241,$B$206:$B$229,FALSE))=0,NA(),INDEX(CG$14:CG$37,MATCH($B241,$B$14:$B$37,FALSE))/INDEX($F$206:$F$229,MATCH($B241,$B$206:$B$229,FALSE))),NA()),NA())</f>
        <v>#N/A</v>
      </c>
      <c r="CI241" s="65" t="e">
        <f>IF(CH49=1,IF(CH$13&lt;=COUNT($C21:$CS21),IF(INDEX($F$206:$F$229,MATCH($B241,$B$206:$B$229,FALSE))=0,NA(),INDEX(CH$14:CH$37,MATCH($B241,$B$14:$B$37,FALSE))/INDEX($F$206:$F$229,MATCH($B241,$B$206:$B$229,FALSE))),NA()),NA())</f>
        <v>#N/A</v>
      </c>
      <c r="CJ241" s="65" t="e">
        <f>IF(CI49=1,IF(CI$13&lt;=COUNT($C21:$CS21),IF(INDEX($F$206:$F$229,MATCH($B241,$B$206:$B$229,FALSE))=0,NA(),INDEX(CI$14:CI$37,MATCH($B241,$B$14:$B$37,FALSE))/INDEX($F$206:$F$229,MATCH($B241,$B$206:$B$229,FALSE))),NA()),NA())</f>
        <v>#N/A</v>
      </c>
      <c r="CK241" s="65" t="e">
        <f>IF(CJ49=1,IF(CJ$13&lt;=COUNT($C21:$CS21),IF(INDEX($F$206:$F$229,MATCH($B241,$B$206:$B$229,FALSE))=0,NA(),INDEX(CJ$14:CJ$37,MATCH($B241,$B$14:$B$37,FALSE))/INDEX($F$206:$F$229,MATCH($B241,$B$206:$B$229,FALSE))),NA()),NA())</f>
        <v>#N/A</v>
      </c>
      <c r="CL241" s="65" t="e">
        <f>IF(CK49=1,IF(CK$13&lt;=COUNT($C21:$CS21),IF(INDEX($F$206:$F$229,MATCH($B241,$B$206:$B$229,FALSE))=0,NA(),INDEX(CK$14:CK$37,MATCH($B241,$B$14:$B$37,FALSE))/INDEX($F$206:$F$229,MATCH($B241,$B$206:$B$229,FALSE))),NA()),NA())</f>
        <v>#N/A</v>
      </c>
      <c r="CM241" s="65" t="e">
        <f>IF(CL49=1,IF(CL$13&lt;=COUNT($C21:$CS21),IF(INDEX($F$206:$F$229,MATCH($B241,$B$206:$B$229,FALSE))=0,NA(),INDEX(CL$14:CL$37,MATCH($B241,$B$14:$B$37,FALSE))/INDEX($F$206:$F$229,MATCH($B241,$B$206:$B$229,FALSE))),NA()),NA())</f>
        <v>#N/A</v>
      </c>
      <c r="CN241" s="65" t="e">
        <f>IF(CM49=1,IF(CM$13&lt;=COUNT($C21:$CS21),IF(INDEX($F$206:$F$229,MATCH($B241,$B$206:$B$229,FALSE))=0,NA(),INDEX(CM$14:CM$37,MATCH($B241,$B$14:$B$37,FALSE))/INDEX($F$206:$F$229,MATCH($B241,$B$206:$B$229,FALSE))),NA()),NA())</f>
        <v>#N/A</v>
      </c>
      <c r="CO241" s="65" t="e">
        <f>IF(CN49=1,IF(CN$13&lt;=COUNT($C21:$CS21),IF(INDEX($F$206:$F$229,MATCH($B241,$B$206:$B$229,FALSE))=0,NA(),INDEX(CN$14:CN$37,MATCH($B241,$B$14:$B$37,FALSE))/INDEX($F$206:$F$229,MATCH($B241,$B$206:$B$229,FALSE))),NA()),NA())</f>
        <v>#N/A</v>
      </c>
      <c r="CP241" s="65" t="e">
        <f>IF(CO49=1,IF(CO$13&lt;=COUNT($C21:$CS21),IF(INDEX($F$206:$F$229,MATCH($B241,$B$206:$B$229,FALSE))=0,NA(),INDEX(CO$14:CO$37,MATCH($B241,$B$14:$B$37,FALSE))/INDEX($F$206:$F$229,MATCH($B241,$B$206:$B$229,FALSE))),NA()),NA())</f>
        <v>#N/A</v>
      </c>
      <c r="CQ241" s="65" t="e">
        <f>IF(CP49=1,IF(CP$13&lt;=COUNT($C21:$CS21),IF(INDEX($F$206:$F$229,MATCH($B241,$B$206:$B$229,FALSE))=0,NA(),INDEX(CP$14:CP$37,MATCH($B241,$B$14:$B$37,FALSE))/INDEX($F$206:$F$229,MATCH($B241,$B$206:$B$229,FALSE))),NA()),NA())</f>
        <v>#N/A</v>
      </c>
      <c r="CR241" s="65" t="e">
        <f>IF(CQ49=1,IF(CQ$13&lt;=COUNT($C21:$CS21),IF(INDEX($F$206:$F$229,MATCH($B241,$B$206:$B$229,FALSE))=0,NA(),INDEX(CQ$14:CQ$37,MATCH($B241,$B$14:$B$37,FALSE))/INDEX($F$206:$F$229,MATCH($B241,$B$206:$B$229,FALSE))),NA()),NA())</f>
        <v>#N/A</v>
      </c>
      <c r="CS241" s="65" t="e">
        <f>IF(CR49=1,IF(CR$13&lt;=COUNT($C21:$CS21),IF(INDEX($F$206:$F$229,MATCH($B241,$B$206:$B$229,FALSE))=0,NA(),INDEX(CR$14:CR$37,MATCH($B241,$B$14:$B$37,FALSE))/INDEX($F$206:$F$229,MATCH($B241,$B$206:$B$229,FALSE))),NA()),NA())</f>
        <v>#N/A</v>
      </c>
      <c r="CT241" s="49"/>
      <c r="CU241" s="49"/>
      <c r="CV241" s="49"/>
      <c r="CW241" s="49"/>
    </row>
    <row r="242" spans="1:101" x14ac:dyDescent="0.25">
      <c r="A242" s="97">
        <f t="shared" si="352"/>
        <v>0</v>
      </c>
      <c r="B242" s="29">
        <f t="shared" si="351"/>
        <v>2004</v>
      </c>
      <c r="C242" s="154" t="str">
        <f t="shared" si="353"/>
        <v/>
      </c>
      <c r="D242" s="54" t="e">
        <f>IF(C50=1,IF(C$13&lt;=COUNT($C22:$CS22),IF(INDEX($F$206:$F$229,MATCH($B242,$B$206:$B$229,FALSE))=0,NA(),INDEX(C$14:C$37,MATCH($B242,$B$14:$B$37,FALSE))/INDEX($F$206:$F$229,MATCH($B242,$B$206:$B$229,FALSE))),NA()),NA())</f>
        <v>#N/A</v>
      </c>
      <c r="E242" s="65" t="e">
        <f>IF(D50=1,IF(D$13&lt;=COUNT($C22:$CS22),IF(INDEX($F$206:$F$229,MATCH($B242,$B$206:$B$229,FALSE))=0,NA(),INDEX(D$14:D$37,MATCH($B242,$B$14:$B$37,FALSE))/INDEX($F$206:$F$229,MATCH($B242,$B$206:$B$229,FALSE))),NA()),NA())</f>
        <v>#N/A</v>
      </c>
      <c r="F242" s="65" t="e">
        <f>IF(E50=1,IF(E$13&lt;=COUNT($C22:$CS22),IF(INDEX($F$206:$F$229,MATCH($B242,$B$206:$B$229,FALSE))=0,NA(),INDEX(E$14:E$37,MATCH($B242,$B$14:$B$37,FALSE))/INDEX($F$206:$F$229,MATCH($B242,$B$206:$B$229,FALSE))),NA()),NA())</f>
        <v>#N/A</v>
      </c>
      <c r="G242" s="65" t="e">
        <f>IF(F50=1,IF(F$13&lt;=COUNT($C22:$CS22),IF(INDEX($F$206:$F$229,MATCH($B242,$B$206:$B$229,FALSE))=0,NA(),INDEX(F$14:F$37,MATCH($B242,$B$14:$B$37,FALSE))/INDEX($F$206:$F$229,MATCH($B242,$B$206:$B$229,FALSE))),NA()),NA())</f>
        <v>#N/A</v>
      </c>
      <c r="H242" s="65" t="e">
        <f>IF(G50=1,IF(G$13&lt;=COUNT($C22:$CS22),IF(INDEX($F$206:$F$229,MATCH($B242,$B$206:$B$229,FALSE))=0,NA(),INDEX(G$14:G$37,MATCH($B242,$B$14:$B$37,FALSE))/INDEX($F$206:$F$229,MATCH($B242,$B$206:$B$229,FALSE))),NA()),NA())</f>
        <v>#N/A</v>
      </c>
      <c r="I242" s="65" t="e">
        <f>IF(H50=1,IF(H$13&lt;=COUNT($C22:$CS22),IF(INDEX($F$206:$F$229,MATCH($B242,$B$206:$B$229,FALSE))=0,NA(),INDEX(H$14:H$37,MATCH($B242,$B$14:$B$37,FALSE))/INDEX($F$206:$F$229,MATCH($B242,$B$206:$B$229,FALSE))),NA()),NA())</f>
        <v>#N/A</v>
      </c>
      <c r="J242" s="65" t="e">
        <f>IF(I50=1,IF(I$13&lt;=COUNT($C22:$CS22),IF(INDEX($F$206:$F$229,MATCH($B242,$B$206:$B$229,FALSE))=0,NA(),INDEX(I$14:I$37,MATCH($B242,$B$14:$B$37,FALSE))/INDEX($F$206:$F$229,MATCH($B242,$B$206:$B$229,FALSE))),NA()),NA())</f>
        <v>#N/A</v>
      </c>
      <c r="K242" s="65" t="e">
        <f>IF(J50=1,IF(J$13&lt;=COUNT($C22:$CS22),IF(INDEX($F$206:$F$229,MATCH($B242,$B$206:$B$229,FALSE))=0,NA(),INDEX(J$14:J$37,MATCH($B242,$B$14:$B$37,FALSE))/INDEX($F$206:$F$229,MATCH($B242,$B$206:$B$229,FALSE))),NA()),NA())</f>
        <v>#N/A</v>
      </c>
      <c r="L242" s="65" t="e">
        <f>IF(K50=1,IF(K$13&lt;=COUNT($C22:$CS22),IF(INDEX($F$206:$F$229,MATCH($B242,$B$206:$B$229,FALSE))=0,NA(),INDEX(K$14:K$37,MATCH($B242,$B$14:$B$37,FALSE))/INDEX($F$206:$F$229,MATCH($B242,$B$206:$B$229,FALSE))),NA()),NA())</f>
        <v>#N/A</v>
      </c>
      <c r="M242" s="65" t="e">
        <f>IF(L50=1,IF(L$13&lt;=COUNT($C22:$CS22),IF(INDEX($F$206:$F$229,MATCH($B242,$B$206:$B$229,FALSE))=0,NA(),INDEX(L$14:L$37,MATCH($B242,$B$14:$B$37,FALSE))/INDEX($F$206:$F$229,MATCH($B242,$B$206:$B$229,FALSE))),NA()),NA())</f>
        <v>#N/A</v>
      </c>
      <c r="N242" s="65" t="e">
        <f>IF(M50=1,IF(M$13&lt;=COUNT($C22:$CS22),IF(INDEX($F$206:$F$229,MATCH($B242,$B$206:$B$229,FALSE))=0,NA(),INDEX(M$14:M$37,MATCH($B242,$B$14:$B$37,FALSE))/INDEX($F$206:$F$229,MATCH($B242,$B$206:$B$229,FALSE))),NA()),NA())</f>
        <v>#N/A</v>
      </c>
      <c r="O242" s="65" t="e">
        <f>IF(N50=1,IF(N$13&lt;=COUNT($C22:$CS22),IF(INDEX($F$206:$F$229,MATCH($B242,$B$206:$B$229,FALSE))=0,NA(),INDEX(N$14:N$37,MATCH($B242,$B$14:$B$37,FALSE))/INDEX($F$206:$F$229,MATCH($B242,$B$206:$B$229,FALSE))),NA()),NA())</f>
        <v>#N/A</v>
      </c>
      <c r="P242" s="65" t="e">
        <f>IF(O50=1,IF(O$13&lt;=COUNT($C22:$CS22),IF(INDEX($F$206:$F$229,MATCH($B242,$B$206:$B$229,FALSE))=0,NA(),INDEX(O$14:O$37,MATCH($B242,$B$14:$B$37,FALSE))/INDEX($F$206:$F$229,MATCH($B242,$B$206:$B$229,FALSE))),NA()),NA())</f>
        <v>#N/A</v>
      </c>
      <c r="Q242" s="65" t="e">
        <f>IF(P50=1,IF(P$13&lt;=COUNT($C22:$CS22),IF(INDEX($F$206:$F$229,MATCH($B242,$B$206:$B$229,FALSE))=0,NA(),INDEX(P$14:P$37,MATCH($B242,$B$14:$B$37,FALSE))/INDEX($F$206:$F$229,MATCH($B242,$B$206:$B$229,FALSE))),NA()),NA())</f>
        <v>#N/A</v>
      </c>
      <c r="R242" s="65" t="e">
        <f>IF(Q50=1,IF(Q$13&lt;=COUNT($C22:$CS22),IF(INDEX($F$206:$F$229,MATCH($B242,$B$206:$B$229,FALSE))=0,NA(),INDEX(Q$14:Q$37,MATCH($B242,$B$14:$B$37,FALSE))/INDEX($F$206:$F$229,MATCH($B242,$B$206:$B$229,FALSE))),NA()),NA())</f>
        <v>#N/A</v>
      </c>
      <c r="S242" s="65" t="e">
        <f>IF(R50=1,IF(R$13&lt;=COUNT($C22:$CS22),IF(INDEX($F$206:$F$229,MATCH($B242,$B$206:$B$229,FALSE))=0,NA(),INDEX(R$14:R$37,MATCH($B242,$B$14:$B$37,FALSE))/INDEX($F$206:$F$229,MATCH($B242,$B$206:$B$229,FALSE))),NA()),NA())</f>
        <v>#N/A</v>
      </c>
      <c r="T242" s="65" t="e">
        <f>IF(S50=1,IF(S$13&lt;=COUNT($C22:$CS22),IF(INDEX($F$206:$F$229,MATCH($B242,$B$206:$B$229,FALSE))=0,NA(),INDEX(S$14:S$37,MATCH($B242,$B$14:$B$37,FALSE))/INDEX($F$206:$F$229,MATCH($B242,$B$206:$B$229,FALSE))),NA()),NA())</f>
        <v>#N/A</v>
      </c>
      <c r="U242" s="65" t="e">
        <f>IF(T50=1,IF(T$13&lt;=COUNT($C22:$CS22),IF(INDEX($F$206:$F$229,MATCH($B242,$B$206:$B$229,FALSE))=0,NA(),INDEX(T$14:T$37,MATCH($B242,$B$14:$B$37,FALSE))/INDEX($F$206:$F$229,MATCH($B242,$B$206:$B$229,FALSE))),NA()),NA())</f>
        <v>#N/A</v>
      </c>
      <c r="V242" s="65" t="e">
        <f>IF(U50=1,IF(U$13&lt;=COUNT($C22:$CS22),IF(INDEX($F$206:$F$229,MATCH($B242,$B$206:$B$229,FALSE))=0,NA(),INDEX(U$14:U$37,MATCH($B242,$B$14:$B$37,FALSE))/INDEX($F$206:$F$229,MATCH($B242,$B$206:$B$229,FALSE))),NA()),NA())</f>
        <v>#N/A</v>
      </c>
      <c r="W242" s="65" t="e">
        <f>IF(V50=1,IF(V$13&lt;=COUNT($C22:$CS22),IF(INDEX($F$206:$F$229,MATCH($B242,$B$206:$B$229,FALSE))=0,NA(),INDEX(V$14:V$37,MATCH($B242,$B$14:$B$37,FALSE))/INDEX($F$206:$F$229,MATCH($B242,$B$206:$B$229,FALSE))),NA()),NA())</f>
        <v>#N/A</v>
      </c>
      <c r="X242" s="65" t="e">
        <f>IF(W50=1,IF(W$13&lt;=COUNT($C22:$CS22),IF(INDEX($F$206:$F$229,MATCH($B242,$B$206:$B$229,FALSE))=0,NA(),INDEX(W$14:W$37,MATCH($B242,$B$14:$B$37,FALSE))/INDEX($F$206:$F$229,MATCH($B242,$B$206:$B$229,FALSE))),NA()),NA())</f>
        <v>#N/A</v>
      </c>
      <c r="Y242" s="65" t="e">
        <f>IF(X50=1,IF(X$13&lt;=COUNT($C22:$CS22),IF(INDEX($F$206:$F$229,MATCH($B242,$B$206:$B$229,FALSE))=0,NA(),INDEX(X$14:X$37,MATCH($B242,$B$14:$B$37,FALSE))/INDEX($F$206:$F$229,MATCH($B242,$B$206:$B$229,FALSE))),NA()),NA())</f>
        <v>#N/A</v>
      </c>
      <c r="Z242" s="65" t="e">
        <f>IF(Y50=1,IF(Y$13&lt;=COUNT($C22:$CS22),IF(INDEX($F$206:$F$229,MATCH($B242,$B$206:$B$229,FALSE))=0,NA(),INDEX(Y$14:Y$37,MATCH($B242,$B$14:$B$37,FALSE))/INDEX($F$206:$F$229,MATCH($B242,$B$206:$B$229,FALSE))),NA()),NA())</f>
        <v>#N/A</v>
      </c>
      <c r="AA242" s="65" t="e">
        <f>IF(Z50=1,IF(Z$13&lt;=COUNT($C22:$CS22),IF(INDEX($F$206:$F$229,MATCH($B242,$B$206:$B$229,FALSE))=0,NA(),INDEX(Z$14:Z$37,MATCH($B242,$B$14:$B$37,FALSE))/INDEX($F$206:$F$229,MATCH($B242,$B$206:$B$229,FALSE))),NA()),NA())</f>
        <v>#N/A</v>
      </c>
      <c r="AB242" s="65" t="e">
        <f>IF(AA50=1,IF(AA$13&lt;=COUNT($C22:$CS22),IF(INDEX($F$206:$F$229,MATCH($B242,$B$206:$B$229,FALSE))=0,NA(),INDEX(AA$14:AA$37,MATCH($B242,$B$14:$B$37,FALSE))/INDEX($F$206:$F$229,MATCH($B242,$B$206:$B$229,FALSE))),NA()),NA())</f>
        <v>#N/A</v>
      </c>
      <c r="AC242" s="65" t="e">
        <f>IF(AB50=1,IF(AB$13&lt;=COUNT($C22:$CS22),IF(INDEX($F$206:$F$229,MATCH($B242,$B$206:$B$229,FALSE))=0,NA(),INDEX(AB$14:AB$37,MATCH($B242,$B$14:$B$37,FALSE))/INDEX($F$206:$F$229,MATCH($B242,$B$206:$B$229,FALSE))),NA()),NA())</f>
        <v>#N/A</v>
      </c>
      <c r="AD242" s="65" t="e">
        <f>IF(AC50=1,IF(AC$13&lt;=COUNT($C22:$CS22),IF(INDEX($F$206:$F$229,MATCH($B242,$B$206:$B$229,FALSE))=0,NA(),INDEX(AC$14:AC$37,MATCH($B242,$B$14:$B$37,FALSE))/INDEX($F$206:$F$229,MATCH($B242,$B$206:$B$229,FALSE))),NA()),NA())</f>
        <v>#N/A</v>
      </c>
      <c r="AE242" s="65" t="e">
        <f>IF(AD50=1,IF(AD$13&lt;=COUNT($C22:$CS22),IF(INDEX($F$206:$F$229,MATCH($B242,$B$206:$B$229,FALSE))=0,NA(),INDEX(AD$14:AD$37,MATCH($B242,$B$14:$B$37,FALSE))/INDEX($F$206:$F$229,MATCH($B242,$B$206:$B$229,FALSE))),NA()),NA())</f>
        <v>#N/A</v>
      </c>
      <c r="AF242" s="65" t="e">
        <f>IF(AE50=1,IF(AE$13&lt;=COUNT($C22:$CS22),IF(INDEX($F$206:$F$229,MATCH($B242,$B$206:$B$229,FALSE))=0,NA(),INDEX(AE$14:AE$37,MATCH($B242,$B$14:$B$37,FALSE))/INDEX($F$206:$F$229,MATCH($B242,$B$206:$B$229,FALSE))),NA()),NA())</f>
        <v>#N/A</v>
      </c>
      <c r="AG242" s="65" t="e">
        <f>IF(AF50=1,IF(AF$13&lt;=COUNT($C22:$CS22),IF(INDEX($F$206:$F$229,MATCH($B242,$B$206:$B$229,FALSE))=0,NA(),INDEX(AF$14:AF$37,MATCH($B242,$B$14:$B$37,FALSE))/INDEX($F$206:$F$229,MATCH($B242,$B$206:$B$229,FALSE))),NA()),NA())</f>
        <v>#N/A</v>
      </c>
      <c r="AH242" s="65" t="e">
        <f>IF(AG50=1,IF(AG$13&lt;=COUNT($C22:$CS22),IF(INDEX($F$206:$F$229,MATCH($B242,$B$206:$B$229,FALSE))=0,NA(),INDEX(AG$14:AG$37,MATCH($B242,$B$14:$B$37,FALSE))/INDEX($F$206:$F$229,MATCH($B242,$B$206:$B$229,FALSE))),NA()),NA())</f>
        <v>#N/A</v>
      </c>
      <c r="AI242" s="65" t="e">
        <f>IF(AH50=1,IF(AH$13&lt;=COUNT($C22:$CS22),IF(INDEX($F$206:$F$229,MATCH($B242,$B$206:$B$229,FALSE))=0,NA(),INDEX(AH$14:AH$37,MATCH($B242,$B$14:$B$37,FALSE))/INDEX($F$206:$F$229,MATCH($B242,$B$206:$B$229,FALSE))),NA()),NA())</f>
        <v>#N/A</v>
      </c>
      <c r="AJ242" s="65" t="e">
        <f>IF(AI50=1,IF(AI$13&lt;=COUNT($C22:$CS22),IF(INDEX($F$206:$F$229,MATCH($B242,$B$206:$B$229,FALSE))=0,NA(),INDEX(AI$14:AI$37,MATCH($B242,$B$14:$B$37,FALSE))/INDEX($F$206:$F$229,MATCH($B242,$B$206:$B$229,FALSE))),NA()),NA())</f>
        <v>#N/A</v>
      </c>
      <c r="AK242" s="65" t="e">
        <f>IF(AJ50=1,IF(AJ$13&lt;=COUNT($C22:$CS22),IF(INDEX($F$206:$F$229,MATCH($B242,$B$206:$B$229,FALSE))=0,NA(),INDEX(AJ$14:AJ$37,MATCH($B242,$B$14:$B$37,FALSE))/INDEX($F$206:$F$229,MATCH($B242,$B$206:$B$229,FALSE))),NA()),NA())</f>
        <v>#N/A</v>
      </c>
      <c r="AL242" s="65" t="e">
        <f>IF(AK50=1,IF(AK$13&lt;=COUNT($C22:$CS22),IF(INDEX($F$206:$F$229,MATCH($B242,$B$206:$B$229,FALSE))=0,NA(),INDEX(AK$14:AK$37,MATCH($B242,$B$14:$B$37,FALSE))/INDEX($F$206:$F$229,MATCH($B242,$B$206:$B$229,FALSE))),NA()),NA())</f>
        <v>#N/A</v>
      </c>
      <c r="AM242" s="65" t="e">
        <f>IF(AL50=1,IF(AL$13&lt;=COUNT($C22:$CS22),IF(INDEX($F$206:$F$229,MATCH($B242,$B$206:$B$229,FALSE))=0,NA(),INDEX(AL$14:AL$37,MATCH($B242,$B$14:$B$37,FALSE))/INDEX($F$206:$F$229,MATCH($B242,$B$206:$B$229,FALSE))),NA()),NA())</f>
        <v>#N/A</v>
      </c>
      <c r="AN242" s="65" t="e">
        <f>IF(AM50=1,IF(AM$13&lt;=COUNT($C22:$CS22),IF(INDEX($F$206:$F$229,MATCH($B242,$B$206:$B$229,FALSE))=0,NA(),INDEX(AM$14:AM$37,MATCH($B242,$B$14:$B$37,FALSE))/INDEX($F$206:$F$229,MATCH($B242,$B$206:$B$229,FALSE))),NA()),NA())</f>
        <v>#N/A</v>
      </c>
      <c r="AO242" s="65" t="e">
        <f>IF(AN50=1,IF(AN$13&lt;=COUNT($C22:$CS22),IF(INDEX($F$206:$F$229,MATCH($B242,$B$206:$B$229,FALSE))=0,NA(),INDEX(AN$14:AN$37,MATCH($B242,$B$14:$B$37,FALSE))/INDEX($F$206:$F$229,MATCH($B242,$B$206:$B$229,FALSE))),NA()),NA())</f>
        <v>#N/A</v>
      </c>
      <c r="AP242" s="65" t="e">
        <f>IF(AO50=1,IF(AO$13&lt;=COUNT($C22:$CS22),IF(INDEX($F$206:$F$229,MATCH($B242,$B$206:$B$229,FALSE))=0,NA(),INDEX(AO$14:AO$37,MATCH($B242,$B$14:$B$37,FALSE))/INDEX($F$206:$F$229,MATCH($B242,$B$206:$B$229,FALSE))),NA()),NA())</f>
        <v>#N/A</v>
      </c>
      <c r="AQ242" s="65" t="e">
        <f>IF(AP50=1,IF(AP$13&lt;=COUNT($C22:$CS22),IF(INDEX($F$206:$F$229,MATCH($B242,$B$206:$B$229,FALSE))=0,NA(),INDEX(AP$14:AP$37,MATCH($B242,$B$14:$B$37,FALSE))/INDEX($F$206:$F$229,MATCH($B242,$B$206:$B$229,FALSE))),NA()),NA())</f>
        <v>#N/A</v>
      </c>
      <c r="AR242" s="65" t="e">
        <f>IF(AQ50=1,IF(AQ$13&lt;=COUNT($C22:$CS22),IF(INDEX($F$206:$F$229,MATCH($B242,$B$206:$B$229,FALSE))=0,NA(),INDEX(AQ$14:AQ$37,MATCH($B242,$B$14:$B$37,FALSE))/INDEX($F$206:$F$229,MATCH($B242,$B$206:$B$229,FALSE))),NA()),NA())</f>
        <v>#N/A</v>
      </c>
      <c r="AS242" s="65" t="e">
        <f>IF(AR50=1,IF(AR$13&lt;=COUNT($C22:$CS22),IF(INDEX($F$206:$F$229,MATCH($B242,$B$206:$B$229,FALSE))=0,NA(),INDEX(AR$14:AR$37,MATCH($B242,$B$14:$B$37,FALSE))/INDEX($F$206:$F$229,MATCH($B242,$B$206:$B$229,FALSE))),NA()),NA())</f>
        <v>#N/A</v>
      </c>
      <c r="AT242" s="65" t="e">
        <f>IF(AS50=1,IF(AS$13&lt;=COUNT($C22:$CS22),IF(INDEX($F$206:$F$229,MATCH($B242,$B$206:$B$229,FALSE))=0,NA(),INDEX(AS$14:AS$37,MATCH($B242,$B$14:$B$37,FALSE))/INDEX($F$206:$F$229,MATCH($B242,$B$206:$B$229,FALSE))),NA()),NA())</f>
        <v>#N/A</v>
      </c>
      <c r="AU242" s="65" t="e">
        <f>IF(AT50=1,IF(AT$13&lt;=COUNT($C22:$CS22),IF(INDEX($F$206:$F$229,MATCH($B242,$B$206:$B$229,FALSE))=0,NA(),INDEX(AT$14:AT$37,MATCH($B242,$B$14:$B$37,FALSE))/INDEX($F$206:$F$229,MATCH($B242,$B$206:$B$229,FALSE))),NA()),NA())</f>
        <v>#N/A</v>
      </c>
      <c r="AV242" s="65" t="e">
        <f>IF(AU50=1,IF(AU$13&lt;=COUNT($C22:$CS22),IF(INDEX($F$206:$F$229,MATCH($B242,$B$206:$B$229,FALSE))=0,NA(),INDEX(AU$14:AU$37,MATCH($B242,$B$14:$B$37,FALSE))/INDEX($F$206:$F$229,MATCH($B242,$B$206:$B$229,FALSE))),NA()),NA())</f>
        <v>#N/A</v>
      </c>
      <c r="AW242" s="65" t="e">
        <f>IF(AV50=1,IF(AV$13&lt;=COUNT($C22:$CS22),IF(INDEX($F$206:$F$229,MATCH($B242,$B$206:$B$229,FALSE))=0,NA(),INDEX(AV$14:AV$37,MATCH($B242,$B$14:$B$37,FALSE))/INDEX($F$206:$F$229,MATCH($B242,$B$206:$B$229,FALSE))),NA()),NA())</f>
        <v>#N/A</v>
      </c>
      <c r="AX242" s="65" t="e">
        <f>IF(AW50=1,IF(AW$13&lt;=COUNT($C22:$CS22),IF(INDEX($F$206:$F$229,MATCH($B242,$B$206:$B$229,FALSE))=0,NA(),INDEX(AW$14:AW$37,MATCH($B242,$B$14:$B$37,FALSE))/INDEX($F$206:$F$229,MATCH($B242,$B$206:$B$229,FALSE))),NA()),NA())</f>
        <v>#N/A</v>
      </c>
      <c r="AY242" s="65" t="e">
        <f>IF(AX50=1,IF(AX$13&lt;=COUNT($C22:$CS22),IF(INDEX($F$206:$F$229,MATCH($B242,$B$206:$B$229,FALSE))=0,NA(),INDEX(AX$14:AX$37,MATCH($B242,$B$14:$B$37,FALSE))/INDEX($F$206:$F$229,MATCH($B242,$B$206:$B$229,FALSE))),NA()),NA())</f>
        <v>#N/A</v>
      </c>
      <c r="AZ242" s="65" t="e">
        <f>IF(AY50=1,IF(AY$13&lt;=COUNT($C22:$CS22),IF(INDEX($F$206:$F$229,MATCH($B242,$B$206:$B$229,FALSE))=0,NA(),INDEX(AY$14:AY$37,MATCH($B242,$B$14:$B$37,FALSE))/INDEX($F$206:$F$229,MATCH($B242,$B$206:$B$229,FALSE))),NA()),NA())</f>
        <v>#N/A</v>
      </c>
      <c r="BA242" s="65" t="e">
        <f>IF(AZ50=1,IF(AZ$13&lt;=COUNT($C22:$CS22),IF(INDEX($F$206:$F$229,MATCH($B242,$B$206:$B$229,FALSE))=0,NA(),INDEX(AZ$14:AZ$37,MATCH($B242,$B$14:$B$37,FALSE))/INDEX($F$206:$F$229,MATCH($B242,$B$206:$B$229,FALSE))),NA()),NA())</f>
        <v>#N/A</v>
      </c>
      <c r="BB242" s="65" t="e">
        <f>IF(BA50=1,IF(BA$13&lt;=COUNT($C22:$CS22),IF(INDEX($F$206:$F$229,MATCH($B242,$B$206:$B$229,FALSE))=0,NA(),INDEX(BA$14:BA$37,MATCH($B242,$B$14:$B$37,FALSE))/INDEX($F$206:$F$229,MATCH($B242,$B$206:$B$229,FALSE))),NA()),NA())</f>
        <v>#N/A</v>
      </c>
      <c r="BC242" s="65" t="e">
        <f>IF(BB50=1,IF(BB$13&lt;=COUNT($C22:$CS22),IF(INDEX($F$206:$F$229,MATCH($B242,$B$206:$B$229,FALSE))=0,NA(),INDEX(BB$14:BB$37,MATCH($B242,$B$14:$B$37,FALSE))/INDEX($F$206:$F$229,MATCH($B242,$B$206:$B$229,FALSE))),NA()),NA())</f>
        <v>#N/A</v>
      </c>
      <c r="BD242" s="65" t="e">
        <f>IF(BC50=1,IF(BC$13&lt;=COUNT($C22:$CS22),IF(INDEX($F$206:$F$229,MATCH($B242,$B$206:$B$229,FALSE))=0,NA(),INDEX(BC$14:BC$37,MATCH($B242,$B$14:$B$37,FALSE))/INDEX($F$206:$F$229,MATCH($B242,$B$206:$B$229,FALSE))),NA()),NA())</f>
        <v>#N/A</v>
      </c>
      <c r="BE242" s="65" t="e">
        <f>IF(BD50=1,IF(BD$13&lt;=COUNT($C22:$CS22),IF(INDEX($F$206:$F$229,MATCH($B242,$B$206:$B$229,FALSE))=0,NA(),INDEX(BD$14:BD$37,MATCH($B242,$B$14:$B$37,FALSE))/INDEX($F$206:$F$229,MATCH($B242,$B$206:$B$229,FALSE))),NA()),NA())</f>
        <v>#N/A</v>
      </c>
      <c r="BF242" s="65" t="e">
        <f>IF(BE50=1,IF(BE$13&lt;=COUNT($C22:$CS22),IF(INDEX($F$206:$F$229,MATCH($B242,$B$206:$B$229,FALSE))=0,NA(),INDEX(BE$14:BE$37,MATCH($B242,$B$14:$B$37,FALSE))/INDEX($F$206:$F$229,MATCH($B242,$B$206:$B$229,FALSE))),NA()),NA())</f>
        <v>#N/A</v>
      </c>
      <c r="BG242" s="65" t="e">
        <f>IF(BF50=1,IF(BF$13&lt;=COUNT($C22:$CS22),IF(INDEX($F$206:$F$229,MATCH($B242,$B$206:$B$229,FALSE))=0,NA(),INDEX(BF$14:BF$37,MATCH($B242,$B$14:$B$37,FALSE))/INDEX($F$206:$F$229,MATCH($B242,$B$206:$B$229,FALSE))),NA()),NA())</f>
        <v>#N/A</v>
      </c>
      <c r="BH242" s="65" t="e">
        <f>IF(BG50=1,IF(BG$13&lt;=COUNT($C22:$CS22),IF(INDEX($F$206:$F$229,MATCH($B242,$B$206:$B$229,FALSE))=0,NA(),INDEX(BG$14:BG$37,MATCH($B242,$B$14:$B$37,FALSE))/INDEX($F$206:$F$229,MATCH($B242,$B$206:$B$229,FALSE))),NA()),NA())</f>
        <v>#N/A</v>
      </c>
      <c r="BI242" s="65" t="e">
        <f>IF(BH50=1,IF(BH$13&lt;=COUNT($C22:$CS22),IF(INDEX($F$206:$F$229,MATCH($B242,$B$206:$B$229,FALSE))=0,NA(),INDEX(BH$14:BH$37,MATCH($B242,$B$14:$B$37,FALSE))/INDEX($F$206:$F$229,MATCH($B242,$B$206:$B$229,FALSE))),NA()),NA())</f>
        <v>#N/A</v>
      </c>
      <c r="BJ242" s="65" t="e">
        <f>IF(BI50=1,IF(BI$13&lt;=COUNT($C22:$CS22),IF(INDEX($F$206:$F$229,MATCH($B242,$B$206:$B$229,FALSE))=0,NA(),INDEX(BI$14:BI$37,MATCH($B242,$B$14:$B$37,FALSE))/INDEX($F$206:$F$229,MATCH($B242,$B$206:$B$229,FALSE))),NA()),NA())</f>
        <v>#N/A</v>
      </c>
      <c r="BK242" s="65" t="e">
        <f>IF(BJ50=1,IF(BJ$13&lt;=COUNT($C22:$CS22),IF(INDEX($F$206:$F$229,MATCH($B242,$B$206:$B$229,FALSE))=0,NA(),INDEX(BJ$14:BJ$37,MATCH($B242,$B$14:$B$37,FALSE))/INDEX($F$206:$F$229,MATCH($B242,$B$206:$B$229,FALSE))),NA()),NA())</f>
        <v>#N/A</v>
      </c>
      <c r="BL242" s="65" t="e">
        <f>IF(BK50=1,IF(BK$13&lt;=COUNT($C22:$CS22),IF(INDEX($F$206:$F$229,MATCH($B242,$B$206:$B$229,FALSE))=0,NA(),INDEX(BK$14:BK$37,MATCH($B242,$B$14:$B$37,FALSE))/INDEX($F$206:$F$229,MATCH($B242,$B$206:$B$229,FALSE))),NA()),NA())</f>
        <v>#N/A</v>
      </c>
      <c r="BM242" s="65" t="e">
        <f>IF(BL50=1,IF(BL$13&lt;=COUNT($C22:$CS22),IF(INDEX($F$206:$F$229,MATCH($B242,$B$206:$B$229,FALSE))=0,NA(),INDEX(BL$14:BL$37,MATCH($B242,$B$14:$B$37,FALSE))/INDEX($F$206:$F$229,MATCH($B242,$B$206:$B$229,FALSE))),NA()),NA())</f>
        <v>#N/A</v>
      </c>
      <c r="BN242" s="65" t="e">
        <f>IF(BM50=1,IF(BM$13&lt;=COUNT($C22:$CS22),IF(INDEX($F$206:$F$229,MATCH($B242,$B$206:$B$229,FALSE))=0,NA(),INDEX(BM$14:BM$37,MATCH($B242,$B$14:$B$37,FALSE))/INDEX($F$206:$F$229,MATCH($B242,$B$206:$B$229,FALSE))),NA()),NA())</f>
        <v>#N/A</v>
      </c>
      <c r="BO242" s="65" t="e">
        <f>IF(BN50=1,IF(BN$13&lt;=COUNT($C22:$CS22),IF(INDEX($F$206:$F$229,MATCH($B242,$B$206:$B$229,FALSE))=0,NA(),INDEX(BN$14:BN$37,MATCH($B242,$B$14:$B$37,FALSE))/INDEX($F$206:$F$229,MATCH($B242,$B$206:$B$229,FALSE))),NA()),NA())</f>
        <v>#N/A</v>
      </c>
      <c r="BP242" s="65" t="e">
        <f>IF(BO50=1,IF(BO$13&lt;=COUNT($C22:$CS22),IF(INDEX($F$206:$F$229,MATCH($B242,$B$206:$B$229,FALSE))=0,NA(),INDEX(BO$14:BO$37,MATCH($B242,$B$14:$B$37,FALSE))/INDEX($F$206:$F$229,MATCH($B242,$B$206:$B$229,FALSE))),NA()),NA())</f>
        <v>#N/A</v>
      </c>
      <c r="BQ242" s="65" t="e">
        <f>IF(BP50=1,IF(BP$13&lt;=COUNT($C22:$CS22),IF(INDEX($F$206:$F$229,MATCH($B242,$B$206:$B$229,FALSE))=0,NA(),INDEX(BP$14:BP$37,MATCH($B242,$B$14:$B$37,FALSE))/INDEX($F$206:$F$229,MATCH($B242,$B$206:$B$229,FALSE))),NA()),NA())</f>
        <v>#N/A</v>
      </c>
      <c r="BR242" s="65" t="e">
        <f>IF(BQ50=1,IF(BQ$13&lt;=COUNT($C22:$CS22),IF(INDEX($F$206:$F$229,MATCH($B242,$B$206:$B$229,FALSE))=0,NA(),INDEX(BQ$14:BQ$37,MATCH($B242,$B$14:$B$37,FALSE))/INDEX($F$206:$F$229,MATCH($B242,$B$206:$B$229,FALSE))),NA()),NA())</f>
        <v>#N/A</v>
      </c>
      <c r="BS242" s="65" t="e">
        <f>IF(BR50=1,IF(BR$13&lt;=COUNT($C22:$CS22),IF(INDEX($F$206:$F$229,MATCH($B242,$B$206:$B$229,FALSE))=0,NA(),INDEX(BR$14:BR$37,MATCH($B242,$B$14:$B$37,FALSE))/INDEX($F$206:$F$229,MATCH($B242,$B$206:$B$229,FALSE))),NA()),NA())</f>
        <v>#N/A</v>
      </c>
      <c r="BT242" s="65" t="e">
        <f>IF(BS50=1,IF(BS$13&lt;=COUNT($C22:$CS22),IF(INDEX($F$206:$F$229,MATCH($B242,$B$206:$B$229,FALSE))=0,NA(),INDEX(BS$14:BS$37,MATCH($B242,$B$14:$B$37,FALSE))/INDEX($F$206:$F$229,MATCH($B242,$B$206:$B$229,FALSE))),NA()),NA())</f>
        <v>#N/A</v>
      </c>
      <c r="BU242" s="65" t="e">
        <f>IF(BT50=1,IF(BT$13&lt;=COUNT($C22:$CS22),IF(INDEX($F$206:$F$229,MATCH($B242,$B$206:$B$229,FALSE))=0,NA(),INDEX(BT$14:BT$37,MATCH($B242,$B$14:$B$37,FALSE))/INDEX($F$206:$F$229,MATCH($B242,$B$206:$B$229,FALSE))),NA()),NA())</f>
        <v>#N/A</v>
      </c>
      <c r="BV242" s="65" t="e">
        <f>IF(BU50=1,IF(BU$13&lt;=COUNT($C22:$CS22),IF(INDEX($F$206:$F$229,MATCH($B242,$B$206:$B$229,FALSE))=0,NA(),INDEX(BU$14:BU$37,MATCH($B242,$B$14:$B$37,FALSE))/INDEX($F$206:$F$229,MATCH($B242,$B$206:$B$229,FALSE))),NA()),NA())</f>
        <v>#N/A</v>
      </c>
      <c r="BW242" s="65" t="e">
        <f>IF(BV50=1,IF(BV$13&lt;=COUNT($C22:$CS22),IF(INDEX($F$206:$F$229,MATCH($B242,$B$206:$B$229,FALSE))=0,NA(),INDEX(BV$14:BV$37,MATCH($B242,$B$14:$B$37,FALSE))/INDEX($F$206:$F$229,MATCH($B242,$B$206:$B$229,FALSE))),NA()),NA())</f>
        <v>#N/A</v>
      </c>
      <c r="BX242" s="65" t="e">
        <f>IF(BW50=1,IF(BW$13&lt;=COUNT($C22:$CS22),IF(INDEX($F$206:$F$229,MATCH($B242,$B$206:$B$229,FALSE))=0,NA(),INDEX(BW$14:BW$37,MATCH($B242,$B$14:$B$37,FALSE))/INDEX($F$206:$F$229,MATCH($B242,$B$206:$B$229,FALSE))),NA()),NA())</f>
        <v>#N/A</v>
      </c>
      <c r="BY242" s="65" t="e">
        <f>IF(BX50=1,IF(BX$13&lt;=COUNT($C22:$CS22),IF(INDEX($F$206:$F$229,MATCH($B242,$B$206:$B$229,FALSE))=0,NA(),INDEX(BX$14:BX$37,MATCH($B242,$B$14:$B$37,FALSE))/INDEX($F$206:$F$229,MATCH($B242,$B$206:$B$229,FALSE))),NA()),NA())</f>
        <v>#N/A</v>
      </c>
      <c r="BZ242" s="65" t="e">
        <f>IF(BY50=1,IF(BY$13&lt;=COUNT($C22:$CS22),IF(INDEX($F$206:$F$229,MATCH($B242,$B$206:$B$229,FALSE))=0,NA(),INDEX(BY$14:BY$37,MATCH($B242,$B$14:$B$37,FALSE))/INDEX($F$206:$F$229,MATCH($B242,$B$206:$B$229,FALSE))),NA()),NA())</f>
        <v>#N/A</v>
      </c>
      <c r="CA242" s="65" t="e">
        <f>IF(BZ50=1,IF(BZ$13&lt;=COUNT($C22:$CS22),IF(INDEX($F$206:$F$229,MATCH($B242,$B$206:$B$229,FALSE))=0,NA(),INDEX(BZ$14:BZ$37,MATCH($B242,$B$14:$B$37,FALSE))/INDEX($F$206:$F$229,MATCH($B242,$B$206:$B$229,FALSE))),NA()),NA())</f>
        <v>#N/A</v>
      </c>
      <c r="CB242" s="65" t="e">
        <f>IF(CA50=1,IF(CA$13&lt;=COUNT($C22:$CS22),IF(INDEX($F$206:$F$229,MATCH($B242,$B$206:$B$229,FALSE))=0,NA(),INDEX(CA$14:CA$37,MATCH($B242,$B$14:$B$37,FALSE))/INDEX($F$206:$F$229,MATCH($B242,$B$206:$B$229,FALSE))),NA()),NA())</f>
        <v>#N/A</v>
      </c>
      <c r="CC242" s="65" t="e">
        <f>IF(CB50=1,IF(CB$13&lt;=COUNT($C22:$CS22),IF(INDEX($F$206:$F$229,MATCH($B242,$B$206:$B$229,FALSE))=0,NA(),INDEX(CB$14:CB$37,MATCH($B242,$B$14:$B$37,FALSE))/INDEX($F$206:$F$229,MATCH($B242,$B$206:$B$229,FALSE))),NA()),NA())</f>
        <v>#N/A</v>
      </c>
      <c r="CD242" s="65" t="e">
        <f>IF(CC50=1,IF(CC$13&lt;=COUNT($C22:$CS22),IF(INDEX($F$206:$F$229,MATCH($B242,$B$206:$B$229,FALSE))=0,NA(),INDEX(CC$14:CC$37,MATCH($B242,$B$14:$B$37,FALSE))/INDEX($F$206:$F$229,MATCH($B242,$B$206:$B$229,FALSE))),NA()),NA())</f>
        <v>#N/A</v>
      </c>
      <c r="CE242" s="65" t="e">
        <f>IF(CD50=1,IF(CD$13&lt;=COUNT($C22:$CS22),IF(INDEX($F$206:$F$229,MATCH($B242,$B$206:$B$229,FALSE))=0,NA(),INDEX(CD$14:CD$37,MATCH($B242,$B$14:$B$37,FALSE))/INDEX($F$206:$F$229,MATCH($B242,$B$206:$B$229,FALSE))),NA()),NA())</f>
        <v>#N/A</v>
      </c>
      <c r="CF242" s="65" t="e">
        <f>IF(CE50=1,IF(CE$13&lt;=COUNT($C22:$CS22),IF(INDEX($F$206:$F$229,MATCH($B242,$B$206:$B$229,FALSE))=0,NA(),INDEX(CE$14:CE$37,MATCH($B242,$B$14:$B$37,FALSE))/INDEX($F$206:$F$229,MATCH($B242,$B$206:$B$229,FALSE))),NA()),NA())</f>
        <v>#N/A</v>
      </c>
      <c r="CG242" s="65" t="e">
        <f>IF(CF50=1,IF(CF$13&lt;=COUNT($C22:$CS22),IF(INDEX($F$206:$F$229,MATCH($B242,$B$206:$B$229,FALSE))=0,NA(),INDEX(CF$14:CF$37,MATCH($B242,$B$14:$B$37,FALSE))/INDEX($F$206:$F$229,MATCH($B242,$B$206:$B$229,FALSE))),NA()),NA())</f>
        <v>#N/A</v>
      </c>
      <c r="CH242" s="65" t="e">
        <f>IF(CG50=1,IF(CG$13&lt;=COUNT($C22:$CS22),IF(INDEX($F$206:$F$229,MATCH($B242,$B$206:$B$229,FALSE))=0,NA(),INDEX(CG$14:CG$37,MATCH($B242,$B$14:$B$37,FALSE))/INDEX($F$206:$F$229,MATCH($B242,$B$206:$B$229,FALSE))),NA()),NA())</f>
        <v>#N/A</v>
      </c>
      <c r="CI242" s="65" t="e">
        <f>IF(CH50=1,IF(CH$13&lt;=COUNT($C22:$CS22),IF(INDEX($F$206:$F$229,MATCH($B242,$B$206:$B$229,FALSE))=0,NA(),INDEX(CH$14:CH$37,MATCH($B242,$B$14:$B$37,FALSE))/INDEX($F$206:$F$229,MATCH($B242,$B$206:$B$229,FALSE))),NA()),NA())</f>
        <v>#N/A</v>
      </c>
      <c r="CJ242" s="65" t="e">
        <f>IF(CI50=1,IF(CI$13&lt;=COUNT($C22:$CS22),IF(INDEX($F$206:$F$229,MATCH($B242,$B$206:$B$229,FALSE))=0,NA(),INDEX(CI$14:CI$37,MATCH($B242,$B$14:$B$37,FALSE))/INDEX($F$206:$F$229,MATCH($B242,$B$206:$B$229,FALSE))),NA()),NA())</f>
        <v>#N/A</v>
      </c>
      <c r="CK242" s="65" t="e">
        <f>IF(CJ50=1,IF(CJ$13&lt;=COUNT($C22:$CS22),IF(INDEX($F$206:$F$229,MATCH($B242,$B$206:$B$229,FALSE))=0,NA(),INDEX(CJ$14:CJ$37,MATCH($B242,$B$14:$B$37,FALSE))/INDEX($F$206:$F$229,MATCH($B242,$B$206:$B$229,FALSE))),NA()),NA())</f>
        <v>#N/A</v>
      </c>
      <c r="CL242" s="65" t="e">
        <f>IF(CK50=1,IF(CK$13&lt;=COUNT($C22:$CS22),IF(INDEX($F$206:$F$229,MATCH($B242,$B$206:$B$229,FALSE))=0,NA(),INDEX(CK$14:CK$37,MATCH($B242,$B$14:$B$37,FALSE))/INDEX($F$206:$F$229,MATCH($B242,$B$206:$B$229,FALSE))),NA()),NA())</f>
        <v>#N/A</v>
      </c>
      <c r="CM242" s="65" t="e">
        <f>IF(CL50=1,IF(CL$13&lt;=COUNT($C22:$CS22),IF(INDEX($F$206:$F$229,MATCH($B242,$B$206:$B$229,FALSE))=0,NA(),INDEX(CL$14:CL$37,MATCH($B242,$B$14:$B$37,FALSE))/INDEX($F$206:$F$229,MATCH($B242,$B$206:$B$229,FALSE))),NA()),NA())</f>
        <v>#N/A</v>
      </c>
      <c r="CN242" s="65" t="e">
        <f>IF(CM50=1,IF(CM$13&lt;=COUNT($C22:$CS22),IF(INDEX($F$206:$F$229,MATCH($B242,$B$206:$B$229,FALSE))=0,NA(),INDEX(CM$14:CM$37,MATCH($B242,$B$14:$B$37,FALSE))/INDEX($F$206:$F$229,MATCH($B242,$B$206:$B$229,FALSE))),NA()),NA())</f>
        <v>#N/A</v>
      </c>
      <c r="CO242" s="65" t="e">
        <f>IF(CN50=1,IF(CN$13&lt;=COUNT($C22:$CS22),IF(INDEX($F$206:$F$229,MATCH($B242,$B$206:$B$229,FALSE))=0,NA(),INDEX(CN$14:CN$37,MATCH($B242,$B$14:$B$37,FALSE))/INDEX($F$206:$F$229,MATCH($B242,$B$206:$B$229,FALSE))),NA()),NA())</f>
        <v>#N/A</v>
      </c>
      <c r="CP242" s="65" t="e">
        <f>IF(CO50=1,IF(CO$13&lt;=COUNT($C22:$CS22),IF(INDEX($F$206:$F$229,MATCH($B242,$B$206:$B$229,FALSE))=0,NA(),INDEX(CO$14:CO$37,MATCH($B242,$B$14:$B$37,FALSE))/INDEX($F$206:$F$229,MATCH($B242,$B$206:$B$229,FALSE))),NA()),NA())</f>
        <v>#N/A</v>
      </c>
      <c r="CQ242" s="65" t="e">
        <f>IF(CP50=1,IF(CP$13&lt;=COUNT($C22:$CS22),IF(INDEX($F$206:$F$229,MATCH($B242,$B$206:$B$229,FALSE))=0,NA(),INDEX(CP$14:CP$37,MATCH($B242,$B$14:$B$37,FALSE))/INDEX($F$206:$F$229,MATCH($B242,$B$206:$B$229,FALSE))),NA()),NA())</f>
        <v>#N/A</v>
      </c>
      <c r="CR242" s="65" t="e">
        <f>IF(CQ50=1,IF(CQ$13&lt;=COUNT($C22:$CS22),IF(INDEX($F$206:$F$229,MATCH($B242,$B$206:$B$229,FALSE))=0,NA(),INDEX(CQ$14:CQ$37,MATCH($B242,$B$14:$B$37,FALSE))/INDEX($F$206:$F$229,MATCH($B242,$B$206:$B$229,FALSE))),NA()),NA())</f>
        <v>#N/A</v>
      </c>
      <c r="CS242" s="65" t="e">
        <f>IF(CR50=1,IF(CR$13&lt;=COUNT($C22:$CS22),IF(INDEX($F$206:$F$229,MATCH($B242,$B$206:$B$229,FALSE))=0,NA(),INDEX(CR$14:CR$37,MATCH($B242,$B$14:$B$37,FALSE))/INDEX($F$206:$F$229,MATCH($B242,$B$206:$B$229,FALSE))),NA()),NA())</f>
        <v>#N/A</v>
      </c>
      <c r="CT242" s="49"/>
      <c r="CU242" s="49"/>
      <c r="CV242" s="49"/>
      <c r="CW242" s="49"/>
    </row>
    <row r="243" spans="1:101" x14ac:dyDescent="0.25">
      <c r="A243" s="97">
        <f t="shared" si="352"/>
        <v>0</v>
      </c>
      <c r="B243" s="29">
        <f t="shared" si="351"/>
        <v>2005</v>
      </c>
      <c r="C243" s="154" t="str">
        <f t="shared" si="353"/>
        <v/>
      </c>
      <c r="D243" s="54" t="e">
        <f>IF(C51=1,IF(C$13&lt;=COUNT($C23:$CS23),IF(INDEX($F$206:$F$229,MATCH($B243,$B$206:$B$229,FALSE))=0,NA(),INDEX(C$14:C$37,MATCH($B243,$B$14:$B$37,FALSE))/INDEX($F$206:$F$229,MATCH($B243,$B$206:$B$229,FALSE))),NA()),NA())</f>
        <v>#N/A</v>
      </c>
      <c r="E243" s="65" t="e">
        <f>IF(D51=1,IF(D$13&lt;=COUNT($C23:$CS23),IF(INDEX($F$206:$F$229,MATCH($B243,$B$206:$B$229,FALSE))=0,NA(),INDEX(D$14:D$37,MATCH($B243,$B$14:$B$37,FALSE))/INDEX($F$206:$F$229,MATCH($B243,$B$206:$B$229,FALSE))),NA()),NA())</f>
        <v>#N/A</v>
      </c>
      <c r="F243" s="65" t="e">
        <f>IF(E51=1,IF(E$13&lt;=COUNT($C23:$CS23),IF(INDEX($F$206:$F$229,MATCH($B243,$B$206:$B$229,FALSE))=0,NA(),INDEX(E$14:E$37,MATCH($B243,$B$14:$B$37,FALSE))/INDEX($F$206:$F$229,MATCH($B243,$B$206:$B$229,FALSE))),NA()),NA())</f>
        <v>#N/A</v>
      </c>
      <c r="G243" s="65" t="e">
        <f>IF(F51=1,IF(F$13&lt;=COUNT($C23:$CS23),IF(INDEX($F$206:$F$229,MATCH($B243,$B$206:$B$229,FALSE))=0,NA(),INDEX(F$14:F$37,MATCH($B243,$B$14:$B$37,FALSE))/INDEX($F$206:$F$229,MATCH($B243,$B$206:$B$229,FALSE))),NA()),NA())</f>
        <v>#N/A</v>
      </c>
      <c r="H243" s="65" t="e">
        <f>IF(G51=1,IF(G$13&lt;=COUNT($C23:$CS23),IF(INDEX($F$206:$F$229,MATCH($B243,$B$206:$B$229,FALSE))=0,NA(),INDEX(G$14:G$37,MATCH($B243,$B$14:$B$37,FALSE))/INDEX($F$206:$F$229,MATCH($B243,$B$206:$B$229,FALSE))),NA()),NA())</f>
        <v>#N/A</v>
      </c>
      <c r="I243" s="65" t="e">
        <f>IF(H51=1,IF(H$13&lt;=COUNT($C23:$CS23),IF(INDEX($F$206:$F$229,MATCH($B243,$B$206:$B$229,FALSE))=0,NA(),INDEX(H$14:H$37,MATCH($B243,$B$14:$B$37,FALSE))/INDEX($F$206:$F$229,MATCH($B243,$B$206:$B$229,FALSE))),NA()),NA())</f>
        <v>#N/A</v>
      </c>
      <c r="J243" s="65" t="e">
        <f>IF(I51=1,IF(I$13&lt;=COUNT($C23:$CS23),IF(INDEX($F$206:$F$229,MATCH($B243,$B$206:$B$229,FALSE))=0,NA(),INDEX(I$14:I$37,MATCH($B243,$B$14:$B$37,FALSE))/INDEX($F$206:$F$229,MATCH($B243,$B$206:$B$229,FALSE))),NA()),NA())</f>
        <v>#N/A</v>
      </c>
      <c r="K243" s="65" t="e">
        <f>IF(J51=1,IF(J$13&lt;=COUNT($C23:$CS23),IF(INDEX($F$206:$F$229,MATCH($B243,$B$206:$B$229,FALSE))=0,NA(),INDEX(J$14:J$37,MATCH($B243,$B$14:$B$37,FALSE))/INDEX($F$206:$F$229,MATCH($B243,$B$206:$B$229,FALSE))),NA()),NA())</f>
        <v>#N/A</v>
      </c>
      <c r="L243" s="65" t="e">
        <f>IF(K51=1,IF(K$13&lt;=COUNT($C23:$CS23),IF(INDEX($F$206:$F$229,MATCH($B243,$B$206:$B$229,FALSE))=0,NA(),INDEX(K$14:K$37,MATCH($B243,$B$14:$B$37,FALSE))/INDEX($F$206:$F$229,MATCH($B243,$B$206:$B$229,FALSE))),NA()),NA())</f>
        <v>#N/A</v>
      </c>
      <c r="M243" s="65" t="e">
        <f>IF(L51=1,IF(L$13&lt;=COUNT($C23:$CS23),IF(INDEX($F$206:$F$229,MATCH($B243,$B$206:$B$229,FALSE))=0,NA(),INDEX(L$14:L$37,MATCH($B243,$B$14:$B$37,FALSE))/INDEX($F$206:$F$229,MATCH($B243,$B$206:$B$229,FALSE))),NA()),NA())</f>
        <v>#N/A</v>
      </c>
      <c r="N243" s="65" t="e">
        <f>IF(M51=1,IF(M$13&lt;=COUNT($C23:$CS23),IF(INDEX($F$206:$F$229,MATCH($B243,$B$206:$B$229,FALSE))=0,NA(),INDEX(M$14:M$37,MATCH($B243,$B$14:$B$37,FALSE))/INDEX($F$206:$F$229,MATCH($B243,$B$206:$B$229,FALSE))),NA()),NA())</f>
        <v>#N/A</v>
      </c>
      <c r="O243" s="65" t="e">
        <f>IF(N51=1,IF(N$13&lt;=COUNT($C23:$CS23),IF(INDEX($F$206:$F$229,MATCH($B243,$B$206:$B$229,FALSE))=0,NA(),INDEX(N$14:N$37,MATCH($B243,$B$14:$B$37,FALSE))/INDEX($F$206:$F$229,MATCH($B243,$B$206:$B$229,FALSE))),NA()),NA())</f>
        <v>#N/A</v>
      </c>
      <c r="P243" s="65" t="e">
        <f>IF(O51=1,IF(O$13&lt;=COUNT($C23:$CS23),IF(INDEX($F$206:$F$229,MATCH($B243,$B$206:$B$229,FALSE))=0,NA(),INDEX(O$14:O$37,MATCH($B243,$B$14:$B$37,FALSE))/INDEX($F$206:$F$229,MATCH($B243,$B$206:$B$229,FALSE))),NA()),NA())</f>
        <v>#N/A</v>
      </c>
      <c r="Q243" s="65" t="e">
        <f>IF(P51=1,IF(P$13&lt;=COUNT($C23:$CS23),IF(INDEX($F$206:$F$229,MATCH($B243,$B$206:$B$229,FALSE))=0,NA(),INDEX(P$14:P$37,MATCH($B243,$B$14:$B$37,FALSE))/INDEX($F$206:$F$229,MATCH($B243,$B$206:$B$229,FALSE))),NA()),NA())</f>
        <v>#N/A</v>
      </c>
      <c r="R243" s="65" t="e">
        <f>IF(Q51=1,IF(Q$13&lt;=COUNT($C23:$CS23),IF(INDEX($F$206:$F$229,MATCH($B243,$B$206:$B$229,FALSE))=0,NA(),INDEX(Q$14:Q$37,MATCH($B243,$B$14:$B$37,FALSE))/INDEX($F$206:$F$229,MATCH($B243,$B$206:$B$229,FALSE))),NA()),NA())</f>
        <v>#N/A</v>
      </c>
      <c r="S243" s="65" t="e">
        <f>IF(R51=1,IF(R$13&lt;=COUNT($C23:$CS23),IF(INDEX($F$206:$F$229,MATCH($B243,$B$206:$B$229,FALSE))=0,NA(),INDEX(R$14:R$37,MATCH($B243,$B$14:$B$37,FALSE))/INDEX($F$206:$F$229,MATCH($B243,$B$206:$B$229,FALSE))),NA()),NA())</f>
        <v>#N/A</v>
      </c>
      <c r="T243" s="65" t="e">
        <f>IF(S51=1,IF(S$13&lt;=COUNT($C23:$CS23),IF(INDEX($F$206:$F$229,MATCH($B243,$B$206:$B$229,FALSE))=0,NA(),INDEX(S$14:S$37,MATCH($B243,$B$14:$B$37,FALSE))/INDEX($F$206:$F$229,MATCH($B243,$B$206:$B$229,FALSE))),NA()),NA())</f>
        <v>#N/A</v>
      </c>
      <c r="U243" s="65" t="e">
        <f>IF(T51=1,IF(T$13&lt;=COUNT($C23:$CS23),IF(INDEX($F$206:$F$229,MATCH($B243,$B$206:$B$229,FALSE))=0,NA(),INDEX(T$14:T$37,MATCH($B243,$B$14:$B$37,FALSE))/INDEX($F$206:$F$229,MATCH($B243,$B$206:$B$229,FALSE))),NA()),NA())</f>
        <v>#N/A</v>
      </c>
      <c r="V243" s="65" t="e">
        <f>IF(U51=1,IF(U$13&lt;=COUNT($C23:$CS23),IF(INDEX($F$206:$F$229,MATCH($B243,$B$206:$B$229,FALSE))=0,NA(),INDEX(U$14:U$37,MATCH($B243,$B$14:$B$37,FALSE))/INDEX($F$206:$F$229,MATCH($B243,$B$206:$B$229,FALSE))),NA()),NA())</f>
        <v>#N/A</v>
      </c>
      <c r="W243" s="65" t="e">
        <f>IF(V51=1,IF(V$13&lt;=COUNT($C23:$CS23),IF(INDEX($F$206:$F$229,MATCH($B243,$B$206:$B$229,FALSE))=0,NA(),INDEX(V$14:V$37,MATCH($B243,$B$14:$B$37,FALSE))/INDEX($F$206:$F$229,MATCH($B243,$B$206:$B$229,FALSE))),NA()),NA())</f>
        <v>#N/A</v>
      </c>
      <c r="X243" s="65" t="e">
        <f>IF(W51=1,IF(W$13&lt;=COUNT($C23:$CS23),IF(INDEX($F$206:$F$229,MATCH($B243,$B$206:$B$229,FALSE))=0,NA(),INDEX(W$14:W$37,MATCH($B243,$B$14:$B$37,FALSE))/INDEX($F$206:$F$229,MATCH($B243,$B$206:$B$229,FALSE))),NA()),NA())</f>
        <v>#N/A</v>
      </c>
      <c r="Y243" s="65" t="e">
        <f>IF(X51=1,IF(X$13&lt;=COUNT($C23:$CS23),IF(INDEX($F$206:$F$229,MATCH($B243,$B$206:$B$229,FALSE))=0,NA(),INDEX(X$14:X$37,MATCH($B243,$B$14:$B$37,FALSE))/INDEX($F$206:$F$229,MATCH($B243,$B$206:$B$229,FALSE))),NA()),NA())</f>
        <v>#N/A</v>
      </c>
      <c r="Z243" s="65" t="e">
        <f>IF(Y51=1,IF(Y$13&lt;=COUNT($C23:$CS23),IF(INDEX($F$206:$F$229,MATCH($B243,$B$206:$B$229,FALSE))=0,NA(),INDEX(Y$14:Y$37,MATCH($B243,$B$14:$B$37,FALSE))/INDEX($F$206:$F$229,MATCH($B243,$B$206:$B$229,FALSE))),NA()),NA())</f>
        <v>#N/A</v>
      </c>
      <c r="AA243" s="65" t="e">
        <f>IF(Z51=1,IF(Z$13&lt;=COUNT($C23:$CS23),IF(INDEX($F$206:$F$229,MATCH($B243,$B$206:$B$229,FALSE))=0,NA(),INDEX(Z$14:Z$37,MATCH($B243,$B$14:$B$37,FALSE))/INDEX($F$206:$F$229,MATCH($B243,$B$206:$B$229,FALSE))),NA()),NA())</f>
        <v>#N/A</v>
      </c>
      <c r="AB243" s="65" t="e">
        <f>IF(AA51=1,IF(AA$13&lt;=COUNT($C23:$CS23),IF(INDEX($F$206:$F$229,MATCH($B243,$B$206:$B$229,FALSE))=0,NA(),INDEX(AA$14:AA$37,MATCH($B243,$B$14:$B$37,FALSE))/INDEX($F$206:$F$229,MATCH($B243,$B$206:$B$229,FALSE))),NA()),NA())</f>
        <v>#N/A</v>
      </c>
      <c r="AC243" s="65" t="e">
        <f>IF(AB51=1,IF(AB$13&lt;=COUNT($C23:$CS23),IF(INDEX($F$206:$F$229,MATCH($B243,$B$206:$B$229,FALSE))=0,NA(),INDEX(AB$14:AB$37,MATCH($B243,$B$14:$B$37,FALSE))/INDEX($F$206:$F$229,MATCH($B243,$B$206:$B$229,FALSE))),NA()),NA())</f>
        <v>#N/A</v>
      </c>
      <c r="AD243" s="65" t="e">
        <f>IF(AC51=1,IF(AC$13&lt;=COUNT($C23:$CS23),IF(INDEX($F$206:$F$229,MATCH($B243,$B$206:$B$229,FALSE))=0,NA(),INDEX(AC$14:AC$37,MATCH($B243,$B$14:$B$37,FALSE))/INDEX($F$206:$F$229,MATCH($B243,$B$206:$B$229,FALSE))),NA()),NA())</f>
        <v>#N/A</v>
      </c>
      <c r="AE243" s="65" t="e">
        <f>IF(AD51=1,IF(AD$13&lt;=COUNT($C23:$CS23),IF(INDEX($F$206:$F$229,MATCH($B243,$B$206:$B$229,FALSE))=0,NA(),INDEX(AD$14:AD$37,MATCH($B243,$B$14:$B$37,FALSE))/INDEX($F$206:$F$229,MATCH($B243,$B$206:$B$229,FALSE))),NA()),NA())</f>
        <v>#N/A</v>
      </c>
      <c r="AF243" s="65" t="e">
        <f>IF(AE51=1,IF(AE$13&lt;=COUNT($C23:$CS23),IF(INDEX($F$206:$F$229,MATCH($B243,$B$206:$B$229,FALSE))=0,NA(),INDEX(AE$14:AE$37,MATCH($B243,$B$14:$B$37,FALSE))/INDEX($F$206:$F$229,MATCH($B243,$B$206:$B$229,FALSE))),NA()),NA())</f>
        <v>#N/A</v>
      </c>
      <c r="AG243" s="65" t="e">
        <f>IF(AF51=1,IF(AF$13&lt;=COUNT($C23:$CS23),IF(INDEX($F$206:$F$229,MATCH($B243,$B$206:$B$229,FALSE))=0,NA(),INDEX(AF$14:AF$37,MATCH($B243,$B$14:$B$37,FALSE))/INDEX($F$206:$F$229,MATCH($B243,$B$206:$B$229,FALSE))),NA()),NA())</f>
        <v>#N/A</v>
      </c>
      <c r="AH243" s="65" t="e">
        <f>IF(AG51=1,IF(AG$13&lt;=COUNT($C23:$CS23),IF(INDEX($F$206:$F$229,MATCH($B243,$B$206:$B$229,FALSE))=0,NA(),INDEX(AG$14:AG$37,MATCH($B243,$B$14:$B$37,FALSE))/INDEX($F$206:$F$229,MATCH($B243,$B$206:$B$229,FALSE))),NA()),NA())</f>
        <v>#N/A</v>
      </c>
      <c r="AI243" s="65" t="e">
        <f>IF(AH51=1,IF(AH$13&lt;=COUNT($C23:$CS23),IF(INDEX($F$206:$F$229,MATCH($B243,$B$206:$B$229,FALSE))=0,NA(),INDEX(AH$14:AH$37,MATCH($B243,$B$14:$B$37,FALSE))/INDEX($F$206:$F$229,MATCH($B243,$B$206:$B$229,FALSE))),NA()),NA())</f>
        <v>#N/A</v>
      </c>
      <c r="AJ243" s="65" t="e">
        <f>IF(AI51=1,IF(AI$13&lt;=COUNT($C23:$CS23),IF(INDEX($F$206:$F$229,MATCH($B243,$B$206:$B$229,FALSE))=0,NA(),INDEX(AI$14:AI$37,MATCH($B243,$B$14:$B$37,FALSE))/INDEX($F$206:$F$229,MATCH($B243,$B$206:$B$229,FALSE))),NA()),NA())</f>
        <v>#N/A</v>
      </c>
      <c r="AK243" s="65" t="e">
        <f>IF(AJ51=1,IF(AJ$13&lt;=COUNT($C23:$CS23),IF(INDEX($F$206:$F$229,MATCH($B243,$B$206:$B$229,FALSE))=0,NA(),INDEX(AJ$14:AJ$37,MATCH($B243,$B$14:$B$37,FALSE))/INDEX($F$206:$F$229,MATCH($B243,$B$206:$B$229,FALSE))),NA()),NA())</f>
        <v>#N/A</v>
      </c>
      <c r="AL243" s="65" t="e">
        <f>IF(AK51=1,IF(AK$13&lt;=COUNT($C23:$CS23),IF(INDEX($F$206:$F$229,MATCH($B243,$B$206:$B$229,FALSE))=0,NA(),INDEX(AK$14:AK$37,MATCH($B243,$B$14:$B$37,FALSE))/INDEX($F$206:$F$229,MATCH($B243,$B$206:$B$229,FALSE))),NA()),NA())</f>
        <v>#N/A</v>
      </c>
      <c r="AM243" s="65" t="e">
        <f>IF(AL51=1,IF(AL$13&lt;=COUNT($C23:$CS23),IF(INDEX($F$206:$F$229,MATCH($B243,$B$206:$B$229,FALSE))=0,NA(),INDEX(AL$14:AL$37,MATCH($B243,$B$14:$B$37,FALSE))/INDEX($F$206:$F$229,MATCH($B243,$B$206:$B$229,FALSE))),NA()),NA())</f>
        <v>#N/A</v>
      </c>
      <c r="AN243" s="65" t="e">
        <f>IF(AM51=1,IF(AM$13&lt;=COUNT($C23:$CS23),IF(INDEX($F$206:$F$229,MATCH($B243,$B$206:$B$229,FALSE))=0,NA(),INDEX(AM$14:AM$37,MATCH($B243,$B$14:$B$37,FALSE))/INDEX($F$206:$F$229,MATCH($B243,$B$206:$B$229,FALSE))),NA()),NA())</f>
        <v>#N/A</v>
      </c>
      <c r="AO243" s="65" t="e">
        <f>IF(AN51=1,IF(AN$13&lt;=COUNT($C23:$CS23),IF(INDEX($F$206:$F$229,MATCH($B243,$B$206:$B$229,FALSE))=0,NA(),INDEX(AN$14:AN$37,MATCH($B243,$B$14:$B$37,FALSE))/INDEX($F$206:$F$229,MATCH($B243,$B$206:$B$229,FALSE))),NA()),NA())</f>
        <v>#N/A</v>
      </c>
      <c r="AP243" s="65" t="e">
        <f>IF(AO51=1,IF(AO$13&lt;=COUNT($C23:$CS23),IF(INDEX($F$206:$F$229,MATCH($B243,$B$206:$B$229,FALSE))=0,NA(),INDEX(AO$14:AO$37,MATCH($B243,$B$14:$B$37,FALSE))/INDEX($F$206:$F$229,MATCH($B243,$B$206:$B$229,FALSE))),NA()),NA())</f>
        <v>#N/A</v>
      </c>
      <c r="AQ243" s="65" t="e">
        <f>IF(AP51=1,IF(AP$13&lt;=COUNT($C23:$CS23),IF(INDEX($F$206:$F$229,MATCH($B243,$B$206:$B$229,FALSE))=0,NA(),INDEX(AP$14:AP$37,MATCH($B243,$B$14:$B$37,FALSE))/INDEX($F$206:$F$229,MATCH($B243,$B$206:$B$229,FALSE))),NA()),NA())</f>
        <v>#N/A</v>
      </c>
      <c r="AR243" s="65" t="e">
        <f>IF(AQ51=1,IF(AQ$13&lt;=COUNT($C23:$CS23),IF(INDEX($F$206:$F$229,MATCH($B243,$B$206:$B$229,FALSE))=0,NA(),INDEX(AQ$14:AQ$37,MATCH($B243,$B$14:$B$37,FALSE))/INDEX($F$206:$F$229,MATCH($B243,$B$206:$B$229,FALSE))),NA()),NA())</f>
        <v>#N/A</v>
      </c>
      <c r="AS243" s="65" t="e">
        <f>IF(AR51=1,IF(AR$13&lt;=COUNT($C23:$CS23),IF(INDEX($F$206:$F$229,MATCH($B243,$B$206:$B$229,FALSE))=0,NA(),INDEX(AR$14:AR$37,MATCH($B243,$B$14:$B$37,FALSE))/INDEX($F$206:$F$229,MATCH($B243,$B$206:$B$229,FALSE))),NA()),NA())</f>
        <v>#N/A</v>
      </c>
      <c r="AT243" s="65" t="e">
        <f>IF(AS51=1,IF(AS$13&lt;=COUNT($C23:$CS23),IF(INDEX($F$206:$F$229,MATCH($B243,$B$206:$B$229,FALSE))=0,NA(),INDEX(AS$14:AS$37,MATCH($B243,$B$14:$B$37,FALSE))/INDEX($F$206:$F$229,MATCH($B243,$B$206:$B$229,FALSE))),NA()),NA())</f>
        <v>#N/A</v>
      </c>
      <c r="AU243" s="65" t="e">
        <f>IF(AT51=1,IF(AT$13&lt;=COUNT($C23:$CS23),IF(INDEX($F$206:$F$229,MATCH($B243,$B$206:$B$229,FALSE))=0,NA(),INDEX(AT$14:AT$37,MATCH($B243,$B$14:$B$37,FALSE))/INDEX($F$206:$F$229,MATCH($B243,$B$206:$B$229,FALSE))),NA()),NA())</f>
        <v>#N/A</v>
      </c>
      <c r="AV243" s="65" t="e">
        <f>IF(AU51=1,IF(AU$13&lt;=COUNT($C23:$CS23),IF(INDEX($F$206:$F$229,MATCH($B243,$B$206:$B$229,FALSE))=0,NA(),INDEX(AU$14:AU$37,MATCH($B243,$B$14:$B$37,FALSE))/INDEX($F$206:$F$229,MATCH($B243,$B$206:$B$229,FALSE))),NA()),NA())</f>
        <v>#N/A</v>
      </c>
      <c r="AW243" s="65" t="e">
        <f>IF(AV51=1,IF(AV$13&lt;=COUNT($C23:$CS23),IF(INDEX($F$206:$F$229,MATCH($B243,$B$206:$B$229,FALSE))=0,NA(),INDEX(AV$14:AV$37,MATCH($B243,$B$14:$B$37,FALSE))/INDEX($F$206:$F$229,MATCH($B243,$B$206:$B$229,FALSE))),NA()),NA())</f>
        <v>#N/A</v>
      </c>
      <c r="AX243" s="65" t="e">
        <f>IF(AW51=1,IF(AW$13&lt;=COUNT($C23:$CS23),IF(INDEX($F$206:$F$229,MATCH($B243,$B$206:$B$229,FALSE))=0,NA(),INDEX(AW$14:AW$37,MATCH($B243,$B$14:$B$37,FALSE))/INDEX($F$206:$F$229,MATCH($B243,$B$206:$B$229,FALSE))),NA()),NA())</f>
        <v>#N/A</v>
      </c>
      <c r="AY243" s="65" t="e">
        <f>IF(AX51=1,IF(AX$13&lt;=COUNT($C23:$CS23),IF(INDEX($F$206:$F$229,MATCH($B243,$B$206:$B$229,FALSE))=0,NA(),INDEX(AX$14:AX$37,MATCH($B243,$B$14:$B$37,FALSE))/INDEX($F$206:$F$229,MATCH($B243,$B$206:$B$229,FALSE))),NA()),NA())</f>
        <v>#N/A</v>
      </c>
      <c r="AZ243" s="65" t="e">
        <f>IF(AY51=1,IF(AY$13&lt;=COUNT($C23:$CS23),IF(INDEX($F$206:$F$229,MATCH($B243,$B$206:$B$229,FALSE))=0,NA(),INDEX(AY$14:AY$37,MATCH($B243,$B$14:$B$37,FALSE))/INDEX($F$206:$F$229,MATCH($B243,$B$206:$B$229,FALSE))),NA()),NA())</f>
        <v>#N/A</v>
      </c>
      <c r="BA243" s="65" t="e">
        <f>IF(AZ51=1,IF(AZ$13&lt;=COUNT($C23:$CS23),IF(INDEX($F$206:$F$229,MATCH($B243,$B$206:$B$229,FALSE))=0,NA(),INDEX(AZ$14:AZ$37,MATCH($B243,$B$14:$B$37,FALSE))/INDEX($F$206:$F$229,MATCH($B243,$B$206:$B$229,FALSE))),NA()),NA())</f>
        <v>#N/A</v>
      </c>
      <c r="BB243" s="65" t="e">
        <f>IF(BA51=1,IF(BA$13&lt;=COUNT($C23:$CS23),IF(INDEX($F$206:$F$229,MATCH($B243,$B$206:$B$229,FALSE))=0,NA(),INDEX(BA$14:BA$37,MATCH($B243,$B$14:$B$37,FALSE))/INDEX($F$206:$F$229,MATCH($B243,$B$206:$B$229,FALSE))),NA()),NA())</f>
        <v>#N/A</v>
      </c>
      <c r="BC243" s="65" t="e">
        <f>IF(BB51=1,IF(BB$13&lt;=COUNT($C23:$CS23),IF(INDEX($F$206:$F$229,MATCH($B243,$B$206:$B$229,FALSE))=0,NA(),INDEX(BB$14:BB$37,MATCH($B243,$B$14:$B$37,FALSE))/INDEX($F$206:$F$229,MATCH($B243,$B$206:$B$229,FALSE))),NA()),NA())</f>
        <v>#N/A</v>
      </c>
      <c r="BD243" s="65" t="e">
        <f>IF(BC51=1,IF(BC$13&lt;=COUNT($C23:$CS23),IF(INDEX($F$206:$F$229,MATCH($B243,$B$206:$B$229,FALSE))=0,NA(),INDEX(BC$14:BC$37,MATCH($B243,$B$14:$B$37,FALSE))/INDEX($F$206:$F$229,MATCH($B243,$B$206:$B$229,FALSE))),NA()),NA())</f>
        <v>#N/A</v>
      </c>
      <c r="BE243" s="65" t="e">
        <f>IF(BD51=1,IF(BD$13&lt;=COUNT($C23:$CS23),IF(INDEX($F$206:$F$229,MATCH($B243,$B$206:$B$229,FALSE))=0,NA(),INDEX(BD$14:BD$37,MATCH($B243,$B$14:$B$37,FALSE))/INDEX($F$206:$F$229,MATCH($B243,$B$206:$B$229,FALSE))),NA()),NA())</f>
        <v>#N/A</v>
      </c>
      <c r="BF243" s="65" t="e">
        <f>IF(BE51=1,IF(BE$13&lt;=COUNT($C23:$CS23),IF(INDEX($F$206:$F$229,MATCH($B243,$B$206:$B$229,FALSE))=0,NA(),INDEX(BE$14:BE$37,MATCH($B243,$B$14:$B$37,FALSE))/INDEX($F$206:$F$229,MATCH($B243,$B$206:$B$229,FALSE))),NA()),NA())</f>
        <v>#N/A</v>
      </c>
      <c r="BG243" s="65" t="e">
        <f>IF(BF51=1,IF(BF$13&lt;=COUNT($C23:$CS23),IF(INDEX($F$206:$F$229,MATCH($B243,$B$206:$B$229,FALSE))=0,NA(),INDEX(BF$14:BF$37,MATCH($B243,$B$14:$B$37,FALSE))/INDEX($F$206:$F$229,MATCH($B243,$B$206:$B$229,FALSE))),NA()),NA())</f>
        <v>#N/A</v>
      </c>
      <c r="BH243" s="65" t="e">
        <f>IF(BG51=1,IF(BG$13&lt;=COUNT($C23:$CS23),IF(INDEX($F$206:$F$229,MATCH($B243,$B$206:$B$229,FALSE))=0,NA(),INDEX(BG$14:BG$37,MATCH($B243,$B$14:$B$37,FALSE))/INDEX($F$206:$F$229,MATCH($B243,$B$206:$B$229,FALSE))),NA()),NA())</f>
        <v>#N/A</v>
      </c>
      <c r="BI243" s="65" t="e">
        <f>IF(BH51=1,IF(BH$13&lt;=COUNT($C23:$CS23),IF(INDEX($F$206:$F$229,MATCH($B243,$B$206:$B$229,FALSE))=0,NA(),INDEX(BH$14:BH$37,MATCH($B243,$B$14:$B$37,FALSE))/INDEX($F$206:$F$229,MATCH($B243,$B$206:$B$229,FALSE))),NA()),NA())</f>
        <v>#N/A</v>
      </c>
      <c r="BJ243" s="65" t="e">
        <f>IF(BI51=1,IF(BI$13&lt;=COUNT($C23:$CS23),IF(INDEX($F$206:$F$229,MATCH($B243,$B$206:$B$229,FALSE))=0,NA(),INDEX(BI$14:BI$37,MATCH($B243,$B$14:$B$37,FALSE))/INDEX($F$206:$F$229,MATCH($B243,$B$206:$B$229,FALSE))),NA()),NA())</f>
        <v>#N/A</v>
      </c>
      <c r="BK243" s="65" t="e">
        <f>IF(BJ51=1,IF(BJ$13&lt;=COUNT($C23:$CS23),IF(INDEX($F$206:$F$229,MATCH($B243,$B$206:$B$229,FALSE))=0,NA(),INDEX(BJ$14:BJ$37,MATCH($B243,$B$14:$B$37,FALSE))/INDEX($F$206:$F$229,MATCH($B243,$B$206:$B$229,FALSE))),NA()),NA())</f>
        <v>#N/A</v>
      </c>
      <c r="BL243" s="65" t="e">
        <f>IF(BK51=1,IF(BK$13&lt;=COUNT($C23:$CS23),IF(INDEX($F$206:$F$229,MATCH($B243,$B$206:$B$229,FALSE))=0,NA(),INDEX(BK$14:BK$37,MATCH($B243,$B$14:$B$37,FALSE))/INDEX($F$206:$F$229,MATCH($B243,$B$206:$B$229,FALSE))),NA()),NA())</f>
        <v>#N/A</v>
      </c>
      <c r="BM243" s="65" t="e">
        <f>IF(BL51=1,IF(BL$13&lt;=COUNT($C23:$CS23),IF(INDEX($F$206:$F$229,MATCH($B243,$B$206:$B$229,FALSE))=0,NA(),INDEX(BL$14:BL$37,MATCH($B243,$B$14:$B$37,FALSE))/INDEX($F$206:$F$229,MATCH($B243,$B$206:$B$229,FALSE))),NA()),NA())</f>
        <v>#N/A</v>
      </c>
      <c r="BN243" s="65" t="e">
        <f>IF(BM51=1,IF(BM$13&lt;=COUNT($C23:$CS23),IF(INDEX($F$206:$F$229,MATCH($B243,$B$206:$B$229,FALSE))=0,NA(),INDEX(BM$14:BM$37,MATCH($B243,$B$14:$B$37,FALSE))/INDEX($F$206:$F$229,MATCH($B243,$B$206:$B$229,FALSE))),NA()),NA())</f>
        <v>#N/A</v>
      </c>
      <c r="BO243" s="65" t="e">
        <f>IF(BN51=1,IF(BN$13&lt;=COUNT($C23:$CS23),IF(INDEX($F$206:$F$229,MATCH($B243,$B$206:$B$229,FALSE))=0,NA(),INDEX(BN$14:BN$37,MATCH($B243,$B$14:$B$37,FALSE))/INDEX($F$206:$F$229,MATCH($B243,$B$206:$B$229,FALSE))),NA()),NA())</f>
        <v>#N/A</v>
      </c>
      <c r="BP243" s="65" t="e">
        <f>IF(BO51=1,IF(BO$13&lt;=COUNT($C23:$CS23),IF(INDEX($F$206:$F$229,MATCH($B243,$B$206:$B$229,FALSE))=0,NA(),INDEX(BO$14:BO$37,MATCH($B243,$B$14:$B$37,FALSE))/INDEX($F$206:$F$229,MATCH($B243,$B$206:$B$229,FALSE))),NA()),NA())</f>
        <v>#N/A</v>
      </c>
      <c r="BQ243" s="65" t="e">
        <f>IF(BP51=1,IF(BP$13&lt;=COUNT($C23:$CS23),IF(INDEX($F$206:$F$229,MATCH($B243,$B$206:$B$229,FALSE))=0,NA(),INDEX(BP$14:BP$37,MATCH($B243,$B$14:$B$37,FALSE))/INDEX($F$206:$F$229,MATCH($B243,$B$206:$B$229,FALSE))),NA()),NA())</f>
        <v>#N/A</v>
      </c>
      <c r="BR243" s="65" t="e">
        <f>IF(BQ51=1,IF(BQ$13&lt;=COUNT($C23:$CS23),IF(INDEX($F$206:$F$229,MATCH($B243,$B$206:$B$229,FALSE))=0,NA(),INDEX(BQ$14:BQ$37,MATCH($B243,$B$14:$B$37,FALSE))/INDEX($F$206:$F$229,MATCH($B243,$B$206:$B$229,FALSE))),NA()),NA())</f>
        <v>#N/A</v>
      </c>
      <c r="BS243" s="65" t="e">
        <f>IF(BR51=1,IF(BR$13&lt;=COUNT($C23:$CS23),IF(INDEX($F$206:$F$229,MATCH($B243,$B$206:$B$229,FALSE))=0,NA(),INDEX(BR$14:BR$37,MATCH($B243,$B$14:$B$37,FALSE))/INDEX($F$206:$F$229,MATCH($B243,$B$206:$B$229,FALSE))),NA()),NA())</f>
        <v>#N/A</v>
      </c>
      <c r="BT243" s="65" t="e">
        <f>IF(BS51=1,IF(BS$13&lt;=COUNT($C23:$CS23),IF(INDEX($F$206:$F$229,MATCH($B243,$B$206:$B$229,FALSE))=0,NA(),INDEX(BS$14:BS$37,MATCH($B243,$B$14:$B$37,FALSE))/INDEX($F$206:$F$229,MATCH($B243,$B$206:$B$229,FALSE))),NA()),NA())</f>
        <v>#N/A</v>
      </c>
      <c r="BU243" s="65" t="e">
        <f>IF(BT51=1,IF(BT$13&lt;=COUNT($C23:$CS23),IF(INDEX($F$206:$F$229,MATCH($B243,$B$206:$B$229,FALSE))=0,NA(),INDEX(BT$14:BT$37,MATCH($B243,$B$14:$B$37,FALSE))/INDEX($F$206:$F$229,MATCH($B243,$B$206:$B$229,FALSE))),NA()),NA())</f>
        <v>#N/A</v>
      </c>
      <c r="BV243" s="65" t="e">
        <f>IF(BU51=1,IF(BU$13&lt;=COUNT($C23:$CS23),IF(INDEX($F$206:$F$229,MATCH($B243,$B$206:$B$229,FALSE))=0,NA(),INDEX(BU$14:BU$37,MATCH($B243,$B$14:$B$37,FALSE))/INDEX($F$206:$F$229,MATCH($B243,$B$206:$B$229,FALSE))),NA()),NA())</f>
        <v>#N/A</v>
      </c>
      <c r="BW243" s="65" t="e">
        <f>IF(BV51=1,IF(BV$13&lt;=COUNT($C23:$CS23),IF(INDEX($F$206:$F$229,MATCH($B243,$B$206:$B$229,FALSE))=0,NA(),INDEX(BV$14:BV$37,MATCH($B243,$B$14:$B$37,FALSE))/INDEX($F$206:$F$229,MATCH($B243,$B$206:$B$229,FALSE))),NA()),NA())</f>
        <v>#N/A</v>
      </c>
      <c r="BX243" s="65" t="e">
        <f>IF(BW51=1,IF(BW$13&lt;=COUNT($C23:$CS23),IF(INDEX($F$206:$F$229,MATCH($B243,$B$206:$B$229,FALSE))=0,NA(),INDEX(BW$14:BW$37,MATCH($B243,$B$14:$B$37,FALSE))/INDEX($F$206:$F$229,MATCH($B243,$B$206:$B$229,FALSE))),NA()),NA())</f>
        <v>#N/A</v>
      </c>
      <c r="BY243" s="65" t="e">
        <f>IF(BX51=1,IF(BX$13&lt;=COUNT($C23:$CS23),IF(INDEX($F$206:$F$229,MATCH($B243,$B$206:$B$229,FALSE))=0,NA(),INDEX(BX$14:BX$37,MATCH($B243,$B$14:$B$37,FALSE))/INDEX($F$206:$F$229,MATCH($B243,$B$206:$B$229,FALSE))),NA()),NA())</f>
        <v>#N/A</v>
      </c>
      <c r="BZ243" s="65" t="e">
        <f>IF(BY51=1,IF(BY$13&lt;=COUNT($C23:$CS23),IF(INDEX($F$206:$F$229,MATCH($B243,$B$206:$B$229,FALSE))=0,NA(),INDEX(BY$14:BY$37,MATCH($B243,$B$14:$B$37,FALSE))/INDEX($F$206:$F$229,MATCH($B243,$B$206:$B$229,FALSE))),NA()),NA())</f>
        <v>#N/A</v>
      </c>
      <c r="CA243" s="65" t="e">
        <f>IF(BZ51=1,IF(BZ$13&lt;=COUNT($C23:$CS23),IF(INDEX($F$206:$F$229,MATCH($B243,$B$206:$B$229,FALSE))=0,NA(),INDEX(BZ$14:BZ$37,MATCH($B243,$B$14:$B$37,FALSE))/INDEX($F$206:$F$229,MATCH($B243,$B$206:$B$229,FALSE))),NA()),NA())</f>
        <v>#N/A</v>
      </c>
      <c r="CB243" s="65" t="e">
        <f>IF(CA51=1,IF(CA$13&lt;=COUNT($C23:$CS23),IF(INDEX($F$206:$F$229,MATCH($B243,$B$206:$B$229,FALSE))=0,NA(),INDEX(CA$14:CA$37,MATCH($B243,$B$14:$B$37,FALSE))/INDEX($F$206:$F$229,MATCH($B243,$B$206:$B$229,FALSE))),NA()),NA())</f>
        <v>#N/A</v>
      </c>
      <c r="CC243" s="65" t="e">
        <f>IF(CB51=1,IF(CB$13&lt;=COUNT($C23:$CS23),IF(INDEX($F$206:$F$229,MATCH($B243,$B$206:$B$229,FALSE))=0,NA(),INDEX(CB$14:CB$37,MATCH($B243,$B$14:$B$37,FALSE))/INDEX($F$206:$F$229,MATCH($B243,$B$206:$B$229,FALSE))),NA()),NA())</f>
        <v>#N/A</v>
      </c>
      <c r="CD243" s="65" t="e">
        <f>IF(CC51=1,IF(CC$13&lt;=COUNT($C23:$CS23),IF(INDEX($F$206:$F$229,MATCH($B243,$B$206:$B$229,FALSE))=0,NA(),INDEX(CC$14:CC$37,MATCH($B243,$B$14:$B$37,FALSE))/INDEX($F$206:$F$229,MATCH($B243,$B$206:$B$229,FALSE))),NA()),NA())</f>
        <v>#N/A</v>
      </c>
      <c r="CE243" s="65" t="e">
        <f>IF(CD51=1,IF(CD$13&lt;=COUNT($C23:$CS23),IF(INDEX($F$206:$F$229,MATCH($B243,$B$206:$B$229,FALSE))=0,NA(),INDEX(CD$14:CD$37,MATCH($B243,$B$14:$B$37,FALSE))/INDEX($F$206:$F$229,MATCH($B243,$B$206:$B$229,FALSE))),NA()),NA())</f>
        <v>#N/A</v>
      </c>
      <c r="CF243" s="65" t="e">
        <f>IF(CE51=1,IF(CE$13&lt;=COUNT($C23:$CS23),IF(INDEX($F$206:$F$229,MATCH($B243,$B$206:$B$229,FALSE))=0,NA(),INDEX(CE$14:CE$37,MATCH($B243,$B$14:$B$37,FALSE))/INDEX($F$206:$F$229,MATCH($B243,$B$206:$B$229,FALSE))),NA()),NA())</f>
        <v>#N/A</v>
      </c>
      <c r="CG243" s="65" t="e">
        <f>IF(CF51=1,IF(CF$13&lt;=COUNT($C23:$CS23),IF(INDEX($F$206:$F$229,MATCH($B243,$B$206:$B$229,FALSE))=0,NA(),INDEX(CF$14:CF$37,MATCH($B243,$B$14:$B$37,FALSE))/INDEX($F$206:$F$229,MATCH($B243,$B$206:$B$229,FALSE))),NA()),NA())</f>
        <v>#N/A</v>
      </c>
      <c r="CH243" s="65" t="e">
        <f>IF(CG51=1,IF(CG$13&lt;=COUNT($C23:$CS23),IF(INDEX($F$206:$F$229,MATCH($B243,$B$206:$B$229,FALSE))=0,NA(),INDEX(CG$14:CG$37,MATCH($B243,$B$14:$B$37,FALSE))/INDEX($F$206:$F$229,MATCH($B243,$B$206:$B$229,FALSE))),NA()),NA())</f>
        <v>#N/A</v>
      </c>
      <c r="CI243" s="65" t="e">
        <f>IF(CH51=1,IF(CH$13&lt;=COUNT($C23:$CS23),IF(INDEX($F$206:$F$229,MATCH($B243,$B$206:$B$229,FALSE))=0,NA(),INDEX(CH$14:CH$37,MATCH($B243,$B$14:$B$37,FALSE))/INDEX($F$206:$F$229,MATCH($B243,$B$206:$B$229,FALSE))),NA()),NA())</f>
        <v>#N/A</v>
      </c>
      <c r="CJ243" s="65" t="e">
        <f>IF(CI51=1,IF(CI$13&lt;=COUNT($C23:$CS23),IF(INDEX($F$206:$F$229,MATCH($B243,$B$206:$B$229,FALSE))=0,NA(),INDEX(CI$14:CI$37,MATCH($B243,$B$14:$B$37,FALSE))/INDEX($F$206:$F$229,MATCH($B243,$B$206:$B$229,FALSE))),NA()),NA())</f>
        <v>#N/A</v>
      </c>
      <c r="CK243" s="65" t="e">
        <f>IF(CJ51=1,IF(CJ$13&lt;=COUNT($C23:$CS23),IF(INDEX($F$206:$F$229,MATCH($B243,$B$206:$B$229,FALSE))=0,NA(),INDEX(CJ$14:CJ$37,MATCH($B243,$B$14:$B$37,FALSE))/INDEX($F$206:$F$229,MATCH($B243,$B$206:$B$229,FALSE))),NA()),NA())</f>
        <v>#N/A</v>
      </c>
      <c r="CL243" s="65" t="e">
        <f>IF(CK51=1,IF(CK$13&lt;=COUNT($C23:$CS23),IF(INDEX($F$206:$F$229,MATCH($B243,$B$206:$B$229,FALSE))=0,NA(),INDEX(CK$14:CK$37,MATCH($B243,$B$14:$B$37,FALSE))/INDEX($F$206:$F$229,MATCH($B243,$B$206:$B$229,FALSE))),NA()),NA())</f>
        <v>#N/A</v>
      </c>
      <c r="CM243" s="65" t="e">
        <f>IF(CL51=1,IF(CL$13&lt;=COUNT($C23:$CS23),IF(INDEX($F$206:$F$229,MATCH($B243,$B$206:$B$229,FALSE))=0,NA(),INDEX(CL$14:CL$37,MATCH($B243,$B$14:$B$37,FALSE))/INDEX($F$206:$F$229,MATCH($B243,$B$206:$B$229,FALSE))),NA()),NA())</f>
        <v>#N/A</v>
      </c>
      <c r="CN243" s="65" t="e">
        <f>IF(CM51=1,IF(CM$13&lt;=COUNT($C23:$CS23),IF(INDEX($F$206:$F$229,MATCH($B243,$B$206:$B$229,FALSE))=0,NA(),INDEX(CM$14:CM$37,MATCH($B243,$B$14:$B$37,FALSE))/INDEX($F$206:$F$229,MATCH($B243,$B$206:$B$229,FALSE))),NA()),NA())</f>
        <v>#N/A</v>
      </c>
      <c r="CO243" s="65" t="e">
        <f>IF(CN51=1,IF(CN$13&lt;=COUNT($C23:$CS23),IF(INDEX($F$206:$F$229,MATCH($B243,$B$206:$B$229,FALSE))=0,NA(),INDEX(CN$14:CN$37,MATCH($B243,$B$14:$B$37,FALSE))/INDEX($F$206:$F$229,MATCH($B243,$B$206:$B$229,FALSE))),NA()),NA())</f>
        <v>#N/A</v>
      </c>
      <c r="CP243" s="65" t="e">
        <f>IF(CO51=1,IF(CO$13&lt;=COUNT($C23:$CS23),IF(INDEX($F$206:$F$229,MATCH($B243,$B$206:$B$229,FALSE))=0,NA(),INDEX(CO$14:CO$37,MATCH($B243,$B$14:$B$37,FALSE))/INDEX($F$206:$F$229,MATCH($B243,$B$206:$B$229,FALSE))),NA()),NA())</f>
        <v>#N/A</v>
      </c>
      <c r="CQ243" s="65" t="e">
        <f>IF(CP51=1,IF(CP$13&lt;=COUNT($C23:$CS23),IF(INDEX($F$206:$F$229,MATCH($B243,$B$206:$B$229,FALSE))=0,NA(),INDEX(CP$14:CP$37,MATCH($B243,$B$14:$B$37,FALSE))/INDEX($F$206:$F$229,MATCH($B243,$B$206:$B$229,FALSE))),NA()),NA())</f>
        <v>#N/A</v>
      </c>
      <c r="CR243" s="65" t="e">
        <f>IF(CQ51=1,IF(CQ$13&lt;=COUNT($C23:$CS23),IF(INDEX($F$206:$F$229,MATCH($B243,$B$206:$B$229,FALSE))=0,NA(),INDEX(CQ$14:CQ$37,MATCH($B243,$B$14:$B$37,FALSE))/INDEX($F$206:$F$229,MATCH($B243,$B$206:$B$229,FALSE))),NA()),NA())</f>
        <v>#N/A</v>
      </c>
      <c r="CS243" s="65" t="e">
        <f>IF(CR51=1,IF(CR$13&lt;=COUNT($C23:$CS23),IF(INDEX($F$206:$F$229,MATCH($B243,$B$206:$B$229,FALSE))=0,NA(),INDEX(CR$14:CR$37,MATCH($B243,$B$14:$B$37,FALSE))/INDEX($F$206:$F$229,MATCH($B243,$B$206:$B$229,FALSE))),NA()),NA())</f>
        <v>#N/A</v>
      </c>
      <c r="CT243" s="49"/>
      <c r="CU243" s="49"/>
      <c r="CV243" s="49"/>
      <c r="CW243" s="49"/>
    </row>
    <row r="244" spans="1:101" x14ac:dyDescent="0.25">
      <c r="A244" s="97">
        <f t="shared" si="352"/>
        <v>0</v>
      </c>
      <c r="B244" s="29">
        <f t="shared" si="351"/>
        <v>2006</v>
      </c>
      <c r="C244" s="154" t="str">
        <f t="shared" si="353"/>
        <v/>
      </c>
      <c r="D244" s="54" t="e">
        <f>IF(C52=1,IF(C$13&lt;=COUNT($C24:$CS24),IF(INDEX($F$206:$F$229,MATCH($B244,$B$206:$B$229,FALSE))=0,NA(),INDEX(C$14:C$37,MATCH($B244,$B$14:$B$37,FALSE))/INDEX($F$206:$F$229,MATCH($B244,$B$206:$B$229,FALSE))),NA()),NA())</f>
        <v>#N/A</v>
      </c>
      <c r="E244" s="65" t="e">
        <f>IF(D52=1,IF(D$13&lt;=COUNT($C24:$CS24),IF(INDEX($F$206:$F$229,MATCH($B244,$B$206:$B$229,FALSE))=0,NA(),INDEX(D$14:D$37,MATCH($B244,$B$14:$B$37,FALSE))/INDEX($F$206:$F$229,MATCH($B244,$B$206:$B$229,FALSE))),NA()),NA())</f>
        <v>#N/A</v>
      </c>
      <c r="F244" s="65" t="e">
        <f>IF(E52=1,IF(E$13&lt;=COUNT($C24:$CS24),IF(INDEX($F$206:$F$229,MATCH($B244,$B$206:$B$229,FALSE))=0,NA(),INDEX(E$14:E$37,MATCH($B244,$B$14:$B$37,FALSE))/INDEX($F$206:$F$229,MATCH($B244,$B$206:$B$229,FALSE))),NA()),NA())</f>
        <v>#N/A</v>
      </c>
      <c r="G244" s="65" t="e">
        <f>IF(F52=1,IF(F$13&lt;=COUNT($C24:$CS24),IF(INDEX($F$206:$F$229,MATCH($B244,$B$206:$B$229,FALSE))=0,NA(),INDEX(F$14:F$37,MATCH($B244,$B$14:$B$37,FALSE))/INDEX($F$206:$F$229,MATCH($B244,$B$206:$B$229,FALSE))),NA()),NA())</f>
        <v>#N/A</v>
      </c>
      <c r="H244" s="65" t="e">
        <f>IF(G52=1,IF(G$13&lt;=COUNT($C24:$CS24),IF(INDEX($F$206:$F$229,MATCH($B244,$B$206:$B$229,FALSE))=0,NA(),INDEX(G$14:G$37,MATCH($B244,$B$14:$B$37,FALSE))/INDEX($F$206:$F$229,MATCH($B244,$B$206:$B$229,FALSE))),NA()),NA())</f>
        <v>#N/A</v>
      </c>
      <c r="I244" s="65" t="e">
        <f>IF(H52=1,IF(H$13&lt;=COUNT($C24:$CS24),IF(INDEX($F$206:$F$229,MATCH($B244,$B$206:$B$229,FALSE))=0,NA(),INDEX(H$14:H$37,MATCH($B244,$B$14:$B$37,FALSE))/INDEX($F$206:$F$229,MATCH($B244,$B$206:$B$229,FALSE))),NA()),NA())</f>
        <v>#N/A</v>
      </c>
      <c r="J244" s="65" t="e">
        <f>IF(I52=1,IF(I$13&lt;=COUNT($C24:$CS24),IF(INDEX($F$206:$F$229,MATCH($B244,$B$206:$B$229,FALSE))=0,NA(),INDEX(I$14:I$37,MATCH($B244,$B$14:$B$37,FALSE))/INDEX($F$206:$F$229,MATCH($B244,$B$206:$B$229,FALSE))),NA()),NA())</f>
        <v>#N/A</v>
      </c>
      <c r="K244" s="65" t="e">
        <f>IF(J52=1,IF(J$13&lt;=COUNT($C24:$CS24),IF(INDEX($F$206:$F$229,MATCH($B244,$B$206:$B$229,FALSE))=0,NA(),INDEX(J$14:J$37,MATCH($B244,$B$14:$B$37,FALSE))/INDEX($F$206:$F$229,MATCH($B244,$B$206:$B$229,FALSE))),NA()),NA())</f>
        <v>#N/A</v>
      </c>
      <c r="L244" s="65" t="e">
        <f>IF(K52=1,IF(K$13&lt;=COUNT($C24:$CS24),IF(INDEX($F$206:$F$229,MATCH($B244,$B$206:$B$229,FALSE))=0,NA(),INDEX(K$14:K$37,MATCH($B244,$B$14:$B$37,FALSE))/INDEX($F$206:$F$229,MATCH($B244,$B$206:$B$229,FALSE))),NA()),NA())</f>
        <v>#N/A</v>
      </c>
      <c r="M244" s="65" t="e">
        <f>IF(L52=1,IF(L$13&lt;=COUNT($C24:$CS24),IF(INDEX($F$206:$F$229,MATCH($B244,$B$206:$B$229,FALSE))=0,NA(),INDEX(L$14:L$37,MATCH($B244,$B$14:$B$37,FALSE))/INDEX($F$206:$F$229,MATCH($B244,$B$206:$B$229,FALSE))),NA()),NA())</f>
        <v>#N/A</v>
      </c>
      <c r="N244" s="65" t="e">
        <f>IF(M52=1,IF(M$13&lt;=COUNT($C24:$CS24),IF(INDEX($F$206:$F$229,MATCH($B244,$B$206:$B$229,FALSE))=0,NA(),INDEX(M$14:M$37,MATCH($B244,$B$14:$B$37,FALSE))/INDEX($F$206:$F$229,MATCH($B244,$B$206:$B$229,FALSE))),NA()),NA())</f>
        <v>#N/A</v>
      </c>
      <c r="O244" s="65" t="e">
        <f>IF(N52=1,IF(N$13&lt;=COUNT($C24:$CS24),IF(INDEX($F$206:$F$229,MATCH($B244,$B$206:$B$229,FALSE))=0,NA(),INDEX(N$14:N$37,MATCH($B244,$B$14:$B$37,FALSE))/INDEX($F$206:$F$229,MATCH($B244,$B$206:$B$229,FALSE))),NA()),NA())</f>
        <v>#N/A</v>
      </c>
      <c r="P244" s="65" t="e">
        <f>IF(O52=1,IF(O$13&lt;=COUNT($C24:$CS24),IF(INDEX($F$206:$F$229,MATCH($B244,$B$206:$B$229,FALSE))=0,NA(),INDEX(O$14:O$37,MATCH($B244,$B$14:$B$37,FALSE))/INDEX($F$206:$F$229,MATCH($B244,$B$206:$B$229,FALSE))),NA()),NA())</f>
        <v>#N/A</v>
      </c>
      <c r="Q244" s="65" t="e">
        <f>IF(P52=1,IF(P$13&lt;=COUNT($C24:$CS24),IF(INDEX($F$206:$F$229,MATCH($B244,$B$206:$B$229,FALSE))=0,NA(),INDEX(P$14:P$37,MATCH($B244,$B$14:$B$37,FALSE))/INDEX($F$206:$F$229,MATCH($B244,$B$206:$B$229,FALSE))),NA()),NA())</f>
        <v>#N/A</v>
      </c>
      <c r="R244" s="65" t="e">
        <f>IF(Q52=1,IF(Q$13&lt;=COUNT($C24:$CS24),IF(INDEX($F$206:$F$229,MATCH($B244,$B$206:$B$229,FALSE))=0,NA(),INDEX(Q$14:Q$37,MATCH($B244,$B$14:$B$37,FALSE))/INDEX($F$206:$F$229,MATCH($B244,$B$206:$B$229,FALSE))),NA()),NA())</f>
        <v>#N/A</v>
      </c>
      <c r="S244" s="65" t="e">
        <f>IF(R52=1,IF(R$13&lt;=COUNT($C24:$CS24),IF(INDEX($F$206:$F$229,MATCH($B244,$B$206:$B$229,FALSE))=0,NA(),INDEX(R$14:R$37,MATCH($B244,$B$14:$B$37,FALSE))/INDEX($F$206:$F$229,MATCH($B244,$B$206:$B$229,FALSE))),NA()),NA())</f>
        <v>#N/A</v>
      </c>
      <c r="T244" s="65" t="e">
        <f>IF(S52=1,IF(S$13&lt;=COUNT($C24:$CS24),IF(INDEX($F$206:$F$229,MATCH($B244,$B$206:$B$229,FALSE))=0,NA(),INDEX(S$14:S$37,MATCH($B244,$B$14:$B$37,FALSE))/INDEX($F$206:$F$229,MATCH($B244,$B$206:$B$229,FALSE))),NA()),NA())</f>
        <v>#N/A</v>
      </c>
      <c r="U244" s="65" t="e">
        <f>IF(T52=1,IF(T$13&lt;=COUNT($C24:$CS24),IF(INDEX($F$206:$F$229,MATCH($B244,$B$206:$B$229,FALSE))=0,NA(),INDEX(T$14:T$37,MATCH($B244,$B$14:$B$37,FALSE))/INDEX($F$206:$F$229,MATCH($B244,$B$206:$B$229,FALSE))),NA()),NA())</f>
        <v>#N/A</v>
      </c>
      <c r="V244" s="65" t="e">
        <f>IF(U52=1,IF(U$13&lt;=COUNT($C24:$CS24),IF(INDEX($F$206:$F$229,MATCH($B244,$B$206:$B$229,FALSE))=0,NA(),INDEX(U$14:U$37,MATCH($B244,$B$14:$B$37,FALSE))/INDEX($F$206:$F$229,MATCH($B244,$B$206:$B$229,FALSE))),NA()),NA())</f>
        <v>#N/A</v>
      </c>
      <c r="W244" s="65" t="e">
        <f>IF(V52=1,IF(V$13&lt;=COUNT($C24:$CS24),IF(INDEX($F$206:$F$229,MATCH($B244,$B$206:$B$229,FALSE))=0,NA(),INDEX(V$14:V$37,MATCH($B244,$B$14:$B$37,FALSE))/INDEX($F$206:$F$229,MATCH($B244,$B$206:$B$229,FALSE))),NA()),NA())</f>
        <v>#N/A</v>
      </c>
      <c r="X244" s="65" t="e">
        <f>IF(W52=1,IF(W$13&lt;=COUNT($C24:$CS24),IF(INDEX($F$206:$F$229,MATCH($B244,$B$206:$B$229,FALSE))=0,NA(),INDEX(W$14:W$37,MATCH($B244,$B$14:$B$37,FALSE))/INDEX($F$206:$F$229,MATCH($B244,$B$206:$B$229,FALSE))),NA()),NA())</f>
        <v>#N/A</v>
      </c>
      <c r="Y244" s="65" t="e">
        <f>IF(X52=1,IF(X$13&lt;=COUNT($C24:$CS24),IF(INDEX($F$206:$F$229,MATCH($B244,$B$206:$B$229,FALSE))=0,NA(),INDEX(X$14:X$37,MATCH($B244,$B$14:$B$37,FALSE))/INDEX($F$206:$F$229,MATCH($B244,$B$206:$B$229,FALSE))),NA()),NA())</f>
        <v>#N/A</v>
      </c>
      <c r="Z244" s="65" t="e">
        <f>IF(Y52=1,IF(Y$13&lt;=COUNT($C24:$CS24),IF(INDEX($F$206:$F$229,MATCH($B244,$B$206:$B$229,FALSE))=0,NA(),INDEX(Y$14:Y$37,MATCH($B244,$B$14:$B$37,FALSE))/INDEX($F$206:$F$229,MATCH($B244,$B$206:$B$229,FALSE))),NA()),NA())</f>
        <v>#N/A</v>
      </c>
      <c r="AA244" s="65" t="e">
        <f>IF(Z52=1,IF(Z$13&lt;=COUNT($C24:$CS24),IF(INDEX($F$206:$F$229,MATCH($B244,$B$206:$B$229,FALSE))=0,NA(),INDEX(Z$14:Z$37,MATCH($B244,$B$14:$B$37,FALSE))/INDEX($F$206:$F$229,MATCH($B244,$B$206:$B$229,FALSE))),NA()),NA())</f>
        <v>#N/A</v>
      </c>
      <c r="AB244" s="65" t="e">
        <f>IF(AA52=1,IF(AA$13&lt;=COUNT($C24:$CS24),IF(INDEX($F$206:$F$229,MATCH($B244,$B$206:$B$229,FALSE))=0,NA(),INDEX(AA$14:AA$37,MATCH($B244,$B$14:$B$37,FALSE))/INDEX($F$206:$F$229,MATCH($B244,$B$206:$B$229,FALSE))),NA()),NA())</f>
        <v>#N/A</v>
      </c>
      <c r="AC244" s="65" t="e">
        <f>IF(AB52=1,IF(AB$13&lt;=COUNT($C24:$CS24),IF(INDEX($F$206:$F$229,MATCH($B244,$B$206:$B$229,FALSE))=0,NA(),INDEX(AB$14:AB$37,MATCH($B244,$B$14:$B$37,FALSE))/INDEX($F$206:$F$229,MATCH($B244,$B$206:$B$229,FALSE))),NA()),NA())</f>
        <v>#N/A</v>
      </c>
      <c r="AD244" s="65" t="e">
        <f>IF(AC52=1,IF(AC$13&lt;=COUNT($C24:$CS24),IF(INDEX($F$206:$F$229,MATCH($B244,$B$206:$B$229,FALSE))=0,NA(),INDEX(AC$14:AC$37,MATCH($B244,$B$14:$B$37,FALSE))/INDEX($F$206:$F$229,MATCH($B244,$B$206:$B$229,FALSE))),NA()),NA())</f>
        <v>#N/A</v>
      </c>
      <c r="AE244" s="65" t="e">
        <f>IF(AD52=1,IF(AD$13&lt;=COUNT($C24:$CS24),IF(INDEX($F$206:$F$229,MATCH($B244,$B$206:$B$229,FALSE))=0,NA(),INDEX(AD$14:AD$37,MATCH($B244,$B$14:$B$37,FALSE))/INDEX($F$206:$F$229,MATCH($B244,$B$206:$B$229,FALSE))),NA()),NA())</f>
        <v>#N/A</v>
      </c>
      <c r="AF244" s="65" t="e">
        <f>IF(AE52=1,IF(AE$13&lt;=COUNT($C24:$CS24),IF(INDEX($F$206:$F$229,MATCH($B244,$B$206:$B$229,FALSE))=0,NA(),INDEX(AE$14:AE$37,MATCH($B244,$B$14:$B$37,FALSE))/INDEX($F$206:$F$229,MATCH($B244,$B$206:$B$229,FALSE))),NA()),NA())</f>
        <v>#N/A</v>
      </c>
      <c r="AG244" s="65" t="e">
        <f>IF(AF52=1,IF(AF$13&lt;=COUNT($C24:$CS24),IF(INDEX($F$206:$F$229,MATCH($B244,$B$206:$B$229,FALSE))=0,NA(),INDEX(AF$14:AF$37,MATCH($B244,$B$14:$B$37,FALSE))/INDEX($F$206:$F$229,MATCH($B244,$B$206:$B$229,FALSE))),NA()),NA())</f>
        <v>#N/A</v>
      </c>
      <c r="AH244" s="65" t="e">
        <f>IF(AG52=1,IF(AG$13&lt;=COUNT($C24:$CS24),IF(INDEX($F$206:$F$229,MATCH($B244,$B$206:$B$229,FALSE))=0,NA(),INDEX(AG$14:AG$37,MATCH($B244,$B$14:$B$37,FALSE))/INDEX($F$206:$F$229,MATCH($B244,$B$206:$B$229,FALSE))),NA()),NA())</f>
        <v>#N/A</v>
      </c>
      <c r="AI244" s="65" t="e">
        <f>IF(AH52=1,IF(AH$13&lt;=COUNT($C24:$CS24),IF(INDEX($F$206:$F$229,MATCH($B244,$B$206:$B$229,FALSE))=0,NA(),INDEX(AH$14:AH$37,MATCH($B244,$B$14:$B$37,FALSE))/INDEX($F$206:$F$229,MATCH($B244,$B$206:$B$229,FALSE))),NA()),NA())</f>
        <v>#N/A</v>
      </c>
      <c r="AJ244" s="65" t="e">
        <f>IF(AI52=1,IF(AI$13&lt;=COUNT($C24:$CS24),IF(INDEX($F$206:$F$229,MATCH($B244,$B$206:$B$229,FALSE))=0,NA(),INDEX(AI$14:AI$37,MATCH($B244,$B$14:$B$37,FALSE))/INDEX($F$206:$F$229,MATCH($B244,$B$206:$B$229,FALSE))),NA()),NA())</f>
        <v>#N/A</v>
      </c>
      <c r="AK244" s="65" t="e">
        <f>IF(AJ52=1,IF(AJ$13&lt;=COUNT($C24:$CS24),IF(INDEX($F$206:$F$229,MATCH($B244,$B$206:$B$229,FALSE))=0,NA(),INDEX(AJ$14:AJ$37,MATCH($B244,$B$14:$B$37,FALSE))/INDEX($F$206:$F$229,MATCH($B244,$B$206:$B$229,FALSE))),NA()),NA())</f>
        <v>#N/A</v>
      </c>
      <c r="AL244" s="65" t="e">
        <f>IF(AK52=1,IF(AK$13&lt;=COUNT($C24:$CS24),IF(INDEX($F$206:$F$229,MATCH($B244,$B$206:$B$229,FALSE))=0,NA(),INDEX(AK$14:AK$37,MATCH($B244,$B$14:$B$37,FALSE))/INDEX($F$206:$F$229,MATCH($B244,$B$206:$B$229,FALSE))),NA()),NA())</f>
        <v>#N/A</v>
      </c>
      <c r="AM244" s="65" t="e">
        <f>IF(AL52=1,IF(AL$13&lt;=COUNT($C24:$CS24),IF(INDEX($F$206:$F$229,MATCH($B244,$B$206:$B$229,FALSE))=0,NA(),INDEX(AL$14:AL$37,MATCH($B244,$B$14:$B$37,FALSE))/INDEX($F$206:$F$229,MATCH($B244,$B$206:$B$229,FALSE))),NA()),NA())</f>
        <v>#N/A</v>
      </c>
      <c r="AN244" s="65" t="e">
        <f>IF(AM52=1,IF(AM$13&lt;=COUNT($C24:$CS24),IF(INDEX($F$206:$F$229,MATCH($B244,$B$206:$B$229,FALSE))=0,NA(),INDEX(AM$14:AM$37,MATCH($B244,$B$14:$B$37,FALSE))/INDEX($F$206:$F$229,MATCH($B244,$B$206:$B$229,FALSE))),NA()),NA())</f>
        <v>#N/A</v>
      </c>
      <c r="AO244" s="65" t="e">
        <f>IF(AN52=1,IF(AN$13&lt;=COUNT($C24:$CS24),IF(INDEX($F$206:$F$229,MATCH($B244,$B$206:$B$229,FALSE))=0,NA(),INDEX(AN$14:AN$37,MATCH($B244,$B$14:$B$37,FALSE))/INDEX($F$206:$F$229,MATCH($B244,$B$206:$B$229,FALSE))),NA()),NA())</f>
        <v>#N/A</v>
      </c>
      <c r="AP244" s="65" t="e">
        <f>IF(AO52=1,IF(AO$13&lt;=COUNT($C24:$CS24),IF(INDEX($F$206:$F$229,MATCH($B244,$B$206:$B$229,FALSE))=0,NA(),INDEX(AO$14:AO$37,MATCH($B244,$B$14:$B$37,FALSE))/INDEX($F$206:$F$229,MATCH($B244,$B$206:$B$229,FALSE))),NA()),NA())</f>
        <v>#N/A</v>
      </c>
      <c r="AQ244" s="65" t="e">
        <f>IF(AP52=1,IF(AP$13&lt;=COUNT($C24:$CS24),IF(INDEX($F$206:$F$229,MATCH($B244,$B$206:$B$229,FALSE))=0,NA(),INDEX(AP$14:AP$37,MATCH($B244,$B$14:$B$37,FALSE))/INDEX($F$206:$F$229,MATCH($B244,$B$206:$B$229,FALSE))),NA()),NA())</f>
        <v>#N/A</v>
      </c>
      <c r="AR244" s="65" t="e">
        <f>IF(AQ52=1,IF(AQ$13&lt;=COUNT($C24:$CS24),IF(INDEX($F$206:$F$229,MATCH($B244,$B$206:$B$229,FALSE))=0,NA(),INDEX(AQ$14:AQ$37,MATCH($B244,$B$14:$B$37,FALSE))/INDEX($F$206:$F$229,MATCH($B244,$B$206:$B$229,FALSE))),NA()),NA())</f>
        <v>#N/A</v>
      </c>
      <c r="AS244" s="65" t="e">
        <f>IF(AR52=1,IF(AR$13&lt;=COUNT($C24:$CS24),IF(INDEX($F$206:$F$229,MATCH($B244,$B$206:$B$229,FALSE))=0,NA(),INDEX(AR$14:AR$37,MATCH($B244,$B$14:$B$37,FALSE))/INDEX($F$206:$F$229,MATCH($B244,$B$206:$B$229,FALSE))),NA()),NA())</f>
        <v>#N/A</v>
      </c>
      <c r="AT244" s="65" t="e">
        <f>IF(AS52=1,IF(AS$13&lt;=COUNT($C24:$CS24),IF(INDEX($F$206:$F$229,MATCH($B244,$B$206:$B$229,FALSE))=0,NA(),INDEX(AS$14:AS$37,MATCH($B244,$B$14:$B$37,FALSE))/INDEX($F$206:$F$229,MATCH($B244,$B$206:$B$229,FALSE))),NA()),NA())</f>
        <v>#N/A</v>
      </c>
      <c r="AU244" s="65" t="e">
        <f>IF(AT52=1,IF(AT$13&lt;=COUNT($C24:$CS24),IF(INDEX($F$206:$F$229,MATCH($B244,$B$206:$B$229,FALSE))=0,NA(),INDEX(AT$14:AT$37,MATCH($B244,$B$14:$B$37,FALSE))/INDEX($F$206:$F$229,MATCH($B244,$B$206:$B$229,FALSE))),NA()),NA())</f>
        <v>#N/A</v>
      </c>
      <c r="AV244" s="65" t="e">
        <f>IF(AU52=1,IF(AU$13&lt;=COUNT($C24:$CS24),IF(INDEX($F$206:$F$229,MATCH($B244,$B$206:$B$229,FALSE))=0,NA(),INDEX(AU$14:AU$37,MATCH($B244,$B$14:$B$37,FALSE))/INDEX($F$206:$F$229,MATCH($B244,$B$206:$B$229,FALSE))),NA()),NA())</f>
        <v>#N/A</v>
      </c>
      <c r="AW244" s="65" t="e">
        <f>IF(AV52=1,IF(AV$13&lt;=COUNT($C24:$CS24),IF(INDEX($F$206:$F$229,MATCH($B244,$B$206:$B$229,FALSE))=0,NA(),INDEX(AV$14:AV$37,MATCH($B244,$B$14:$B$37,FALSE))/INDEX($F$206:$F$229,MATCH($B244,$B$206:$B$229,FALSE))),NA()),NA())</f>
        <v>#N/A</v>
      </c>
      <c r="AX244" s="65" t="e">
        <f>IF(AW52=1,IF(AW$13&lt;=COUNT($C24:$CS24),IF(INDEX($F$206:$F$229,MATCH($B244,$B$206:$B$229,FALSE))=0,NA(),INDEX(AW$14:AW$37,MATCH($B244,$B$14:$B$37,FALSE))/INDEX($F$206:$F$229,MATCH($B244,$B$206:$B$229,FALSE))),NA()),NA())</f>
        <v>#N/A</v>
      </c>
      <c r="AY244" s="65" t="e">
        <f>IF(AX52=1,IF(AX$13&lt;=COUNT($C24:$CS24),IF(INDEX($F$206:$F$229,MATCH($B244,$B$206:$B$229,FALSE))=0,NA(),INDEX(AX$14:AX$37,MATCH($B244,$B$14:$B$37,FALSE))/INDEX($F$206:$F$229,MATCH($B244,$B$206:$B$229,FALSE))),NA()),NA())</f>
        <v>#N/A</v>
      </c>
      <c r="AZ244" s="65" t="e">
        <f>IF(AY52=1,IF(AY$13&lt;=COUNT($C24:$CS24),IF(INDEX($F$206:$F$229,MATCH($B244,$B$206:$B$229,FALSE))=0,NA(),INDEX(AY$14:AY$37,MATCH($B244,$B$14:$B$37,FALSE))/INDEX($F$206:$F$229,MATCH($B244,$B$206:$B$229,FALSE))),NA()),NA())</f>
        <v>#N/A</v>
      </c>
      <c r="BA244" s="65" t="e">
        <f>IF(AZ52=1,IF(AZ$13&lt;=COUNT($C24:$CS24),IF(INDEX($F$206:$F$229,MATCH($B244,$B$206:$B$229,FALSE))=0,NA(),INDEX(AZ$14:AZ$37,MATCH($B244,$B$14:$B$37,FALSE))/INDEX($F$206:$F$229,MATCH($B244,$B$206:$B$229,FALSE))),NA()),NA())</f>
        <v>#N/A</v>
      </c>
      <c r="BB244" s="65" t="e">
        <f>IF(BA52=1,IF(BA$13&lt;=COUNT($C24:$CS24),IF(INDEX($F$206:$F$229,MATCH($B244,$B$206:$B$229,FALSE))=0,NA(),INDEX(BA$14:BA$37,MATCH($B244,$B$14:$B$37,FALSE))/INDEX($F$206:$F$229,MATCH($B244,$B$206:$B$229,FALSE))),NA()),NA())</f>
        <v>#N/A</v>
      </c>
      <c r="BC244" s="65" t="e">
        <f>IF(BB52=1,IF(BB$13&lt;=COUNT($C24:$CS24),IF(INDEX($F$206:$F$229,MATCH($B244,$B$206:$B$229,FALSE))=0,NA(),INDEX(BB$14:BB$37,MATCH($B244,$B$14:$B$37,FALSE))/INDEX($F$206:$F$229,MATCH($B244,$B$206:$B$229,FALSE))),NA()),NA())</f>
        <v>#N/A</v>
      </c>
      <c r="BD244" s="65" t="e">
        <f>IF(BC52=1,IF(BC$13&lt;=COUNT($C24:$CS24),IF(INDEX($F$206:$F$229,MATCH($B244,$B$206:$B$229,FALSE))=0,NA(),INDEX(BC$14:BC$37,MATCH($B244,$B$14:$B$37,FALSE))/INDEX($F$206:$F$229,MATCH($B244,$B$206:$B$229,FALSE))),NA()),NA())</f>
        <v>#N/A</v>
      </c>
      <c r="BE244" s="65" t="e">
        <f>IF(BD52=1,IF(BD$13&lt;=COUNT($C24:$CS24),IF(INDEX($F$206:$F$229,MATCH($B244,$B$206:$B$229,FALSE))=0,NA(),INDEX(BD$14:BD$37,MATCH($B244,$B$14:$B$37,FALSE))/INDEX($F$206:$F$229,MATCH($B244,$B$206:$B$229,FALSE))),NA()),NA())</f>
        <v>#N/A</v>
      </c>
      <c r="BF244" s="65" t="e">
        <f>IF(BE52=1,IF(BE$13&lt;=COUNT($C24:$CS24),IF(INDEX($F$206:$F$229,MATCH($B244,$B$206:$B$229,FALSE))=0,NA(),INDEX(BE$14:BE$37,MATCH($B244,$B$14:$B$37,FALSE))/INDEX($F$206:$F$229,MATCH($B244,$B$206:$B$229,FALSE))),NA()),NA())</f>
        <v>#N/A</v>
      </c>
      <c r="BG244" s="65" t="e">
        <f>IF(BF52=1,IF(BF$13&lt;=COUNT($C24:$CS24),IF(INDEX($F$206:$F$229,MATCH($B244,$B$206:$B$229,FALSE))=0,NA(),INDEX(BF$14:BF$37,MATCH($B244,$B$14:$B$37,FALSE))/INDEX($F$206:$F$229,MATCH($B244,$B$206:$B$229,FALSE))),NA()),NA())</f>
        <v>#N/A</v>
      </c>
      <c r="BH244" s="65" t="e">
        <f>IF(BG52=1,IF(BG$13&lt;=COUNT($C24:$CS24),IF(INDEX($F$206:$F$229,MATCH($B244,$B$206:$B$229,FALSE))=0,NA(),INDEX(BG$14:BG$37,MATCH($B244,$B$14:$B$37,FALSE))/INDEX($F$206:$F$229,MATCH($B244,$B$206:$B$229,FALSE))),NA()),NA())</f>
        <v>#N/A</v>
      </c>
      <c r="BI244" s="65" t="e">
        <f>IF(BH52=1,IF(BH$13&lt;=COUNT($C24:$CS24),IF(INDEX($F$206:$F$229,MATCH($B244,$B$206:$B$229,FALSE))=0,NA(),INDEX(BH$14:BH$37,MATCH($B244,$B$14:$B$37,FALSE))/INDEX($F$206:$F$229,MATCH($B244,$B$206:$B$229,FALSE))),NA()),NA())</f>
        <v>#N/A</v>
      </c>
      <c r="BJ244" s="65" t="e">
        <f>IF(BI52=1,IF(BI$13&lt;=COUNT($C24:$CS24),IF(INDEX($F$206:$F$229,MATCH($B244,$B$206:$B$229,FALSE))=0,NA(),INDEX(BI$14:BI$37,MATCH($B244,$B$14:$B$37,FALSE))/INDEX($F$206:$F$229,MATCH($B244,$B$206:$B$229,FALSE))),NA()),NA())</f>
        <v>#N/A</v>
      </c>
      <c r="BK244" s="65" t="e">
        <f>IF(BJ52=1,IF(BJ$13&lt;=COUNT($C24:$CS24),IF(INDEX($F$206:$F$229,MATCH($B244,$B$206:$B$229,FALSE))=0,NA(),INDEX(BJ$14:BJ$37,MATCH($B244,$B$14:$B$37,FALSE))/INDEX($F$206:$F$229,MATCH($B244,$B$206:$B$229,FALSE))),NA()),NA())</f>
        <v>#N/A</v>
      </c>
      <c r="BL244" s="65" t="e">
        <f>IF(BK52=1,IF(BK$13&lt;=COUNT($C24:$CS24),IF(INDEX($F$206:$F$229,MATCH($B244,$B$206:$B$229,FALSE))=0,NA(),INDEX(BK$14:BK$37,MATCH($B244,$B$14:$B$37,FALSE))/INDEX($F$206:$F$229,MATCH($B244,$B$206:$B$229,FALSE))),NA()),NA())</f>
        <v>#N/A</v>
      </c>
      <c r="BM244" s="65" t="e">
        <f>IF(BL52=1,IF(BL$13&lt;=COUNT($C24:$CS24),IF(INDEX($F$206:$F$229,MATCH($B244,$B$206:$B$229,FALSE))=0,NA(),INDEX(BL$14:BL$37,MATCH($B244,$B$14:$B$37,FALSE))/INDEX($F$206:$F$229,MATCH($B244,$B$206:$B$229,FALSE))),NA()),NA())</f>
        <v>#N/A</v>
      </c>
      <c r="BN244" s="65" t="e">
        <f>IF(BM52=1,IF(BM$13&lt;=COUNT($C24:$CS24),IF(INDEX($F$206:$F$229,MATCH($B244,$B$206:$B$229,FALSE))=0,NA(),INDEX(BM$14:BM$37,MATCH($B244,$B$14:$B$37,FALSE))/INDEX($F$206:$F$229,MATCH($B244,$B$206:$B$229,FALSE))),NA()),NA())</f>
        <v>#N/A</v>
      </c>
      <c r="BO244" s="65" t="e">
        <f>IF(BN52=1,IF(BN$13&lt;=COUNT($C24:$CS24),IF(INDEX($F$206:$F$229,MATCH($B244,$B$206:$B$229,FALSE))=0,NA(),INDEX(BN$14:BN$37,MATCH($B244,$B$14:$B$37,FALSE))/INDEX($F$206:$F$229,MATCH($B244,$B$206:$B$229,FALSE))),NA()),NA())</f>
        <v>#N/A</v>
      </c>
      <c r="BP244" s="65" t="e">
        <f>IF(BO52=1,IF(BO$13&lt;=COUNT($C24:$CS24),IF(INDEX($F$206:$F$229,MATCH($B244,$B$206:$B$229,FALSE))=0,NA(),INDEX(BO$14:BO$37,MATCH($B244,$B$14:$B$37,FALSE))/INDEX($F$206:$F$229,MATCH($B244,$B$206:$B$229,FALSE))),NA()),NA())</f>
        <v>#N/A</v>
      </c>
      <c r="BQ244" s="65" t="e">
        <f>IF(BP52=1,IF(BP$13&lt;=COUNT($C24:$CS24),IF(INDEX($F$206:$F$229,MATCH($B244,$B$206:$B$229,FALSE))=0,NA(),INDEX(BP$14:BP$37,MATCH($B244,$B$14:$B$37,FALSE))/INDEX($F$206:$F$229,MATCH($B244,$B$206:$B$229,FALSE))),NA()),NA())</f>
        <v>#N/A</v>
      </c>
      <c r="BR244" s="65" t="e">
        <f>IF(BQ52=1,IF(BQ$13&lt;=COUNT($C24:$CS24),IF(INDEX($F$206:$F$229,MATCH($B244,$B$206:$B$229,FALSE))=0,NA(),INDEX(BQ$14:BQ$37,MATCH($B244,$B$14:$B$37,FALSE))/INDEX($F$206:$F$229,MATCH($B244,$B$206:$B$229,FALSE))),NA()),NA())</f>
        <v>#N/A</v>
      </c>
      <c r="BS244" s="65" t="e">
        <f>IF(BR52=1,IF(BR$13&lt;=COUNT($C24:$CS24),IF(INDEX($F$206:$F$229,MATCH($B244,$B$206:$B$229,FALSE))=0,NA(),INDEX(BR$14:BR$37,MATCH($B244,$B$14:$B$37,FALSE))/INDEX($F$206:$F$229,MATCH($B244,$B$206:$B$229,FALSE))),NA()),NA())</f>
        <v>#N/A</v>
      </c>
      <c r="BT244" s="65" t="e">
        <f>IF(BS52=1,IF(BS$13&lt;=COUNT($C24:$CS24),IF(INDEX($F$206:$F$229,MATCH($B244,$B$206:$B$229,FALSE))=0,NA(),INDEX(BS$14:BS$37,MATCH($B244,$B$14:$B$37,FALSE))/INDEX($F$206:$F$229,MATCH($B244,$B$206:$B$229,FALSE))),NA()),NA())</f>
        <v>#N/A</v>
      </c>
      <c r="BU244" s="65" t="e">
        <f>IF(BT52=1,IF(BT$13&lt;=COUNT($C24:$CS24),IF(INDEX($F$206:$F$229,MATCH($B244,$B$206:$B$229,FALSE))=0,NA(),INDEX(BT$14:BT$37,MATCH($B244,$B$14:$B$37,FALSE))/INDEX($F$206:$F$229,MATCH($B244,$B$206:$B$229,FALSE))),NA()),NA())</f>
        <v>#N/A</v>
      </c>
      <c r="BV244" s="65" t="e">
        <f>IF(BU52=1,IF(BU$13&lt;=COUNT($C24:$CS24),IF(INDEX($F$206:$F$229,MATCH($B244,$B$206:$B$229,FALSE))=0,NA(),INDEX(BU$14:BU$37,MATCH($B244,$B$14:$B$37,FALSE))/INDEX($F$206:$F$229,MATCH($B244,$B$206:$B$229,FALSE))),NA()),NA())</f>
        <v>#N/A</v>
      </c>
      <c r="BW244" s="65" t="e">
        <f>IF(BV52=1,IF(BV$13&lt;=COUNT($C24:$CS24),IF(INDEX($F$206:$F$229,MATCH($B244,$B$206:$B$229,FALSE))=0,NA(),INDEX(BV$14:BV$37,MATCH($B244,$B$14:$B$37,FALSE))/INDEX($F$206:$F$229,MATCH($B244,$B$206:$B$229,FALSE))),NA()),NA())</f>
        <v>#N/A</v>
      </c>
      <c r="BX244" s="65" t="e">
        <f>IF(BW52=1,IF(BW$13&lt;=COUNT($C24:$CS24),IF(INDEX($F$206:$F$229,MATCH($B244,$B$206:$B$229,FALSE))=0,NA(),INDEX(BW$14:BW$37,MATCH($B244,$B$14:$B$37,FALSE))/INDEX($F$206:$F$229,MATCH($B244,$B$206:$B$229,FALSE))),NA()),NA())</f>
        <v>#N/A</v>
      </c>
      <c r="BY244" s="65" t="e">
        <f>IF(BX52=1,IF(BX$13&lt;=COUNT($C24:$CS24),IF(INDEX($F$206:$F$229,MATCH($B244,$B$206:$B$229,FALSE))=0,NA(),INDEX(BX$14:BX$37,MATCH($B244,$B$14:$B$37,FALSE))/INDEX($F$206:$F$229,MATCH($B244,$B$206:$B$229,FALSE))),NA()),NA())</f>
        <v>#N/A</v>
      </c>
      <c r="BZ244" s="65" t="e">
        <f>IF(BY52=1,IF(BY$13&lt;=COUNT($C24:$CS24),IF(INDEX($F$206:$F$229,MATCH($B244,$B$206:$B$229,FALSE))=0,NA(),INDEX(BY$14:BY$37,MATCH($B244,$B$14:$B$37,FALSE))/INDEX($F$206:$F$229,MATCH($B244,$B$206:$B$229,FALSE))),NA()),NA())</f>
        <v>#N/A</v>
      </c>
      <c r="CA244" s="65" t="e">
        <f>IF(BZ52=1,IF(BZ$13&lt;=COUNT($C24:$CS24),IF(INDEX($F$206:$F$229,MATCH($B244,$B$206:$B$229,FALSE))=0,NA(),INDEX(BZ$14:BZ$37,MATCH($B244,$B$14:$B$37,FALSE))/INDEX($F$206:$F$229,MATCH($B244,$B$206:$B$229,FALSE))),NA()),NA())</f>
        <v>#N/A</v>
      </c>
      <c r="CB244" s="65" t="e">
        <f>IF(CA52=1,IF(CA$13&lt;=COUNT($C24:$CS24),IF(INDEX($F$206:$F$229,MATCH($B244,$B$206:$B$229,FALSE))=0,NA(),INDEX(CA$14:CA$37,MATCH($B244,$B$14:$B$37,FALSE))/INDEX($F$206:$F$229,MATCH($B244,$B$206:$B$229,FALSE))),NA()),NA())</f>
        <v>#N/A</v>
      </c>
      <c r="CC244" s="65" t="e">
        <f>IF(CB52=1,IF(CB$13&lt;=COUNT($C24:$CS24),IF(INDEX($F$206:$F$229,MATCH($B244,$B$206:$B$229,FALSE))=0,NA(),INDEX(CB$14:CB$37,MATCH($B244,$B$14:$B$37,FALSE))/INDEX($F$206:$F$229,MATCH($B244,$B$206:$B$229,FALSE))),NA()),NA())</f>
        <v>#N/A</v>
      </c>
      <c r="CD244" s="65" t="e">
        <f>IF(CC52=1,IF(CC$13&lt;=COUNT($C24:$CS24),IF(INDEX($F$206:$F$229,MATCH($B244,$B$206:$B$229,FALSE))=0,NA(),INDEX(CC$14:CC$37,MATCH($B244,$B$14:$B$37,FALSE))/INDEX($F$206:$F$229,MATCH($B244,$B$206:$B$229,FALSE))),NA()),NA())</f>
        <v>#N/A</v>
      </c>
      <c r="CE244" s="65" t="e">
        <f>IF(CD52=1,IF(CD$13&lt;=COUNT($C24:$CS24),IF(INDEX($F$206:$F$229,MATCH($B244,$B$206:$B$229,FALSE))=0,NA(),INDEX(CD$14:CD$37,MATCH($B244,$B$14:$B$37,FALSE))/INDEX($F$206:$F$229,MATCH($B244,$B$206:$B$229,FALSE))),NA()),NA())</f>
        <v>#N/A</v>
      </c>
      <c r="CF244" s="65" t="e">
        <f>IF(CE52=1,IF(CE$13&lt;=COUNT($C24:$CS24),IF(INDEX($F$206:$F$229,MATCH($B244,$B$206:$B$229,FALSE))=0,NA(),INDEX(CE$14:CE$37,MATCH($B244,$B$14:$B$37,FALSE))/INDEX($F$206:$F$229,MATCH($B244,$B$206:$B$229,FALSE))),NA()),NA())</f>
        <v>#N/A</v>
      </c>
      <c r="CG244" s="65" t="e">
        <f>IF(CF52=1,IF(CF$13&lt;=COUNT($C24:$CS24),IF(INDEX($F$206:$F$229,MATCH($B244,$B$206:$B$229,FALSE))=0,NA(),INDEX(CF$14:CF$37,MATCH($B244,$B$14:$B$37,FALSE))/INDEX($F$206:$F$229,MATCH($B244,$B$206:$B$229,FALSE))),NA()),NA())</f>
        <v>#N/A</v>
      </c>
      <c r="CH244" s="65" t="e">
        <f>IF(CG52=1,IF(CG$13&lt;=COUNT($C24:$CS24),IF(INDEX($F$206:$F$229,MATCH($B244,$B$206:$B$229,FALSE))=0,NA(),INDEX(CG$14:CG$37,MATCH($B244,$B$14:$B$37,FALSE))/INDEX($F$206:$F$229,MATCH($B244,$B$206:$B$229,FALSE))),NA()),NA())</f>
        <v>#N/A</v>
      </c>
      <c r="CI244" s="65" t="e">
        <f>IF(CH52=1,IF(CH$13&lt;=COUNT($C24:$CS24),IF(INDEX($F$206:$F$229,MATCH($B244,$B$206:$B$229,FALSE))=0,NA(),INDEX(CH$14:CH$37,MATCH($B244,$B$14:$B$37,FALSE))/INDEX($F$206:$F$229,MATCH($B244,$B$206:$B$229,FALSE))),NA()),NA())</f>
        <v>#N/A</v>
      </c>
      <c r="CJ244" s="65" t="e">
        <f>IF(CI52=1,IF(CI$13&lt;=COUNT($C24:$CS24),IF(INDEX($F$206:$F$229,MATCH($B244,$B$206:$B$229,FALSE))=0,NA(),INDEX(CI$14:CI$37,MATCH($B244,$B$14:$B$37,FALSE))/INDEX($F$206:$F$229,MATCH($B244,$B$206:$B$229,FALSE))),NA()),NA())</f>
        <v>#N/A</v>
      </c>
      <c r="CK244" s="65" t="e">
        <f>IF(CJ52=1,IF(CJ$13&lt;=COUNT($C24:$CS24),IF(INDEX($F$206:$F$229,MATCH($B244,$B$206:$B$229,FALSE))=0,NA(),INDEX(CJ$14:CJ$37,MATCH($B244,$B$14:$B$37,FALSE))/INDEX($F$206:$F$229,MATCH($B244,$B$206:$B$229,FALSE))),NA()),NA())</f>
        <v>#N/A</v>
      </c>
      <c r="CL244" s="65" t="e">
        <f>IF(CK52=1,IF(CK$13&lt;=COUNT($C24:$CS24),IF(INDEX($F$206:$F$229,MATCH($B244,$B$206:$B$229,FALSE))=0,NA(),INDEX(CK$14:CK$37,MATCH($B244,$B$14:$B$37,FALSE))/INDEX($F$206:$F$229,MATCH($B244,$B$206:$B$229,FALSE))),NA()),NA())</f>
        <v>#N/A</v>
      </c>
      <c r="CM244" s="65" t="e">
        <f>IF(CL52=1,IF(CL$13&lt;=COUNT($C24:$CS24),IF(INDEX($F$206:$F$229,MATCH($B244,$B$206:$B$229,FALSE))=0,NA(),INDEX(CL$14:CL$37,MATCH($B244,$B$14:$B$37,FALSE))/INDEX($F$206:$F$229,MATCH($B244,$B$206:$B$229,FALSE))),NA()),NA())</f>
        <v>#N/A</v>
      </c>
      <c r="CN244" s="65" t="e">
        <f>IF(CM52=1,IF(CM$13&lt;=COUNT($C24:$CS24),IF(INDEX($F$206:$F$229,MATCH($B244,$B$206:$B$229,FALSE))=0,NA(),INDEX(CM$14:CM$37,MATCH($B244,$B$14:$B$37,FALSE))/INDEX($F$206:$F$229,MATCH($B244,$B$206:$B$229,FALSE))),NA()),NA())</f>
        <v>#N/A</v>
      </c>
      <c r="CO244" s="65" t="e">
        <f>IF(CN52=1,IF(CN$13&lt;=COUNT($C24:$CS24),IF(INDEX($F$206:$F$229,MATCH($B244,$B$206:$B$229,FALSE))=0,NA(),INDEX(CN$14:CN$37,MATCH($B244,$B$14:$B$37,FALSE))/INDEX($F$206:$F$229,MATCH($B244,$B$206:$B$229,FALSE))),NA()),NA())</f>
        <v>#N/A</v>
      </c>
      <c r="CP244" s="65" t="e">
        <f>IF(CO52=1,IF(CO$13&lt;=COUNT($C24:$CS24),IF(INDEX($F$206:$F$229,MATCH($B244,$B$206:$B$229,FALSE))=0,NA(),INDEX(CO$14:CO$37,MATCH($B244,$B$14:$B$37,FALSE))/INDEX($F$206:$F$229,MATCH($B244,$B$206:$B$229,FALSE))),NA()),NA())</f>
        <v>#N/A</v>
      </c>
      <c r="CQ244" s="65" t="e">
        <f>IF(CP52=1,IF(CP$13&lt;=COUNT($C24:$CS24),IF(INDEX($F$206:$F$229,MATCH($B244,$B$206:$B$229,FALSE))=0,NA(),INDEX(CP$14:CP$37,MATCH($B244,$B$14:$B$37,FALSE))/INDEX($F$206:$F$229,MATCH($B244,$B$206:$B$229,FALSE))),NA()),NA())</f>
        <v>#N/A</v>
      </c>
      <c r="CR244" s="65" t="e">
        <f>IF(CQ52=1,IF(CQ$13&lt;=COUNT($C24:$CS24),IF(INDEX($F$206:$F$229,MATCH($B244,$B$206:$B$229,FALSE))=0,NA(),INDEX(CQ$14:CQ$37,MATCH($B244,$B$14:$B$37,FALSE))/INDEX($F$206:$F$229,MATCH($B244,$B$206:$B$229,FALSE))),NA()),NA())</f>
        <v>#N/A</v>
      </c>
      <c r="CS244" s="65" t="e">
        <f>IF(CR52=1,IF(CR$13&lt;=COUNT($C24:$CS24),IF(INDEX($F$206:$F$229,MATCH($B244,$B$206:$B$229,FALSE))=0,NA(),INDEX(CR$14:CR$37,MATCH($B244,$B$14:$B$37,FALSE))/INDEX($F$206:$F$229,MATCH($B244,$B$206:$B$229,FALSE))),NA()),NA())</f>
        <v>#N/A</v>
      </c>
      <c r="CT244" s="49"/>
      <c r="CU244" s="49"/>
      <c r="CV244" s="49"/>
      <c r="CW244" s="49"/>
    </row>
    <row r="245" spans="1:101" x14ac:dyDescent="0.25">
      <c r="A245" s="97">
        <f t="shared" si="352"/>
        <v>0</v>
      </c>
      <c r="B245" s="29">
        <f t="shared" si="351"/>
        <v>2007</v>
      </c>
      <c r="C245" s="154" t="str">
        <f t="shared" si="353"/>
        <v/>
      </c>
      <c r="D245" s="54" t="e">
        <f>IF(C53=1,IF(C$13&lt;=COUNT($C25:$CS25),IF(INDEX($F$206:$F$229,MATCH($B245,$B$206:$B$229,FALSE))=0,NA(),INDEX(C$14:C$37,MATCH($B245,$B$14:$B$37,FALSE))/INDEX($F$206:$F$229,MATCH($B245,$B$206:$B$229,FALSE))),NA()),NA())</f>
        <v>#N/A</v>
      </c>
      <c r="E245" s="65" t="e">
        <f>IF(D53=1,IF(D$13&lt;=COUNT($C25:$CS25),IF(INDEX($F$206:$F$229,MATCH($B245,$B$206:$B$229,FALSE))=0,NA(),INDEX(D$14:D$37,MATCH($B245,$B$14:$B$37,FALSE))/INDEX($F$206:$F$229,MATCH($B245,$B$206:$B$229,FALSE))),NA()),NA())</f>
        <v>#N/A</v>
      </c>
      <c r="F245" s="65" t="e">
        <f>IF(E53=1,IF(E$13&lt;=COUNT($C25:$CS25),IF(INDEX($F$206:$F$229,MATCH($B245,$B$206:$B$229,FALSE))=0,NA(),INDEX(E$14:E$37,MATCH($B245,$B$14:$B$37,FALSE))/INDEX($F$206:$F$229,MATCH($B245,$B$206:$B$229,FALSE))),NA()),NA())</f>
        <v>#N/A</v>
      </c>
      <c r="G245" s="65" t="e">
        <f>IF(F53=1,IF(F$13&lt;=COUNT($C25:$CS25),IF(INDEX($F$206:$F$229,MATCH($B245,$B$206:$B$229,FALSE))=0,NA(),INDEX(F$14:F$37,MATCH($B245,$B$14:$B$37,FALSE))/INDEX($F$206:$F$229,MATCH($B245,$B$206:$B$229,FALSE))),NA()),NA())</f>
        <v>#N/A</v>
      </c>
      <c r="H245" s="65" t="e">
        <f>IF(G53=1,IF(G$13&lt;=COUNT($C25:$CS25),IF(INDEX($F$206:$F$229,MATCH($B245,$B$206:$B$229,FALSE))=0,NA(),INDEX(G$14:G$37,MATCH($B245,$B$14:$B$37,FALSE))/INDEX($F$206:$F$229,MATCH($B245,$B$206:$B$229,FALSE))),NA()),NA())</f>
        <v>#N/A</v>
      </c>
      <c r="I245" s="65" t="e">
        <f>IF(H53=1,IF(H$13&lt;=COUNT($C25:$CS25),IF(INDEX($F$206:$F$229,MATCH($B245,$B$206:$B$229,FALSE))=0,NA(),INDEX(H$14:H$37,MATCH($B245,$B$14:$B$37,FALSE))/INDEX($F$206:$F$229,MATCH($B245,$B$206:$B$229,FALSE))),NA()),NA())</f>
        <v>#N/A</v>
      </c>
      <c r="J245" s="65" t="e">
        <f>IF(I53=1,IF(I$13&lt;=COUNT($C25:$CS25),IF(INDEX($F$206:$F$229,MATCH($B245,$B$206:$B$229,FALSE))=0,NA(),INDEX(I$14:I$37,MATCH($B245,$B$14:$B$37,FALSE))/INDEX($F$206:$F$229,MATCH($B245,$B$206:$B$229,FALSE))),NA()),NA())</f>
        <v>#N/A</v>
      </c>
      <c r="K245" s="65" t="e">
        <f>IF(J53=1,IF(J$13&lt;=COUNT($C25:$CS25),IF(INDEX($F$206:$F$229,MATCH($B245,$B$206:$B$229,FALSE))=0,NA(),INDEX(J$14:J$37,MATCH($B245,$B$14:$B$37,FALSE))/INDEX($F$206:$F$229,MATCH($B245,$B$206:$B$229,FALSE))),NA()),NA())</f>
        <v>#N/A</v>
      </c>
      <c r="L245" s="65" t="e">
        <f>IF(K53=1,IF(K$13&lt;=COUNT($C25:$CS25),IF(INDEX($F$206:$F$229,MATCH($B245,$B$206:$B$229,FALSE))=0,NA(),INDEX(K$14:K$37,MATCH($B245,$B$14:$B$37,FALSE))/INDEX($F$206:$F$229,MATCH($B245,$B$206:$B$229,FALSE))),NA()),NA())</f>
        <v>#N/A</v>
      </c>
      <c r="M245" s="65" t="e">
        <f>IF(L53=1,IF(L$13&lt;=COUNT($C25:$CS25),IF(INDEX($F$206:$F$229,MATCH($B245,$B$206:$B$229,FALSE))=0,NA(),INDEX(L$14:L$37,MATCH($B245,$B$14:$B$37,FALSE))/INDEX($F$206:$F$229,MATCH($B245,$B$206:$B$229,FALSE))),NA()),NA())</f>
        <v>#N/A</v>
      </c>
      <c r="N245" s="65" t="e">
        <f>IF(M53=1,IF(M$13&lt;=COUNT($C25:$CS25),IF(INDEX($F$206:$F$229,MATCH($B245,$B$206:$B$229,FALSE))=0,NA(),INDEX(M$14:M$37,MATCH($B245,$B$14:$B$37,FALSE))/INDEX($F$206:$F$229,MATCH($B245,$B$206:$B$229,FALSE))),NA()),NA())</f>
        <v>#N/A</v>
      </c>
      <c r="O245" s="65" t="e">
        <f>IF(N53=1,IF(N$13&lt;=COUNT($C25:$CS25),IF(INDEX($F$206:$F$229,MATCH($B245,$B$206:$B$229,FALSE))=0,NA(),INDEX(N$14:N$37,MATCH($B245,$B$14:$B$37,FALSE))/INDEX($F$206:$F$229,MATCH($B245,$B$206:$B$229,FALSE))),NA()),NA())</f>
        <v>#N/A</v>
      </c>
      <c r="P245" s="65" t="e">
        <f>IF(O53=1,IF(O$13&lt;=COUNT($C25:$CS25),IF(INDEX($F$206:$F$229,MATCH($B245,$B$206:$B$229,FALSE))=0,NA(),INDEX(O$14:O$37,MATCH($B245,$B$14:$B$37,FALSE))/INDEX($F$206:$F$229,MATCH($B245,$B$206:$B$229,FALSE))),NA()),NA())</f>
        <v>#N/A</v>
      </c>
      <c r="Q245" s="65" t="e">
        <f>IF(P53=1,IF(P$13&lt;=COUNT($C25:$CS25),IF(INDEX($F$206:$F$229,MATCH($B245,$B$206:$B$229,FALSE))=0,NA(),INDEX(P$14:P$37,MATCH($B245,$B$14:$B$37,FALSE))/INDEX($F$206:$F$229,MATCH($B245,$B$206:$B$229,FALSE))),NA()),NA())</f>
        <v>#N/A</v>
      </c>
      <c r="R245" s="65" t="e">
        <f>IF(Q53=1,IF(Q$13&lt;=COUNT($C25:$CS25),IF(INDEX($F$206:$F$229,MATCH($B245,$B$206:$B$229,FALSE))=0,NA(),INDEX(Q$14:Q$37,MATCH($B245,$B$14:$B$37,FALSE))/INDEX($F$206:$F$229,MATCH($B245,$B$206:$B$229,FALSE))),NA()),NA())</f>
        <v>#N/A</v>
      </c>
      <c r="S245" s="65" t="e">
        <f>IF(R53=1,IF(R$13&lt;=COUNT($C25:$CS25),IF(INDEX($F$206:$F$229,MATCH($B245,$B$206:$B$229,FALSE))=0,NA(),INDEX(R$14:R$37,MATCH($B245,$B$14:$B$37,FALSE))/INDEX($F$206:$F$229,MATCH($B245,$B$206:$B$229,FALSE))),NA()),NA())</f>
        <v>#N/A</v>
      </c>
      <c r="T245" s="65" t="e">
        <f>IF(S53=1,IF(S$13&lt;=COUNT($C25:$CS25),IF(INDEX($F$206:$F$229,MATCH($B245,$B$206:$B$229,FALSE))=0,NA(),INDEX(S$14:S$37,MATCH($B245,$B$14:$B$37,FALSE))/INDEX($F$206:$F$229,MATCH($B245,$B$206:$B$229,FALSE))),NA()),NA())</f>
        <v>#N/A</v>
      </c>
      <c r="U245" s="65" t="e">
        <f>IF(T53=1,IF(T$13&lt;=COUNT($C25:$CS25),IF(INDEX($F$206:$F$229,MATCH($B245,$B$206:$B$229,FALSE))=0,NA(),INDEX(T$14:T$37,MATCH($B245,$B$14:$B$37,FALSE))/INDEX($F$206:$F$229,MATCH($B245,$B$206:$B$229,FALSE))),NA()),NA())</f>
        <v>#N/A</v>
      </c>
      <c r="V245" s="65" t="e">
        <f>IF(U53=1,IF(U$13&lt;=COUNT($C25:$CS25),IF(INDEX($F$206:$F$229,MATCH($B245,$B$206:$B$229,FALSE))=0,NA(),INDEX(U$14:U$37,MATCH($B245,$B$14:$B$37,FALSE))/INDEX($F$206:$F$229,MATCH($B245,$B$206:$B$229,FALSE))),NA()),NA())</f>
        <v>#N/A</v>
      </c>
      <c r="W245" s="65" t="e">
        <f>IF(V53=1,IF(V$13&lt;=COUNT($C25:$CS25),IF(INDEX($F$206:$F$229,MATCH($B245,$B$206:$B$229,FALSE))=0,NA(),INDEX(V$14:V$37,MATCH($B245,$B$14:$B$37,FALSE))/INDEX($F$206:$F$229,MATCH($B245,$B$206:$B$229,FALSE))),NA()),NA())</f>
        <v>#N/A</v>
      </c>
      <c r="X245" s="65" t="e">
        <f>IF(W53=1,IF(W$13&lt;=COUNT($C25:$CS25),IF(INDEX($F$206:$F$229,MATCH($B245,$B$206:$B$229,FALSE))=0,NA(),INDEX(W$14:W$37,MATCH($B245,$B$14:$B$37,FALSE))/INDEX($F$206:$F$229,MATCH($B245,$B$206:$B$229,FALSE))),NA()),NA())</f>
        <v>#N/A</v>
      </c>
      <c r="Y245" s="65" t="e">
        <f>IF(X53=1,IF(X$13&lt;=COUNT($C25:$CS25),IF(INDEX($F$206:$F$229,MATCH($B245,$B$206:$B$229,FALSE))=0,NA(),INDEX(X$14:X$37,MATCH($B245,$B$14:$B$37,FALSE))/INDEX($F$206:$F$229,MATCH($B245,$B$206:$B$229,FALSE))),NA()),NA())</f>
        <v>#N/A</v>
      </c>
      <c r="Z245" s="65" t="e">
        <f>IF(Y53=1,IF(Y$13&lt;=COUNT($C25:$CS25),IF(INDEX($F$206:$F$229,MATCH($B245,$B$206:$B$229,FALSE))=0,NA(),INDEX(Y$14:Y$37,MATCH($B245,$B$14:$B$37,FALSE))/INDEX($F$206:$F$229,MATCH($B245,$B$206:$B$229,FALSE))),NA()),NA())</f>
        <v>#N/A</v>
      </c>
      <c r="AA245" s="65" t="e">
        <f>IF(Z53=1,IF(Z$13&lt;=COUNT($C25:$CS25),IF(INDEX($F$206:$F$229,MATCH($B245,$B$206:$B$229,FALSE))=0,NA(),INDEX(Z$14:Z$37,MATCH($B245,$B$14:$B$37,FALSE))/INDEX($F$206:$F$229,MATCH($B245,$B$206:$B$229,FALSE))),NA()),NA())</f>
        <v>#N/A</v>
      </c>
      <c r="AB245" s="65" t="e">
        <f>IF(AA53=1,IF(AA$13&lt;=COUNT($C25:$CS25),IF(INDEX($F$206:$F$229,MATCH($B245,$B$206:$B$229,FALSE))=0,NA(),INDEX(AA$14:AA$37,MATCH($B245,$B$14:$B$37,FALSE))/INDEX($F$206:$F$229,MATCH($B245,$B$206:$B$229,FALSE))),NA()),NA())</f>
        <v>#N/A</v>
      </c>
      <c r="AC245" s="65" t="e">
        <f>IF(AB53=1,IF(AB$13&lt;=COUNT($C25:$CS25),IF(INDEX($F$206:$F$229,MATCH($B245,$B$206:$B$229,FALSE))=0,NA(),INDEX(AB$14:AB$37,MATCH($B245,$B$14:$B$37,FALSE))/INDEX($F$206:$F$229,MATCH($B245,$B$206:$B$229,FALSE))),NA()),NA())</f>
        <v>#N/A</v>
      </c>
      <c r="AD245" s="65" t="e">
        <f>IF(AC53=1,IF(AC$13&lt;=COUNT($C25:$CS25),IF(INDEX($F$206:$F$229,MATCH($B245,$B$206:$B$229,FALSE))=0,NA(),INDEX(AC$14:AC$37,MATCH($B245,$B$14:$B$37,FALSE))/INDEX($F$206:$F$229,MATCH($B245,$B$206:$B$229,FALSE))),NA()),NA())</f>
        <v>#N/A</v>
      </c>
      <c r="AE245" s="65" t="e">
        <f>IF(AD53=1,IF(AD$13&lt;=COUNT($C25:$CS25),IF(INDEX($F$206:$F$229,MATCH($B245,$B$206:$B$229,FALSE))=0,NA(),INDEX(AD$14:AD$37,MATCH($B245,$B$14:$B$37,FALSE))/INDEX($F$206:$F$229,MATCH($B245,$B$206:$B$229,FALSE))),NA()),NA())</f>
        <v>#N/A</v>
      </c>
      <c r="AF245" s="65" t="e">
        <f>IF(AE53=1,IF(AE$13&lt;=COUNT($C25:$CS25),IF(INDEX($F$206:$F$229,MATCH($B245,$B$206:$B$229,FALSE))=0,NA(),INDEX(AE$14:AE$37,MATCH($B245,$B$14:$B$37,FALSE))/INDEX($F$206:$F$229,MATCH($B245,$B$206:$B$229,FALSE))),NA()),NA())</f>
        <v>#N/A</v>
      </c>
      <c r="AG245" s="65" t="e">
        <f>IF(AF53=1,IF(AF$13&lt;=COUNT($C25:$CS25),IF(INDEX($F$206:$F$229,MATCH($B245,$B$206:$B$229,FALSE))=0,NA(),INDEX(AF$14:AF$37,MATCH($B245,$B$14:$B$37,FALSE))/INDEX($F$206:$F$229,MATCH($B245,$B$206:$B$229,FALSE))),NA()),NA())</f>
        <v>#N/A</v>
      </c>
      <c r="AH245" s="65" t="e">
        <f>IF(AG53=1,IF(AG$13&lt;=COUNT($C25:$CS25),IF(INDEX($F$206:$F$229,MATCH($B245,$B$206:$B$229,FALSE))=0,NA(),INDEX(AG$14:AG$37,MATCH($B245,$B$14:$B$37,FALSE))/INDEX($F$206:$F$229,MATCH($B245,$B$206:$B$229,FALSE))),NA()),NA())</f>
        <v>#N/A</v>
      </c>
      <c r="AI245" s="65" t="e">
        <f>IF(AH53=1,IF(AH$13&lt;=COUNT($C25:$CS25),IF(INDEX($F$206:$F$229,MATCH($B245,$B$206:$B$229,FALSE))=0,NA(),INDEX(AH$14:AH$37,MATCH($B245,$B$14:$B$37,FALSE))/INDEX($F$206:$F$229,MATCH($B245,$B$206:$B$229,FALSE))),NA()),NA())</f>
        <v>#N/A</v>
      </c>
      <c r="AJ245" s="65" t="e">
        <f>IF(AI53=1,IF(AI$13&lt;=COUNT($C25:$CS25),IF(INDEX($F$206:$F$229,MATCH($B245,$B$206:$B$229,FALSE))=0,NA(),INDEX(AI$14:AI$37,MATCH($B245,$B$14:$B$37,FALSE))/INDEX($F$206:$F$229,MATCH($B245,$B$206:$B$229,FALSE))),NA()),NA())</f>
        <v>#N/A</v>
      </c>
      <c r="AK245" s="65" t="e">
        <f>IF(AJ53=1,IF(AJ$13&lt;=COUNT($C25:$CS25),IF(INDEX($F$206:$F$229,MATCH($B245,$B$206:$B$229,FALSE))=0,NA(),INDEX(AJ$14:AJ$37,MATCH($B245,$B$14:$B$37,FALSE))/INDEX($F$206:$F$229,MATCH($B245,$B$206:$B$229,FALSE))),NA()),NA())</f>
        <v>#N/A</v>
      </c>
      <c r="AL245" s="65" t="e">
        <f>IF(AK53=1,IF(AK$13&lt;=COUNT($C25:$CS25),IF(INDEX($F$206:$F$229,MATCH($B245,$B$206:$B$229,FALSE))=0,NA(),INDEX(AK$14:AK$37,MATCH($B245,$B$14:$B$37,FALSE))/INDEX($F$206:$F$229,MATCH($B245,$B$206:$B$229,FALSE))),NA()),NA())</f>
        <v>#N/A</v>
      </c>
      <c r="AM245" s="65" t="e">
        <f>IF(AL53=1,IF(AL$13&lt;=COUNT($C25:$CS25),IF(INDEX($F$206:$F$229,MATCH($B245,$B$206:$B$229,FALSE))=0,NA(),INDEX(AL$14:AL$37,MATCH($B245,$B$14:$B$37,FALSE))/INDEX($F$206:$F$229,MATCH($B245,$B$206:$B$229,FALSE))),NA()),NA())</f>
        <v>#N/A</v>
      </c>
      <c r="AN245" s="65" t="e">
        <f>IF(AM53=1,IF(AM$13&lt;=COUNT($C25:$CS25),IF(INDEX($F$206:$F$229,MATCH($B245,$B$206:$B$229,FALSE))=0,NA(),INDEX(AM$14:AM$37,MATCH($B245,$B$14:$B$37,FALSE))/INDEX($F$206:$F$229,MATCH($B245,$B$206:$B$229,FALSE))),NA()),NA())</f>
        <v>#N/A</v>
      </c>
      <c r="AO245" s="65" t="e">
        <f>IF(AN53=1,IF(AN$13&lt;=COUNT($C25:$CS25),IF(INDEX($F$206:$F$229,MATCH($B245,$B$206:$B$229,FALSE))=0,NA(),INDEX(AN$14:AN$37,MATCH($B245,$B$14:$B$37,FALSE))/INDEX($F$206:$F$229,MATCH($B245,$B$206:$B$229,FALSE))),NA()),NA())</f>
        <v>#N/A</v>
      </c>
      <c r="AP245" s="65" t="e">
        <f>IF(AO53=1,IF(AO$13&lt;=COUNT($C25:$CS25),IF(INDEX($F$206:$F$229,MATCH($B245,$B$206:$B$229,FALSE))=0,NA(),INDEX(AO$14:AO$37,MATCH($B245,$B$14:$B$37,FALSE))/INDEX($F$206:$F$229,MATCH($B245,$B$206:$B$229,FALSE))),NA()),NA())</f>
        <v>#N/A</v>
      </c>
      <c r="AQ245" s="65" t="e">
        <f>IF(AP53=1,IF(AP$13&lt;=COUNT($C25:$CS25),IF(INDEX($F$206:$F$229,MATCH($B245,$B$206:$B$229,FALSE))=0,NA(),INDEX(AP$14:AP$37,MATCH($B245,$B$14:$B$37,FALSE))/INDEX($F$206:$F$229,MATCH($B245,$B$206:$B$229,FALSE))),NA()),NA())</f>
        <v>#N/A</v>
      </c>
      <c r="AR245" s="65" t="e">
        <f>IF(AQ53=1,IF(AQ$13&lt;=COUNT($C25:$CS25),IF(INDEX($F$206:$F$229,MATCH($B245,$B$206:$B$229,FALSE))=0,NA(),INDEX(AQ$14:AQ$37,MATCH($B245,$B$14:$B$37,FALSE))/INDEX($F$206:$F$229,MATCH($B245,$B$206:$B$229,FALSE))),NA()),NA())</f>
        <v>#N/A</v>
      </c>
      <c r="AS245" s="65" t="e">
        <f>IF(AR53=1,IF(AR$13&lt;=COUNT($C25:$CS25),IF(INDEX($F$206:$F$229,MATCH($B245,$B$206:$B$229,FALSE))=0,NA(),INDEX(AR$14:AR$37,MATCH($B245,$B$14:$B$37,FALSE))/INDEX($F$206:$F$229,MATCH($B245,$B$206:$B$229,FALSE))),NA()),NA())</f>
        <v>#N/A</v>
      </c>
      <c r="AT245" s="65" t="e">
        <f>IF(AS53=1,IF(AS$13&lt;=COUNT($C25:$CS25),IF(INDEX($F$206:$F$229,MATCH($B245,$B$206:$B$229,FALSE))=0,NA(),INDEX(AS$14:AS$37,MATCH($B245,$B$14:$B$37,FALSE))/INDEX($F$206:$F$229,MATCH($B245,$B$206:$B$229,FALSE))),NA()),NA())</f>
        <v>#N/A</v>
      </c>
      <c r="AU245" s="65" t="e">
        <f>IF(AT53=1,IF(AT$13&lt;=COUNT($C25:$CS25),IF(INDEX($F$206:$F$229,MATCH($B245,$B$206:$B$229,FALSE))=0,NA(),INDEX(AT$14:AT$37,MATCH($B245,$B$14:$B$37,FALSE))/INDEX($F$206:$F$229,MATCH($B245,$B$206:$B$229,FALSE))),NA()),NA())</f>
        <v>#N/A</v>
      </c>
      <c r="AV245" s="65" t="e">
        <f>IF(AU53=1,IF(AU$13&lt;=COUNT($C25:$CS25),IF(INDEX($F$206:$F$229,MATCH($B245,$B$206:$B$229,FALSE))=0,NA(),INDEX(AU$14:AU$37,MATCH($B245,$B$14:$B$37,FALSE))/INDEX($F$206:$F$229,MATCH($B245,$B$206:$B$229,FALSE))),NA()),NA())</f>
        <v>#N/A</v>
      </c>
      <c r="AW245" s="65" t="e">
        <f>IF(AV53=1,IF(AV$13&lt;=COUNT($C25:$CS25),IF(INDEX($F$206:$F$229,MATCH($B245,$B$206:$B$229,FALSE))=0,NA(),INDEX(AV$14:AV$37,MATCH($B245,$B$14:$B$37,FALSE))/INDEX($F$206:$F$229,MATCH($B245,$B$206:$B$229,FALSE))),NA()),NA())</f>
        <v>#N/A</v>
      </c>
      <c r="AX245" s="65" t="e">
        <f>IF(AW53=1,IF(AW$13&lt;=COUNT($C25:$CS25),IF(INDEX($F$206:$F$229,MATCH($B245,$B$206:$B$229,FALSE))=0,NA(),INDEX(AW$14:AW$37,MATCH($B245,$B$14:$B$37,FALSE))/INDEX($F$206:$F$229,MATCH($B245,$B$206:$B$229,FALSE))),NA()),NA())</f>
        <v>#N/A</v>
      </c>
      <c r="AY245" s="65" t="e">
        <f>IF(AX53=1,IF(AX$13&lt;=COUNT($C25:$CS25),IF(INDEX($F$206:$F$229,MATCH($B245,$B$206:$B$229,FALSE))=0,NA(),INDEX(AX$14:AX$37,MATCH($B245,$B$14:$B$37,FALSE))/INDEX($F$206:$F$229,MATCH($B245,$B$206:$B$229,FALSE))),NA()),NA())</f>
        <v>#N/A</v>
      </c>
      <c r="AZ245" s="65" t="e">
        <f>IF(AY53=1,IF(AY$13&lt;=COUNT($C25:$CS25),IF(INDEX($F$206:$F$229,MATCH($B245,$B$206:$B$229,FALSE))=0,NA(),INDEX(AY$14:AY$37,MATCH($B245,$B$14:$B$37,FALSE))/INDEX($F$206:$F$229,MATCH($B245,$B$206:$B$229,FALSE))),NA()),NA())</f>
        <v>#N/A</v>
      </c>
      <c r="BA245" s="65" t="e">
        <f>IF(AZ53=1,IF(AZ$13&lt;=COUNT($C25:$CS25),IF(INDEX($F$206:$F$229,MATCH($B245,$B$206:$B$229,FALSE))=0,NA(),INDEX(AZ$14:AZ$37,MATCH($B245,$B$14:$B$37,FALSE))/INDEX($F$206:$F$229,MATCH($B245,$B$206:$B$229,FALSE))),NA()),NA())</f>
        <v>#N/A</v>
      </c>
      <c r="BB245" s="65" t="e">
        <f>IF(BA53=1,IF(BA$13&lt;=COUNT($C25:$CS25),IF(INDEX($F$206:$F$229,MATCH($B245,$B$206:$B$229,FALSE))=0,NA(),INDEX(BA$14:BA$37,MATCH($B245,$B$14:$B$37,FALSE))/INDEX($F$206:$F$229,MATCH($B245,$B$206:$B$229,FALSE))),NA()),NA())</f>
        <v>#N/A</v>
      </c>
      <c r="BC245" s="65" t="e">
        <f>IF(BB53=1,IF(BB$13&lt;=COUNT($C25:$CS25),IF(INDEX($F$206:$F$229,MATCH($B245,$B$206:$B$229,FALSE))=0,NA(),INDEX(BB$14:BB$37,MATCH($B245,$B$14:$B$37,FALSE))/INDEX($F$206:$F$229,MATCH($B245,$B$206:$B$229,FALSE))),NA()),NA())</f>
        <v>#N/A</v>
      </c>
      <c r="BD245" s="65" t="e">
        <f>IF(BC53=1,IF(BC$13&lt;=COUNT($C25:$CS25),IF(INDEX($F$206:$F$229,MATCH($B245,$B$206:$B$229,FALSE))=0,NA(),INDEX(BC$14:BC$37,MATCH($B245,$B$14:$B$37,FALSE))/INDEX($F$206:$F$229,MATCH($B245,$B$206:$B$229,FALSE))),NA()),NA())</f>
        <v>#N/A</v>
      </c>
      <c r="BE245" s="65" t="e">
        <f>IF(BD53=1,IF(BD$13&lt;=COUNT($C25:$CS25),IF(INDEX($F$206:$F$229,MATCH($B245,$B$206:$B$229,FALSE))=0,NA(),INDEX(BD$14:BD$37,MATCH($B245,$B$14:$B$37,FALSE))/INDEX($F$206:$F$229,MATCH($B245,$B$206:$B$229,FALSE))),NA()),NA())</f>
        <v>#N/A</v>
      </c>
      <c r="BF245" s="65" t="e">
        <f>IF(BE53=1,IF(BE$13&lt;=COUNT($C25:$CS25),IF(INDEX($F$206:$F$229,MATCH($B245,$B$206:$B$229,FALSE))=0,NA(),INDEX(BE$14:BE$37,MATCH($B245,$B$14:$B$37,FALSE))/INDEX($F$206:$F$229,MATCH($B245,$B$206:$B$229,FALSE))),NA()),NA())</f>
        <v>#N/A</v>
      </c>
      <c r="BG245" s="65" t="e">
        <f>IF(BF53=1,IF(BF$13&lt;=COUNT($C25:$CS25),IF(INDEX($F$206:$F$229,MATCH($B245,$B$206:$B$229,FALSE))=0,NA(),INDEX(BF$14:BF$37,MATCH($B245,$B$14:$B$37,FALSE))/INDEX($F$206:$F$229,MATCH($B245,$B$206:$B$229,FALSE))),NA()),NA())</f>
        <v>#N/A</v>
      </c>
      <c r="BH245" s="65" t="e">
        <f>IF(BG53=1,IF(BG$13&lt;=COUNT($C25:$CS25),IF(INDEX($F$206:$F$229,MATCH($B245,$B$206:$B$229,FALSE))=0,NA(),INDEX(BG$14:BG$37,MATCH($B245,$B$14:$B$37,FALSE))/INDEX($F$206:$F$229,MATCH($B245,$B$206:$B$229,FALSE))),NA()),NA())</f>
        <v>#N/A</v>
      </c>
      <c r="BI245" s="65" t="e">
        <f>IF(BH53=1,IF(BH$13&lt;=COUNT($C25:$CS25),IF(INDEX($F$206:$F$229,MATCH($B245,$B$206:$B$229,FALSE))=0,NA(),INDEX(BH$14:BH$37,MATCH($B245,$B$14:$B$37,FALSE))/INDEX($F$206:$F$229,MATCH($B245,$B$206:$B$229,FALSE))),NA()),NA())</f>
        <v>#N/A</v>
      </c>
      <c r="BJ245" s="65" t="e">
        <f>IF(BI53=1,IF(BI$13&lt;=COUNT($C25:$CS25),IF(INDEX($F$206:$F$229,MATCH($B245,$B$206:$B$229,FALSE))=0,NA(),INDEX(BI$14:BI$37,MATCH($B245,$B$14:$B$37,FALSE))/INDEX($F$206:$F$229,MATCH($B245,$B$206:$B$229,FALSE))),NA()),NA())</f>
        <v>#N/A</v>
      </c>
      <c r="BK245" s="65" t="e">
        <f>IF(BJ53=1,IF(BJ$13&lt;=COUNT($C25:$CS25),IF(INDEX($F$206:$F$229,MATCH($B245,$B$206:$B$229,FALSE))=0,NA(),INDEX(BJ$14:BJ$37,MATCH($B245,$B$14:$B$37,FALSE))/INDEX($F$206:$F$229,MATCH($B245,$B$206:$B$229,FALSE))),NA()),NA())</f>
        <v>#N/A</v>
      </c>
      <c r="BL245" s="65" t="e">
        <f>IF(BK53=1,IF(BK$13&lt;=COUNT($C25:$CS25),IF(INDEX($F$206:$F$229,MATCH($B245,$B$206:$B$229,FALSE))=0,NA(),INDEX(BK$14:BK$37,MATCH($B245,$B$14:$B$37,FALSE))/INDEX($F$206:$F$229,MATCH($B245,$B$206:$B$229,FALSE))),NA()),NA())</f>
        <v>#N/A</v>
      </c>
      <c r="BM245" s="65" t="e">
        <f>IF(BL53=1,IF(BL$13&lt;=COUNT($C25:$CS25),IF(INDEX($F$206:$F$229,MATCH($B245,$B$206:$B$229,FALSE))=0,NA(),INDEX(BL$14:BL$37,MATCH($B245,$B$14:$B$37,FALSE))/INDEX($F$206:$F$229,MATCH($B245,$B$206:$B$229,FALSE))),NA()),NA())</f>
        <v>#N/A</v>
      </c>
      <c r="BN245" s="65" t="e">
        <f>IF(BM53=1,IF(BM$13&lt;=COUNT($C25:$CS25),IF(INDEX($F$206:$F$229,MATCH($B245,$B$206:$B$229,FALSE))=0,NA(),INDEX(BM$14:BM$37,MATCH($B245,$B$14:$B$37,FALSE))/INDEX($F$206:$F$229,MATCH($B245,$B$206:$B$229,FALSE))),NA()),NA())</f>
        <v>#N/A</v>
      </c>
      <c r="BO245" s="65" t="e">
        <f>IF(BN53=1,IF(BN$13&lt;=COUNT($C25:$CS25),IF(INDEX($F$206:$F$229,MATCH($B245,$B$206:$B$229,FALSE))=0,NA(),INDEX(BN$14:BN$37,MATCH($B245,$B$14:$B$37,FALSE))/INDEX($F$206:$F$229,MATCH($B245,$B$206:$B$229,FALSE))),NA()),NA())</f>
        <v>#N/A</v>
      </c>
      <c r="BP245" s="65" t="e">
        <f>IF(BO53=1,IF(BO$13&lt;=COUNT($C25:$CS25),IF(INDEX($F$206:$F$229,MATCH($B245,$B$206:$B$229,FALSE))=0,NA(),INDEX(BO$14:BO$37,MATCH($B245,$B$14:$B$37,FALSE))/INDEX($F$206:$F$229,MATCH($B245,$B$206:$B$229,FALSE))),NA()),NA())</f>
        <v>#N/A</v>
      </c>
      <c r="BQ245" s="65" t="e">
        <f>IF(BP53=1,IF(BP$13&lt;=COUNT($C25:$CS25),IF(INDEX($F$206:$F$229,MATCH($B245,$B$206:$B$229,FALSE))=0,NA(),INDEX(BP$14:BP$37,MATCH($B245,$B$14:$B$37,FALSE))/INDEX($F$206:$F$229,MATCH($B245,$B$206:$B$229,FALSE))),NA()),NA())</f>
        <v>#N/A</v>
      </c>
      <c r="BR245" s="65" t="e">
        <f>IF(BQ53=1,IF(BQ$13&lt;=COUNT($C25:$CS25),IF(INDEX($F$206:$F$229,MATCH($B245,$B$206:$B$229,FALSE))=0,NA(),INDEX(BQ$14:BQ$37,MATCH($B245,$B$14:$B$37,FALSE))/INDEX($F$206:$F$229,MATCH($B245,$B$206:$B$229,FALSE))),NA()),NA())</f>
        <v>#N/A</v>
      </c>
      <c r="BS245" s="65" t="e">
        <f>IF(BR53=1,IF(BR$13&lt;=COUNT($C25:$CS25),IF(INDEX($F$206:$F$229,MATCH($B245,$B$206:$B$229,FALSE))=0,NA(),INDEX(BR$14:BR$37,MATCH($B245,$B$14:$B$37,FALSE))/INDEX($F$206:$F$229,MATCH($B245,$B$206:$B$229,FALSE))),NA()),NA())</f>
        <v>#N/A</v>
      </c>
      <c r="BT245" s="65" t="e">
        <f>IF(BS53=1,IF(BS$13&lt;=COUNT($C25:$CS25),IF(INDEX($F$206:$F$229,MATCH($B245,$B$206:$B$229,FALSE))=0,NA(),INDEX(BS$14:BS$37,MATCH($B245,$B$14:$B$37,FALSE))/INDEX($F$206:$F$229,MATCH($B245,$B$206:$B$229,FALSE))),NA()),NA())</f>
        <v>#N/A</v>
      </c>
      <c r="BU245" s="65" t="e">
        <f>IF(BT53=1,IF(BT$13&lt;=COUNT($C25:$CS25),IF(INDEX($F$206:$F$229,MATCH($B245,$B$206:$B$229,FALSE))=0,NA(),INDEX(BT$14:BT$37,MATCH($B245,$B$14:$B$37,FALSE))/INDEX($F$206:$F$229,MATCH($B245,$B$206:$B$229,FALSE))),NA()),NA())</f>
        <v>#N/A</v>
      </c>
      <c r="BV245" s="65" t="e">
        <f>IF(BU53=1,IF(BU$13&lt;=COUNT($C25:$CS25),IF(INDEX($F$206:$F$229,MATCH($B245,$B$206:$B$229,FALSE))=0,NA(),INDEX(BU$14:BU$37,MATCH($B245,$B$14:$B$37,FALSE))/INDEX($F$206:$F$229,MATCH($B245,$B$206:$B$229,FALSE))),NA()),NA())</f>
        <v>#N/A</v>
      </c>
      <c r="BW245" s="65" t="e">
        <f>IF(BV53=1,IF(BV$13&lt;=COUNT($C25:$CS25),IF(INDEX($F$206:$F$229,MATCH($B245,$B$206:$B$229,FALSE))=0,NA(),INDEX(BV$14:BV$37,MATCH($B245,$B$14:$B$37,FALSE))/INDEX($F$206:$F$229,MATCH($B245,$B$206:$B$229,FALSE))),NA()),NA())</f>
        <v>#N/A</v>
      </c>
      <c r="BX245" s="65" t="e">
        <f>IF(BW53=1,IF(BW$13&lt;=COUNT($C25:$CS25),IF(INDEX($F$206:$F$229,MATCH($B245,$B$206:$B$229,FALSE))=0,NA(),INDEX(BW$14:BW$37,MATCH($B245,$B$14:$B$37,FALSE))/INDEX($F$206:$F$229,MATCH($B245,$B$206:$B$229,FALSE))),NA()),NA())</f>
        <v>#N/A</v>
      </c>
      <c r="BY245" s="65" t="e">
        <f>IF(BX53=1,IF(BX$13&lt;=COUNT($C25:$CS25),IF(INDEX($F$206:$F$229,MATCH($B245,$B$206:$B$229,FALSE))=0,NA(),INDEX(BX$14:BX$37,MATCH($B245,$B$14:$B$37,FALSE))/INDEX($F$206:$F$229,MATCH($B245,$B$206:$B$229,FALSE))),NA()),NA())</f>
        <v>#N/A</v>
      </c>
      <c r="BZ245" s="65" t="e">
        <f>IF(BY53=1,IF(BY$13&lt;=COUNT($C25:$CS25),IF(INDEX($F$206:$F$229,MATCH($B245,$B$206:$B$229,FALSE))=0,NA(),INDEX(BY$14:BY$37,MATCH($B245,$B$14:$B$37,FALSE))/INDEX($F$206:$F$229,MATCH($B245,$B$206:$B$229,FALSE))),NA()),NA())</f>
        <v>#N/A</v>
      </c>
      <c r="CA245" s="65" t="e">
        <f>IF(BZ53=1,IF(BZ$13&lt;=COUNT($C25:$CS25),IF(INDEX($F$206:$F$229,MATCH($B245,$B$206:$B$229,FALSE))=0,NA(),INDEX(BZ$14:BZ$37,MATCH($B245,$B$14:$B$37,FALSE))/INDEX($F$206:$F$229,MATCH($B245,$B$206:$B$229,FALSE))),NA()),NA())</f>
        <v>#N/A</v>
      </c>
      <c r="CB245" s="65" t="e">
        <f>IF(CA53=1,IF(CA$13&lt;=COUNT($C25:$CS25),IF(INDEX($F$206:$F$229,MATCH($B245,$B$206:$B$229,FALSE))=0,NA(),INDEX(CA$14:CA$37,MATCH($B245,$B$14:$B$37,FALSE))/INDEX($F$206:$F$229,MATCH($B245,$B$206:$B$229,FALSE))),NA()),NA())</f>
        <v>#N/A</v>
      </c>
      <c r="CC245" s="65" t="e">
        <f>IF(CB53=1,IF(CB$13&lt;=COUNT($C25:$CS25),IF(INDEX($F$206:$F$229,MATCH($B245,$B$206:$B$229,FALSE))=0,NA(),INDEX(CB$14:CB$37,MATCH($B245,$B$14:$B$37,FALSE))/INDEX($F$206:$F$229,MATCH($B245,$B$206:$B$229,FALSE))),NA()),NA())</f>
        <v>#N/A</v>
      </c>
      <c r="CD245" s="65" t="e">
        <f>IF(CC53=1,IF(CC$13&lt;=COUNT($C25:$CS25),IF(INDEX($F$206:$F$229,MATCH($B245,$B$206:$B$229,FALSE))=0,NA(),INDEX(CC$14:CC$37,MATCH($B245,$B$14:$B$37,FALSE))/INDEX($F$206:$F$229,MATCH($B245,$B$206:$B$229,FALSE))),NA()),NA())</f>
        <v>#N/A</v>
      </c>
      <c r="CE245" s="65" t="e">
        <f>IF(CD53=1,IF(CD$13&lt;=COUNT($C25:$CS25),IF(INDEX($F$206:$F$229,MATCH($B245,$B$206:$B$229,FALSE))=0,NA(),INDEX(CD$14:CD$37,MATCH($B245,$B$14:$B$37,FALSE))/INDEX($F$206:$F$229,MATCH($B245,$B$206:$B$229,FALSE))),NA()),NA())</f>
        <v>#N/A</v>
      </c>
      <c r="CF245" s="65" t="e">
        <f>IF(CE53=1,IF(CE$13&lt;=COUNT($C25:$CS25),IF(INDEX($F$206:$F$229,MATCH($B245,$B$206:$B$229,FALSE))=0,NA(),INDEX(CE$14:CE$37,MATCH($B245,$B$14:$B$37,FALSE))/INDEX($F$206:$F$229,MATCH($B245,$B$206:$B$229,FALSE))),NA()),NA())</f>
        <v>#N/A</v>
      </c>
      <c r="CG245" s="65" t="e">
        <f>IF(CF53=1,IF(CF$13&lt;=COUNT($C25:$CS25),IF(INDEX($F$206:$F$229,MATCH($B245,$B$206:$B$229,FALSE))=0,NA(),INDEX(CF$14:CF$37,MATCH($B245,$B$14:$B$37,FALSE))/INDEX($F$206:$F$229,MATCH($B245,$B$206:$B$229,FALSE))),NA()),NA())</f>
        <v>#N/A</v>
      </c>
      <c r="CH245" s="65" t="e">
        <f>IF(CG53=1,IF(CG$13&lt;=COUNT($C25:$CS25),IF(INDEX($F$206:$F$229,MATCH($B245,$B$206:$B$229,FALSE))=0,NA(),INDEX(CG$14:CG$37,MATCH($B245,$B$14:$B$37,FALSE))/INDEX($F$206:$F$229,MATCH($B245,$B$206:$B$229,FALSE))),NA()),NA())</f>
        <v>#N/A</v>
      </c>
      <c r="CI245" s="65" t="e">
        <f>IF(CH53=1,IF(CH$13&lt;=COUNT($C25:$CS25),IF(INDEX($F$206:$F$229,MATCH($B245,$B$206:$B$229,FALSE))=0,NA(),INDEX(CH$14:CH$37,MATCH($B245,$B$14:$B$37,FALSE))/INDEX($F$206:$F$229,MATCH($B245,$B$206:$B$229,FALSE))),NA()),NA())</f>
        <v>#N/A</v>
      </c>
      <c r="CJ245" s="65" t="e">
        <f>IF(CI53=1,IF(CI$13&lt;=COUNT($C25:$CS25),IF(INDEX($F$206:$F$229,MATCH($B245,$B$206:$B$229,FALSE))=0,NA(),INDEX(CI$14:CI$37,MATCH($B245,$B$14:$B$37,FALSE))/INDEX($F$206:$F$229,MATCH($B245,$B$206:$B$229,FALSE))),NA()),NA())</f>
        <v>#N/A</v>
      </c>
      <c r="CK245" s="65" t="e">
        <f>IF(CJ53=1,IF(CJ$13&lt;=COUNT($C25:$CS25),IF(INDEX($F$206:$F$229,MATCH($B245,$B$206:$B$229,FALSE))=0,NA(),INDEX(CJ$14:CJ$37,MATCH($B245,$B$14:$B$37,FALSE))/INDEX($F$206:$F$229,MATCH($B245,$B$206:$B$229,FALSE))),NA()),NA())</f>
        <v>#N/A</v>
      </c>
      <c r="CL245" s="65" t="e">
        <f>IF(CK53=1,IF(CK$13&lt;=COUNT($C25:$CS25),IF(INDEX($F$206:$F$229,MATCH($B245,$B$206:$B$229,FALSE))=0,NA(),INDEX(CK$14:CK$37,MATCH($B245,$B$14:$B$37,FALSE))/INDEX($F$206:$F$229,MATCH($B245,$B$206:$B$229,FALSE))),NA()),NA())</f>
        <v>#N/A</v>
      </c>
      <c r="CM245" s="65" t="e">
        <f>IF(CL53=1,IF(CL$13&lt;=COUNT($C25:$CS25),IF(INDEX($F$206:$F$229,MATCH($B245,$B$206:$B$229,FALSE))=0,NA(),INDEX(CL$14:CL$37,MATCH($B245,$B$14:$B$37,FALSE))/INDEX($F$206:$F$229,MATCH($B245,$B$206:$B$229,FALSE))),NA()),NA())</f>
        <v>#N/A</v>
      </c>
      <c r="CN245" s="65" t="e">
        <f>IF(CM53=1,IF(CM$13&lt;=COUNT($C25:$CS25),IF(INDEX($F$206:$F$229,MATCH($B245,$B$206:$B$229,FALSE))=0,NA(),INDEX(CM$14:CM$37,MATCH($B245,$B$14:$B$37,FALSE))/INDEX($F$206:$F$229,MATCH($B245,$B$206:$B$229,FALSE))),NA()),NA())</f>
        <v>#N/A</v>
      </c>
      <c r="CO245" s="65" t="e">
        <f>IF(CN53=1,IF(CN$13&lt;=COUNT($C25:$CS25),IF(INDEX($F$206:$F$229,MATCH($B245,$B$206:$B$229,FALSE))=0,NA(),INDEX(CN$14:CN$37,MATCH($B245,$B$14:$B$37,FALSE))/INDEX($F$206:$F$229,MATCH($B245,$B$206:$B$229,FALSE))),NA()),NA())</f>
        <v>#N/A</v>
      </c>
      <c r="CP245" s="65" t="e">
        <f>IF(CO53=1,IF(CO$13&lt;=COUNT($C25:$CS25),IF(INDEX($F$206:$F$229,MATCH($B245,$B$206:$B$229,FALSE))=0,NA(),INDEX(CO$14:CO$37,MATCH($B245,$B$14:$B$37,FALSE))/INDEX($F$206:$F$229,MATCH($B245,$B$206:$B$229,FALSE))),NA()),NA())</f>
        <v>#N/A</v>
      </c>
      <c r="CQ245" s="65" t="e">
        <f>IF(CP53=1,IF(CP$13&lt;=COUNT($C25:$CS25),IF(INDEX($F$206:$F$229,MATCH($B245,$B$206:$B$229,FALSE))=0,NA(),INDEX(CP$14:CP$37,MATCH($B245,$B$14:$B$37,FALSE))/INDEX($F$206:$F$229,MATCH($B245,$B$206:$B$229,FALSE))),NA()),NA())</f>
        <v>#N/A</v>
      </c>
      <c r="CR245" s="65" t="e">
        <f>IF(CQ53=1,IF(CQ$13&lt;=COUNT($C25:$CS25),IF(INDEX($F$206:$F$229,MATCH($B245,$B$206:$B$229,FALSE))=0,NA(),INDEX(CQ$14:CQ$37,MATCH($B245,$B$14:$B$37,FALSE))/INDEX($F$206:$F$229,MATCH($B245,$B$206:$B$229,FALSE))),NA()),NA())</f>
        <v>#N/A</v>
      </c>
      <c r="CS245" s="65" t="e">
        <f>IF(CR53=1,IF(CR$13&lt;=COUNT($C25:$CS25),IF(INDEX($F$206:$F$229,MATCH($B245,$B$206:$B$229,FALSE))=0,NA(),INDEX(CR$14:CR$37,MATCH($B245,$B$14:$B$37,FALSE))/INDEX($F$206:$F$229,MATCH($B245,$B$206:$B$229,FALSE))),NA()),NA())</f>
        <v>#N/A</v>
      </c>
      <c r="CT245" s="49"/>
      <c r="CU245" s="49"/>
      <c r="CV245" s="49"/>
      <c r="CW245" s="49"/>
    </row>
    <row r="246" spans="1:101" x14ac:dyDescent="0.25">
      <c r="A246" s="97">
        <f t="shared" si="352"/>
        <v>0</v>
      </c>
      <c r="B246" s="29">
        <f t="shared" si="351"/>
        <v>2008</v>
      </c>
      <c r="C246" s="154" t="str">
        <f t="shared" si="353"/>
        <v/>
      </c>
      <c r="D246" s="54" t="e">
        <f>IF(C54=1,IF(C$13&lt;=COUNT($C26:$CS26),IF(INDEX($F$206:$F$229,MATCH($B246,$B$206:$B$229,FALSE))=0,NA(),INDEX(C$14:C$37,MATCH($B246,$B$14:$B$37,FALSE))/INDEX($F$206:$F$229,MATCH($B246,$B$206:$B$229,FALSE))),NA()),NA())</f>
        <v>#N/A</v>
      </c>
      <c r="E246" s="65" t="e">
        <f>IF(D54=1,IF(D$13&lt;=COUNT($C26:$CS26),IF(INDEX($F$206:$F$229,MATCH($B246,$B$206:$B$229,FALSE))=0,NA(),INDEX(D$14:D$37,MATCH($B246,$B$14:$B$37,FALSE))/INDEX($F$206:$F$229,MATCH($B246,$B$206:$B$229,FALSE))),NA()),NA())</f>
        <v>#N/A</v>
      </c>
      <c r="F246" s="65" t="e">
        <f>IF(E54=1,IF(E$13&lt;=COUNT($C26:$CS26),IF(INDEX($F$206:$F$229,MATCH($B246,$B$206:$B$229,FALSE))=0,NA(),INDEX(E$14:E$37,MATCH($B246,$B$14:$B$37,FALSE))/INDEX($F$206:$F$229,MATCH($B246,$B$206:$B$229,FALSE))),NA()),NA())</f>
        <v>#N/A</v>
      </c>
      <c r="G246" s="65" t="e">
        <f>IF(F54=1,IF(F$13&lt;=COUNT($C26:$CS26),IF(INDEX($F$206:$F$229,MATCH($B246,$B$206:$B$229,FALSE))=0,NA(),INDEX(F$14:F$37,MATCH($B246,$B$14:$B$37,FALSE))/INDEX($F$206:$F$229,MATCH($B246,$B$206:$B$229,FALSE))),NA()),NA())</f>
        <v>#N/A</v>
      </c>
      <c r="H246" s="65" t="e">
        <f>IF(G54=1,IF(G$13&lt;=COUNT($C26:$CS26),IF(INDEX($F$206:$F$229,MATCH($B246,$B$206:$B$229,FALSE))=0,NA(),INDEX(G$14:G$37,MATCH($B246,$B$14:$B$37,FALSE))/INDEX($F$206:$F$229,MATCH($B246,$B$206:$B$229,FALSE))),NA()),NA())</f>
        <v>#N/A</v>
      </c>
      <c r="I246" s="65" t="e">
        <f>IF(H54=1,IF(H$13&lt;=COUNT($C26:$CS26),IF(INDEX($F$206:$F$229,MATCH($B246,$B$206:$B$229,FALSE))=0,NA(),INDEX(H$14:H$37,MATCH($B246,$B$14:$B$37,FALSE))/INDEX($F$206:$F$229,MATCH($B246,$B$206:$B$229,FALSE))),NA()),NA())</f>
        <v>#N/A</v>
      </c>
      <c r="J246" s="65" t="e">
        <f>IF(I54=1,IF(I$13&lt;=COUNT($C26:$CS26),IF(INDEX($F$206:$F$229,MATCH($B246,$B$206:$B$229,FALSE))=0,NA(),INDEX(I$14:I$37,MATCH($B246,$B$14:$B$37,FALSE))/INDEX($F$206:$F$229,MATCH($B246,$B$206:$B$229,FALSE))),NA()),NA())</f>
        <v>#N/A</v>
      </c>
      <c r="K246" s="65" t="e">
        <f>IF(J54=1,IF(J$13&lt;=COUNT($C26:$CS26),IF(INDEX($F$206:$F$229,MATCH($B246,$B$206:$B$229,FALSE))=0,NA(),INDEX(J$14:J$37,MATCH($B246,$B$14:$B$37,FALSE))/INDEX($F$206:$F$229,MATCH($B246,$B$206:$B$229,FALSE))),NA()),NA())</f>
        <v>#N/A</v>
      </c>
      <c r="L246" s="65" t="e">
        <f>IF(K54=1,IF(K$13&lt;=COUNT($C26:$CS26),IF(INDEX($F$206:$F$229,MATCH($B246,$B$206:$B$229,FALSE))=0,NA(),INDEX(K$14:K$37,MATCH($B246,$B$14:$B$37,FALSE))/INDEX($F$206:$F$229,MATCH($B246,$B$206:$B$229,FALSE))),NA()),NA())</f>
        <v>#N/A</v>
      </c>
      <c r="M246" s="65" t="e">
        <f>IF(L54=1,IF(L$13&lt;=COUNT($C26:$CS26),IF(INDEX($F$206:$F$229,MATCH($B246,$B$206:$B$229,FALSE))=0,NA(),INDEX(L$14:L$37,MATCH($B246,$B$14:$B$37,FALSE))/INDEX($F$206:$F$229,MATCH($B246,$B$206:$B$229,FALSE))),NA()),NA())</f>
        <v>#N/A</v>
      </c>
      <c r="N246" s="65" t="e">
        <f>IF(M54=1,IF(M$13&lt;=COUNT($C26:$CS26),IF(INDEX($F$206:$F$229,MATCH($B246,$B$206:$B$229,FALSE))=0,NA(),INDEX(M$14:M$37,MATCH($B246,$B$14:$B$37,FALSE))/INDEX($F$206:$F$229,MATCH($B246,$B$206:$B$229,FALSE))),NA()),NA())</f>
        <v>#N/A</v>
      </c>
      <c r="O246" s="65" t="e">
        <f>IF(N54=1,IF(N$13&lt;=COUNT($C26:$CS26),IF(INDEX($F$206:$F$229,MATCH($B246,$B$206:$B$229,FALSE))=0,NA(),INDEX(N$14:N$37,MATCH($B246,$B$14:$B$37,FALSE))/INDEX($F$206:$F$229,MATCH($B246,$B$206:$B$229,FALSE))),NA()),NA())</f>
        <v>#N/A</v>
      </c>
      <c r="P246" s="65" t="e">
        <f>IF(O54=1,IF(O$13&lt;=COUNT($C26:$CS26),IF(INDEX($F$206:$F$229,MATCH($B246,$B$206:$B$229,FALSE))=0,NA(),INDEX(O$14:O$37,MATCH($B246,$B$14:$B$37,FALSE))/INDEX($F$206:$F$229,MATCH($B246,$B$206:$B$229,FALSE))),NA()),NA())</f>
        <v>#N/A</v>
      </c>
      <c r="Q246" s="65" t="e">
        <f>IF(P54=1,IF(P$13&lt;=COUNT($C26:$CS26),IF(INDEX($F$206:$F$229,MATCH($B246,$B$206:$B$229,FALSE))=0,NA(),INDEX(P$14:P$37,MATCH($B246,$B$14:$B$37,FALSE))/INDEX($F$206:$F$229,MATCH($B246,$B$206:$B$229,FALSE))),NA()),NA())</f>
        <v>#N/A</v>
      </c>
      <c r="R246" s="65" t="e">
        <f>IF(Q54=1,IF(Q$13&lt;=COUNT($C26:$CS26),IF(INDEX($F$206:$F$229,MATCH($B246,$B$206:$B$229,FALSE))=0,NA(),INDEX(Q$14:Q$37,MATCH($B246,$B$14:$B$37,FALSE))/INDEX($F$206:$F$229,MATCH($B246,$B$206:$B$229,FALSE))),NA()),NA())</f>
        <v>#N/A</v>
      </c>
      <c r="S246" s="65" t="e">
        <f>IF(R54=1,IF(R$13&lt;=COUNT($C26:$CS26),IF(INDEX($F$206:$F$229,MATCH($B246,$B$206:$B$229,FALSE))=0,NA(),INDEX(R$14:R$37,MATCH($B246,$B$14:$B$37,FALSE))/INDEX($F$206:$F$229,MATCH($B246,$B$206:$B$229,FALSE))),NA()),NA())</f>
        <v>#N/A</v>
      </c>
      <c r="T246" s="65" t="e">
        <f>IF(S54=1,IF(S$13&lt;=COUNT($C26:$CS26),IF(INDEX($F$206:$F$229,MATCH($B246,$B$206:$B$229,FALSE))=0,NA(),INDEX(S$14:S$37,MATCH($B246,$B$14:$B$37,FALSE))/INDEX($F$206:$F$229,MATCH($B246,$B$206:$B$229,FALSE))),NA()),NA())</f>
        <v>#N/A</v>
      </c>
      <c r="U246" s="65" t="e">
        <f>IF(T54=1,IF(T$13&lt;=COUNT($C26:$CS26),IF(INDEX($F$206:$F$229,MATCH($B246,$B$206:$B$229,FALSE))=0,NA(),INDEX(T$14:T$37,MATCH($B246,$B$14:$B$37,FALSE))/INDEX($F$206:$F$229,MATCH($B246,$B$206:$B$229,FALSE))),NA()),NA())</f>
        <v>#N/A</v>
      </c>
      <c r="V246" s="65" t="e">
        <f>IF(U54=1,IF(U$13&lt;=COUNT($C26:$CS26),IF(INDEX($F$206:$F$229,MATCH($B246,$B$206:$B$229,FALSE))=0,NA(),INDEX(U$14:U$37,MATCH($B246,$B$14:$B$37,FALSE))/INDEX($F$206:$F$229,MATCH($B246,$B$206:$B$229,FALSE))),NA()),NA())</f>
        <v>#N/A</v>
      </c>
      <c r="W246" s="65" t="e">
        <f>IF(V54=1,IF(V$13&lt;=COUNT($C26:$CS26),IF(INDEX($F$206:$F$229,MATCH($B246,$B$206:$B$229,FALSE))=0,NA(),INDEX(V$14:V$37,MATCH($B246,$B$14:$B$37,FALSE))/INDEX($F$206:$F$229,MATCH($B246,$B$206:$B$229,FALSE))),NA()),NA())</f>
        <v>#N/A</v>
      </c>
      <c r="X246" s="65" t="e">
        <f>IF(W54=1,IF(W$13&lt;=COUNT($C26:$CS26),IF(INDEX($F$206:$F$229,MATCH($B246,$B$206:$B$229,FALSE))=0,NA(),INDEX(W$14:W$37,MATCH($B246,$B$14:$B$37,FALSE))/INDEX($F$206:$F$229,MATCH($B246,$B$206:$B$229,FALSE))),NA()),NA())</f>
        <v>#N/A</v>
      </c>
      <c r="Y246" s="65" t="e">
        <f>IF(X54=1,IF(X$13&lt;=COUNT($C26:$CS26),IF(INDEX($F$206:$F$229,MATCH($B246,$B$206:$B$229,FALSE))=0,NA(),INDEX(X$14:X$37,MATCH($B246,$B$14:$B$37,FALSE))/INDEX($F$206:$F$229,MATCH($B246,$B$206:$B$229,FALSE))),NA()),NA())</f>
        <v>#N/A</v>
      </c>
      <c r="Z246" s="65" t="e">
        <f>IF(Y54=1,IF(Y$13&lt;=COUNT($C26:$CS26),IF(INDEX($F$206:$F$229,MATCH($B246,$B$206:$B$229,FALSE))=0,NA(),INDEX(Y$14:Y$37,MATCH($B246,$B$14:$B$37,FALSE))/INDEX($F$206:$F$229,MATCH($B246,$B$206:$B$229,FALSE))),NA()),NA())</f>
        <v>#N/A</v>
      </c>
      <c r="AA246" s="65" t="e">
        <f>IF(Z54=1,IF(Z$13&lt;=COUNT($C26:$CS26),IF(INDEX($F$206:$F$229,MATCH($B246,$B$206:$B$229,FALSE))=0,NA(),INDEX(Z$14:Z$37,MATCH($B246,$B$14:$B$37,FALSE))/INDEX($F$206:$F$229,MATCH($B246,$B$206:$B$229,FALSE))),NA()),NA())</f>
        <v>#N/A</v>
      </c>
      <c r="AB246" s="65" t="e">
        <f>IF(AA54=1,IF(AA$13&lt;=COUNT($C26:$CS26),IF(INDEX($F$206:$F$229,MATCH($B246,$B$206:$B$229,FALSE))=0,NA(),INDEX(AA$14:AA$37,MATCH($B246,$B$14:$B$37,FALSE))/INDEX($F$206:$F$229,MATCH($B246,$B$206:$B$229,FALSE))),NA()),NA())</f>
        <v>#N/A</v>
      </c>
      <c r="AC246" s="65" t="e">
        <f>IF(AB54=1,IF(AB$13&lt;=COUNT($C26:$CS26),IF(INDEX($F$206:$F$229,MATCH($B246,$B$206:$B$229,FALSE))=0,NA(),INDEX(AB$14:AB$37,MATCH($B246,$B$14:$B$37,FALSE))/INDEX($F$206:$F$229,MATCH($B246,$B$206:$B$229,FALSE))),NA()),NA())</f>
        <v>#N/A</v>
      </c>
      <c r="AD246" s="65" t="e">
        <f>IF(AC54=1,IF(AC$13&lt;=COUNT($C26:$CS26),IF(INDEX($F$206:$F$229,MATCH($B246,$B$206:$B$229,FALSE))=0,NA(),INDEX(AC$14:AC$37,MATCH($B246,$B$14:$B$37,FALSE))/INDEX($F$206:$F$229,MATCH($B246,$B$206:$B$229,FALSE))),NA()),NA())</f>
        <v>#N/A</v>
      </c>
      <c r="AE246" s="65" t="e">
        <f>IF(AD54=1,IF(AD$13&lt;=COUNT($C26:$CS26),IF(INDEX($F$206:$F$229,MATCH($B246,$B$206:$B$229,FALSE))=0,NA(),INDEX(AD$14:AD$37,MATCH($B246,$B$14:$B$37,FALSE))/INDEX($F$206:$F$229,MATCH($B246,$B$206:$B$229,FALSE))),NA()),NA())</f>
        <v>#N/A</v>
      </c>
      <c r="AF246" s="65" t="e">
        <f>IF(AE54=1,IF(AE$13&lt;=COUNT($C26:$CS26),IF(INDEX($F$206:$F$229,MATCH($B246,$B$206:$B$229,FALSE))=0,NA(),INDEX(AE$14:AE$37,MATCH($B246,$B$14:$B$37,FALSE))/INDEX($F$206:$F$229,MATCH($B246,$B$206:$B$229,FALSE))),NA()),NA())</f>
        <v>#N/A</v>
      </c>
      <c r="AG246" s="65" t="e">
        <f>IF(AF54=1,IF(AF$13&lt;=COUNT($C26:$CS26),IF(INDEX($F$206:$F$229,MATCH($B246,$B$206:$B$229,FALSE))=0,NA(),INDEX(AF$14:AF$37,MATCH($B246,$B$14:$B$37,FALSE))/INDEX($F$206:$F$229,MATCH($B246,$B$206:$B$229,FALSE))),NA()),NA())</f>
        <v>#N/A</v>
      </c>
      <c r="AH246" s="65" t="e">
        <f>IF(AG54=1,IF(AG$13&lt;=COUNT($C26:$CS26),IF(INDEX($F$206:$F$229,MATCH($B246,$B$206:$B$229,FALSE))=0,NA(),INDEX(AG$14:AG$37,MATCH($B246,$B$14:$B$37,FALSE))/INDEX($F$206:$F$229,MATCH($B246,$B$206:$B$229,FALSE))),NA()),NA())</f>
        <v>#N/A</v>
      </c>
      <c r="AI246" s="65" t="e">
        <f>IF(AH54=1,IF(AH$13&lt;=COUNT($C26:$CS26),IF(INDEX($F$206:$F$229,MATCH($B246,$B$206:$B$229,FALSE))=0,NA(),INDEX(AH$14:AH$37,MATCH($B246,$B$14:$B$37,FALSE))/INDEX($F$206:$F$229,MATCH($B246,$B$206:$B$229,FALSE))),NA()),NA())</f>
        <v>#N/A</v>
      </c>
      <c r="AJ246" s="65" t="e">
        <f>IF(AI54=1,IF(AI$13&lt;=COUNT($C26:$CS26),IF(INDEX($F$206:$F$229,MATCH($B246,$B$206:$B$229,FALSE))=0,NA(),INDEX(AI$14:AI$37,MATCH($B246,$B$14:$B$37,FALSE))/INDEX($F$206:$F$229,MATCH($B246,$B$206:$B$229,FALSE))),NA()),NA())</f>
        <v>#N/A</v>
      </c>
      <c r="AK246" s="65" t="e">
        <f>IF(AJ54=1,IF(AJ$13&lt;=COUNT($C26:$CS26),IF(INDEX($F$206:$F$229,MATCH($B246,$B$206:$B$229,FALSE))=0,NA(),INDEX(AJ$14:AJ$37,MATCH($B246,$B$14:$B$37,FALSE))/INDEX($F$206:$F$229,MATCH($B246,$B$206:$B$229,FALSE))),NA()),NA())</f>
        <v>#N/A</v>
      </c>
      <c r="AL246" s="65" t="e">
        <f>IF(AK54=1,IF(AK$13&lt;=COUNT($C26:$CS26),IF(INDEX($F$206:$F$229,MATCH($B246,$B$206:$B$229,FALSE))=0,NA(),INDEX(AK$14:AK$37,MATCH($B246,$B$14:$B$37,FALSE))/INDEX($F$206:$F$229,MATCH($B246,$B$206:$B$229,FALSE))),NA()),NA())</f>
        <v>#N/A</v>
      </c>
      <c r="AM246" s="65" t="e">
        <f>IF(AL54=1,IF(AL$13&lt;=COUNT($C26:$CS26),IF(INDEX($F$206:$F$229,MATCH($B246,$B$206:$B$229,FALSE))=0,NA(),INDEX(AL$14:AL$37,MATCH($B246,$B$14:$B$37,FALSE))/INDEX($F$206:$F$229,MATCH($B246,$B$206:$B$229,FALSE))),NA()),NA())</f>
        <v>#N/A</v>
      </c>
      <c r="AN246" s="65" t="e">
        <f>IF(AM54=1,IF(AM$13&lt;=COUNT($C26:$CS26),IF(INDEX($F$206:$F$229,MATCH($B246,$B$206:$B$229,FALSE))=0,NA(),INDEX(AM$14:AM$37,MATCH($B246,$B$14:$B$37,FALSE))/INDEX($F$206:$F$229,MATCH($B246,$B$206:$B$229,FALSE))),NA()),NA())</f>
        <v>#N/A</v>
      </c>
      <c r="AO246" s="65" t="e">
        <f>IF(AN54=1,IF(AN$13&lt;=COUNT($C26:$CS26),IF(INDEX($F$206:$F$229,MATCH($B246,$B$206:$B$229,FALSE))=0,NA(),INDEX(AN$14:AN$37,MATCH($B246,$B$14:$B$37,FALSE))/INDEX($F$206:$F$229,MATCH($B246,$B$206:$B$229,FALSE))),NA()),NA())</f>
        <v>#N/A</v>
      </c>
      <c r="AP246" s="65" t="e">
        <f>IF(AO54=1,IF(AO$13&lt;=COUNT($C26:$CS26),IF(INDEX($F$206:$F$229,MATCH($B246,$B$206:$B$229,FALSE))=0,NA(),INDEX(AO$14:AO$37,MATCH($B246,$B$14:$B$37,FALSE))/INDEX($F$206:$F$229,MATCH($B246,$B$206:$B$229,FALSE))),NA()),NA())</f>
        <v>#N/A</v>
      </c>
      <c r="AQ246" s="65" t="e">
        <f>IF(AP54=1,IF(AP$13&lt;=COUNT($C26:$CS26),IF(INDEX($F$206:$F$229,MATCH($B246,$B$206:$B$229,FALSE))=0,NA(),INDEX(AP$14:AP$37,MATCH($B246,$B$14:$B$37,FALSE))/INDEX($F$206:$F$229,MATCH($B246,$B$206:$B$229,FALSE))),NA()),NA())</f>
        <v>#N/A</v>
      </c>
      <c r="AR246" s="65" t="e">
        <f>IF(AQ54=1,IF(AQ$13&lt;=COUNT($C26:$CS26),IF(INDEX($F$206:$F$229,MATCH($B246,$B$206:$B$229,FALSE))=0,NA(),INDEX(AQ$14:AQ$37,MATCH($B246,$B$14:$B$37,FALSE))/INDEX($F$206:$F$229,MATCH($B246,$B$206:$B$229,FALSE))),NA()),NA())</f>
        <v>#N/A</v>
      </c>
      <c r="AS246" s="65" t="e">
        <f>IF(AR54=1,IF(AR$13&lt;=COUNT($C26:$CS26),IF(INDEX($F$206:$F$229,MATCH($B246,$B$206:$B$229,FALSE))=0,NA(),INDEX(AR$14:AR$37,MATCH($B246,$B$14:$B$37,FALSE))/INDEX($F$206:$F$229,MATCH($B246,$B$206:$B$229,FALSE))),NA()),NA())</f>
        <v>#N/A</v>
      </c>
      <c r="AT246" s="65" t="e">
        <f>IF(AS54=1,IF(AS$13&lt;=COUNT($C26:$CS26),IF(INDEX($F$206:$F$229,MATCH($B246,$B$206:$B$229,FALSE))=0,NA(),INDEX(AS$14:AS$37,MATCH($B246,$B$14:$B$37,FALSE))/INDEX($F$206:$F$229,MATCH($B246,$B$206:$B$229,FALSE))),NA()),NA())</f>
        <v>#N/A</v>
      </c>
      <c r="AU246" s="65" t="e">
        <f>IF(AT54=1,IF(AT$13&lt;=COUNT($C26:$CS26),IF(INDEX($F$206:$F$229,MATCH($B246,$B$206:$B$229,FALSE))=0,NA(),INDEX(AT$14:AT$37,MATCH($B246,$B$14:$B$37,FALSE))/INDEX($F$206:$F$229,MATCH($B246,$B$206:$B$229,FALSE))),NA()),NA())</f>
        <v>#N/A</v>
      </c>
      <c r="AV246" s="65" t="e">
        <f>IF(AU54=1,IF(AU$13&lt;=COUNT($C26:$CS26),IF(INDEX($F$206:$F$229,MATCH($B246,$B$206:$B$229,FALSE))=0,NA(),INDEX(AU$14:AU$37,MATCH($B246,$B$14:$B$37,FALSE))/INDEX($F$206:$F$229,MATCH($B246,$B$206:$B$229,FALSE))),NA()),NA())</f>
        <v>#N/A</v>
      </c>
      <c r="AW246" s="65" t="e">
        <f>IF(AV54=1,IF(AV$13&lt;=COUNT($C26:$CS26),IF(INDEX($F$206:$F$229,MATCH($B246,$B$206:$B$229,FALSE))=0,NA(),INDEX(AV$14:AV$37,MATCH($B246,$B$14:$B$37,FALSE))/INDEX($F$206:$F$229,MATCH($B246,$B$206:$B$229,FALSE))),NA()),NA())</f>
        <v>#N/A</v>
      </c>
      <c r="AX246" s="65" t="e">
        <f>IF(AW54=1,IF(AW$13&lt;=COUNT($C26:$CS26),IF(INDEX($F$206:$F$229,MATCH($B246,$B$206:$B$229,FALSE))=0,NA(),INDEX(AW$14:AW$37,MATCH($B246,$B$14:$B$37,FALSE))/INDEX($F$206:$F$229,MATCH($B246,$B$206:$B$229,FALSE))),NA()),NA())</f>
        <v>#N/A</v>
      </c>
      <c r="AY246" s="65" t="e">
        <f>IF(AX54=1,IF(AX$13&lt;=COUNT($C26:$CS26),IF(INDEX($F$206:$F$229,MATCH($B246,$B$206:$B$229,FALSE))=0,NA(),INDEX(AX$14:AX$37,MATCH($B246,$B$14:$B$37,FALSE))/INDEX($F$206:$F$229,MATCH($B246,$B$206:$B$229,FALSE))),NA()),NA())</f>
        <v>#N/A</v>
      </c>
      <c r="AZ246" s="65" t="e">
        <f>IF(AY54=1,IF(AY$13&lt;=COUNT($C26:$CS26),IF(INDEX($F$206:$F$229,MATCH($B246,$B$206:$B$229,FALSE))=0,NA(),INDEX(AY$14:AY$37,MATCH($B246,$B$14:$B$37,FALSE))/INDEX($F$206:$F$229,MATCH($B246,$B$206:$B$229,FALSE))),NA()),NA())</f>
        <v>#N/A</v>
      </c>
      <c r="BA246" s="65" t="e">
        <f>IF(AZ54=1,IF(AZ$13&lt;=COUNT($C26:$CS26),IF(INDEX($F$206:$F$229,MATCH($B246,$B$206:$B$229,FALSE))=0,NA(),INDEX(AZ$14:AZ$37,MATCH($B246,$B$14:$B$37,FALSE))/INDEX($F$206:$F$229,MATCH($B246,$B$206:$B$229,FALSE))),NA()),NA())</f>
        <v>#N/A</v>
      </c>
      <c r="BB246" s="65" t="e">
        <f>IF(BA54=1,IF(BA$13&lt;=COUNT($C26:$CS26),IF(INDEX($F$206:$F$229,MATCH($B246,$B$206:$B$229,FALSE))=0,NA(),INDEX(BA$14:BA$37,MATCH($B246,$B$14:$B$37,FALSE))/INDEX($F$206:$F$229,MATCH($B246,$B$206:$B$229,FALSE))),NA()),NA())</f>
        <v>#N/A</v>
      </c>
      <c r="BC246" s="65" t="e">
        <f>IF(BB54=1,IF(BB$13&lt;=COUNT($C26:$CS26),IF(INDEX($F$206:$F$229,MATCH($B246,$B$206:$B$229,FALSE))=0,NA(),INDEX(BB$14:BB$37,MATCH($B246,$B$14:$B$37,FALSE))/INDEX($F$206:$F$229,MATCH($B246,$B$206:$B$229,FALSE))),NA()),NA())</f>
        <v>#N/A</v>
      </c>
      <c r="BD246" s="65" t="e">
        <f>IF(BC54=1,IF(BC$13&lt;=COUNT($C26:$CS26),IF(INDEX($F$206:$F$229,MATCH($B246,$B$206:$B$229,FALSE))=0,NA(),INDEX(BC$14:BC$37,MATCH($B246,$B$14:$B$37,FALSE))/INDEX($F$206:$F$229,MATCH($B246,$B$206:$B$229,FALSE))),NA()),NA())</f>
        <v>#N/A</v>
      </c>
      <c r="BE246" s="65" t="e">
        <f>IF(BD54=1,IF(BD$13&lt;=COUNT($C26:$CS26),IF(INDEX($F$206:$F$229,MATCH($B246,$B$206:$B$229,FALSE))=0,NA(),INDEX(BD$14:BD$37,MATCH($B246,$B$14:$B$37,FALSE))/INDEX($F$206:$F$229,MATCH($B246,$B$206:$B$229,FALSE))),NA()),NA())</f>
        <v>#N/A</v>
      </c>
      <c r="BF246" s="65" t="e">
        <f>IF(BE54=1,IF(BE$13&lt;=COUNT($C26:$CS26),IF(INDEX($F$206:$F$229,MATCH($B246,$B$206:$B$229,FALSE))=0,NA(),INDEX(BE$14:BE$37,MATCH($B246,$B$14:$B$37,FALSE))/INDEX($F$206:$F$229,MATCH($B246,$B$206:$B$229,FALSE))),NA()),NA())</f>
        <v>#N/A</v>
      </c>
      <c r="BG246" s="65" t="e">
        <f>IF(BF54=1,IF(BF$13&lt;=COUNT($C26:$CS26),IF(INDEX($F$206:$F$229,MATCH($B246,$B$206:$B$229,FALSE))=0,NA(),INDEX(BF$14:BF$37,MATCH($B246,$B$14:$B$37,FALSE))/INDEX($F$206:$F$229,MATCH($B246,$B$206:$B$229,FALSE))),NA()),NA())</f>
        <v>#N/A</v>
      </c>
      <c r="BH246" s="65" t="e">
        <f>IF(BG54=1,IF(BG$13&lt;=COUNT($C26:$CS26),IF(INDEX($F$206:$F$229,MATCH($B246,$B$206:$B$229,FALSE))=0,NA(),INDEX(BG$14:BG$37,MATCH($B246,$B$14:$B$37,FALSE))/INDEX($F$206:$F$229,MATCH($B246,$B$206:$B$229,FALSE))),NA()),NA())</f>
        <v>#N/A</v>
      </c>
      <c r="BI246" s="65" t="e">
        <f>IF(BH54=1,IF(BH$13&lt;=COUNT($C26:$CS26),IF(INDEX($F$206:$F$229,MATCH($B246,$B$206:$B$229,FALSE))=0,NA(),INDEX(BH$14:BH$37,MATCH($B246,$B$14:$B$37,FALSE))/INDEX($F$206:$F$229,MATCH($B246,$B$206:$B$229,FALSE))),NA()),NA())</f>
        <v>#N/A</v>
      </c>
      <c r="BJ246" s="65" t="e">
        <f>IF(BI54=1,IF(BI$13&lt;=COUNT($C26:$CS26),IF(INDEX($F$206:$F$229,MATCH($B246,$B$206:$B$229,FALSE))=0,NA(),INDEX(BI$14:BI$37,MATCH($B246,$B$14:$B$37,FALSE))/INDEX($F$206:$F$229,MATCH($B246,$B$206:$B$229,FALSE))),NA()),NA())</f>
        <v>#N/A</v>
      </c>
      <c r="BK246" s="65" t="e">
        <f>IF(BJ54=1,IF(BJ$13&lt;=COUNT($C26:$CS26),IF(INDEX($F$206:$F$229,MATCH($B246,$B$206:$B$229,FALSE))=0,NA(),INDEX(BJ$14:BJ$37,MATCH($B246,$B$14:$B$37,FALSE))/INDEX($F$206:$F$229,MATCH($B246,$B$206:$B$229,FALSE))),NA()),NA())</f>
        <v>#N/A</v>
      </c>
      <c r="BL246" s="65" t="e">
        <f>IF(BK54=1,IF(BK$13&lt;=COUNT($C26:$CS26),IF(INDEX($F$206:$F$229,MATCH($B246,$B$206:$B$229,FALSE))=0,NA(),INDEX(BK$14:BK$37,MATCH($B246,$B$14:$B$37,FALSE))/INDEX($F$206:$F$229,MATCH($B246,$B$206:$B$229,FALSE))),NA()),NA())</f>
        <v>#N/A</v>
      </c>
      <c r="BM246" s="65" t="e">
        <f>IF(BL54=1,IF(BL$13&lt;=COUNT($C26:$CS26),IF(INDEX($F$206:$F$229,MATCH($B246,$B$206:$B$229,FALSE))=0,NA(),INDEX(BL$14:BL$37,MATCH($B246,$B$14:$B$37,FALSE))/INDEX($F$206:$F$229,MATCH($B246,$B$206:$B$229,FALSE))),NA()),NA())</f>
        <v>#N/A</v>
      </c>
      <c r="BN246" s="65" t="e">
        <f>IF(BM54=1,IF(BM$13&lt;=COUNT($C26:$CS26),IF(INDEX($F$206:$F$229,MATCH($B246,$B$206:$B$229,FALSE))=0,NA(),INDEX(BM$14:BM$37,MATCH($B246,$B$14:$B$37,FALSE))/INDEX($F$206:$F$229,MATCH($B246,$B$206:$B$229,FALSE))),NA()),NA())</f>
        <v>#N/A</v>
      </c>
      <c r="BO246" s="65" t="e">
        <f>IF(BN54=1,IF(BN$13&lt;=COUNT($C26:$CS26),IF(INDEX($F$206:$F$229,MATCH($B246,$B$206:$B$229,FALSE))=0,NA(),INDEX(BN$14:BN$37,MATCH($B246,$B$14:$B$37,FALSE))/INDEX($F$206:$F$229,MATCH($B246,$B$206:$B$229,FALSE))),NA()),NA())</f>
        <v>#N/A</v>
      </c>
      <c r="BP246" s="65" t="e">
        <f>IF(BO54=1,IF(BO$13&lt;=COUNT($C26:$CS26),IF(INDEX($F$206:$F$229,MATCH($B246,$B$206:$B$229,FALSE))=0,NA(),INDEX(BO$14:BO$37,MATCH($B246,$B$14:$B$37,FALSE))/INDEX($F$206:$F$229,MATCH($B246,$B$206:$B$229,FALSE))),NA()),NA())</f>
        <v>#N/A</v>
      </c>
      <c r="BQ246" s="65" t="e">
        <f>IF(BP54=1,IF(BP$13&lt;=COUNT($C26:$CS26),IF(INDEX($F$206:$F$229,MATCH($B246,$B$206:$B$229,FALSE))=0,NA(),INDEX(BP$14:BP$37,MATCH($B246,$B$14:$B$37,FALSE))/INDEX($F$206:$F$229,MATCH($B246,$B$206:$B$229,FALSE))),NA()),NA())</f>
        <v>#N/A</v>
      </c>
      <c r="BR246" s="65" t="e">
        <f>IF(BQ54=1,IF(BQ$13&lt;=COUNT($C26:$CS26),IF(INDEX($F$206:$F$229,MATCH($B246,$B$206:$B$229,FALSE))=0,NA(),INDEX(BQ$14:BQ$37,MATCH($B246,$B$14:$B$37,FALSE))/INDEX($F$206:$F$229,MATCH($B246,$B$206:$B$229,FALSE))),NA()),NA())</f>
        <v>#N/A</v>
      </c>
      <c r="BS246" s="65" t="e">
        <f>IF(BR54=1,IF(BR$13&lt;=COUNT($C26:$CS26),IF(INDEX($F$206:$F$229,MATCH($B246,$B$206:$B$229,FALSE))=0,NA(),INDEX(BR$14:BR$37,MATCH($B246,$B$14:$B$37,FALSE))/INDEX($F$206:$F$229,MATCH($B246,$B$206:$B$229,FALSE))),NA()),NA())</f>
        <v>#N/A</v>
      </c>
      <c r="BT246" s="65" t="e">
        <f>IF(BS54=1,IF(BS$13&lt;=COUNT($C26:$CS26),IF(INDEX($F$206:$F$229,MATCH($B246,$B$206:$B$229,FALSE))=0,NA(),INDEX(BS$14:BS$37,MATCH($B246,$B$14:$B$37,FALSE))/INDEX($F$206:$F$229,MATCH($B246,$B$206:$B$229,FALSE))),NA()),NA())</f>
        <v>#N/A</v>
      </c>
      <c r="BU246" s="65" t="e">
        <f>IF(BT54=1,IF(BT$13&lt;=COUNT($C26:$CS26),IF(INDEX($F$206:$F$229,MATCH($B246,$B$206:$B$229,FALSE))=0,NA(),INDEX(BT$14:BT$37,MATCH($B246,$B$14:$B$37,FALSE))/INDEX($F$206:$F$229,MATCH($B246,$B$206:$B$229,FALSE))),NA()),NA())</f>
        <v>#N/A</v>
      </c>
      <c r="BV246" s="65" t="e">
        <f>IF(BU54=1,IF(BU$13&lt;=COUNT($C26:$CS26),IF(INDEX($F$206:$F$229,MATCH($B246,$B$206:$B$229,FALSE))=0,NA(),INDEX(BU$14:BU$37,MATCH($B246,$B$14:$B$37,FALSE))/INDEX($F$206:$F$229,MATCH($B246,$B$206:$B$229,FALSE))),NA()),NA())</f>
        <v>#N/A</v>
      </c>
      <c r="BW246" s="65" t="e">
        <f>IF(BV54=1,IF(BV$13&lt;=COUNT($C26:$CS26),IF(INDEX($F$206:$F$229,MATCH($B246,$B$206:$B$229,FALSE))=0,NA(),INDEX(BV$14:BV$37,MATCH($B246,$B$14:$B$37,FALSE))/INDEX($F$206:$F$229,MATCH($B246,$B$206:$B$229,FALSE))),NA()),NA())</f>
        <v>#N/A</v>
      </c>
      <c r="BX246" s="65" t="e">
        <f>IF(BW54=1,IF(BW$13&lt;=COUNT($C26:$CS26),IF(INDEX($F$206:$F$229,MATCH($B246,$B$206:$B$229,FALSE))=0,NA(),INDEX(BW$14:BW$37,MATCH($B246,$B$14:$B$37,FALSE))/INDEX($F$206:$F$229,MATCH($B246,$B$206:$B$229,FALSE))),NA()),NA())</f>
        <v>#N/A</v>
      </c>
      <c r="BY246" s="65" t="e">
        <f>IF(BX54=1,IF(BX$13&lt;=COUNT($C26:$CS26),IF(INDEX($F$206:$F$229,MATCH($B246,$B$206:$B$229,FALSE))=0,NA(),INDEX(BX$14:BX$37,MATCH($B246,$B$14:$B$37,FALSE))/INDEX($F$206:$F$229,MATCH($B246,$B$206:$B$229,FALSE))),NA()),NA())</f>
        <v>#N/A</v>
      </c>
      <c r="BZ246" s="65" t="e">
        <f>IF(BY54=1,IF(BY$13&lt;=COUNT($C26:$CS26),IF(INDEX($F$206:$F$229,MATCH($B246,$B$206:$B$229,FALSE))=0,NA(),INDEX(BY$14:BY$37,MATCH($B246,$B$14:$B$37,FALSE))/INDEX($F$206:$F$229,MATCH($B246,$B$206:$B$229,FALSE))),NA()),NA())</f>
        <v>#N/A</v>
      </c>
      <c r="CA246" s="65" t="e">
        <f>IF(BZ54=1,IF(BZ$13&lt;=COUNT($C26:$CS26),IF(INDEX($F$206:$F$229,MATCH($B246,$B$206:$B$229,FALSE))=0,NA(),INDEX(BZ$14:BZ$37,MATCH($B246,$B$14:$B$37,FALSE))/INDEX($F$206:$F$229,MATCH($B246,$B$206:$B$229,FALSE))),NA()),NA())</f>
        <v>#N/A</v>
      </c>
      <c r="CB246" s="65" t="e">
        <f>IF(CA54=1,IF(CA$13&lt;=COUNT($C26:$CS26),IF(INDEX($F$206:$F$229,MATCH($B246,$B$206:$B$229,FALSE))=0,NA(),INDEX(CA$14:CA$37,MATCH($B246,$B$14:$B$37,FALSE))/INDEX($F$206:$F$229,MATCH($B246,$B$206:$B$229,FALSE))),NA()),NA())</f>
        <v>#N/A</v>
      </c>
      <c r="CC246" s="65" t="e">
        <f>IF(CB54=1,IF(CB$13&lt;=COUNT($C26:$CS26),IF(INDEX($F$206:$F$229,MATCH($B246,$B$206:$B$229,FALSE))=0,NA(),INDEX(CB$14:CB$37,MATCH($B246,$B$14:$B$37,FALSE))/INDEX($F$206:$F$229,MATCH($B246,$B$206:$B$229,FALSE))),NA()),NA())</f>
        <v>#N/A</v>
      </c>
      <c r="CD246" s="65" t="e">
        <f>IF(CC54=1,IF(CC$13&lt;=COUNT($C26:$CS26),IF(INDEX($F$206:$F$229,MATCH($B246,$B$206:$B$229,FALSE))=0,NA(),INDEX(CC$14:CC$37,MATCH($B246,$B$14:$B$37,FALSE))/INDEX($F$206:$F$229,MATCH($B246,$B$206:$B$229,FALSE))),NA()),NA())</f>
        <v>#N/A</v>
      </c>
      <c r="CE246" s="65" t="e">
        <f>IF(CD54=1,IF(CD$13&lt;=COUNT($C26:$CS26),IF(INDEX($F$206:$F$229,MATCH($B246,$B$206:$B$229,FALSE))=0,NA(),INDEX(CD$14:CD$37,MATCH($B246,$B$14:$B$37,FALSE))/INDEX($F$206:$F$229,MATCH($B246,$B$206:$B$229,FALSE))),NA()),NA())</f>
        <v>#N/A</v>
      </c>
      <c r="CF246" s="65" t="e">
        <f>IF(CE54=1,IF(CE$13&lt;=COUNT($C26:$CS26),IF(INDEX($F$206:$F$229,MATCH($B246,$B$206:$B$229,FALSE))=0,NA(),INDEX(CE$14:CE$37,MATCH($B246,$B$14:$B$37,FALSE))/INDEX($F$206:$F$229,MATCH($B246,$B$206:$B$229,FALSE))),NA()),NA())</f>
        <v>#N/A</v>
      </c>
      <c r="CG246" s="65" t="e">
        <f>IF(CF54=1,IF(CF$13&lt;=COUNT($C26:$CS26),IF(INDEX($F$206:$F$229,MATCH($B246,$B$206:$B$229,FALSE))=0,NA(),INDEX(CF$14:CF$37,MATCH($B246,$B$14:$B$37,FALSE))/INDEX($F$206:$F$229,MATCH($B246,$B$206:$B$229,FALSE))),NA()),NA())</f>
        <v>#N/A</v>
      </c>
      <c r="CH246" s="65" t="e">
        <f>IF(CG54=1,IF(CG$13&lt;=COUNT($C26:$CS26),IF(INDEX($F$206:$F$229,MATCH($B246,$B$206:$B$229,FALSE))=0,NA(),INDEX(CG$14:CG$37,MATCH($B246,$B$14:$B$37,FALSE))/INDEX($F$206:$F$229,MATCH($B246,$B$206:$B$229,FALSE))),NA()),NA())</f>
        <v>#N/A</v>
      </c>
      <c r="CI246" s="65" t="e">
        <f>IF(CH54=1,IF(CH$13&lt;=COUNT($C26:$CS26),IF(INDEX($F$206:$F$229,MATCH($B246,$B$206:$B$229,FALSE))=0,NA(),INDEX(CH$14:CH$37,MATCH($B246,$B$14:$B$37,FALSE))/INDEX($F$206:$F$229,MATCH($B246,$B$206:$B$229,FALSE))),NA()),NA())</f>
        <v>#N/A</v>
      </c>
      <c r="CJ246" s="65" t="e">
        <f>IF(CI54=1,IF(CI$13&lt;=COUNT($C26:$CS26),IF(INDEX($F$206:$F$229,MATCH($B246,$B$206:$B$229,FALSE))=0,NA(),INDEX(CI$14:CI$37,MATCH($B246,$B$14:$B$37,FALSE))/INDEX($F$206:$F$229,MATCH($B246,$B$206:$B$229,FALSE))),NA()),NA())</f>
        <v>#N/A</v>
      </c>
      <c r="CK246" s="65" t="e">
        <f>IF(CJ54=1,IF(CJ$13&lt;=COUNT($C26:$CS26),IF(INDEX($F$206:$F$229,MATCH($B246,$B$206:$B$229,FALSE))=0,NA(),INDEX(CJ$14:CJ$37,MATCH($B246,$B$14:$B$37,FALSE))/INDEX($F$206:$F$229,MATCH($B246,$B$206:$B$229,FALSE))),NA()),NA())</f>
        <v>#N/A</v>
      </c>
      <c r="CL246" s="65" t="e">
        <f>IF(CK54=1,IF(CK$13&lt;=COUNT($C26:$CS26),IF(INDEX($F$206:$F$229,MATCH($B246,$B$206:$B$229,FALSE))=0,NA(),INDEX(CK$14:CK$37,MATCH($B246,$B$14:$B$37,FALSE))/INDEX($F$206:$F$229,MATCH($B246,$B$206:$B$229,FALSE))),NA()),NA())</f>
        <v>#N/A</v>
      </c>
      <c r="CM246" s="65" t="e">
        <f>IF(CL54=1,IF(CL$13&lt;=COUNT($C26:$CS26),IF(INDEX($F$206:$F$229,MATCH($B246,$B$206:$B$229,FALSE))=0,NA(),INDEX(CL$14:CL$37,MATCH($B246,$B$14:$B$37,FALSE))/INDEX($F$206:$F$229,MATCH($B246,$B$206:$B$229,FALSE))),NA()),NA())</f>
        <v>#N/A</v>
      </c>
      <c r="CN246" s="65" t="e">
        <f>IF(CM54=1,IF(CM$13&lt;=COUNT($C26:$CS26),IF(INDEX($F$206:$F$229,MATCH($B246,$B$206:$B$229,FALSE))=0,NA(),INDEX(CM$14:CM$37,MATCH($B246,$B$14:$B$37,FALSE))/INDEX($F$206:$F$229,MATCH($B246,$B$206:$B$229,FALSE))),NA()),NA())</f>
        <v>#N/A</v>
      </c>
      <c r="CO246" s="65" t="e">
        <f>IF(CN54=1,IF(CN$13&lt;=COUNT($C26:$CS26),IF(INDEX($F$206:$F$229,MATCH($B246,$B$206:$B$229,FALSE))=0,NA(),INDEX(CN$14:CN$37,MATCH($B246,$B$14:$B$37,FALSE))/INDEX($F$206:$F$229,MATCH($B246,$B$206:$B$229,FALSE))),NA()),NA())</f>
        <v>#N/A</v>
      </c>
      <c r="CP246" s="65" t="e">
        <f>IF(CO54=1,IF(CO$13&lt;=COUNT($C26:$CS26),IF(INDEX($F$206:$F$229,MATCH($B246,$B$206:$B$229,FALSE))=0,NA(),INDEX(CO$14:CO$37,MATCH($B246,$B$14:$B$37,FALSE))/INDEX($F$206:$F$229,MATCH($B246,$B$206:$B$229,FALSE))),NA()),NA())</f>
        <v>#N/A</v>
      </c>
      <c r="CQ246" s="65" t="e">
        <f>IF(CP54=1,IF(CP$13&lt;=COUNT($C26:$CS26),IF(INDEX($F$206:$F$229,MATCH($B246,$B$206:$B$229,FALSE))=0,NA(),INDEX(CP$14:CP$37,MATCH($B246,$B$14:$B$37,FALSE))/INDEX($F$206:$F$229,MATCH($B246,$B$206:$B$229,FALSE))),NA()),NA())</f>
        <v>#N/A</v>
      </c>
      <c r="CR246" s="65" t="e">
        <f>IF(CQ54=1,IF(CQ$13&lt;=COUNT($C26:$CS26),IF(INDEX($F$206:$F$229,MATCH($B246,$B$206:$B$229,FALSE))=0,NA(),INDEX(CQ$14:CQ$37,MATCH($B246,$B$14:$B$37,FALSE))/INDEX($F$206:$F$229,MATCH($B246,$B$206:$B$229,FALSE))),NA()),NA())</f>
        <v>#N/A</v>
      </c>
      <c r="CS246" s="65" t="e">
        <f>IF(CR54=1,IF(CR$13&lt;=COUNT($C26:$CS26),IF(INDEX($F$206:$F$229,MATCH($B246,$B$206:$B$229,FALSE))=0,NA(),INDEX(CR$14:CR$37,MATCH($B246,$B$14:$B$37,FALSE))/INDEX($F$206:$F$229,MATCH($B246,$B$206:$B$229,FALSE))),NA()),NA())</f>
        <v>#N/A</v>
      </c>
      <c r="CT246" s="49"/>
      <c r="CU246" s="49"/>
      <c r="CV246" s="49"/>
      <c r="CW246" s="49"/>
    </row>
    <row r="247" spans="1:101" x14ac:dyDescent="0.25">
      <c r="A247" s="97">
        <f t="shared" si="352"/>
        <v>0</v>
      </c>
      <c r="B247" s="29">
        <f t="shared" si="351"/>
        <v>2009</v>
      </c>
      <c r="C247" s="154" t="str">
        <f t="shared" si="353"/>
        <v/>
      </c>
      <c r="D247" s="54" t="e">
        <f>IF(C55=1,IF(C$13&lt;=COUNT($C27:$CS27),IF(INDEX($F$206:$F$229,MATCH($B247,$B$206:$B$229,FALSE))=0,NA(),INDEX(C$14:C$37,MATCH($B247,$B$14:$B$37,FALSE))/INDEX($F$206:$F$229,MATCH($B247,$B$206:$B$229,FALSE))),NA()),NA())</f>
        <v>#N/A</v>
      </c>
      <c r="E247" s="65" t="e">
        <f>IF(D55=1,IF(D$13&lt;=COUNT($C27:$CS27),IF(INDEX($F$206:$F$229,MATCH($B247,$B$206:$B$229,FALSE))=0,NA(),INDEX(D$14:D$37,MATCH($B247,$B$14:$B$37,FALSE))/INDEX($F$206:$F$229,MATCH($B247,$B$206:$B$229,FALSE))),NA()),NA())</f>
        <v>#N/A</v>
      </c>
      <c r="F247" s="65" t="e">
        <f>IF(E55=1,IF(E$13&lt;=COUNT($C27:$CS27),IF(INDEX($F$206:$F$229,MATCH($B247,$B$206:$B$229,FALSE))=0,NA(),INDEX(E$14:E$37,MATCH($B247,$B$14:$B$37,FALSE))/INDEX($F$206:$F$229,MATCH($B247,$B$206:$B$229,FALSE))),NA()),NA())</f>
        <v>#N/A</v>
      </c>
      <c r="G247" s="65" t="e">
        <f>IF(F55=1,IF(F$13&lt;=COUNT($C27:$CS27),IF(INDEX($F$206:$F$229,MATCH($B247,$B$206:$B$229,FALSE))=0,NA(),INDEX(F$14:F$37,MATCH($B247,$B$14:$B$37,FALSE))/INDEX($F$206:$F$229,MATCH($B247,$B$206:$B$229,FALSE))),NA()),NA())</f>
        <v>#N/A</v>
      </c>
      <c r="H247" s="65" t="e">
        <f>IF(G55=1,IF(G$13&lt;=COUNT($C27:$CS27),IF(INDEX($F$206:$F$229,MATCH($B247,$B$206:$B$229,FALSE))=0,NA(),INDEX(G$14:G$37,MATCH($B247,$B$14:$B$37,FALSE))/INDEX($F$206:$F$229,MATCH($B247,$B$206:$B$229,FALSE))),NA()),NA())</f>
        <v>#N/A</v>
      </c>
      <c r="I247" s="65" t="e">
        <f>IF(H55=1,IF(H$13&lt;=COUNT($C27:$CS27),IF(INDEX($F$206:$F$229,MATCH($B247,$B$206:$B$229,FALSE))=0,NA(),INDEX(H$14:H$37,MATCH($B247,$B$14:$B$37,FALSE))/INDEX($F$206:$F$229,MATCH($B247,$B$206:$B$229,FALSE))),NA()),NA())</f>
        <v>#N/A</v>
      </c>
      <c r="J247" s="65" t="e">
        <f>IF(I55=1,IF(I$13&lt;=COUNT($C27:$CS27),IF(INDEX($F$206:$F$229,MATCH($B247,$B$206:$B$229,FALSE))=0,NA(),INDEX(I$14:I$37,MATCH($B247,$B$14:$B$37,FALSE))/INDEX($F$206:$F$229,MATCH($B247,$B$206:$B$229,FALSE))),NA()),NA())</f>
        <v>#N/A</v>
      </c>
      <c r="K247" s="65" t="e">
        <f>IF(J55=1,IF(J$13&lt;=COUNT($C27:$CS27),IF(INDEX($F$206:$F$229,MATCH($B247,$B$206:$B$229,FALSE))=0,NA(),INDEX(J$14:J$37,MATCH($B247,$B$14:$B$37,FALSE))/INDEX($F$206:$F$229,MATCH($B247,$B$206:$B$229,FALSE))),NA()),NA())</f>
        <v>#N/A</v>
      </c>
      <c r="L247" s="65" t="e">
        <f>IF(K55=1,IF(K$13&lt;=COUNT($C27:$CS27),IF(INDEX($F$206:$F$229,MATCH($B247,$B$206:$B$229,FALSE))=0,NA(),INDEX(K$14:K$37,MATCH($B247,$B$14:$B$37,FALSE))/INDEX($F$206:$F$229,MATCH($B247,$B$206:$B$229,FALSE))),NA()),NA())</f>
        <v>#N/A</v>
      </c>
      <c r="M247" s="65" t="e">
        <f>IF(L55=1,IF(L$13&lt;=COUNT($C27:$CS27),IF(INDEX($F$206:$F$229,MATCH($B247,$B$206:$B$229,FALSE))=0,NA(),INDEX(L$14:L$37,MATCH($B247,$B$14:$B$37,FALSE))/INDEX($F$206:$F$229,MATCH($B247,$B$206:$B$229,FALSE))),NA()),NA())</f>
        <v>#N/A</v>
      </c>
      <c r="N247" s="65" t="e">
        <f>IF(M55=1,IF(M$13&lt;=COUNT($C27:$CS27),IF(INDEX($F$206:$F$229,MATCH($B247,$B$206:$B$229,FALSE))=0,NA(),INDEX(M$14:M$37,MATCH($B247,$B$14:$B$37,FALSE))/INDEX($F$206:$F$229,MATCH($B247,$B$206:$B$229,FALSE))),NA()),NA())</f>
        <v>#N/A</v>
      </c>
      <c r="O247" s="65" t="e">
        <f>IF(N55=1,IF(N$13&lt;=COUNT($C27:$CS27),IF(INDEX($F$206:$F$229,MATCH($B247,$B$206:$B$229,FALSE))=0,NA(),INDEX(N$14:N$37,MATCH($B247,$B$14:$B$37,FALSE))/INDEX($F$206:$F$229,MATCH($B247,$B$206:$B$229,FALSE))),NA()),NA())</f>
        <v>#N/A</v>
      </c>
      <c r="P247" s="65" t="e">
        <f>IF(O55=1,IF(O$13&lt;=COUNT($C27:$CS27),IF(INDEX($F$206:$F$229,MATCH($B247,$B$206:$B$229,FALSE))=0,NA(),INDEX(O$14:O$37,MATCH($B247,$B$14:$B$37,FALSE))/INDEX($F$206:$F$229,MATCH($B247,$B$206:$B$229,FALSE))),NA()),NA())</f>
        <v>#N/A</v>
      </c>
      <c r="Q247" s="65" t="e">
        <f>IF(P55=1,IF(P$13&lt;=COUNT($C27:$CS27),IF(INDEX($F$206:$F$229,MATCH($B247,$B$206:$B$229,FALSE))=0,NA(),INDEX(P$14:P$37,MATCH($B247,$B$14:$B$37,FALSE))/INDEX($F$206:$F$229,MATCH($B247,$B$206:$B$229,FALSE))),NA()),NA())</f>
        <v>#N/A</v>
      </c>
      <c r="R247" s="65" t="e">
        <f>IF(Q55=1,IF(Q$13&lt;=COUNT($C27:$CS27),IF(INDEX($F$206:$F$229,MATCH($B247,$B$206:$B$229,FALSE))=0,NA(),INDEX(Q$14:Q$37,MATCH($B247,$B$14:$B$37,FALSE))/INDEX($F$206:$F$229,MATCH($B247,$B$206:$B$229,FALSE))),NA()),NA())</f>
        <v>#N/A</v>
      </c>
      <c r="S247" s="65" t="e">
        <f>IF(R55=1,IF(R$13&lt;=COUNT($C27:$CS27),IF(INDEX($F$206:$F$229,MATCH($B247,$B$206:$B$229,FALSE))=0,NA(),INDEX(R$14:R$37,MATCH($B247,$B$14:$B$37,FALSE))/INDEX($F$206:$F$229,MATCH($B247,$B$206:$B$229,FALSE))),NA()),NA())</f>
        <v>#N/A</v>
      </c>
      <c r="T247" s="65" t="e">
        <f>IF(S55=1,IF(S$13&lt;=COUNT($C27:$CS27),IF(INDEX($F$206:$F$229,MATCH($B247,$B$206:$B$229,FALSE))=0,NA(),INDEX(S$14:S$37,MATCH($B247,$B$14:$B$37,FALSE))/INDEX($F$206:$F$229,MATCH($B247,$B$206:$B$229,FALSE))),NA()),NA())</f>
        <v>#N/A</v>
      </c>
      <c r="U247" s="65" t="e">
        <f>IF(T55=1,IF(T$13&lt;=COUNT($C27:$CS27),IF(INDEX($F$206:$F$229,MATCH($B247,$B$206:$B$229,FALSE))=0,NA(),INDEX(T$14:T$37,MATCH($B247,$B$14:$B$37,FALSE))/INDEX($F$206:$F$229,MATCH($B247,$B$206:$B$229,FALSE))),NA()),NA())</f>
        <v>#N/A</v>
      </c>
      <c r="V247" s="65" t="e">
        <f>IF(U55=1,IF(U$13&lt;=COUNT($C27:$CS27),IF(INDEX($F$206:$F$229,MATCH($B247,$B$206:$B$229,FALSE))=0,NA(),INDEX(U$14:U$37,MATCH($B247,$B$14:$B$37,FALSE))/INDEX($F$206:$F$229,MATCH($B247,$B$206:$B$229,FALSE))),NA()),NA())</f>
        <v>#N/A</v>
      </c>
      <c r="W247" s="65" t="e">
        <f>IF(V55=1,IF(V$13&lt;=COUNT($C27:$CS27),IF(INDEX($F$206:$F$229,MATCH($B247,$B$206:$B$229,FALSE))=0,NA(),INDEX(V$14:V$37,MATCH($B247,$B$14:$B$37,FALSE))/INDEX($F$206:$F$229,MATCH($B247,$B$206:$B$229,FALSE))),NA()),NA())</f>
        <v>#N/A</v>
      </c>
      <c r="X247" s="65" t="e">
        <f>IF(W55=1,IF(W$13&lt;=COUNT($C27:$CS27),IF(INDEX($F$206:$F$229,MATCH($B247,$B$206:$B$229,FALSE))=0,NA(),INDEX(W$14:W$37,MATCH($B247,$B$14:$B$37,FALSE))/INDEX($F$206:$F$229,MATCH($B247,$B$206:$B$229,FALSE))),NA()),NA())</f>
        <v>#N/A</v>
      </c>
      <c r="Y247" s="65" t="e">
        <f>IF(X55=1,IF(X$13&lt;=COUNT($C27:$CS27),IF(INDEX($F$206:$F$229,MATCH($B247,$B$206:$B$229,FALSE))=0,NA(),INDEX(X$14:X$37,MATCH($B247,$B$14:$B$37,FALSE))/INDEX($F$206:$F$229,MATCH($B247,$B$206:$B$229,FALSE))),NA()),NA())</f>
        <v>#N/A</v>
      </c>
      <c r="Z247" s="65" t="e">
        <f>IF(Y55=1,IF(Y$13&lt;=COUNT($C27:$CS27),IF(INDEX($F$206:$F$229,MATCH($B247,$B$206:$B$229,FALSE))=0,NA(),INDEX(Y$14:Y$37,MATCH($B247,$B$14:$B$37,FALSE))/INDEX($F$206:$F$229,MATCH($B247,$B$206:$B$229,FALSE))),NA()),NA())</f>
        <v>#N/A</v>
      </c>
      <c r="AA247" s="65" t="e">
        <f>IF(Z55=1,IF(Z$13&lt;=COUNT($C27:$CS27),IF(INDEX($F$206:$F$229,MATCH($B247,$B$206:$B$229,FALSE))=0,NA(),INDEX(Z$14:Z$37,MATCH($B247,$B$14:$B$37,FALSE))/INDEX($F$206:$F$229,MATCH($B247,$B$206:$B$229,FALSE))),NA()),NA())</f>
        <v>#N/A</v>
      </c>
      <c r="AB247" s="65" t="e">
        <f>IF(AA55=1,IF(AA$13&lt;=COUNT($C27:$CS27),IF(INDEX($F$206:$F$229,MATCH($B247,$B$206:$B$229,FALSE))=0,NA(),INDEX(AA$14:AA$37,MATCH($B247,$B$14:$B$37,FALSE))/INDEX($F$206:$F$229,MATCH($B247,$B$206:$B$229,FALSE))),NA()),NA())</f>
        <v>#N/A</v>
      </c>
      <c r="AC247" s="65" t="e">
        <f>IF(AB55=1,IF(AB$13&lt;=COUNT($C27:$CS27),IF(INDEX($F$206:$F$229,MATCH($B247,$B$206:$B$229,FALSE))=0,NA(),INDEX(AB$14:AB$37,MATCH($B247,$B$14:$B$37,FALSE))/INDEX($F$206:$F$229,MATCH($B247,$B$206:$B$229,FALSE))),NA()),NA())</f>
        <v>#N/A</v>
      </c>
      <c r="AD247" s="65" t="e">
        <f>IF(AC55=1,IF(AC$13&lt;=COUNT($C27:$CS27),IF(INDEX($F$206:$F$229,MATCH($B247,$B$206:$B$229,FALSE))=0,NA(),INDEX(AC$14:AC$37,MATCH($B247,$B$14:$B$37,FALSE))/INDEX($F$206:$F$229,MATCH($B247,$B$206:$B$229,FALSE))),NA()),NA())</f>
        <v>#N/A</v>
      </c>
      <c r="AE247" s="65" t="e">
        <f>IF(AD55=1,IF(AD$13&lt;=COUNT($C27:$CS27),IF(INDEX($F$206:$F$229,MATCH($B247,$B$206:$B$229,FALSE))=0,NA(),INDEX(AD$14:AD$37,MATCH($B247,$B$14:$B$37,FALSE))/INDEX($F$206:$F$229,MATCH($B247,$B$206:$B$229,FALSE))),NA()),NA())</f>
        <v>#N/A</v>
      </c>
      <c r="AF247" s="65" t="e">
        <f>IF(AE55=1,IF(AE$13&lt;=COUNT($C27:$CS27),IF(INDEX($F$206:$F$229,MATCH($B247,$B$206:$B$229,FALSE))=0,NA(),INDEX(AE$14:AE$37,MATCH($B247,$B$14:$B$37,FALSE))/INDEX($F$206:$F$229,MATCH($B247,$B$206:$B$229,FALSE))),NA()),NA())</f>
        <v>#N/A</v>
      </c>
      <c r="AG247" s="65" t="e">
        <f>IF(AF55=1,IF(AF$13&lt;=COUNT($C27:$CS27),IF(INDEX($F$206:$F$229,MATCH($B247,$B$206:$B$229,FALSE))=0,NA(),INDEX(AF$14:AF$37,MATCH($B247,$B$14:$B$37,FALSE))/INDEX($F$206:$F$229,MATCH($B247,$B$206:$B$229,FALSE))),NA()),NA())</f>
        <v>#N/A</v>
      </c>
      <c r="AH247" s="65" t="e">
        <f>IF(AG55=1,IF(AG$13&lt;=COUNT($C27:$CS27),IF(INDEX($F$206:$F$229,MATCH($B247,$B$206:$B$229,FALSE))=0,NA(),INDEX(AG$14:AG$37,MATCH($B247,$B$14:$B$37,FALSE))/INDEX($F$206:$F$229,MATCH($B247,$B$206:$B$229,FALSE))),NA()),NA())</f>
        <v>#N/A</v>
      </c>
      <c r="AI247" s="65" t="e">
        <f>IF(AH55=1,IF(AH$13&lt;=COUNT($C27:$CS27),IF(INDEX($F$206:$F$229,MATCH($B247,$B$206:$B$229,FALSE))=0,NA(),INDEX(AH$14:AH$37,MATCH($B247,$B$14:$B$37,FALSE))/INDEX($F$206:$F$229,MATCH($B247,$B$206:$B$229,FALSE))),NA()),NA())</f>
        <v>#N/A</v>
      </c>
      <c r="AJ247" s="65" t="e">
        <f>IF(AI55=1,IF(AI$13&lt;=COUNT($C27:$CS27),IF(INDEX($F$206:$F$229,MATCH($B247,$B$206:$B$229,FALSE))=0,NA(),INDEX(AI$14:AI$37,MATCH($B247,$B$14:$B$37,FALSE))/INDEX($F$206:$F$229,MATCH($B247,$B$206:$B$229,FALSE))),NA()),NA())</f>
        <v>#N/A</v>
      </c>
      <c r="AK247" s="65" t="e">
        <f>IF(AJ55=1,IF(AJ$13&lt;=COUNT($C27:$CS27),IF(INDEX($F$206:$F$229,MATCH($B247,$B$206:$B$229,FALSE))=0,NA(),INDEX(AJ$14:AJ$37,MATCH($B247,$B$14:$B$37,FALSE))/INDEX($F$206:$F$229,MATCH($B247,$B$206:$B$229,FALSE))),NA()),NA())</f>
        <v>#N/A</v>
      </c>
      <c r="AL247" s="65" t="e">
        <f>IF(AK55=1,IF(AK$13&lt;=COUNT($C27:$CS27),IF(INDEX($F$206:$F$229,MATCH($B247,$B$206:$B$229,FALSE))=0,NA(),INDEX(AK$14:AK$37,MATCH($B247,$B$14:$B$37,FALSE))/INDEX($F$206:$F$229,MATCH($B247,$B$206:$B$229,FALSE))),NA()),NA())</f>
        <v>#N/A</v>
      </c>
      <c r="AM247" s="65" t="e">
        <f>IF(AL55=1,IF(AL$13&lt;=COUNT($C27:$CS27),IF(INDEX($F$206:$F$229,MATCH($B247,$B$206:$B$229,FALSE))=0,NA(),INDEX(AL$14:AL$37,MATCH($B247,$B$14:$B$37,FALSE))/INDEX($F$206:$F$229,MATCH($B247,$B$206:$B$229,FALSE))),NA()),NA())</f>
        <v>#N/A</v>
      </c>
      <c r="AN247" s="65" t="e">
        <f>IF(AM55=1,IF(AM$13&lt;=COUNT($C27:$CS27),IF(INDEX($F$206:$F$229,MATCH($B247,$B$206:$B$229,FALSE))=0,NA(),INDEX(AM$14:AM$37,MATCH($B247,$B$14:$B$37,FALSE))/INDEX($F$206:$F$229,MATCH($B247,$B$206:$B$229,FALSE))),NA()),NA())</f>
        <v>#N/A</v>
      </c>
      <c r="AO247" s="65" t="e">
        <f>IF(AN55=1,IF(AN$13&lt;=COUNT($C27:$CS27),IF(INDEX($F$206:$F$229,MATCH($B247,$B$206:$B$229,FALSE))=0,NA(),INDEX(AN$14:AN$37,MATCH($B247,$B$14:$B$37,FALSE))/INDEX($F$206:$F$229,MATCH($B247,$B$206:$B$229,FALSE))),NA()),NA())</f>
        <v>#N/A</v>
      </c>
      <c r="AP247" s="65" t="e">
        <f>IF(AO55=1,IF(AO$13&lt;=COUNT($C27:$CS27),IF(INDEX($F$206:$F$229,MATCH($B247,$B$206:$B$229,FALSE))=0,NA(),INDEX(AO$14:AO$37,MATCH($B247,$B$14:$B$37,FALSE))/INDEX($F$206:$F$229,MATCH($B247,$B$206:$B$229,FALSE))),NA()),NA())</f>
        <v>#N/A</v>
      </c>
      <c r="AQ247" s="65" t="e">
        <f>IF(AP55=1,IF(AP$13&lt;=COUNT($C27:$CS27),IF(INDEX($F$206:$F$229,MATCH($B247,$B$206:$B$229,FALSE))=0,NA(),INDEX(AP$14:AP$37,MATCH($B247,$B$14:$B$37,FALSE))/INDEX($F$206:$F$229,MATCH($B247,$B$206:$B$229,FALSE))),NA()),NA())</f>
        <v>#N/A</v>
      </c>
      <c r="AR247" s="65" t="e">
        <f>IF(AQ55=1,IF(AQ$13&lt;=COUNT($C27:$CS27),IF(INDEX($F$206:$F$229,MATCH($B247,$B$206:$B$229,FALSE))=0,NA(),INDEX(AQ$14:AQ$37,MATCH($B247,$B$14:$B$37,FALSE))/INDEX($F$206:$F$229,MATCH($B247,$B$206:$B$229,FALSE))),NA()),NA())</f>
        <v>#N/A</v>
      </c>
      <c r="AS247" s="65" t="e">
        <f>IF(AR55=1,IF(AR$13&lt;=COUNT($C27:$CS27),IF(INDEX($F$206:$F$229,MATCH($B247,$B$206:$B$229,FALSE))=0,NA(),INDEX(AR$14:AR$37,MATCH($B247,$B$14:$B$37,FALSE))/INDEX($F$206:$F$229,MATCH($B247,$B$206:$B$229,FALSE))),NA()),NA())</f>
        <v>#N/A</v>
      </c>
      <c r="AT247" s="65" t="e">
        <f>IF(AS55=1,IF(AS$13&lt;=COUNT($C27:$CS27),IF(INDEX($F$206:$F$229,MATCH($B247,$B$206:$B$229,FALSE))=0,NA(),INDEX(AS$14:AS$37,MATCH($B247,$B$14:$B$37,FALSE))/INDEX($F$206:$F$229,MATCH($B247,$B$206:$B$229,FALSE))),NA()),NA())</f>
        <v>#N/A</v>
      </c>
      <c r="AU247" s="65" t="e">
        <f>IF(AT55=1,IF(AT$13&lt;=COUNT($C27:$CS27),IF(INDEX($F$206:$F$229,MATCH($B247,$B$206:$B$229,FALSE))=0,NA(),INDEX(AT$14:AT$37,MATCH($B247,$B$14:$B$37,FALSE))/INDEX($F$206:$F$229,MATCH($B247,$B$206:$B$229,FALSE))),NA()),NA())</f>
        <v>#N/A</v>
      </c>
      <c r="AV247" s="65" t="e">
        <f>IF(AU55=1,IF(AU$13&lt;=COUNT($C27:$CS27),IF(INDEX($F$206:$F$229,MATCH($B247,$B$206:$B$229,FALSE))=0,NA(),INDEX(AU$14:AU$37,MATCH($B247,$B$14:$B$37,FALSE))/INDEX($F$206:$F$229,MATCH($B247,$B$206:$B$229,FALSE))),NA()),NA())</f>
        <v>#N/A</v>
      </c>
      <c r="AW247" s="65" t="e">
        <f>IF(AV55=1,IF(AV$13&lt;=COUNT($C27:$CS27),IF(INDEX($F$206:$F$229,MATCH($B247,$B$206:$B$229,FALSE))=0,NA(),INDEX(AV$14:AV$37,MATCH($B247,$B$14:$B$37,FALSE))/INDEX($F$206:$F$229,MATCH($B247,$B$206:$B$229,FALSE))),NA()),NA())</f>
        <v>#N/A</v>
      </c>
      <c r="AX247" s="65" t="e">
        <f>IF(AW55=1,IF(AW$13&lt;=COUNT($C27:$CS27),IF(INDEX($F$206:$F$229,MATCH($B247,$B$206:$B$229,FALSE))=0,NA(),INDEX(AW$14:AW$37,MATCH($B247,$B$14:$B$37,FALSE))/INDEX($F$206:$F$229,MATCH($B247,$B$206:$B$229,FALSE))),NA()),NA())</f>
        <v>#N/A</v>
      </c>
      <c r="AY247" s="65" t="e">
        <f>IF(AX55=1,IF(AX$13&lt;=COUNT($C27:$CS27),IF(INDEX($F$206:$F$229,MATCH($B247,$B$206:$B$229,FALSE))=0,NA(),INDEX(AX$14:AX$37,MATCH($B247,$B$14:$B$37,FALSE))/INDEX($F$206:$F$229,MATCH($B247,$B$206:$B$229,FALSE))),NA()),NA())</f>
        <v>#N/A</v>
      </c>
      <c r="AZ247" s="65" t="e">
        <f>IF(AY55=1,IF(AY$13&lt;=COUNT($C27:$CS27),IF(INDEX($F$206:$F$229,MATCH($B247,$B$206:$B$229,FALSE))=0,NA(),INDEX(AY$14:AY$37,MATCH($B247,$B$14:$B$37,FALSE))/INDEX($F$206:$F$229,MATCH($B247,$B$206:$B$229,FALSE))),NA()),NA())</f>
        <v>#N/A</v>
      </c>
      <c r="BA247" s="65" t="e">
        <f>IF(AZ55=1,IF(AZ$13&lt;=COUNT($C27:$CS27),IF(INDEX($F$206:$F$229,MATCH($B247,$B$206:$B$229,FALSE))=0,NA(),INDEX(AZ$14:AZ$37,MATCH($B247,$B$14:$B$37,FALSE))/INDEX($F$206:$F$229,MATCH($B247,$B$206:$B$229,FALSE))),NA()),NA())</f>
        <v>#N/A</v>
      </c>
      <c r="BB247" s="65" t="e">
        <f>IF(BA55=1,IF(BA$13&lt;=COUNT($C27:$CS27),IF(INDEX($F$206:$F$229,MATCH($B247,$B$206:$B$229,FALSE))=0,NA(),INDEX(BA$14:BA$37,MATCH($B247,$B$14:$B$37,FALSE))/INDEX($F$206:$F$229,MATCH($B247,$B$206:$B$229,FALSE))),NA()),NA())</f>
        <v>#N/A</v>
      </c>
      <c r="BC247" s="65" t="e">
        <f>IF(BB55=1,IF(BB$13&lt;=COUNT($C27:$CS27),IF(INDEX($F$206:$F$229,MATCH($B247,$B$206:$B$229,FALSE))=0,NA(),INDEX(BB$14:BB$37,MATCH($B247,$B$14:$B$37,FALSE))/INDEX($F$206:$F$229,MATCH($B247,$B$206:$B$229,FALSE))),NA()),NA())</f>
        <v>#N/A</v>
      </c>
      <c r="BD247" s="65" t="e">
        <f>IF(BC55=1,IF(BC$13&lt;=COUNT($C27:$CS27),IF(INDEX($F$206:$F$229,MATCH($B247,$B$206:$B$229,FALSE))=0,NA(),INDEX(BC$14:BC$37,MATCH($B247,$B$14:$B$37,FALSE))/INDEX($F$206:$F$229,MATCH($B247,$B$206:$B$229,FALSE))),NA()),NA())</f>
        <v>#N/A</v>
      </c>
      <c r="BE247" s="65" t="e">
        <f>IF(BD55=1,IF(BD$13&lt;=COUNT($C27:$CS27),IF(INDEX($F$206:$F$229,MATCH($B247,$B$206:$B$229,FALSE))=0,NA(),INDEX(BD$14:BD$37,MATCH($B247,$B$14:$B$37,FALSE))/INDEX($F$206:$F$229,MATCH($B247,$B$206:$B$229,FALSE))),NA()),NA())</f>
        <v>#N/A</v>
      </c>
      <c r="BF247" s="65" t="e">
        <f>IF(BE55=1,IF(BE$13&lt;=COUNT($C27:$CS27),IF(INDEX($F$206:$F$229,MATCH($B247,$B$206:$B$229,FALSE))=0,NA(),INDEX(BE$14:BE$37,MATCH($B247,$B$14:$B$37,FALSE))/INDEX($F$206:$F$229,MATCH($B247,$B$206:$B$229,FALSE))),NA()),NA())</f>
        <v>#N/A</v>
      </c>
      <c r="BG247" s="65" t="e">
        <f>IF(BF55=1,IF(BF$13&lt;=COUNT($C27:$CS27),IF(INDEX($F$206:$F$229,MATCH($B247,$B$206:$B$229,FALSE))=0,NA(),INDEX(BF$14:BF$37,MATCH($B247,$B$14:$B$37,FALSE))/INDEX($F$206:$F$229,MATCH($B247,$B$206:$B$229,FALSE))),NA()),NA())</f>
        <v>#N/A</v>
      </c>
      <c r="BH247" s="65" t="e">
        <f>IF(BG55=1,IF(BG$13&lt;=COUNT($C27:$CS27),IF(INDEX($F$206:$F$229,MATCH($B247,$B$206:$B$229,FALSE))=0,NA(),INDEX(BG$14:BG$37,MATCH($B247,$B$14:$B$37,FALSE))/INDEX($F$206:$F$229,MATCH($B247,$B$206:$B$229,FALSE))),NA()),NA())</f>
        <v>#N/A</v>
      </c>
      <c r="BI247" s="65" t="e">
        <f>IF(BH55=1,IF(BH$13&lt;=COUNT($C27:$CS27),IF(INDEX($F$206:$F$229,MATCH($B247,$B$206:$B$229,FALSE))=0,NA(),INDEX(BH$14:BH$37,MATCH($B247,$B$14:$B$37,FALSE))/INDEX($F$206:$F$229,MATCH($B247,$B$206:$B$229,FALSE))),NA()),NA())</f>
        <v>#N/A</v>
      </c>
      <c r="BJ247" s="65" t="e">
        <f>IF(BI55=1,IF(BI$13&lt;=COUNT($C27:$CS27),IF(INDEX($F$206:$F$229,MATCH($B247,$B$206:$B$229,FALSE))=0,NA(),INDEX(BI$14:BI$37,MATCH($B247,$B$14:$B$37,FALSE))/INDEX($F$206:$F$229,MATCH($B247,$B$206:$B$229,FALSE))),NA()),NA())</f>
        <v>#N/A</v>
      </c>
      <c r="BK247" s="65" t="e">
        <f>IF(BJ55=1,IF(BJ$13&lt;=COUNT($C27:$CS27),IF(INDEX($F$206:$F$229,MATCH($B247,$B$206:$B$229,FALSE))=0,NA(),INDEX(BJ$14:BJ$37,MATCH($B247,$B$14:$B$37,FALSE))/INDEX($F$206:$F$229,MATCH($B247,$B$206:$B$229,FALSE))),NA()),NA())</f>
        <v>#N/A</v>
      </c>
      <c r="BL247" s="65" t="e">
        <f>IF(BK55=1,IF(BK$13&lt;=COUNT($C27:$CS27),IF(INDEX($F$206:$F$229,MATCH($B247,$B$206:$B$229,FALSE))=0,NA(),INDEX(BK$14:BK$37,MATCH($B247,$B$14:$B$37,FALSE))/INDEX($F$206:$F$229,MATCH($B247,$B$206:$B$229,FALSE))),NA()),NA())</f>
        <v>#N/A</v>
      </c>
      <c r="BM247" s="65" t="e">
        <f>IF(BL55=1,IF(BL$13&lt;=COUNT($C27:$CS27),IF(INDEX($F$206:$F$229,MATCH($B247,$B$206:$B$229,FALSE))=0,NA(),INDEX(BL$14:BL$37,MATCH($B247,$B$14:$B$37,FALSE))/INDEX($F$206:$F$229,MATCH($B247,$B$206:$B$229,FALSE))),NA()),NA())</f>
        <v>#N/A</v>
      </c>
      <c r="BN247" s="65" t="e">
        <f>IF(BM55=1,IF(BM$13&lt;=COUNT($C27:$CS27),IF(INDEX($F$206:$F$229,MATCH($B247,$B$206:$B$229,FALSE))=0,NA(),INDEX(BM$14:BM$37,MATCH($B247,$B$14:$B$37,FALSE))/INDEX($F$206:$F$229,MATCH($B247,$B$206:$B$229,FALSE))),NA()),NA())</f>
        <v>#N/A</v>
      </c>
      <c r="BO247" s="65" t="e">
        <f>IF(BN55=1,IF(BN$13&lt;=COUNT($C27:$CS27),IF(INDEX($F$206:$F$229,MATCH($B247,$B$206:$B$229,FALSE))=0,NA(),INDEX(BN$14:BN$37,MATCH($B247,$B$14:$B$37,FALSE))/INDEX($F$206:$F$229,MATCH($B247,$B$206:$B$229,FALSE))),NA()),NA())</f>
        <v>#N/A</v>
      </c>
      <c r="BP247" s="65" t="e">
        <f>IF(BO55=1,IF(BO$13&lt;=COUNT($C27:$CS27),IF(INDEX($F$206:$F$229,MATCH($B247,$B$206:$B$229,FALSE))=0,NA(),INDEX(BO$14:BO$37,MATCH($B247,$B$14:$B$37,FALSE))/INDEX($F$206:$F$229,MATCH($B247,$B$206:$B$229,FALSE))),NA()),NA())</f>
        <v>#N/A</v>
      </c>
      <c r="BQ247" s="65" t="e">
        <f>IF(BP55=1,IF(BP$13&lt;=COUNT($C27:$CS27),IF(INDEX($F$206:$F$229,MATCH($B247,$B$206:$B$229,FALSE))=0,NA(),INDEX(BP$14:BP$37,MATCH($B247,$B$14:$B$37,FALSE))/INDEX($F$206:$F$229,MATCH($B247,$B$206:$B$229,FALSE))),NA()),NA())</f>
        <v>#N/A</v>
      </c>
      <c r="BR247" s="65" t="e">
        <f>IF(BQ55=1,IF(BQ$13&lt;=COUNT($C27:$CS27),IF(INDEX($F$206:$F$229,MATCH($B247,$B$206:$B$229,FALSE))=0,NA(),INDEX(BQ$14:BQ$37,MATCH($B247,$B$14:$B$37,FALSE))/INDEX($F$206:$F$229,MATCH($B247,$B$206:$B$229,FALSE))),NA()),NA())</f>
        <v>#N/A</v>
      </c>
      <c r="BS247" s="65" t="e">
        <f>IF(BR55=1,IF(BR$13&lt;=COUNT($C27:$CS27),IF(INDEX($F$206:$F$229,MATCH($B247,$B$206:$B$229,FALSE))=0,NA(),INDEX(BR$14:BR$37,MATCH($B247,$B$14:$B$37,FALSE))/INDEX($F$206:$F$229,MATCH($B247,$B$206:$B$229,FALSE))),NA()),NA())</f>
        <v>#N/A</v>
      </c>
      <c r="BT247" s="65" t="e">
        <f>IF(BS55=1,IF(BS$13&lt;=COUNT($C27:$CS27),IF(INDEX($F$206:$F$229,MATCH($B247,$B$206:$B$229,FALSE))=0,NA(),INDEX(BS$14:BS$37,MATCH($B247,$B$14:$B$37,FALSE))/INDEX($F$206:$F$229,MATCH($B247,$B$206:$B$229,FALSE))),NA()),NA())</f>
        <v>#N/A</v>
      </c>
      <c r="BU247" s="65" t="e">
        <f>IF(BT55=1,IF(BT$13&lt;=COUNT($C27:$CS27),IF(INDEX($F$206:$F$229,MATCH($B247,$B$206:$B$229,FALSE))=0,NA(),INDEX(BT$14:BT$37,MATCH($B247,$B$14:$B$37,FALSE))/INDEX($F$206:$F$229,MATCH($B247,$B$206:$B$229,FALSE))),NA()),NA())</f>
        <v>#N/A</v>
      </c>
      <c r="BV247" s="65" t="e">
        <f>IF(BU55=1,IF(BU$13&lt;=COUNT($C27:$CS27),IF(INDEX($F$206:$F$229,MATCH($B247,$B$206:$B$229,FALSE))=0,NA(),INDEX(BU$14:BU$37,MATCH($B247,$B$14:$B$37,FALSE))/INDEX($F$206:$F$229,MATCH($B247,$B$206:$B$229,FALSE))),NA()),NA())</f>
        <v>#N/A</v>
      </c>
      <c r="BW247" s="65" t="e">
        <f>IF(BV55=1,IF(BV$13&lt;=COUNT($C27:$CS27),IF(INDEX($F$206:$F$229,MATCH($B247,$B$206:$B$229,FALSE))=0,NA(),INDEX(BV$14:BV$37,MATCH($B247,$B$14:$B$37,FALSE))/INDEX($F$206:$F$229,MATCH($B247,$B$206:$B$229,FALSE))),NA()),NA())</f>
        <v>#N/A</v>
      </c>
      <c r="BX247" s="65" t="e">
        <f>IF(BW55=1,IF(BW$13&lt;=COUNT($C27:$CS27),IF(INDEX($F$206:$F$229,MATCH($B247,$B$206:$B$229,FALSE))=0,NA(),INDEX(BW$14:BW$37,MATCH($B247,$B$14:$B$37,FALSE))/INDEX($F$206:$F$229,MATCH($B247,$B$206:$B$229,FALSE))),NA()),NA())</f>
        <v>#N/A</v>
      </c>
      <c r="BY247" s="65" t="e">
        <f>IF(BX55=1,IF(BX$13&lt;=COUNT($C27:$CS27),IF(INDEX($F$206:$F$229,MATCH($B247,$B$206:$B$229,FALSE))=0,NA(),INDEX(BX$14:BX$37,MATCH($B247,$B$14:$B$37,FALSE))/INDEX($F$206:$F$229,MATCH($B247,$B$206:$B$229,FALSE))),NA()),NA())</f>
        <v>#N/A</v>
      </c>
      <c r="BZ247" s="65" t="e">
        <f>IF(BY55=1,IF(BY$13&lt;=COUNT($C27:$CS27),IF(INDEX($F$206:$F$229,MATCH($B247,$B$206:$B$229,FALSE))=0,NA(),INDEX(BY$14:BY$37,MATCH($B247,$B$14:$B$37,FALSE))/INDEX($F$206:$F$229,MATCH($B247,$B$206:$B$229,FALSE))),NA()),NA())</f>
        <v>#N/A</v>
      </c>
      <c r="CA247" s="65" t="e">
        <f>IF(BZ55=1,IF(BZ$13&lt;=COUNT($C27:$CS27),IF(INDEX($F$206:$F$229,MATCH($B247,$B$206:$B$229,FALSE))=0,NA(),INDEX(BZ$14:BZ$37,MATCH($B247,$B$14:$B$37,FALSE))/INDEX($F$206:$F$229,MATCH($B247,$B$206:$B$229,FALSE))),NA()),NA())</f>
        <v>#N/A</v>
      </c>
      <c r="CB247" s="65" t="e">
        <f>IF(CA55=1,IF(CA$13&lt;=COUNT($C27:$CS27),IF(INDEX($F$206:$F$229,MATCH($B247,$B$206:$B$229,FALSE))=0,NA(),INDEX(CA$14:CA$37,MATCH($B247,$B$14:$B$37,FALSE))/INDEX($F$206:$F$229,MATCH($B247,$B$206:$B$229,FALSE))),NA()),NA())</f>
        <v>#N/A</v>
      </c>
      <c r="CC247" s="65" t="e">
        <f>IF(CB55=1,IF(CB$13&lt;=COUNT($C27:$CS27),IF(INDEX($F$206:$F$229,MATCH($B247,$B$206:$B$229,FALSE))=0,NA(),INDEX(CB$14:CB$37,MATCH($B247,$B$14:$B$37,FALSE))/INDEX($F$206:$F$229,MATCH($B247,$B$206:$B$229,FALSE))),NA()),NA())</f>
        <v>#N/A</v>
      </c>
      <c r="CD247" s="65" t="e">
        <f>IF(CC55=1,IF(CC$13&lt;=COUNT($C27:$CS27),IF(INDEX($F$206:$F$229,MATCH($B247,$B$206:$B$229,FALSE))=0,NA(),INDEX(CC$14:CC$37,MATCH($B247,$B$14:$B$37,FALSE))/INDEX($F$206:$F$229,MATCH($B247,$B$206:$B$229,FALSE))),NA()),NA())</f>
        <v>#N/A</v>
      </c>
      <c r="CE247" s="65" t="e">
        <f>IF(CD55=1,IF(CD$13&lt;=COUNT($C27:$CS27),IF(INDEX($F$206:$F$229,MATCH($B247,$B$206:$B$229,FALSE))=0,NA(),INDEX(CD$14:CD$37,MATCH($B247,$B$14:$B$37,FALSE))/INDEX($F$206:$F$229,MATCH($B247,$B$206:$B$229,FALSE))),NA()),NA())</f>
        <v>#N/A</v>
      </c>
      <c r="CF247" s="65" t="e">
        <f>IF(CE55=1,IF(CE$13&lt;=COUNT($C27:$CS27),IF(INDEX($F$206:$F$229,MATCH($B247,$B$206:$B$229,FALSE))=0,NA(),INDEX(CE$14:CE$37,MATCH($B247,$B$14:$B$37,FALSE))/INDEX($F$206:$F$229,MATCH($B247,$B$206:$B$229,FALSE))),NA()),NA())</f>
        <v>#N/A</v>
      </c>
      <c r="CG247" s="65" t="e">
        <f>IF(CF55=1,IF(CF$13&lt;=COUNT($C27:$CS27),IF(INDEX($F$206:$F$229,MATCH($B247,$B$206:$B$229,FALSE))=0,NA(),INDEX(CF$14:CF$37,MATCH($B247,$B$14:$B$37,FALSE))/INDEX($F$206:$F$229,MATCH($B247,$B$206:$B$229,FALSE))),NA()),NA())</f>
        <v>#N/A</v>
      </c>
      <c r="CH247" s="65" t="e">
        <f>IF(CG55=1,IF(CG$13&lt;=COUNT($C27:$CS27),IF(INDEX($F$206:$F$229,MATCH($B247,$B$206:$B$229,FALSE))=0,NA(),INDEX(CG$14:CG$37,MATCH($B247,$B$14:$B$37,FALSE))/INDEX($F$206:$F$229,MATCH($B247,$B$206:$B$229,FALSE))),NA()),NA())</f>
        <v>#N/A</v>
      </c>
      <c r="CI247" s="65" t="e">
        <f>IF(CH55=1,IF(CH$13&lt;=COUNT($C27:$CS27),IF(INDEX($F$206:$F$229,MATCH($B247,$B$206:$B$229,FALSE))=0,NA(),INDEX(CH$14:CH$37,MATCH($B247,$B$14:$B$37,FALSE))/INDEX($F$206:$F$229,MATCH($B247,$B$206:$B$229,FALSE))),NA()),NA())</f>
        <v>#N/A</v>
      </c>
      <c r="CJ247" s="65" t="e">
        <f>IF(CI55=1,IF(CI$13&lt;=COUNT($C27:$CS27),IF(INDEX($F$206:$F$229,MATCH($B247,$B$206:$B$229,FALSE))=0,NA(),INDEX(CI$14:CI$37,MATCH($B247,$B$14:$B$37,FALSE))/INDEX($F$206:$F$229,MATCH($B247,$B$206:$B$229,FALSE))),NA()),NA())</f>
        <v>#N/A</v>
      </c>
      <c r="CK247" s="65" t="e">
        <f>IF(CJ55=1,IF(CJ$13&lt;=COUNT($C27:$CS27),IF(INDEX($F$206:$F$229,MATCH($B247,$B$206:$B$229,FALSE))=0,NA(),INDEX(CJ$14:CJ$37,MATCH($B247,$B$14:$B$37,FALSE))/INDEX($F$206:$F$229,MATCH($B247,$B$206:$B$229,FALSE))),NA()),NA())</f>
        <v>#N/A</v>
      </c>
      <c r="CL247" s="65" t="e">
        <f>IF(CK55=1,IF(CK$13&lt;=COUNT($C27:$CS27),IF(INDEX($F$206:$F$229,MATCH($B247,$B$206:$B$229,FALSE))=0,NA(),INDEX(CK$14:CK$37,MATCH($B247,$B$14:$B$37,FALSE))/INDEX($F$206:$F$229,MATCH($B247,$B$206:$B$229,FALSE))),NA()),NA())</f>
        <v>#N/A</v>
      </c>
      <c r="CM247" s="65" t="e">
        <f>IF(CL55=1,IF(CL$13&lt;=COUNT($C27:$CS27),IF(INDEX($F$206:$F$229,MATCH($B247,$B$206:$B$229,FALSE))=0,NA(),INDEX(CL$14:CL$37,MATCH($B247,$B$14:$B$37,FALSE))/INDEX($F$206:$F$229,MATCH($B247,$B$206:$B$229,FALSE))),NA()),NA())</f>
        <v>#N/A</v>
      </c>
      <c r="CN247" s="65" t="e">
        <f>IF(CM55=1,IF(CM$13&lt;=COUNT($C27:$CS27),IF(INDEX($F$206:$F$229,MATCH($B247,$B$206:$B$229,FALSE))=0,NA(),INDEX(CM$14:CM$37,MATCH($B247,$B$14:$B$37,FALSE))/INDEX($F$206:$F$229,MATCH($B247,$B$206:$B$229,FALSE))),NA()),NA())</f>
        <v>#N/A</v>
      </c>
      <c r="CO247" s="65" t="e">
        <f>IF(CN55=1,IF(CN$13&lt;=COUNT($C27:$CS27),IF(INDEX($F$206:$F$229,MATCH($B247,$B$206:$B$229,FALSE))=0,NA(),INDEX(CN$14:CN$37,MATCH($B247,$B$14:$B$37,FALSE))/INDEX($F$206:$F$229,MATCH($B247,$B$206:$B$229,FALSE))),NA()),NA())</f>
        <v>#N/A</v>
      </c>
      <c r="CP247" s="65" t="e">
        <f>IF(CO55=1,IF(CO$13&lt;=COUNT($C27:$CS27),IF(INDEX($F$206:$F$229,MATCH($B247,$B$206:$B$229,FALSE))=0,NA(),INDEX(CO$14:CO$37,MATCH($B247,$B$14:$B$37,FALSE))/INDEX($F$206:$F$229,MATCH($B247,$B$206:$B$229,FALSE))),NA()),NA())</f>
        <v>#N/A</v>
      </c>
      <c r="CQ247" s="65" t="e">
        <f>IF(CP55=1,IF(CP$13&lt;=COUNT($C27:$CS27),IF(INDEX($F$206:$F$229,MATCH($B247,$B$206:$B$229,FALSE))=0,NA(),INDEX(CP$14:CP$37,MATCH($B247,$B$14:$B$37,FALSE))/INDEX($F$206:$F$229,MATCH($B247,$B$206:$B$229,FALSE))),NA()),NA())</f>
        <v>#N/A</v>
      </c>
      <c r="CR247" s="65" t="e">
        <f>IF(CQ55=1,IF(CQ$13&lt;=COUNT($C27:$CS27),IF(INDEX($F$206:$F$229,MATCH($B247,$B$206:$B$229,FALSE))=0,NA(),INDEX(CQ$14:CQ$37,MATCH($B247,$B$14:$B$37,FALSE))/INDEX($F$206:$F$229,MATCH($B247,$B$206:$B$229,FALSE))),NA()),NA())</f>
        <v>#N/A</v>
      </c>
      <c r="CS247" s="65" t="e">
        <f>IF(CR55=1,IF(CR$13&lt;=COUNT($C27:$CS27),IF(INDEX($F$206:$F$229,MATCH($B247,$B$206:$B$229,FALSE))=0,NA(),INDEX(CR$14:CR$37,MATCH($B247,$B$14:$B$37,FALSE))/INDEX($F$206:$F$229,MATCH($B247,$B$206:$B$229,FALSE))),NA()),NA())</f>
        <v>#N/A</v>
      </c>
      <c r="CT247" s="49"/>
      <c r="CU247" s="49"/>
      <c r="CV247" s="49"/>
      <c r="CW247" s="49"/>
    </row>
    <row r="248" spans="1:101" x14ac:dyDescent="0.25">
      <c r="A248" s="97">
        <f t="shared" si="352"/>
        <v>1</v>
      </c>
      <c r="B248" s="29">
        <f t="shared" si="351"/>
        <v>2010</v>
      </c>
      <c r="C248" s="154" t="str">
        <f t="shared" si="353"/>
        <v/>
      </c>
      <c r="D248" s="54">
        <f t="shared" ref="D248:BO248" ca="1" si="354">IF(C56=1,IF(C$13&lt;=COUNT($C28:$CS28),IF(INDEX($F$206:$F$229,MATCH($B248,$B$206:$B$229,FALSE))=0,NA(),INDEX(C$14:C$37,MATCH($B248,$B$14:$B$37,FALSE))/INDEX($F$206:$F$229,MATCH($B248,$B$206:$B$229,FALSE))),NA()),NA())</f>
        <v>4.1207046817780701E-2</v>
      </c>
      <c r="E248" s="65">
        <f t="shared" ca="1" si="354"/>
        <v>6.8368478019381118E-2</v>
      </c>
      <c r="F248" s="65">
        <f t="shared" ca="1" si="354"/>
        <v>0.85633264806249276</v>
      </c>
      <c r="G248" s="65">
        <f t="shared" ca="1" si="354"/>
        <v>1.0267258248179469</v>
      </c>
      <c r="H248" s="65">
        <f t="shared" ca="1" si="354"/>
        <v>1.0342635009403431</v>
      </c>
      <c r="I248" s="65">
        <f t="shared" ca="1" si="354"/>
        <v>1.035129514575811</v>
      </c>
      <c r="J248" s="65">
        <f t="shared" ca="1" si="354"/>
        <v>1.0298699457351443</v>
      </c>
      <c r="K248" s="65">
        <f t="shared" ca="1" si="354"/>
        <v>1.0295082042156012</v>
      </c>
      <c r="L248" s="65">
        <f t="shared" ca="1" si="354"/>
        <v>1.0003806316046377</v>
      </c>
      <c r="M248" s="65">
        <f t="shared" ca="1" si="354"/>
        <v>1</v>
      </c>
      <c r="N248" s="65" t="e">
        <f>IF(M56=1,IF(M$13&lt;=COUNT($C28:$CS28),IF(INDEX($F$206:$F$229,MATCH($B248,$B$206:$B$229,FALSE))=0,NA(),INDEX(M$14:M$37,MATCH($B248,$B$14:$B$37,FALSE))/INDEX($F$206:$F$229,MATCH($B248,$B$206:$B$229,FALSE))),NA()),NA())</f>
        <v>#N/A</v>
      </c>
      <c r="O248" s="65" t="e">
        <f>IF(N56=1,IF(N$13&lt;=COUNT($C28:$CS28),IF(INDEX($F$206:$F$229,MATCH($B248,$B$206:$B$229,FALSE))=0,NA(),INDEX(N$14:N$37,MATCH($B248,$B$14:$B$37,FALSE))/INDEX($F$206:$F$229,MATCH($B248,$B$206:$B$229,FALSE))),NA()),NA())</f>
        <v>#N/A</v>
      </c>
      <c r="P248" s="65" t="e">
        <f>IF(O56=1,IF(O$13&lt;=COUNT($C28:$CS28),IF(INDEX($F$206:$F$229,MATCH($B248,$B$206:$B$229,FALSE))=0,NA(),INDEX(O$14:O$37,MATCH($B248,$B$14:$B$37,FALSE))/INDEX($F$206:$F$229,MATCH($B248,$B$206:$B$229,FALSE))),NA()),NA())</f>
        <v>#N/A</v>
      </c>
      <c r="Q248" s="65" t="e">
        <f>IF(P56=1,IF(P$13&lt;=COUNT($C28:$CS28),IF(INDEX($F$206:$F$229,MATCH($B248,$B$206:$B$229,FALSE))=0,NA(),INDEX(P$14:P$37,MATCH($B248,$B$14:$B$37,FALSE))/INDEX($F$206:$F$229,MATCH($B248,$B$206:$B$229,FALSE))),NA()),NA())</f>
        <v>#N/A</v>
      </c>
      <c r="R248" s="65" t="e">
        <f>IF(Q56=1,IF(Q$13&lt;=COUNT($C28:$CS28),IF(INDEX($F$206:$F$229,MATCH($B248,$B$206:$B$229,FALSE))=0,NA(),INDEX(Q$14:Q$37,MATCH($B248,$B$14:$B$37,FALSE))/INDEX($F$206:$F$229,MATCH($B248,$B$206:$B$229,FALSE))),NA()),NA())</f>
        <v>#N/A</v>
      </c>
      <c r="S248" s="65" t="e">
        <f>IF(R56=1,IF(R$13&lt;=COUNT($C28:$CS28),IF(INDEX($F$206:$F$229,MATCH($B248,$B$206:$B$229,FALSE))=0,NA(),INDEX(R$14:R$37,MATCH($B248,$B$14:$B$37,FALSE))/INDEX($F$206:$F$229,MATCH($B248,$B$206:$B$229,FALSE))),NA()),NA())</f>
        <v>#N/A</v>
      </c>
      <c r="T248" s="65" t="e">
        <f>IF(S56=1,IF(S$13&lt;=COUNT($C28:$CS28),IF(INDEX($F$206:$F$229,MATCH($B248,$B$206:$B$229,FALSE))=0,NA(),INDEX(S$14:S$37,MATCH($B248,$B$14:$B$37,FALSE))/INDEX($F$206:$F$229,MATCH($B248,$B$206:$B$229,FALSE))),NA()),NA())</f>
        <v>#N/A</v>
      </c>
      <c r="U248" s="65" t="e">
        <f>IF(T56=1,IF(T$13&lt;=COUNT($C28:$CS28),IF(INDEX($F$206:$F$229,MATCH($B248,$B$206:$B$229,FALSE))=0,NA(),INDEX(T$14:T$37,MATCH($B248,$B$14:$B$37,FALSE))/INDEX($F$206:$F$229,MATCH($B248,$B$206:$B$229,FALSE))),NA()),NA())</f>
        <v>#N/A</v>
      </c>
      <c r="V248" s="65" t="e">
        <f>IF(U56=1,IF(U$13&lt;=COUNT($C28:$CS28),IF(INDEX($F$206:$F$229,MATCH($B248,$B$206:$B$229,FALSE))=0,NA(),INDEX(U$14:U$37,MATCH($B248,$B$14:$B$37,FALSE))/INDEX($F$206:$F$229,MATCH($B248,$B$206:$B$229,FALSE))),NA()),NA())</f>
        <v>#N/A</v>
      </c>
      <c r="W248" s="65" t="e">
        <f>IF(V56=1,IF(V$13&lt;=COUNT($C28:$CS28),IF(INDEX($F$206:$F$229,MATCH($B248,$B$206:$B$229,FALSE))=0,NA(),INDEX(V$14:V$37,MATCH($B248,$B$14:$B$37,FALSE))/INDEX($F$206:$F$229,MATCH($B248,$B$206:$B$229,FALSE))),NA()),NA())</f>
        <v>#N/A</v>
      </c>
      <c r="X248" s="65" t="e">
        <f>IF(W56=1,IF(W$13&lt;=COUNT($C28:$CS28),IF(INDEX($F$206:$F$229,MATCH($B248,$B$206:$B$229,FALSE))=0,NA(),INDEX(W$14:W$37,MATCH($B248,$B$14:$B$37,FALSE))/INDEX($F$206:$F$229,MATCH($B248,$B$206:$B$229,FALSE))),NA()),NA())</f>
        <v>#N/A</v>
      </c>
      <c r="Y248" s="65" t="e">
        <f>IF(X56=1,IF(X$13&lt;=COUNT($C28:$CS28),IF(INDEX($F$206:$F$229,MATCH($B248,$B$206:$B$229,FALSE))=0,NA(),INDEX(X$14:X$37,MATCH($B248,$B$14:$B$37,FALSE))/INDEX($F$206:$F$229,MATCH($B248,$B$206:$B$229,FALSE))),NA()),NA())</f>
        <v>#N/A</v>
      </c>
      <c r="Z248" s="65" t="e">
        <f>IF(Y56=1,IF(Y$13&lt;=COUNT($C28:$CS28),IF(INDEX($F$206:$F$229,MATCH($B248,$B$206:$B$229,FALSE))=0,NA(),INDEX(Y$14:Y$37,MATCH($B248,$B$14:$B$37,FALSE))/INDEX($F$206:$F$229,MATCH($B248,$B$206:$B$229,FALSE))),NA()),NA())</f>
        <v>#N/A</v>
      </c>
      <c r="AA248" s="65" t="e">
        <f>IF(Z56=1,IF(Z$13&lt;=COUNT($C28:$CS28),IF(INDEX($F$206:$F$229,MATCH($B248,$B$206:$B$229,FALSE))=0,NA(),INDEX(Z$14:Z$37,MATCH($B248,$B$14:$B$37,FALSE))/INDEX($F$206:$F$229,MATCH($B248,$B$206:$B$229,FALSE))),NA()),NA())</f>
        <v>#N/A</v>
      </c>
      <c r="AB248" s="65" t="e">
        <f>IF(AA56=1,IF(AA$13&lt;=COUNT($C28:$CS28),IF(INDEX($F$206:$F$229,MATCH($B248,$B$206:$B$229,FALSE))=0,NA(),INDEX(AA$14:AA$37,MATCH($B248,$B$14:$B$37,FALSE))/INDEX($F$206:$F$229,MATCH($B248,$B$206:$B$229,FALSE))),NA()),NA())</f>
        <v>#N/A</v>
      </c>
      <c r="AC248" s="65" t="e">
        <f>IF(AB56=1,IF(AB$13&lt;=COUNT($C28:$CS28),IF(INDEX($F$206:$F$229,MATCH($B248,$B$206:$B$229,FALSE))=0,NA(),INDEX(AB$14:AB$37,MATCH($B248,$B$14:$B$37,FALSE))/INDEX($F$206:$F$229,MATCH($B248,$B$206:$B$229,FALSE))),NA()),NA())</f>
        <v>#N/A</v>
      </c>
      <c r="AD248" s="65" t="e">
        <f>IF(AC56=1,IF(AC$13&lt;=COUNT($C28:$CS28),IF(INDEX($F$206:$F$229,MATCH($B248,$B$206:$B$229,FALSE))=0,NA(),INDEX(AC$14:AC$37,MATCH($B248,$B$14:$B$37,FALSE))/INDEX($F$206:$F$229,MATCH($B248,$B$206:$B$229,FALSE))),NA()),NA())</f>
        <v>#N/A</v>
      </c>
      <c r="AE248" s="65" t="e">
        <f>IF(AD56=1,IF(AD$13&lt;=COUNT($C28:$CS28),IF(INDEX($F$206:$F$229,MATCH($B248,$B$206:$B$229,FALSE))=0,NA(),INDEX(AD$14:AD$37,MATCH($B248,$B$14:$B$37,FALSE))/INDEX($F$206:$F$229,MATCH($B248,$B$206:$B$229,FALSE))),NA()),NA())</f>
        <v>#N/A</v>
      </c>
      <c r="AF248" s="65" t="e">
        <f>IF(AE56=1,IF(AE$13&lt;=COUNT($C28:$CS28),IF(INDEX($F$206:$F$229,MATCH($B248,$B$206:$B$229,FALSE))=0,NA(),INDEX(AE$14:AE$37,MATCH($B248,$B$14:$B$37,FALSE))/INDEX($F$206:$F$229,MATCH($B248,$B$206:$B$229,FALSE))),NA()),NA())</f>
        <v>#N/A</v>
      </c>
      <c r="AG248" s="65" t="e">
        <f>IF(AF56=1,IF(AF$13&lt;=COUNT($C28:$CS28),IF(INDEX($F$206:$F$229,MATCH($B248,$B$206:$B$229,FALSE))=0,NA(),INDEX(AF$14:AF$37,MATCH($B248,$B$14:$B$37,FALSE))/INDEX($F$206:$F$229,MATCH($B248,$B$206:$B$229,FALSE))),NA()),NA())</f>
        <v>#N/A</v>
      </c>
      <c r="AH248" s="65" t="e">
        <f>IF(AG56=1,IF(AG$13&lt;=COUNT($C28:$CS28),IF(INDEX($F$206:$F$229,MATCH($B248,$B$206:$B$229,FALSE))=0,NA(),INDEX(AG$14:AG$37,MATCH($B248,$B$14:$B$37,FALSE))/INDEX($F$206:$F$229,MATCH($B248,$B$206:$B$229,FALSE))),NA()),NA())</f>
        <v>#N/A</v>
      </c>
      <c r="AI248" s="65" t="e">
        <f>IF(AH56=1,IF(AH$13&lt;=COUNT($C28:$CS28),IF(INDEX($F$206:$F$229,MATCH($B248,$B$206:$B$229,FALSE))=0,NA(),INDEX(AH$14:AH$37,MATCH($B248,$B$14:$B$37,FALSE))/INDEX($F$206:$F$229,MATCH($B248,$B$206:$B$229,FALSE))),NA()),NA())</f>
        <v>#N/A</v>
      </c>
      <c r="AJ248" s="65" t="e">
        <f>IF(AI56=1,IF(AI$13&lt;=COUNT($C28:$CS28),IF(INDEX($F$206:$F$229,MATCH($B248,$B$206:$B$229,FALSE))=0,NA(),INDEX(AI$14:AI$37,MATCH($B248,$B$14:$B$37,FALSE))/INDEX($F$206:$F$229,MATCH($B248,$B$206:$B$229,FALSE))),NA()),NA())</f>
        <v>#N/A</v>
      </c>
      <c r="AK248" s="65" t="e">
        <f>IF(AJ56=1,IF(AJ$13&lt;=COUNT($C28:$CS28),IF(INDEX($F$206:$F$229,MATCH($B248,$B$206:$B$229,FALSE))=0,NA(),INDEX(AJ$14:AJ$37,MATCH($B248,$B$14:$B$37,FALSE))/INDEX($F$206:$F$229,MATCH($B248,$B$206:$B$229,FALSE))),NA()),NA())</f>
        <v>#N/A</v>
      </c>
      <c r="AL248" s="65" t="e">
        <f>IF(AK56=1,IF(AK$13&lt;=COUNT($C28:$CS28),IF(INDEX($F$206:$F$229,MATCH($B248,$B$206:$B$229,FALSE))=0,NA(),INDEX(AK$14:AK$37,MATCH($B248,$B$14:$B$37,FALSE))/INDEX($F$206:$F$229,MATCH($B248,$B$206:$B$229,FALSE))),NA()),NA())</f>
        <v>#N/A</v>
      </c>
      <c r="AM248" s="65" t="e">
        <f>IF(AL56=1,IF(AL$13&lt;=COUNT($C28:$CS28),IF(INDEX($F$206:$F$229,MATCH($B248,$B$206:$B$229,FALSE))=0,NA(),INDEX(AL$14:AL$37,MATCH($B248,$B$14:$B$37,FALSE))/INDEX($F$206:$F$229,MATCH($B248,$B$206:$B$229,FALSE))),NA()),NA())</f>
        <v>#N/A</v>
      </c>
      <c r="AN248" s="65" t="e">
        <f>IF(AM56=1,IF(AM$13&lt;=COUNT($C28:$CS28),IF(INDEX($F$206:$F$229,MATCH($B248,$B$206:$B$229,FALSE))=0,NA(),INDEX(AM$14:AM$37,MATCH($B248,$B$14:$B$37,FALSE))/INDEX($F$206:$F$229,MATCH($B248,$B$206:$B$229,FALSE))),NA()),NA())</f>
        <v>#N/A</v>
      </c>
      <c r="AO248" s="65" t="e">
        <f>IF(AN56=1,IF(AN$13&lt;=COUNT($C28:$CS28),IF(INDEX($F$206:$F$229,MATCH($B248,$B$206:$B$229,FALSE))=0,NA(),INDEX(AN$14:AN$37,MATCH($B248,$B$14:$B$37,FALSE))/INDEX($F$206:$F$229,MATCH($B248,$B$206:$B$229,FALSE))),NA()),NA())</f>
        <v>#N/A</v>
      </c>
      <c r="AP248" s="65" t="e">
        <f>IF(AO56=1,IF(AO$13&lt;=COUNT($C28:$CS28),IF(INDEX($F$206:$F$229,MATCH($B248,$B$206:$B$229,FALSE))=0,NA(),INDEX(AO$14:AO$37,MATCH($B248,$B$14:$B$37,FALSE))/INDEX($F$206:$F$229,MATCH($B248,$B$206:$B$229,FALSE))),NA()),NA())</f>
        <v>#N/A</v>
      </c>
      <c r="AQ248" s="65" t="e">
        <f>IF(AP56=1,IF(AP$13&lt;=COUNT($C28:$CS28),IF(INDEX($F$206:$F$229,MATCH($B248,$B$206:$B$229,FALSE))=0,NA(),INDEX(AP$14:AP$37,MATCH($B248,$B$14:$B$37,FALSE))/INDEX($F$206:$F$229,MATCH($B248,$B$206:$B$229,FALSE))),NA()),NA())</f>
        <v>#N/A</v>
      </c>
      <c r="AR248" s="65" t="e">
        <f>IF(AQ56=1,IF(AQ$13&lt;=COUNT($C28:$CS28),IF(INDEX($F$206:$F$229,MATCH($B248,$B$206:$B$229,FALSE))=0,NA(),INDEX(AQ$14:AQ$37,MATCH($B248,$B$14:$B$37,FALSE))/INDEX($F$206:$F$229,MATCH($B248,$B$206:$B$229,FALSE))),NA()),NA())</f>
        <v>#N/A</v>
      </c>
      <c r="AS248" s="65" t="e">
        <f>IF(AR56=1,IF(AR$13&lt;=COUNT($C28:$CS28),IF(INDEX($F$206:$F$229,MATCH($B248,$B$206:$B$229,FALSE))=0,NA(),INDEX(AR$14:AR$37,MATCH($B248,$B$14:$B$37,FALSE))/INDEX($F$206:$F$229,MATCH($B248,$B$206:$B$229,FALSE))),NA()),NA())</f>
        <v>#N/A</v>
      </c>
      <c r="AT248" s="65" t="e">
        <f>IF(AS56=1,IF(AS$13&lt;=COUNT($C28:$CS28),IF(INDEX($F$206:$F$229,MATCH($B248,$B$206:$B$229,FALSE))=0,NA(),INDEX(AS$14:AS$37,MATCH($B248,$B$14:$B$37,FALSE))/INDEX($F$206:$F$229,MATCH($B248,$B$206:$B$229,FALSE))),NA()),NA())</f>
        <v>#N/A</v>
      </c>
      <c r="AU248" s="65" t="e">
        <f>IF(AT56=1,IF(AT$13&lt;=COUNT($C28:$CS28),IF(INDEX($F$206:$F$229,MATCH($B248,$B$206:$B$229,FALSE))=0,NA(),INDEX(AT$14:AT$37,MATCH($B248,$B$14:$B$37,FALSE))/INDEX($F$206:$F$229,MATCH($B248,$B$206:$B$229,FALSE))),NA()),NA())</f>
        <v>#N/A</v>
      </c>
      <c r="AV248" s="65" t="e">
        <f>IF(AU56=1,IF(AU$13&lt;=COUNT($C28:$CS28),IF(INDEX($F$206:$F$229,MATCH($B248,$B$206:$B$229,FALSE))=0,NA(),INDEX(AU$14:AU$37,MATCH($B248,$B$14:$B$37,FALSE))/INDEX($F$206:$F$229,MATCH($B248,$B$206:$B$229,FALSE))),NA()),NA())</f>
        <v>#N/A</v>
      </c>
      <c r="AW248" s="65" t="e">
        <f>IF(AV56=1,IF(AV$13&lt;=COUNT($C28:$CS28),IF(INDEX($F$206:$F$229,MATCH($B248,$B$206:$B$229,FALSE))=0,NA(),INDEX(AV$14:AV$37,MATCH($B248,$B$14:$B$37,FALSE))/INDEX($F$206:$F$229,MATCH($B248,$B$206:$B$229,FALSE))),NA()),NA())</f>
        <v>#N/A</v>
      </c>
      <c r="AX248" s="65" t="e">
        <f>IF(AW56=1,IF(AW$13&lt;=COUNT($C28:$CS28),IF(INDEX($F$206:$F$229,MATCH($B248,$B$206:$B$229,FALSE))=0,NA(),INDEX(AW$14:AW$37,MATCH($B248,$B$14:$B$37,FALSE))/INDEX($F$206:$F$229,MATCH($B248,$B$206:$B$229,FALSE))),NA()),NA())</f>
        <v>#N/A</v>
      </c>
      <c r="AY248" s="65" t="e">
        <f>IF(AX56=1,IF(AX$13&lt;=COUNT($C28:$CS28),IF(INDEX($F$206:$F$229,MATCH($B248,$B$206:$B$229,FALSE))=0,NA(),INDEX(AX$14:AX$37,MATCH($B248,$B$14:$B$37,FALSE))/INDEX($F$206:$F$229,MATCH($B248,$B$206:$B$229,FALSE))),NA()),NA())</f>
        <v>#N/A</v>
      </c>
      <c r="AZ248" s="65" t="e">
        <f>IF(AY56=1,IF(AY$13&lt;=COUNT($C28:$CS28),IF(INDEX($F$206:$F$229,MATCH($B248,$B$206:$B$229,FALSE))=0,NA(),INDEX(AY$14:AY$37,MATCH($B248,$B$14:$B$37,FALSE))/INDEX($F$206:$F$229,MATCH($B248,$B$206:$B$229,FALSE))),NA()),NA())</f>
        <v>#N/A</v>
      </c>
      <c r="BA248" s="65" t="e">
        <f>IF(AZ56=1,IF(AZ$13&lt;=COUNT($C28:$CS28),IF(INDEX($F$206:$F$229,MATCH($B248,$B$206:$B$229,FALSE))=0,NA(),INDEX(AZ$14:AZ$37,MATCH($B248,$B$14:$B$37,FALSE))/INDEX($F$206:$F$229,MATCH($B248,$B$206:$B$229,FALSE))),NA()),NA())</f>
        <v>#N/A</v>
      </c>
      <c r="BB248" s="65" t="e">
        <f>IF(BA56=1,IF(BA$13&lt;=COUNT($C28:$CS28),IF(INDEX($F$206:$F$229,MATCH($B248,$B$206:$B$229,FALSE))=0,NA(),INDEX(BA$14:BA$37,MATCH($B248,$B$14:$B$37,FALSE))/INDEX($F$206:$F$229,MATCH($B248,$B$206:$B$229,FALSE))),NA()),NA())</f>
        <v>#N/A</v>
      </c>
      <c r="BC248" s="65" t="e">
        <f>IF(BB56=1,IF(BB$13&lt;=COUNT($C28:$CS28),IF(INDEX($F$206:$F$229,MATCH($B248,$B$206:$B$229,FALSE))=0,NA(),INDEX(BB$14:BB$37,MATCH($B248,$B$14:$B$37,FALSE))/INDEX($F$206:$F$229,MATCH($B248,$B$206:$B$229,FALSE))),NA()),NA())</f>
        <v>#N/A</v>
      </c>
      <c r="BD248" s="65" t="e">
        <f>IF(BC56=1,IF(BC$13&lt;=COUNT($C28:$CS28),IF(INDEX($F$206:$F$229,MATCH($B248,$B$206:$B$229,FALSE))=0,NA(),INDEX(BC$14:BC$37,MATCH($B248,$B$14:$B$37,FALSE))/INDEX($F$206:$F$229,MATCH($B248,$B$206:$B$229,FALSE))),NA()),NA())</f>
        <v>#N/A</v>
      </c>
      <c r="BE248" s="65" t="e">
        <f>IF(BD56=1,IF(BD$13&lt;=COUNT($C28:$CS28),IF(INDEX($F$206:$F$229,MATCH($B248,$B$206:$B$229,FALSE))=0,NA(),INDEX(BD$14:BD$37,MATCH($B248,$B$14:$B$37,FALSE))/INDEX($F$206:$F$229,MATCH($B248,$B$206:$B$229,FALSE))),NA()),NA())</f>
        <v>#N/A</v>
      </c>
      <c r="BF248" s="65" t="e">
        <f>IF(BE56=1,IF(BE$13&lt;=COUNT($C28:$CS28),IF(INDEX($F$206:$F$229,MATCH($B248,$B$206:$B$229,FALSE))=0,NA(),INDEX(BE$14:BE$37,MATCH($B248,$B$14:$B$37,FALSE))/INDEX($F$206:$F$229,MATCH($B248,$B$206:$B$229,FALSE))),NA()),NA())</f>
        <v>#N/A</v>
      </c>
      <c r="BG248" s="65" t="e">
        <f>IF(BF56=1,IF(BF$13&lt;=COUNT($C28:$CS28),IF(INDEX($F$206:$F$229,MATCH($B248,$B$206:$B$229,FALSE))=0,NA(),INDEX(BF$14:BF$37,MATCH($B248,$B$14:$B$37,FALSE))/INDEX($F$206:$F$229,MATCH($B248,$B$206:$B$229,FALSE))),NA()),NA())</f>
        <v>#N/A</v>
      </c>
      <c r="BH248" s="65" t="e">
        <f>IF(BG56=1,IF(BG$13&lt;=COUNT($C28:$CS28),IF(INDEX($F$206:$F$229,MATCH($B248,$B$206:$B$229,FALSE))=0,NA(),INDEX(BG$14:BG$37,MATCH($B248,$B$14:$B$37,FALSE))/INDEX($F$206:$F$229,MATCH($B248,$B$206:$B$229,FALSE))),NA()),NA())</f>
        <v>#N/A</v>
      </c>
      <c r="BI248" s="65" t="e">
        <f>IF(BH56=1,IF(BH$13&lt;=COUNT($C28:$CS28),IF(INDEX($F$206:$F$229,MATCH($B248,$B$206:$B$229,FALSE))=0,NA(),INDEX(BH$14:BH$37,MATCH($B248,$B$14:$B$37,FALSE))/INDEX($F$206:$F$229,MATCH($B248,$B$206:$B$229,FALSE))),NA()),NA())</f>
        <v>#N/A</v>
      </c>
      <c r="BJ248" s="65" t="e">
        <f>IF(BI56=1,IF(BI$13&lt;=COUNT($C28:$CS28),IF(INDEX($F$206:$F$229,MATCH($B248,$B$206:$B$229,FALSE))=0,NA(),INDEX(BI$14:BI$37,MATCH($B248,$B$14:$B$37,FALSE))/INDEX($F$206:$F$229,MATCH($B248,$B$206:$B$229,FALSE))),NA()),NA())</f>
        <v>#N/A</v>
      </c>
      <c r="BK248" s="65" t="e">
        <f>IF(BJ56=1,IF(BJ$13&lt;=COUNT($C28:$CS28),IF(INDEX($F$206:$F$229,MATCH($B248,$B$206:$B$229,FALSE))=0,NA(),INDEX(BJ$14:BJ$37,MATCH($B248,$B$14:$B$37,FALSE))/INDEX($F$206:$F$229,MATCH($B248,$B$206:$B$229,FALSE))),NA()),NA())</f>
        <v>#N/A</v>
      </c>
      <c r="BL248" s="65" t="e">
        <f>IF(BK56=1,IF(BK$13&lt;=COUNT($C28:$CS28),IF(INDEX($F$206:$F$229,MATCH($B248,$B$206:$B$229,FALSE))=0,NA(),INDEX(BK$14:BK$37,MATCH($B248,$B$14:$B$37,FALSE))/INDEX($F$206:$F$229,MATCH($B248,$B$206:$B$229,FALSE))),NA()),NA())</f>
        <v>#N/A</v>
      </c>
      <c r="BM248" s="65" t="e">
        <f>IF(BL56=1,IF(BL$13&lt;=COUNT($C28:$CS28),IF(INDEX($F$206:$F$229,MATCH($B248,$B$206:$B$229,FALSE))=0,NA(),INDEX(BL$14:BL$37,MATCH($B248,$B$14:$B$37,FALSE))/INDEX($F$206:$F$229,MATCH($B248,$B$206:$B$229,FALSE))),NA()),NA())</f>
        <v>#N/A</v>
      </c>
      <c r="BN248" s="65" t="e">
        <f>IF(BM56=1,IF(BM$13&lt;=COUNT($C28:$CS28),IF(INDEX($F$206:$F$229,MATCH($B248,$B$206:$B$229,FALSE))=0,NA(),INDEX(BM$14:BM$37,MATCH($B248,$B$14:$B$37,FALSE))/INDEX($F$206:$F$229,MATCH($B248,$B$206:$B$229,FALSE))),NA()),NA())</f>
        <v>#N/A</v>
      </c>
      <c r="BO248" s="65" t="e">
        <f>IF(BN56=1,IF(BN$13&lt;=COUNT($C28:$CS28),IF(INDEX($F$206:$F$229,MATCH($B248,$B$206:$B$229,FALSE))=0,NA(),INDEX(BN$14:BN$37,MATCH($B248,$B$14:$B$37,FALSE))/INDEX($F$206:$F$229,MATCH($B248,$B$206:$B$229,FALSE))),NA()),NA())</f>
        <v>#N/A</v>
      </c>
      <c r="BP248" s="65" t="e">
        <f>IF(BO56=1,IF(BO$13&lt;=COUNT($C28:$CS28),IF(INDEX($F$206:$F$229,MATCH($B248,$B$206:$B$229,FALSE))=0,NA(),INDEX(BO$14:BO$37,MATCH($B248,$B$14:$B$37,FALSE))/INDEX($F$206:$F$229,MATCH($B248,$B$206:$B$229,FALSE))),NA()),NA())</f>
        <v>#N/A</v>
      </c>
      <c r="BQ248" s="65" t="e">
        <f>IF(BP56=1,IF(BP$13&lt;=COUNT($C28:$CS28),IF(INDEX($F$206:$F$229,MATCH($B248,$B$206:$B$229,FALSE))=0,NA(),INDEX(BP$14:BP$37,MATCH($B248,$B$14:$B$37,FALSE))/INDEX($F$206:$F$229,MATCH($B248,$B$206:$B$229,FALSE))),NA()),NA())</f>
        <v>#N/A</v>
      </c>
      <c r="BR248" s="65" t="e">
        <f>IF(BQ56=1,IF(BQ$13&lt;=COUNT($C28:$CS28),IF(INDEX($F$206:$F$229,MATCH($B248,$B$206:$B$229,FALSE))=0,NA(),INDEX(BQ$14:BQ$37,MATCH($B248,$B$14:$B$37,FALSE))/INDEX($F$206:$F$229,MATCH($B248,$B$206:$B$229,FALSE))),NA()),NA())</f>
        <v>#N/A</v>
      </c>
      <c r="BS248" s="65" t="e">
        <f>IF(BR56=1,IF(BR$13&lt;=COUNT($C28:$CS28),IF(INDEX($F$206:$F$229,MATCH($B248,$B$206:$B$229,FALSE))=0,NA(),INDEX(BR$14:BR$37,MATCH($B248,$B$14:$B$37,FALSE))/INDEX($F$206:$F$229,MATCH($B248,$B$206:$B$229,FALSE))),NA()),NA())</f>
        <v>#N/A</v>
      </c>
      <c r="BT248" s="65" t="e">
        <f>IF(BS56=1,IF(BS$13&lt;=COUNT($C28:$CS28),IF(INDEX($F$206:$F$229,MATCH($B248,$B$206:$B$229,FALSE))=0,NA(),INDEX(BS$14:BS$37,MATCH($B248,$B$14:$B$37,FALSE))/INDEX($F$206:$F$229,MATCH($B248,$B$206:$B$229,FALSE))),NA()),NA())</f>
        <v>#N/A</v>
      </c>
      <c r="BU248" s="65" t="e">
        <f>IF(BT56=1,IF(BT$13&lt;=COUNT($C28:$CS28),IF(INDEX($F$206:$F$229,MATCH($B248,$B$206:$B$229,FALSE))=0,NA(),INDEX(BT$14:BT$37,MATCH($B248,$B$14:$B$37,FALSE))/INDEX($F$206:$F$229,MATCH($B248,$B$206:$B$229,FALSE))),NA()),NA())</f>
        <v>#N/A</v>
      </c>
      <c r="BV248" s="65" t="e">
        <f>IF(BU56=1,IF(BU$13&lt;=COUNT($C28:$CS28),IF(INDEX($F$206:$F$229,MATCH($B248,$B$206:$B$229,FALSE))=0,NA(),INDEX(BU$14:BU$37,MATCH($B248,$B$14:$B$37,FALSE))/INDEX($F$206:$F$229,MATCH($B248,$B$206:$B$229,FALSE))),NA()),NA())</f>
        <v>#N/A</v>
      </c>
      <c r="BW248" s="65" t="e">
        <f>IF(BV56=1,IF(BV$13&lt;=COUNT($C28:$CS28),IF(INDEX($F$206:$F$229,MATCH($B248,$B$206:$B$229,FALSE))=0,NA(),INDEX(BV$14:BV$37,MATCH($B248,$B$14:$B$37,FALSE))/INDEX($F$206:$F$229,MATCH($B248,$B$206:$B$229,FALSE))),NA()),NA())</f>
        <v>#N/A</v>
      </c>
      <c r="BX248" s="65" t="e">
        <f>IF(BW56=1,IF(BW$13&lt;=COUNT($C28:$CS28),IF(INDEX($F$206:$F$229,MATCH($B248,$B$206:$B$229,FALSE))=0,NA(),INDEX(BW$14:BW$37,MATCH($B248,$B$14:$B$37,FALSE))/INDEX($F$206:$F$229,MATCH($B248,$B$206:$B$229,FALSE))),NA()),NA())</f>
        <v>#N/A</v>
      </c>
      <c r="BY248" s="65" t="e">
        <f>IF(BX56=1,IF(BX$13&lt;=COUNT($C28:$CS28),IF(INDEX($F$206:$F$229,MATCH($B248,$B$206:$B$229,FALSE))=0,NA(),INDEX(BX$14:BX$37,MATCH($B248,$B$14:$B$37,FALSE))/INDEX($F$206:$F$229,MATCH($B248,$B$206:$B$229,FALSE))),NA()),NA())</f>
        <v>#N/A</v>
      </c>
      <c r="BZ248" s="65" t="e">
        <f>IF(BY56=1,IF(BY$13&lt;=COUNT($C28:$CS28),IF(INDEX($F$206:$F$229,MATCH($B248,$B$206:$B$229,FALSE))=0,NA(),INDEX(BY$14:BY$37,MATCH($B248,$B$14:$B$37,FALSE))/INDEX($F$206:$F$229,MATCH($B248,$B$206:$B$229,FALSE))),NA()),NA())</f>
        <v>#N/A</v>
      </c>
      <c r="CA248" s="65" t="e">
        <f>IF(BZ56=1,IF(BZ$13&lt;=COUNT($C28:$CS28),IF(INDEX($F$206:$F$229,MATCH($B248,$B$206:$B$229,FALSE))=0,NA(),INDEX(BZ$14:BZ$37,MATCH($B248,$B$14:$B$37,FALSE))/INDEX($F$206:$F$229,MATCH($B248,$B$206:$B$229,FALSE))),NA()),NA())</f>
        <v>#N/A</v>
      </c>
      <c r="CB248" s="65" t="e">
        <f>IF(CA56=1,IF(CA$13&lt;=COUNT($C28:$CS28),IF(INDEX($F$206:$F$229,MATCH($B248,$B$206:$B$229,FALSE))=0,NA(),INDEX(CA$14:CA$37,MATCH($B248,$B$14:$B$37,FALSE))/INDEX($F$206:$F$229,MATCH($B248,$B$206:$B$229,FALSE))),NA()),NA())</f>
        <v>#N/A</v>
      </c>
      <c r="CC248" s="65" t="e">
        <f>IF(CB56=1,IF(CB$13&lt;=COUNT($C28:$CS28),IF(INDEX($F$206:$F$229,MATCH($B248,$B$206:$B$229,FALSE))=0,NA(),INDEX(CB$14:CB$37,MATCH($B248,$B$14:$B$37,FALSE))/INDEX($F$206:$F$229,MATCH($B248,$B$206:$B$229,FALSE))),NA()),NA())</f>
        <v>#N/A</v>
      </c>
      <c r="CD248" s="65" t="e">
        <f>IF(CC56=1,IF(CC$13&lt;=COUNT($C28:$CS28),IF(INDEX($F$206:$F$229,MATCH($B248,$B$206:$B$229,FALSE))=0,NA(),INDEX(CC$14:CC$37,MATCH($B248,$B$14:$B$37,FALSE))/INDEX($F$206:$F$229,MATCH($B248,$B$206:$B$229,FALSE))),NA()),NA())</f>
        <v>#N/A</v>
      </c>
      <c r="CE248" s="65" t="e">
        <f>IF(CD56=1,IF(CD$13&lt;=COUNT($C28:$CS28),IF(INDEX($F$206:$F$229,MATCH($B248,$B$206:$B$229,FALSE))=0,NA(),INDEX(CD$14:CD$37,MATCH($B248,$B$14:$B$37,FALSE))/INDEX($F$206:$F$229,MATCH($B248,$B$206:$B$229,FALSE))),NA()),NA())</f>
        <v>#N/A</v>
      </c>
      <c r="CF248" s="65" t="e">
        <f>IF(CE56=1,IF(CE$13&lt;=COUNT($C28:$CS28),IF(INDEX($F$206:$F$229,MATCH($B248,$B$206:$B$229,FALSE))=0,NA(),INDEX(CE$14:CE$37,MATCH($B248,$B$14:$B$37,FALSE))/INDEX($F$206:$F$229,MATCH($B248,$B$206:$B$229,FALSE))),NA()),NA())</f>
        <v>#N/A</v>
      </c>
      <c r="CG248" s="65" t="e">
        <f>IF(CF56=1,IF(CF$13&lt;=COUNT($C28:$CS28),IF(INDEX($F$206:$F$229,MATCH($B248,$B$206:$B$229,FALSE))=0,NA(),INDEX(CF$14:CF$37,MATCH($B248,$B$14:$B$37,FALSE))/INDEX($F$206:$F$229,MATCH($B248,$B$206:$B$229,FALSE))),NA()),NA())</f>
        <v>#N/A</v>
      </c>
      <c r="CH248" s="65" t="e">
        <f>IF(CG56=1,IF(CG$13&lt;=COUNT($C28:$CS28),IF(INDEX($F$206:$F$229,MATCH($B248,$B$206:$B$229,FALSE))=0,NA(),INDEX(CG$14:CG$37,MATCH($B248,$B$14:$B$37,FALSE))/INDEX($F$206:$F$229,MATCH($B248,$B$206:$B$229,FALSE))),NA()),NA())</f>
        <v>#N/A</v>
      </c>
      <c r="CI248" s="65" t="e">
        <f>IF(CH56=1,IF(CH$13&lt;=COUNT($C28:$CS28),IF(INDEX($F$206:$F$229,MATCH($B248,$B$206:$B$229,FALSE))=0,NA(),INDEX(CH$14:CH$37,MATCH($B248,$B$14:$B$37,FALSE))/INDEX($F$206:$F$229,MATCH($B248,$B$206:$B$229,FALSE))),NA()),NA())</f>
        <v>#N/A</v>
      </c>
      <c r="CJ248" s="65" t="e">
        <f>IF(CI56=1,IF(CI$13&lt;=COUNT($C28:$CS28),IF(INDEX($F$206:$F$229,MATCH($B248,$B$206:$B$229,FALSE))=0,NA(),INDEX(CI$14:CI$37,MATCH($B248,$B$14:$B$37,FALSE))/INDEX($F$206:$F$229,MATCH($B248,$B$206:$B$229,FALSE))),NA()),NA())</f>
        <v>#N/A</v>
      </c>
      <c r="CK248" s="65" t="e">
        <f>IF(CJ56=1,IF(CJ$13&lt;=COUNT($C28:$CS28),IF(INDEX($F$206:$F$229,MATCH($B248,$B$206:$B$229,FALSE))=0,NA(),INDEX(CJ$14:CJ$37,MATCH($B248,$B$14:$B$37,FALSE))/INDEX($F$206:$F$229,MATCH($B248,$B$206:$B$229,FALSE))),NA()),NA())</f>
        <v>#N/A</v>
      </c>
      <c r="CL248" s="65" t="e">
        <f>IF(CK56=1,IF(CK$13&lt;=COUNT($C28:$CS28),IF(INDEX($F$206:$F$229,MATCH($B248,$B$206:$B$229,FALSE))=0,NA(),INDEX(CK$14:CK$37,MATCH($B248,$B$14:$B$37,FALSE))/INDEX($F$206:$F$229,MATCH($B248,$B$206:$B$229,FALSE))),NA()),NA())</f>
        <v>#N/A</v>
      </c>
      <c r="CM248" s="65" t="e">
        <f>IF(CL56=1,IF(CL$13&lt;=COUNT($C28:$CS28),IF(INDEX($F$206:$F$229,MATCH($B248,$B$206:$B$229,FALSE))=0,NA(),INDEX(CL$14:CL$37,MATCH($B248,$B$14:$B$37,FALSE))/INDEX($F$206:$F$229,MATCH($B248,$B$206:$B$229,FALSE))),NA()),NA())</f>
        <v>#N/A</v>
      </c>
      <c r="CN248" s="65" t="e">
        <f>IF(CM56=1,IF(CM$13&lt;=COUNT($C28:$CS28),IF(INDEX($F$206:$F$229,MATCH($B248,$B$206:$B$229,FALSE))=0,NA(),INDEX(CM$14:CM$37,MATCH($B248,$B$14:$B$37,FALSE))/INDEX($F$206:$F$229,MATCH($B248,$B$206:$B$229,FALSE))),NA()),NA())</f>
        <v>#N/A</v>
      </c>
      <c r="CO248" s="65" t="e">
        <f>IF(CN56=1,IF(CN$13&lt;=COUNT($C28:$CS28),IF(INDEX($F$206:$F$229,MATCH($B248,$B$206:$B$229,FALSE))=0,NA(),INDEX(CN$14:CN$37,MATCH($B248,$B$14:$B$37,FALSE))/INDEX($F$206:$F$229,MATCH($B248,$B$206:$B$229,FALSE))),NA()),NA())</f>
        <v>#N/A</v>
      </c>
      <c r="CP248" s="65" t="e">
        <f>IF(CO56=1,IF(CO$13&lt;=COUNT($C28:$CS28),IF(INDEX($F$206:$F$229,MATCH($B248,$B$206:$B$229,FALSE))=0,NA(),INDEX(CO$14:CO$37,MATCH($B248,$B$14:$B$37,FALSE))/INDEX($F$206:$F$229,MATCH($B248,$B$206:$B$229,FALSE))),NA()),NA())</f>
        <v>#N/A</v>
      </c>
      <c r="CQ248" s="65" t="e">
        <f>IF(CP56=1,IF(CP$13&lt;=COUNT($C28:$CS28),IF(INDEX($F$206:$F$229,MATCH($B248,$B$206:$B$229,FALSE))=0,NA(),INDEX(CP$14:CP$37,MATCH($B248,$B$14:$B$37,FALSE))/INDEX($F$206:$F$229,MATCH($B248,$B$206:$B$229,FALSE))),NA()),NA())</f>
        <v>#N/A</v>
      </c>
      <c r="CR248" s="65" t="e">
        <f>IF(CQ56=1,IF(CQ$13&lt;=COUNT($C28:$CS28),IF(INDEX($F$206:$F$229,MATCH($B248,$B$206:$B$229,FALSE))=0,NA(),INDEX(CQ$14:CQ$37,MATCH($B248,$B$14:$B$37,FALSE))/INDEX($F$206:$F$229,MATCH($B248,$B$206:$B$229,FALSE))),NA()),NA())</f>
        <v>#N/A</v>
      </c>
      <c r="CS248" s="65" t="e">
        <f>IF(CR56=1,IF(CR$13&lt;=COUNT($C28:$CS28),IF(INDEX($F$206:$F$229,MATCH($B248,$B$206:$B$229,FALSE))=0,NA(),INDEX(CR$14:CR$37,MATCH($B248,$B$14:$B$37,FALSE))/INDEX($F$206:$F$229,MATCH($B248,$B$206:$B$229,FALSE))),NA()),NA())</f>
        <v>#N/A</v>
      </c>
      <c r="CT248" s="49"/>
      <c r="CU248" s="49"/>
      <c r="CV248" s="49"/>
      <c r="CW248" s="49"/>
    </row>
    <row r="249" spans="1:101" x14ac:dyDescent="0.25">
      <c r="A249" s="97">
        <f t="shared" si="352"/>
        <v>1</v>
      </c>
      <c r="B249" s="29">
        <f t="shared" si="351"/>
        <v>2011</v>
      </c>
      <c r="C249" s="154" t="str">
        <f t="shared" si="353"/>
        <v/>
      </c>
      <c r="D249" s="54">
        <f t="shared" ref="D249:BO249" ca="1" si="355">IF(C57=1,IF(C$13&lt;=COUNT($C29:$CS29),IF(INDEX($F$206:$F$229,MATCH($B249,$B$206:$B$229,FALSE))=0,NA(),INDEX(C$14:C$37,MATCH($B249,$B$14:$B$37,FALSE))/INDEX($F$206:$F$229,MATCH($B249,$B$206:$B$229,FALSE))),NA()),NA())</f>
        <v>0</v>
      </c>
      <c r="E249" s="65">
        <f t="shared" ca="1" si="355"/>
        <v>2.5932545204445154</v>
      </c>
      <c r="F249" s="65">
        <f t="shared" ca="1" si="355"/>
        <v>2.6004415563842267</v>
      </c>
      <c r="G249" s="65">
        <f t="shared" ca="1" si="355"/>
        <v>2.1520927027713488</v>
      </c>
      <c r="H249" s="65">
        <f t="shared" ca="1" si="355"/>
        <v>1.1769527307728518</v>
      </c>
      <c r="I249" s="65">
        <f t="shared" ca="1" si="355"/>
        <v>1.0844030225014354</v>
      </c>
      <c r="J249" s="65">
        <f t="shared" ca="1" si="355"/>
        <v>1</v>
      </c>
      <c r="K249" s="65">
        <f t="shared" ca="1" si="355"/>
        <v>1</v>
      </c>
      <c r="L249" s="65">
        <f t="shared" ca="1" si="355"/>
        <v>1</v>
      </c>
      <c r="M249" s="65" t="e">
        <f>IF(L57=1,IF(L$13&lt;=COUNT($C29:$CS29),IF(INDEX($F$206:$F$229,MATCH($B249,$B$206:$B$229,FALSE))=0,NA(),INDEX(L$14:L$37,MATCH($B249,$B$14:$B$37,FALSE))/INDEX($F$206:$F$229,MATCH($B249,$B$206:$B$229,FALSE))),NA()),NA())</f>
        <v>#N/A</v>
      </c>
      <c r="N249" s="65" t="e">
        <f>IF(M57=1,IF(M$13&lt;=COUNT($C29:$CS29),IF(INDEX($F$206:$F$229,MATCH($B249,$B$206:$B$229,FALSE))=0,NA(),INDEX(M$14:M$37,MATCH($B249,$B$14:$B$37,FALSE))/INDEX($F$206:$F$229,MATCH($B249,$B$206:$B$229,FALSE))),NA()),NA())</f>
        <v>#N/A</v>
      </c>
      <c r="O249" s="65" t="e">
        <f>IF(N57=1,IF(N$13&lt;=COUNT($C29:$CS29),IF(INDEX($F$206:$F$229,MATCH($B249,$B$206:$B$229,FALSE))=0,NA(),INDEX(N$14:N$37,MATCH($B249,$B$14:$B$37,FALSE))/INDEX($F$206:$F$229,MATCH($B249,$B$206:$B$229,FALSE))),NA()),NA())</f>
        <v>#N/A</v>
      </c>
      <c r="P249" s="65" t="e">
        <f>IF(O57=1,IF(O$13&lt;=COUNT($C29:$CS29),IF(INDEX($F$206:$F$229,MATCH($B249,$B$206:$B$229,FALSE))=0,NA(),INDEX(O$14:O$37,MATCH($B249,$B$14:$B$37,FALSE))/INDEX($F$206:$F$229,MATCH($B249,$B$206:$B$229,FALSE))),NA()),NA())</f>
        <v>#N/A</v>
      </c>
      <c r="Q249" s="65" t="e">
        <f>IF(P57=1,IF(P$13&lt;=COUNT($C29:$CS29),IF(INDEX($F$206:$F$229,MATCH($B249,$B$206:$B$229,FALSE))=0,NA(),INDEX(P$14:P$37,MATCH($B249,$B$14:$B$37,FALSE))/INDEX($F$206:$F$229,MATCH($B249,$B$206:$B$229,FALSE))),NA()),NA())</f>
        <v>#N/A</v>
      </c>
      <c r="R249" s="65" t="e">
        <f>IF(Q57=1,IF(Q$13&lt;=COUNT($C29:$CS29),IF(INDEX($F$206:$F$229,MATCH($B249,$B$206:$B$229,FALSE))=0,NA(),INDEX(Q$14:Q$37,MATCH($B249,$B$14:$B$37,FALSE))/INDEX($F$206:$F$229,MATCH($B249,$B$206:$B$229,FALSE))),NA()),NA())</f>
        <v>#N/A</v>
      </c>
      <c r="S249" s="65" t="e">
        <f>IF(R57=1,IF(R$13&lt;=COUNT($C29:$CS29),IF(INDEX($F$206:$F$229,MATCH($B249,$B$206:$B$229,FALSE))=0,NA(),INDEX(R$14:R$37,MATCH($B249,$B$14:$B$37,FALSE))/INDEX($F$206:$F$229,MATCH($B249,$B$206:$B$229,FALSE))),NA()),NA())</f>
        <v>#N/A</v>
      </c>
      <c r="T249" s="65" t="e">
        <f>IF(S57=1,IF(S$13&lt;=COUNT($C29:$CS29),IF(INDEX($F$206:$F$229,MATCH($B249,$B$206:$B$229,FALSE))=0,NA(),INDEX(S$14:S$37,MATCH($B249,$B$14:$B$37,FALSE))/INDEX($F$206:$F$229,MATCH($B249,$B$206:$B$229,FALSE))),NA()),NA())</f>
        <v>#N/A</v>
      </c>
      <c r="U249" s="65" t="e">
        <f>IF(T57=1,IF(T$13&lt;=COUNT($C29:$CS29),IF(INDEX($F$206:$F$229,MATCH($B249,$B$206:$B$229,FALSE))=0,NA(),INDEX(T$14:T$37,MATCH($B249,$B$14:$B$37,FALSE))/INDEX($F$206:$F$229,MATCH($B249,$B$206:$B$229,FALSE))),NA()),NA())</f>
        <v>#N/A</v>
      </c>
      <c r="V249" s="65" t="e">
        <f>IF(U57=1,IF(U$13&lt;=COUNT($C29:$CS29),IF(INDEX($F$206:$F$229,MATCH($B249,$B$206:$B$229,FALSE))=0,NA(),INDEX(U$14:U$37,MATCH($B249,$B$14:$B$37,FALSE))/INDEX($F$206:$F$229,MATCH($B249,$B$206:$B$229,FALSE))),NA()),NA())</f>
        <v>#N/A</v>
      </c>
      <c r="W249" s="65" t="e">
        <f>IF(V57=1,IF(V$13&lt;=COUNT($C29:$CS29),IF(INDEX($F$206:$F$229,MATCH($B249,$B$206:$B$229,FALSE))=0,NA(),INDEX(V$14:V$37,MATCH($B249,$B$14:$B$37,FALSE))/INDEX($F$206:$F$229,MATCH($B249,$B$206:$B$229,FALSE))),NA()),NA())</f>
        <v>#N/A</v>
      </c>
      <c r="X249" s="65" t="e">
        <f>IF(W57=1,IF(W$13&lt;=COUNT($C29:$CS29),IF(INDEX($F$206:$F$229,MATCH($B249,$B$206:$B$229,FALSE))=0,NA(),INDEX(W$14:W$37,MATCH($B249,$B$14:$B$37,FALSE))/INDEX($F$206:$F$229,MATCH($B249,$B$206:$B$229,FALSE))),NA()),NA())</f>
        <v>#N/A</v>
      </c>
      <c r="Y249" s="65" t="e">
        <f>IF(X57=1,IF(X$13&lt;=COUNT($C29:$CS29),IF(INDEX($F$206:$F$229,MATCH($B249,$B$206:$B$229,FALSE))=0,NA(),INDEX(X$14:X$37,MATCH($B249,$B$14:$B$37,FALSE))/INDEX($F$206:$F$229,MATCH($B249,$B$206:$B$229,FALSE))),NA()),NA())</f>
        <v>#N/A</v>
      </c>
      <c r="Z249" s="65" t="e">
        <f>IF(Y57=1,IF(Y$13&lt;=COUNT($C29:$CS29),IF(INDEX($F$206:$F$229,MATCH($B249,$B$206:$B$229,FALSE))=0,NA(),INDEX(Y$14:Y$37,MATCH($B249,$B$14:$B$37,FALSE))/INDEX($F$206:$F$229,MATCH($B249,$B$206:$B$229,FALSE))),NA()),NA())</f>
        <v>#N/A</v>
      </c>
      <c r="AA249" s="65" t="e">
        <f>IF(Z57=1,IF(Z$13&lt;=COUNT($C29:$CS29),IF(INDEX($F$206:$F$229,MATCH($B249,$B$206:$B$229,FALSE))=0,NA(),INDEX(Z$14:Z$37,MATCH($B249,$B$14:$B$37,FALSE))/INDEX($F$206:$F$229,MATCH($B249,$B$206:$B$229,FALSE))),NA()),NA())</f>
        <v>#N/A</v>
      </c>
      <c r="AB249" s="65" t="e">
        <f>IF(AA57=1,IF(AA$13&lt;=COUNT($C29:$CS29),IF(INDEX($F$206:$F$229,MATCH($B249,$B$206:$B$229,FALSE))=0,NA(),INDEX(AA$14:AA$37,MATCH($B249,$B$14:$B$37,FALSE))/INDEX($F$206:$F$229,MATCH($B249,$B$206:$B$229,FALSE))),NA()),NA())</f>
        <v>#N/A</v>
      </c>
      <c r="AC249" s="65" t="e">
        <f>IF(AB57=1,IF(AB$13&lt;=COUNT($C29:$CS29),IF(INDEX($F$206:$F$229,MATCH($B249,$B$206:$B$229,FALSE))=0,NA(),INDEX(AB$14:AB$37,MATCH($B249,$B$14:$B$37,FALSE))/INDEX($F$206:$F$229,MATCH($B249,$B$206:$B$229,FALSE))),NA()),NA())</f>
        <v>#N/A</v>
      </c>
      <c r="AD249" s="65" t="e">
        <f>IF(AC57=1,IF(AC$13&lt;=COUNT($C29:$CS29),IF(INDEX($F$206:$F$229,MATCH($B249,$B$206:$B$229,FALSE))=0,NA(),INDEX(AC$14:AC$37,MATCH($B249,$B$14:$B$37,FALSE))/INDEX($F$206:$F$229,MATCH($B249,$B$206:$B$229,FALSE))),NA()),NA())</f>
        <v>#N/A</v>
      </c>
      <c r="AE249" s="65" t="e">
        <f>IF(AD57=1,IF(AD$13&lt;=COUNT($C29:$CS29),IF(INDEX($F$206:$F$229,MATCH($B249,$B$206:$B$229,FALSE))=0,NA(),INDEX(AD$14:AD$37,MATCH($B249,$B$14:$B$37,FALSE))/INDEX($F$206:$F$229,MATCH($B249,$B$206:$B$229,FALSE))),NA()),NA())</f>
        <v>#N/A</v>
      </c>
      <c r="AF249" s="65" t="e">
        <f>IF(AE57=1,IF(AE$13&lt;=COUNT($C29:$CS29),IF(INDEX($F$206:$F$229,MATCH($B249,$B$206:$B$229,FALSE))=0,NA(),INDEX(AE$14:AE$37,MATCH($B249,$B$14:$B$37,FALSE))/INDEX($F$206:$F$229,MATCH($B249,$B$206:$B$229,FALSE))),NA()),NA())</f>
        <v>#N/A</v>
      </c>
      <c r="AG249" s="65" t="e">
        <f>IF(AF57=1,IF(AF$13&lt;=COUNT($C29:$CS29),IF(INDEX($F$206:$F$229,MATCH($B249,$B$206:$B$229,FALSE))=0,NA(),INDEX(AF$14:AF$37,MATCH($B249,$B$14:$B$37,FALSE))/INDEX($F$206:$F$229,MATCH($B249,$B$206:$B$229,FALSE))),NA()),NA())</f>
        <v>#N/A</v>
      </c>
      <c r="AH249" s="65" t="e">
        <f>IF(AG57=1,IF(AG$13&lt;=COUNT($C29:$CS29),IF(INDEX($F$206:$F$229,MATCH($B249,$B$206:$B$229,FALSE))=0,NA(),INDEX(AG$14:AG$37,MATCH($B249,$B$14:$B$37,FALSE))/INDEX($F$206:$F$229,MATCH($B249,$B$206:$B$229,FALSE))),NA()),NA())</f>
        <v>#N/A</v>
      </c>
      <c r="AI249" s="65" t="e">
        <f>IF(AH57=1,IF(AH$13&lt;=COUNT($C29:$CS29),IF(INDEX($F$206:$F$229,MATCH($B249,$B$206:$B$229,FALSE))=0,NA(),INDEX(AH$14:AH$37,MATCH($B249,$B$14:$B$37,FALSE))/INDEX($F$206:$F$229,MATCH($B249,$B$206:$B$229,FALSE))),NA()),NA())</f>
        <v>#N/A</v>
      </c>
      <c r="AJ249" s="65" t="e">
        <f>IF(AI57=1,IF(AI$13&lt;=COUNT($C29:$CS29),IF(INDEX($F$206:$F$229,MATCH($B249,$B$206:$B$229,FALSE))=0,NA(),INDEX(AI$14:AI$37,MATCH($B249,$B$14:$B$37,FALSE))/INDEX($F$206:$F$229,MATCH($B249,$B$206:$B$229,FALSE))),NA()),NA())</f>
        <v>#N/A</v>
      </c>
      <c r="AK249" s="65" t="e">
        <f>IF(AJ57=1,IF(AJ$13&lt;=COUNT($C29:$CS29),IF(INDEX($F$206:$F$229,MATCH($B249,$B$206:$B$229,FALSE))=0,NA(),INDEX(AJ$14:AJ$37,MATCH($B249,$B$14:$B$37,FALSE))/INDEX($F$206:$F$229,MATCH($B249,$B$206:$B$229,FALSE))),NA()),NA())</f>
        <v>#N/A</v>
      </c>
      <c r="AL249" s="65" t="e">
        <f>IF(AK57=1,IF(AK$13&lt;=COUNT($C29:$CS29),IF(INDEX($F$206:$F$229,MATCH($B249,$B$206:$B$229,FALSE))=0,NA(),INDEX(AK$14:AK$37,MATCH($B249,$B$14:$B$37,FALSE))/INDEX($F$206:$F$229,MATCH($B249,$B$206:$B$229,FALSE))),NA()),NA())</f>
        <v>#N/A</v>
      </c>
      <c r="AM249" s="65" t="e">
        <f>IF(AL57=1,IF(AL$13&lt;=COUNT($C29:$CS29),IF(INDEX($F$206:$F$229,MATCH($B249,$B$206:$B$229,FALSE))=0,NA(),INDEX(AL$14:AL$37,MATCH($B249,$B$14:$B$37,FALSE))/INDEX($F$206:$F$229,MATCH($B249,$B$206:$B$229,FALSE))),NA()),NA())</f>
        <v>#N/A</v>
      </c>
      <c r="AN249" s="65" t="e">
        <f>IF(AM57=1,IF(AM$13&lt;=COUNT($C29:$CS29),IF(INDEX($F$206:$F$229,MATCH($B249,$B$206:$B$229,FALSE))=0,NA(),INDEX(AM$14:AM$37,MATCH($B249,$B$14:$B$37,FALSE))/INDEX($F$206:$F$229,MATCH($B249,$B$206:$B$229,FALSE))),NA()),NA())</f>
        <v>#N/A</v>
      </c>
      <c r="AO249" s="65" t="e">
        <f>IF(AN57=1,IF(AN$13&lt;=COUNT($C29:$CS29),IF(INDEX($F$206:$F$229,MATCH($B249,$B$206:$B$229,FALSE))=0,NA(),INDEX(AN$14:AN$37,MATCH($B249,$B$14:$B$37,FALSE))/INDEX($F$206:$F$229,MATCH($B249,$B$206:$B$229,FALSE))),NA()),NA())</f>
        <v>#N/A</v>
      </c>
      <c r="AP249" s="65" t="e">
        <f>IF(AO57=1,IF(AO$13&lt;=COUNT($C29:$CS29),IF(INDEX($F$206:$F$229,MATCH($B249,$B$206:$B$229,FALSE))=0,NA(),INDEX(AO$14:AO$37,MATCH($B249,$B$14:$B$37,FALSE))/INDEX($F$206:$F$229,MATCH($B249,$B$206:$B$229,FALSE))),NA()),NA())</f>
        <v>#N/A</v>
      </c>
      <c r="AQ249" s="65" t="e">
        <f>IF(AP57=1,IF(AP$13&lt;=COUNT($C29:$CS29),IF(INDEX($F$206:$F$229,MATCH($B249,$B$206:$B$229,FALSE))=0,NA(),INDEX(AP$14:AP$37,MATCH($B249,$B$14:$B$37,FALSE))/INDEX($F$206:$F$229,MATCH($B249,$B$206:$B$229,FALSE))),NA()),NA())</f>
        <v>#N/A</v>
      </c>
      <c r="AR249" s="65" t="e">
        <f>IF(AQ57=1,IF(AQ$13&lt;=COUNT($C29:$CS29),IF(INDEX($F$206:$F$229,MATCH($B249,$B$206:$B$229,FALSE))=0,NA(),INDEX(AQ$14:AQ$37,MATCH($B249,$B$14:$B$37,FALSE))/INDEX($F$206:$F$229,MATCH($B249,$B$206:$B$229,FALSE))),NA()),NA())</f>
        <v>#N/A</v>
      </c>
      <c r="AS249" s="65" t="e">
        <f>IF(AR57=1,IF(AR$13&lt;=COUNT($C29:$CS29),IF(INDEX($F$206:$F$229,MATCH($B249,$B$206:$B$229,FALSE))=0,NA(),INDEX(AR$14:AR$37,MATCH($B249,$B$14:$B$37,FALSE))/INDEX($F$206:$F$229,MATCH($B249,$B$206:$B$229,FALSE))),NA()),NA())</f>
        <v>#N/A</v>
      </c>
      <c r="AT249" s="65" t="e">
        <f>IF(AS57=1,IF(AS$13&lt;=COUNT($C29:$CS29),IF(INDEX($F$206:$F$229,MATCH($B249,$B$206:$B$229,FALSE))=0,NA(),INDEX(AS$14:AS$37,MATCH($B249,$B$14:$B$37,FALSE))/INDEX($F$206:$F$229,MATCH($B249,$B$206:$B$229,FALSE))),NA()),NA())</f>
        <v>#N/A</v>
      </c>
      <c r="AU249" s="65" t="e">
        <f>IF(AT57=1,IF(AT$13&lt;=COUNT($C29:$CS29),IF(INDEX($F$206:$F$229,MATCH($B249,$B$206:$B$229,FALSE))=0,NA(),INDEX(AT$14:AT$37,MATCH($B249,$B$14:$B$37,FALSE))/INDEX($F$206:$F$229,MATCH($B249,$B$206:$B$229,FALSE))),NA()),NA())</f>
        <v>#N/A</v>
      </c>
      <c r="AV249" s="65" t="e">
        <f>IF(AU57=1,IF(AU$13&lt;=COUNT($C29:$CS29),IF(INDEX($F$206:$F$229,MATCH($B249,$B$206:$B$229,FALSE))=0,NA(),INDEX(AU$14:AU$37,MATCH($B249,$B$14:$B$37,FALSE))/INDEX($F$206:$F$229,MATCH($B249,$B$206:$B$229,FALSE))),NA()),NA())</f>
        <v>#N/A</v>
      </c>
      <c r="AW249" s="65" t="e">
        <f>IF(AV57=1,IF(AV$13&lt;=COUNT($C29:$CS29),IF(INDEX($F$206:$F$229,MATCH($B249,$B$206:$B$229,FALSE))=0,NA(),INDEX(AV$14:AV$37,MATCH($B249,$B$14:$B$37,FALSE))/INDEX($F$206:$F$229,MATCH($B249,$B$206:$B$229,FALSE))),NA()),NA())</f>
        <v>#N/A</v>
      </c>
      <c r="AX249" s="65" t="e">
        <f>IF(AW57=1,IF(AW$13&lt;=COUNT($C29:$CS29),IF(INDEX($F$206:$F$229,MATCH($B249,$B$206:$B$229,FALSE))=0,NA(),INDEX(AW$14:AW$37,MATCH($B249,$B$14:$B$37,FALSE))/INDEX($F$206:$F$229,MATCH($B249,$B$206:$B$229,FALSE))),NA()),NA())</f>
        <v>#N/A</v>
      </c>
      <c r="AY249" s="65" t="e">
        <f>IF(AX57=1,IF(AX$13&lt;=COUNT($C29:$CS29),IF(INDEX($F$206:$F$229,MATCH($B249,$B$206:$B$229,FALSE))=0,NA(),INDEX(AX$14:AX$37,MATCH($B249,$B$14:$B$37,FALSE))/INDEX($F$206:$F$229,MATCH($B249,$B$206:$B$229,FALSE))),NA()),NA())</f>
        <v>#N/A</v>
      </c>
      <c r="AZ249" s="65" t="e">
        <f>IF(AY57=1,IF(AY$13&lt;=COUNT($C29:$CS29),IF(INDEX($F$206:$F$229,MATCH($B249,$B$206:$B$229,FALSE))=0,NA(),INDEX(AY$14:AY$37,MATCH($B249,$B$14:$B$37,FALSE))/INDEX($F$206:$F$229,MATCH($B249,$B$206:$B$229,FALSE))),NA()),NA())</f>
        <v>#N/A</v>
      </c>
      <c r="BA249" s="65" t="e">
        <f>IF(AZ57=1,IF(AZ$13&lt;=COUNT($C29:$CS29),IF(INDEX($F$206:$F$229,MATCH($B249,$B$206:$B$229,FALSE))=0,NA(),INDEX(AZ$14:AZ$37,MATCH($B249,$B$14:$B$37,FALSE))/INDEX($F$206:$F$229,MATCH($B249,$B$206:$B$229,FALSE))),NA()),NA())</f>
        <v>#N/A</v>
      </c>
      <c r="BB249" s="65" t="e">
        <f>IF(BA57=1,IF(BA$13&lt;=COUNT($C29:$CS29),IF(INDEX($F$206:$F$229,MATCH($B249,$B$206:$B$229,FALSE))=0,NA(),INDEX(BA$14:BA$37,MATCH($B249,$B$14:$B$37,FALSE))/INDEX($F$206:$F$229,MATCH($B249,$B$206:$B$229,FALSE))),NA()),NA())</f>
        <v>#N/A</v>
      </c>
      <c r="BC249" s="65" t="e">
        <f>IF(BB57=1,IF(BB$13&lt;=COUNT($C29:$CS29),IF(INDEX($F$206:$F$229,MATCH($B249,$B$206:$B$229,FALSE))=0,NA(),INDEX(BB$14:BB$37,MATCH($B249,$B$14:$B$37,FALSE))/INDEX($F$206:$F$229,MATCH($B249,$B$206:$B$229,FALSE))),NA()),NA())</f>
        <v>#N/A</v>
      </c>
      <c r="BD249" s="65" t="e">
        <f>IF(BC57=1,IF(BC$13&lt;=COUNT($C29:$CS29),IF(INDEX($F$206:$F$229,MATCH($B249,$B$206:$B$229,FALSE))=0,NA(),INDEX(BC$14:BC$37,MATCH($B249,$B$14:$B$37,FALSE))/INDEX($F$206:$F$229,MATCH($B249,$B$206:$B$229,FALSE))),NA()),NA())</f>
        <v>#N/A</v>
      </c>
      <c r="BE249" s="65" t="e">
        <f>IF(BD57=1,IF(BD$13&lt;=COUNT($C29:$CS29),IF(INDEX($F$206:$F$229,MATCH($B249,$B$206:$B$229,FALSE))=0,NA(),INDEX(BD$14:BD$37,MATCH($B249,$B$14:$B$37,FALSE))/INDEX($F$206:$F$229,MATCH($B249,$B$206:$B$229,FALSE))),NA()),NA())</f>
        <v>#N/A</v>
      </c>
      <c r="BF249" s="65" t="e">
        <f>IF(BE57=1,IF(BE$13&lt;=COUNT($C29:$CS29),IF(INDEX($F$206:$F$229,MATCH($B249,$B$206:$B$229,FALSE))=0,NA(),INDEX(BE$14:BE$37,MATCH($B249,$B$14:$B$37,FALSE))/INDEX($F$206:$F$229,MATCH($B249,$B$206:$B$229,FALSE))),NA()),NA())</f>
        <v>#N/A</v>
      </c>
      <c r="BG249" s="65" t="e">
        <f>IF(BF57=1,IF(BF$13&lt;=COUNT($C29:$CS29),IF(INDEX($F$206:$F$229,MATCH($B249,$B$206:$B$229,FALSE))=0,NA(),INDEX(BF$14:BF$37,MATCH($B249,$B$14:$B$37,FALSE))/INDEX($F$206:$F$229,MATCH($B249,$B$206:$B$229,FALSE))),NA()),NA())</f>
        <v>#N/A</v>
      </c>
      <c r="BH249" s="65" t="e">
        <f>IF(BG57=1,IF(BG$13&lt;=COUNT($C29:$CS29),IF(INDEX($F$206:$F$229,MATCH($B249,$B$206:$B$229,FALSE))=0,NA(),INDEX(BG$14:BG$37,MATCH($B249,$B$14:$B$37,FALSE))/INDEX($F$206:$F$229,MATCH($B249,$B$206:$B$229,FALSE))),NA()),NA())</f>
        <v>#N/A</v>
      </c>
      <c r="BI249" s="65" t="e">
        <f>IF(BH57=1,IF(BH$13&lt;=COUNT($C29:$CS29),IF(INDEX($F$206:$F$229,MATCH($B249,$B$206:$B$229,FALSE))=0,NA(),INDEX(BH$14:BH$37,MATCH($B249,$B$14:$B$37,FALSE))/INDEX($F$206:$F$229,MATCH($B249,$B$206:$B$229,FALSE))),NA()),NA())</f>
        <v>#N/A</v>
      </c>
      <c r="BJ249" s="65" t="e">
        <f>IF(BI57=1,IF(BI$13&lt;=COUNT($C29:$CS29),IF(INDEX($F$206:$F$229,MATCH($B249,$B$206:$B$229,FALSE))=0,NA(),INDEX(BI$14:BI$37,MATCH($B249,$B$14:$B$37,FALSE))/INDEX($F$206:$F$229,MATCH($B249,$B$206:$B$229,FALSE))),NA()),NA())</f>
        <v>#N/A</v>
      </c>
      <c r="BK249" s="65" t="e">
        <f>IF(BJ57=1,IF(BJ$13&lt;=COUNT($C29:$CS29),IF(INDEX($F$206:$F$229,MATCH($B249,$B$206:$B$229,FALSE))=0,NA(),INDEX(BJ$14:BJ$37,MATCH($B249,$B$14:$B$37,FALSE))/INDEX($F$206:$F$229,MATCH($B249,$B$206:$B$229,FALSE))),NA()),NA())</f>
        <v>#N/A</v>
      </c>
      <c r="BL249" s="65" t="e">
        <f>IF(BK57=1,IF(BK$13&lt;=COUNT($C29:$CS29),IF(INDEX($F$206:$F$229,MATCH($B249,$B$206:$B$229,FALSE))=0,NA(),INDEX(BK$14:BK$37,MATCH($B249,$B$14:$B$37,FALSE))/INDEX($F$206:$F$229,MATCH($B249,$B$206:$B$229,FALSE))),NA()),NA())</f>
        <v>#N/A</v>
      </c>
      <c r="BM249" s="65" t="e">
        <f>IF(BL57=1,IF(BL$13&lt;=COUNT($C29:$CS29),IF(INDEX($F$206:$F$229,MATCH($B249,$B$206:$B$229,FALSE))=0,NA(),INDEX(BL$14:BL$37,MATCH($B249,$B$14:$B$37,FALSE))/INDEX($F$206:$F$229,MATCH($B249,$B$206:$B$229,FALSE))),NA()),NA())</f>
        <v>#N/A</v>
      </c>
      <c r="BN249" s="65" t="e">
        <f>IF(BM57=1,IF(BM$13&lt;=COUNT($C29:$CS29),IF(INDEX($F$206:$F$229,MATCH($B249,$B$206:$B$229,FALSE))=0,NA(),INDEX(BM$14:BM$37,MATCH($B249,$B$14:$B$37,FALSE))/INDEX($F$206:$F$229,MATCH($B249,$B$206:$B$229,FALSE))),NA()),NA())</f>
        <v>#N/A</v>
      </c>
      <c r="BO249" s="65" t="e">
        <f>IF(BN57=1,IF(BN$13&lt;=COUNT($C29:$CS29),IF(INDEX($F$206:$F$229,MATCH($B249,$B$206:$B$229,FALSE))=0,NA(),INDEX(BN$14:BN$37,MATCH($B249,$B$14:$B$37,FALSE))/INDEX($F$206:$F$229,MATCH($B249,$B$206:$B$229,FALSE))),NA()),NA())</f>
        <v>#N/A</v>
      </c>
      <c r="BP249" s="65" t="e">
        <f>IF(BO57=1,IF(BO$13&lt;=COUNT($C29:$CS29),IF(INDEX($F$206:$F$229,MATCH($B249,$B$206:$B$229,FALSE))=0,NA(),INDEX(BO$14:BO$37,MATCH($B249,$B$14:$B$37,FALSE))/INDEX($F$206:$F$229,MATCH($B249,$B$206:$B$229,FALSE))),NA()),NA())</f>
        <v>#N/A</v>
      </c>
      <c r="BQ249" s="65" t="e">
        <f>IF(BP57=1,IF(BP$13&lt;=COUNT($C29:$CS29),IF(INDEX($F$206:$F$229,MATCH($B249,$B$206:$B$229,FALSE))=0,NA(),INDEX(BP$14:BP$37,MATCH($B249,$B$14:$B$37,FALSE))/INDEX($F$206:$F$229,MATCH($B249,$B$206:$B$229,FALSE))),NA()),NA())</f>
        <v>#N/A</v>
      </c>
      <c r="BR249" s="65" t="e">
        <f>IF(BQ57=1,IF(BQ$13&lt;=COUNT($C29:$CS29),IF(INDEX($F$206:$F$229,MATCH($B249,$B$206:$B$229,FALSE))=0,NA(),INDEX(BQ$14:BQ$37,MATCH($B249,$B$14:$B$37,FALSE))/INDEX($F$206:$F$229,MATCH($B249,$B$206:$B$229,FALSE))),NA()),NA())</f>
        <v>#N/A</v>
      </c>
      <c r="BS249" s="65" t="e">
        <f>IF(BR57=1,IF(BR$13&lt;=COUNT($C29:$CS29),IF(INDEX($F$206:$F$229,MATCH($B249,$B$206:$B$229,FALSE))=0,NA(),INDEX(BR$14:BR$37,MATCH($B249,$B$14:$B$37,FALSE))/INDEX($F$206:$F$229,MATCH($B249,$B$206:$B$229,FALSE))),NA()),NA())</f>
        <v>#N/A</v>
      </c>
      <c r="BT249" s="65" t="e">
        <f>IF(BS57=1,IF(BS$13&lt;=COUNT($C29:$CS29),IF(INDEX($F$206:$F$229,MATCH($B249,$B$206:$B$229,FALSE))=0,NA(),INDEX(BS$14:BS$37,MATCH($B249,$B$14:$B$37,FALSE))/INDEX($F$206:$F$229,MATCH($B249,$B$206:$B$229,FALSE))),NA()),NA())</f>
        <v>#N/A</v>
      </c>
      <c r="BU249" s="65" t="e">
        <f>IF(BT57=1,IF(BT$13&lt;=COUNT($C29:$CS29),IF(INDEX($F$206:$F$229,MATCH($B249,$B$206:$B$229,FALSE))=0,NA(),INDEX(BT$14:BT$37,MATCH($B249,$B$14:$B$37,FALSE))/INDEX($F$206:$F$229,MATCH($B249,$B$206:$B$229,FALSE))),NA()),NA())</f>
        <v>#N/A</v>
      </c>
      <c r="BV249" s="65" t="e">
        <f>IF(BU57=1,IF(BU$13&lt;=COUNT($C29:$CS29),IF(INDEX($F$206:$F$229,MATCH($B249,$B$206:$B$229,FALSE))=0,NA(),INDEX(BU$14:BU$37,MATCH($B249,$B$14:$B$37,FALSE))/INDEX($F$206:$F$229,MATCH($B249,$B$206:$B$229,FALSE))),NA()),NA())</f>
        <v>#N/A</v>
      </c>
      <c r="BW249" s="65" t="e">
        <f>IF(BV57=1,IF(BV$13&lt;=COUNT($C29:$CS29),IF(INDEX($F$206:$F$229,MATCH($B249,$B$206:$B$229,FALSE))=0,NA(),INDEX(BV$14:BV$37,MATCH($B249,$B$14:$B$37,FALSE))/INDEX($F$206:$F$229,MATCH($B249,$B$206:$B$229,FALSE))),NA()),NA())</f>
        <v>#N/A</v>
      </c>
      <c r="BX249" s="65" t="e">
        <f>IF(BW57=1,IF(BW$13&lt;=COUNT($C29:$CS29),IF(INDEX($F$206:$F$229,MATCH($B249,$B$206:$B$229,FALSE))=0,NA(),INDEX(BW$14:BW$37,MATCH($B249,$B$14:$B$37,FALSE))/INDEX($F$206:$F$229,MATCH($B249,$B$206:$B$229,FALSE))),NA()),NA())</f>
        <v>#N/A</v>
      </c>
      <c r="BY249" s="65" t="e">
        <f>IF(BX57=1,IF(BX$13&lt;=COUNT($C29:$CS29),IF(INDEX($F$206:$F$229,MATCH($B249,$B$206:$B$229,FALSE))=0,NA(),INDEX(BX$14:BX$37,MATCH($B249,$B$14:$B$37,FALSE))/INDEX($F$206:$F$229,MATCH($B249,$B$206:$B$229,FALSE))),NA()),NA())</f>
        <v>#N/A</v>
      </c>
      <c r="BZ249" s="65" t="e">
        <f>IF(BY57=1,IF(BY$13&lt;=COUNT($C29:$CS29),IF(INDEX($F$206:$F$229,MATCH($B249,$B$206:$B$229,FALSE))=0,NA(),INDEX(BY$14:BY$37,MATCH($B249,$B$14:$B$37,FALSE))/INDEX($F$206:$F$229,MATCH($B249,$B$206:$B$229,FALSE))),NA()),NA())</f>
        <v>#N/A</v>
      </c>
      <c r="CA249" s="65" t="e">
        <f>IF(BZ57=1,IF(BZ$13&lt;=COUNT($C29:$CS29),IF(INDEX($F$206:$F$229,MATCH($B249,$B$206:$B$229,FALSE))=0,NA(),INDEX(BZ$14:BZ$37,MATCH($B249,$B$14:$B$37,FALSE))/INDEX($F$206:$F$229,MATCH($B249,$B$206:$B$229,FALSE))),NA()),NA())</f>
        <v>#N/A</v>
      </c>
      <c r="CB249" s="65" t="e">
        <f>IF(CA57=1,IF(CA$13&lt;=COUNT($C29:$CS29),IF(INDEX($F$206:$F$229,MATCH($B249,$B$206:$B$229,FALSE))=0,NA(),INDEX(CA$14:CA$37,MATCH($B249,$B$14:$B$37,FALSE))/INDEX($F$206:$F$229,MATCH($B249,$B$206:$B$229,FALSE))),NA()),NA())</f>
        <v>#N/A</v>
      </c>
      <c r="CC249" s="65" t="e">
        <f>IF(CB57=1,IF(CB$13&lt;=COUNT($C29:$CS29),IF(INDEX($F$206:$F$229,MATCH($B249,$B$206:$B$229,FALSE))=0,NA(),INDEX(CB$14:CB$37,MATCH($B249,$B$14:$B$37,FALSE))/INDEX($F$206:$F$229,MATCH($B249,$B$206:$B$229,FALSE))),NA()),NA())</f>
        <v>#N/A</v>
      </c>
      <c r="CD249" s="65" t="e">
        <f>IF(CC57=1,IF(CC$13&lt;=COUNT($C29:$CS29),IF(INDEX($F$206:$F$229,MATCH($B249,$B$206:$B$229,FALSE))=0,NA(),INDEX(CC$14:CC$37,MATCH($B249,$B$14:$B$37,FALSE))/INDEX($F$206:$F$229,MATCH($B249,$B$206:$B$229,FALSE))),NA()),NA())</f>
        <v>#N/A</v>
      </c>
      <c r="CE249" s="65" t="e">
        <f>IF(CD57=1,IF(CD$13&lt;=COUNT($C29:$CS29),IF(INDEX($F$206:$F$229,MATCH($B249,$B$206:$B$229,FALSE))=0,NA(),INDEX(CD$14:CD$37,MATCH($B249,$B$14:$B$37,FALSE))/INDEX($F$206:$F$229,MATCH($B249,$B$206:$B$229,FALSE))),NA()),NA())</f>
        <v>#N/A</v>
      </c>
      <c r="CF249" s="65" t="e">
        <f>IF(CE57=1,IF(CE$13&lt;=COUNT($C29:$CS29),IF(INDEX($F$206:$F$229,MATCH($B249,$B$206:$B$229,FALSE))=0,NA(),INDEX(CE$14:CE$37,MATCH($B249,$B$14:$B$37,FALSE))/INDEX($F$206:$F$229,MATCH($B249,$B$206:$B$229,FALSE))),NA()),NA())</f>
        <v>#N/A</v>
      </c>
      <c r="CG249" s="65" t="e">
        <f>IF(CF57=1,IF(CF$13&lt;=COUNT($C29:$CS29),IF(INDEX($F$206:$F$229,MATCH($B249,$B$206:$B$229,FALSE))=0,NA(),INDEX(CF$14:CF$37,MATCH($B249,$B$14:$B$37,FALSE))/INDEX($F$206:$F$229,MATCH($B249,$B$206:$B$229,FALSE))),NA()),NA())</f>
        <v>#N/A</v>
      </c>
      <c r="CH249" s="65" t="e">
        <f>IF(CG57=1,IF(CG$13&lt;=COUNT($C29:$CS29),IF(INDEX($F$206:$F$229,MATCH($B249,$B$206:$B$229,FALSE))=0,NA(),INDEX(CG$14:CG$37,MATCH($B249,$B$14:$B$37,FALSE))/INDEX($F$206:$F$229,MATCH($B249,$B$206:$B$229,FALSE))),NA()),NA())</f>
        <v>#N/A</v>
      </c>
      <c r="CI249" s="65" t="e">
        <f>IF(CH57=1,IF(CH$13&lt;=COUNT($C29:$CS29),IF(INDEX($F$206:$F$229,MATCH($B249,$B$206:$B$229,FALSE))=0,NA(),INDEX(CH$14:CH$37,MATCH($B249,$B$14:$B$37,FALSE))/INDEX($F$206:$F$229,MATCH($B249,$B$206:$B$229,FALSE))),NA()),NA())</f>
        <v>#N/A</v>
      </c>
      <c r="CJ249" s="65" t="e">
        <f>IF(CI57=1,IF(CI$13&lt;=COUNT($C29:$CS29),IF(INDEX($F$206:$F$229,MATCH($B249,$B$206:$B$229,FALSE))=0,NA(),INDEX(CI$14:CI$37,MATCH($B249,$B$14:$B$37,FALSE))/INDEX($F$206:$F$229,MATCH($B249,$B$206:$B$229,FALSE))),NA()),NA())</f>
        <v>#N/A</v>
      </c>
      <c r="CK249" s="65" t="e">
        <f>IF(CJ57=1,IF(CJ$13&lt;=COUNT($C29:$CS29),IF(INDEX($F$206:$F$229,MATCH($B249,$B$206:$B$229,FALSE))=0,NA(),INDEX(CJ$14:CJ$37,MATCH($B249,$B$14:$B$37,FALSE))/INDEX($F$206:$F$229,MATCH($B249,$B$206:$B$229,FALSE))),NA()),NA())</f>
        <v>#N/A</v>
      </c>
      <c r="CL249" s="65" t="e">
        <f>IF(CK57=1,IF(CK$13&lt;=COUNT($C29:$CS29),IF(INDEX($F$206:$F$229,MATCH($B249,$B$206:$B$229,FALSE))=0,NA(),INDEX(CK$14:CK$37,MATCH($B249,$B$14:$B$37,FALSE))/INDEX($F$206:$F$229,MATCH($B249,$B$206:$B$229,FALSE))),NA()),NA())</f>
        <v>#N/A</v>
      </c>
      <c r="CM249" s="65" t="e">
        <f>IF(CL57=1,IF(CL$13&lt;=COUNT($C29:$CS29),IF(INDEX($F$206:$F$229,MATCH($B249,$B$206:$B$229,FALSE))=0,NA(),INDEX(CL$14:CL$37,MATCH($B249,$B$14:$B$37,FALSE))/INDEX($F$206:$F$229,MATCH($B249,$B$206:$B$229,FALSE))),NA()),NA())</f>
        <v>#N/A</v>
      </c>
      <c r="CN249" s="65" t="e">
        <f>IF(CM57=1,IF(CM$13&lt;=COUNT($C29:$CS29),IF(INDEX($F$206:$F$229,MATCH($B249,$B$206:$B$229,FALSE))=0,NA(),INDEX(CM$14:CM$37,MATCH($B249,$B$14:$B$37,FALSE))/INDEX($F$206:$F$229,MATCH($B249,$B$206:$B$229,FALSE))),NA()),NA())</f>
        <v>#N/A</v>
      </c>
      <c r="CO249" s="65" t="e">
        <f>IF(CN57=1,IF(CN$13&lt;=COUNT($C29:$CS29),IF(INDEX($F$206:$F$229,MATCH($B249,$B$206:$B$229,FALSE))=0,NA(),INDEX(CN$14:CN$37,MATCH($B249,$B$14:$B$37,FALSE))/INDEX($F$206:$F$229,MATCH($B249,$B$206:$B$229,FALSE))),NA()),NA())</f>
        <v>#N/A</v>
      </c>
      <c r="CP249" s="65" t="e">
        <f>IF(CO57=1,IF(CO$13&lt;=COUNT($C29:$CS29),IF(INDEX($F$206:$F$229,MATCH($B249,$B$206:$B$229,FALSE))=0,NA(),INDEX(CO$14:CO$37,MATCH($B249,$B$14:$B$37,FALSE))/INDEX($F$206:$F$229,MATCH($B249,$B$206:$B$229,FALSE))),NA()),NA())</f>
        <v>#N/A</v>
      </c>
      <c r="CQ249" s="65" t="e">
        <f>IF(CP57=1,IF(CP$13&lt;=COUNT($C29:$CS29),IF(INDEX($F$206:$F$229,MATCH($B249,$B$206:$B$229,FALSE))=0,NA(),INDEX(CP$14:CP$37,MATCH($B249,$B$14:$B$37,FALSE))/INDEX($F$206:$F$229,MATCH($B249,$B$206:$B$229,FALSE))),NA()),NA())</f>
        <v>#N/A</v>
      </c>
      <c r="CR249" s="65" t="e">
        <f>IF(CQ57=1,IF(CQ$13&lt;=COUNT($C29:$CS29),IF(INDEX($F$206:$F$229,MATCH($B249,$B$206:$B$229,FALSE))=0,NA(),INDEX(CQ$14:CQ$37,MATCH($B249,$B$14:$B$37,FALSE))/INDEX($F$206:$F$229,MATCH($B249,$B$206:$B$229,FALSE))),NA()),NA())</f>
        <v>#N/A</v>
      </c>
      <c r="CS249" s="65" t="e">
        <f>IF(CR57=1,IF(CR$13&lt;=COUNT($C29:$CS29),IF(INDEX($F$206:$F$229,MATCH($B249,$B$206:$B$229,FALSE))=0,NA(),INDEX(CR$14:CR$37,MATCH($B249,$B$14:$B$37,FALSE))/INDEX($F$206:$F$229,MATCH($B249,$B$206:$B$229,FALSE))),NA()),NA())</f>
        <v>#N/A</v>
      </c>
      <c r="CT249" s="49"/>
      <c r="CU249" s="49"/>
      <c r="CV249" s="49"/>
      <c r="CW249" s="49"/>
    </row>
    <row r="250" spans="1:101" x14ac:dyDescent="0.25">
      <c r="A250" s="97">
        <f t="shared" si="352"/>
        <v>1</v>
      </c>
      <c r="B250" s="29">
        <f t="shared" si="351"/>
        <v>2012</v>
      </c>
      <c r="C250" s="154" t="str">
        <f t="shared" si="353"/>
        <v/>
      </c>
      <c r="D250" s="54">
        <f t="shared" ref="D250:BO250" ca="1" si="356">IF(C58=1,IF(C$13&lt;=COUNT($C30:$CS30),IF(INDEX($F$206:$F$229,MATCH($B250,$B$206:$B$229,FALSE))=0,NA(),INDEX(C$14:C$37,MATCH($B250,$B$14:$B$37,FALSE))/INDEX($F$206:$F$229,MATCH($B250,$B$206:$B$229,FALSE))),NA()),NA())</f>
        <v>0.46794394409926193</v>
      </c>
      <c r="E250" s="65">
        <f t="shared" ca="1" si="356"/>
        <v>0.53418859646110395</v>
      </c>
      <c r="F250" s="65">
        <f t="shared" ca="1" si="356"/>
        <v>1.4350212312289992</v>
      </c>
      <c r="G250" s="65">
        <f t="shared" ca="1" si="356"/>
        <v>1.7860806858437412</v>
      </c>
      <c r="H250" s="65">
        <f t="shared" ca="1" si="356"/>
        <v>1.7824186891184481</v>
      </c>
      <c r="I250" s="65">
        <f t="shared" ca="1" si="356"/>
        <v>1.2578480947745474</v>
      </c>
      <c r="J250" s="65">
        <f t="shared" ca="1" si="356"/>
        <v>1.0671211924863186</v>
      </c>
      <c r="K250" s="65">
        <f t="shared" ca="1" si="356"/>
        <v>1.0291164899546705</v>
      </c>
      <c r="L250" s="65" t="e">
        <f>IF(K58=1,IF(K$13&lt;=COUNT($C30:$CS30),IF(INDEX($F$206:$F$229,MATCH($B250,$B$206:$B$229,FALSE))=0,NA(),INDEX(K$14:K$37,MATCH($B250,$B$14:$B$37,FALSE))/INDEX($F$206:$F$229,MATCH($B250,$B$206:$B$229,FALSE))),NA()),NA())</f>
        <v>#N/A</v>
      </c>
      <c r="M250" s="65" t="e">
        <f>IF(L58=1,IF(L$13&lt;=COUNT($C30:$CS30),IF(INDEX($F$206:$F$229,MATCH($B250,$B$206:$B$229,FALSE))=0,NA(),INDEX(L$14:L$37,MATCH($B250,$B$14:$B$37,FALSE))/INDEX($F$206:$F$229,MATCH($B250,$B$206:$B$229,FALSE))),NA()),NA())</f>
        <v>#N/A</v>
      </c>
      <c r="N250" s="65" t="e">
        <f>IF(M58=1,IF(M$13&lt;=COUNT($C30:$CS30),IF(INDEX($F$206:$F$229,MATCH($B250,$B$206:$B$229,FALSE))=0,NA(),INDEX(M$14:M$37,MATCH($B250,$B$14:$B$37,FALSE))/INDEX($F$206:$F$229,MATCH($B250,$B$206:$B$229,FALSE))),NA()),NA())</f>
        <v>#N/A</v>
      </c>
      <c r="O250" s="65" t="e">
        <f>IF(N58=1,IF(N$13&lt;=COUNT($C30:$CS30),IF(INDEX($F$206:$F$229,MATCH($B250,$B$206:$B$229,FALSE))=0,NA(),INDEX(N$14:N$37,MATCH($B250,$B$14:$B$37,FALSE))/INDEX($F$206:$F$229,MATCH($B250,$B$206:$B$229,FALSE))),NA()),NA())</f>
        <v>#N/A</v>
      </c>
      <c r="P250" s="65" t="e">
        <f>IF(O58=1,IF(O$13&lt;=COUNT($C30:$CS30),IF(INDEX($F$206:$F$229,MATCH($B250,$B$206:$B$229,FALSE))=0,NA(),INDEX(O$14:O$37,MATCH($B250,$B$14:$B$37,FALSE))/INDEX($F$206:$F$229,MATCH($B250,$B$206:$B$229,FALSE))),NA()),NA())</f>
        <v>#N/A</v>
      </c>
      <c r="Q250" s="65" t="e">
        <f>IF(P58=1,IF(P$13&lt;=COUNT($C30:$CS30),IF(INDEX($F$206:$F$229,MATCH($B250,$B$206:$B$229,FALSE))=0,NA(),INDEX(P$14:P$37,MATCH($B250,$B$14:$B$37,FALSE))/INDEX($F$206:$F$229,MATCH($B250,$B$206:$B$229,FALSE))),NA()),NA())</f>
        <v>#N/A</v>
      </c>
      <c r="R250" s="65" t="e">
        <f>IF(Q58=1,IF(Q$13&lt;=COUNT($C30:$CS30),IF(INDEX($F$206:$F$229,MATCH($B250,$B$206:$B$229,FALSE))=0,NA(),INDEX(Q$14:Q$37,MATCH($B250,$B$14:$B$37,FALSE))/INDEX($F$206:$F$229,MATCH($B250,$B$206:$B$229,FALSE))),NA()),NA())</f>
        <v>#N/A</v>
      </c>
      <c r="S250" s="65" t="e">
        <f>IF(R58=1,IF(R$13&lt;=COUNT($C30:$CS30),IF(INDEX($F$206:$F$229,MATCH($B250,$B$206:$B$229,FALSE))=0,NA(),INDEX(R$14:R$37,MATCH($B250,$B$14:$B$37,FALSE))/INDEX($F$206:$F$229,MATCH($B250,$B$206:$B$229,FALSE))),NA()),NA())</f>
        <v>#N/A</v>
      </c>
      <c r="T250" s="65" t="e">
        <f>IF(S58=1,IF(S$13&lt;=COUNT($C30:$CS30),IF(INDEX($F$206:$F$229,MATCH($B250,$B$206:$B$229,FALSE))=0,NA(),INDEX(S$14:S$37,MATCH($B250,$B$14:$B$37,FALSE))/INDEX($F$206:$F$229,MATCH($B250,$B$206:$B$229,FALSE))),NA()),NA())</f>
        <v>#N/A</v>
      </c>
      <c r="U250" s="65" t="e">
        <f>IF(T58=1,IF(T$13&lt;=COUNT($C30:$CS30),IF(INDEX($F$206:$F$229,MATCH($B250,$B$206:$B$229,FALSE))=0,NA(),INDEX(T$14:T$37,MATCH($B250,$B$14:$B$37,FALSE))/INDEX($F$206:$F$229,MATCH($B250,$B$206:$B$229,FALSE))),NA()),NA())</f>
        <v>#N/A</v>
      </c>
      <c r="V250" s="65" t="e">
        <f>IF(U58=1,IF(U$13&lt;=COUNT($C30:$CS30),IF(INDEX($F$206:$F$229,MATCH($B250,$B$206:$B$229,FALSE))=0,NA(),INDEX(U$14:U$37,MATCH($B250,$B$14:$B$37,FALSE))/INDEX($F$206:$F$229,MATCH($B250,$B$206:$B$229,FALSE))),NA()),NA())</f>
        <v>#N/A</v>
      </c>
      <c r="W250" s="65" t="e">
        <f>IF(V58=1,IF(V$13&lt;=COUNT($C30:$CS30),IF(INDEX($F$206:$F$229,MATCH($B250,$B$206:$B$229,FALSE))=0,NA(),INDEX(V$14:V$37,MATCH($B250,$B$14:$B$37,FALSE))/INDEX($F$206:$F$229,MATCH($B250,$B$206:$B$229,FALSE))),NA()),NA())</f>
        <v>#N/A</v>
      </c>
      <c r="X250" s="65" t="e">
        <f>IF(W58=1,IF(W$13&lt;=COUNT($C30:$CS30),IF(INDEX($F$206:$F$229,MATCH($B250,$B$206:$B$229,FALSE))=0,NA(),INDEX(W$14:W$37,MATCH($B250,$B$14:$B$37,FALSE))/INDEX($F$206:$F$229,MATCH($B250,$B$206:$B$229,FALSE))),NA()),NA())</f>
        <v>#N/A</v>
      </c>
      <c r="Y250" s="65" t="e">
        <f>IF(X58=1,IF(X$13&lt;=COUNT($C30:$CS30),IF(INDEX($F$206:$F$229,MATCH($B250,$B$206:$B$229,FALSE))=0,NA(),INDEX(X$14:X$37,MATCH($B250,$B$14:$B$37,FALSE))/INDEX($F$206:$F$229,MATCH($B250,$B$206:$B$229,FALSE))),NA()),NA())</f>
        <v>#N/A</v>
      </c>
      <c r="Z250" s="65" t="e">
        <f>IF(Y58=1,IF(Y$13&lt;=COUNT($C30:$CS30),IF(INDEX($F$206:$F$229,MATCH($B250,$B$206:$B$229,FALSE))=0,NA(),INDEX(Y$14:Y$37,MATCH($B250,$B$14:$B$37,FALSE))/INDEX($F$206:$F$229,MATCH($B250,$B$206:$B$229,FALSE))),NA()),NA())</f>
        <v>#N/A</v>
      </c>
      <c r="AA250" s="65" t="e">
        <f>IF(Z58=1,IF(Z$13&lt;=COUNT($C30:$CS30),IF(INDEX($F$206:$F$229,MATCH($B250,$B$206:$B$229,FALSE))=0,NA(),INDEX(Z$14:Z$37,MATCH($B250,$B$14:$B$37,FALSE))/INDEX($F$206:$F$229,MATCH($B250,$B$206:$B$229,FALSE))),NA()),NA())</f>
        <v>#N/A</v>
      </c>
      <c r="AB250" s="65" t="e">
        <f>IF(AA58=1,IF(AA$13&lt;=COUNT($C30:$CS30),IF(INDEX($F$206:$F$229,MATCH($B250,$B$206:$B$229,FALSE))=0,NA(),INDEX(AA$14:AA$37,MATCH($B250,$B$14:$B$37,FALSE))/INDEX($F$206:$F$229,MATCH($B250,$B$206:$B$229,FALSE))),NA()),NA())</f>
        <v>#N/A</v>
      </c>
      <c r="AC250" s="65" t="e">
        <f>IF(AB58=1,IF(AB$13&lt;=COUNT($C30:$CS30),IF(INDEX($F$206:$F$229,MATCH($B250,$B$206:$B$229,FALSE))=0,NA(),INDEX(AB$14:AB$37,MATCH($B250,$B$14:$B$37,FALSE))/INDEX($F$206:$F$229,MATCH($B250,$B$206:$B$229,FALSE))),NA()),NA())</f>
        <v>#N/A</v>
      </c>
      <c r="AD250" s="65" t="e">
        <f>IF(AC58=1,IF(AC$13&lt;=COUNT($C30:$CS30),IF(INDEX($F$206:$F$229,MATCH($B250,$B$206:$B$229,FALSE))=0,NA(),INDEX(AC$14:AC$37,MATCH($B250,$B$14:$B$37,FALSE))/INDEX($F$206:$F$229,MATCH($B250,$B$206:$B$229,FALSE))),NA()),NA())</f>
        <v>#N/A</v>
      </c>
      <c r="AE250" s="65" t="e">
        <f>IF(AD58=1,IF(AD$13&lt;=COUNT($C30:$CS30),IF(INDEX($F$206:$F$229,MATCH($B250,$B$206:$B$229,FALSE))=0,NA(),INDEX(AD$14:AD$37,MATCH($B250,$B$14:$B$37,FALSE))/INDEX($F$206:$F$229,MATCH($B250,$B$206:$B$229,FALSE))),NA()),NA())</f>
        <v>#N/A</v>
      </c>
      <c r="AF250" s="65" t="e">
        <f>IF(AE58=1,IF(AE$13&lt;=COUNT($C30:$CS30),IF(INDEX($F$206:$F$229,MATCH($B250,$B$206:$B$229,FALSE))=0,NA(),INDEX(AE$14:AE$37,MATCH($B250,$B$14:$B$37,FALSE))/INDEX($F$206:$F$229,MATCH($B250,$B$206:$B$229,FALSE))),NA()),NA())</f>
        <v>#N/A</v>
      </c>
      <c r="AG250" s="65" t="e">
        <f>IF(AF58=1,IF(AF$13&lt;=COUNT($C30:$CS30),IF(INDEX($F$206:$F$229,MATCH($B250,$B$206:$B$229,FALSE))=0,NA(),INDEX(AF$14:AF$37,MATCH($B250,$B$14:$B$37,FALSE))/INDEX($F$206:$F$229,MATCH($B250,$B$206:$B$229,FALSE))),NA()),NA())</f>
        <v>#N/A</v>
      </c>
      <c r="AH250" s="65" t="e">
        <f>IF(AG58=1,IF(AG$13&lt;=COUNT($C30:$CS30),IF(INDEX($F$206:$F$229,MATCH($B250,$B$206:$B$229,FALSE))=0,NA(),INDEX(AG$14:AG$37,MATCH($B250,$B$14:$B$37,FALSE))/INDEX($F$206:$F$229,MATCH($B250,$B$206:$B$229,FALSE))),NA()),NA())</f>
        <v>#N/A</v>
      </c>
      <c r="AI250" s="65" t="e">
        <f>IF(AH58=1,IF(AH$13&lt;=COUNT($C30:$CS30),IF(INDEX($F$206:$F$229,MATCH($B250,$B$206:$B$229,FALSE))=0,NA(),INDEX(AH$14:AH$37,MATCH($B250,$B$14:$B$37,FALSE))/INDEX($F$206:$F$229,MATCH($B250,$B$206:$B$229,FALSE))),NA()),NA())</f>
        <v>#N/A</v>
      </c>
      <c r="AJ250" s="65" t="e">
        <f>IF(AI58=1,IF(AI$13&lt;=COUNT($C30:$CS30),IF(INDEX($F$206:$F$229,MATCH($B250,$B$206:$B$229,FALSE))=0,NA(),INDEX(AI$14:AI$37,MATCH($B250,$B$14:$B$37,FALSE))/INDEX($F$206:$F$229,MATCH($B250,$B$206:$B$229,FALSE))),NA()),NA())</f>
        <v>#N/A</v>
      </c>
      <c r="AK250" s="65" t="e">
        <f>IF(AJ58=1,IF(AJ$13&lt;=COUNT($C30:$CS30),IF(INDEX($F$206:$F$229,MATCH($B250,$B$206:$B$229,FALSE))=0,NA(),INDEX(AJ$14:AJ$37,MATCH($B250,$B$14:$B$37,FALSE))/INDEX($F$206:$F$229,MATCH($B250,$B$206:$B$229,FALSE))),NA()),NA())</f>
        <v>#N/A</v>
      </c>
      <c r="AL250" s="65" t="e">
        <f>IF(AK58=1,IF(AK$13&lt;=COUNT($C30:$CS30),IF(INDEX($F$206:$F$229,MATCH($B250,$B$206:$B$229,FALSE))=0,NA(),INDEX(AK$14:AK$37,MATCH($B250,$B$14:$B$37,FALSE))/INDEX($F$206:$F$229,MATCH($B250,$B$206:$B$229,FALSE))),NA()),NA())</f>
        <v>#N/A</v>
      </c>
      <c r="AM250" s="65" t="e">
        <f>IF(AL58=1,IF(AL$13&lt;=COUNT($C30:$CS30),IF(INDEX($F$206:$F$229,MATCH($B250,$B$206:$B$229,FALSE))=0,NA(),INDEX(AL$14:AL$37,MATCH($B250,$B$14:$B$37,FALSE))/INDEX($F$206:$F$229,MATCH($B250,$B$206:$B$229,FALSE))),NA()),NA())</f>
        <v>#N/A</v>
      </c>
      <c r="AN250" s="65" t="e">
        <f>IF(AM58=1,IF(AM$13&lt;=COUNT($C30:$CS30),IF(INDEX($F$206:$F$229,MATCH($B250,$B$206:$B$229,FALSE))=0,NA(),INDEX(AM$14:AM$37,MATCH($B250,$B$14:$B$37,FALSE))/INDEX($F$206:$F$229,MATCH($B250,$B$206:$B$229,FALSE))),NA()),NA())</f>
        <v>#N/A</v>
      </c>
      <c r="AO250" s="65" t="e">
        <f>IF(AN58=1,IF(AN$13&lt;=COUNT($C30:$CS30),IF(INDEX($F$206:$F$229,MATCH($B250,$B$206:$B$229,FALSE))=0,NA(),INDEX(AN$14:AN$37,MATCH($B250,$B$14:$B$37,FALSE))/INDEX($F$206:$F$229,MATCH($B250,$B$206:$B$229,FALSE))),NA()),NA())</f>
        <v>#N/A</v>
      </c>
      <c r="AP250" s="65" t="e">
        <f>IF(AO58=1,IF(AO$13&lt;=COUNT($C30:$CS30),IF(INDEX($F$206:$F$229,MATCH($B250,$B$206:$B$229,FALSE))=0,NA(),INDEX(AO$14:AO$37,MATCH($B250,$B$14:$B$37,FALSE))/INDEX($F$206:$F$229,MATCH($B250,$B$206:$B$229,FALSE))),NA()),NA())</f>
        <v>#N/A</v>
      </c>
      <c r="AQ250" s="65" t="e">
        <f>IF(AP58=1,IF(AP$13&lt;=COUNT($C30:$CS30),IF(INDEX($F$206:$F$229,MATCH($B250,$B$206:$B$229,FALSE))=0,NA(),INDEX(AP$14:AP$37,MATCH($B250,$B$14:$B$37,FALSE))/INDEX($F$206:$F$229,MATCH($B250,$B$206:$B$229,FALSE))),NA()),NA())</f>
        <v>#N/A</v>
      </c>
      <c r="AR250" s="65" t="e">
        <f>IF(AQ58=1,IF(AQ$13&lt;=COUNT($C30:$CS30),IF(INDEX($F$206:$F$229,MATCH($B250,$B$206:$B$229,FALSE))=0,NA(),INDEX(AQ$14:AQ$37,MATCH($B250,$B$14:$B$37,FALSE))/INDEX($F$206:$F$229,MATCH($B250,$B$206:$B$229,FALSE))),NA()),NA())</f>
        <v>#N/A</v>
      </c>
      <c r="AS250" s="65" t="e">
        <f>IF(AR58=1,IF(AR$13&lt;=COUNT($C30:$CS30),IF(INDEX($F$206:$F$229,MATCH($B250,$B$206:$B$229,FALSE))=0,NA(),INDEX(AR$14:AR$37,MATCH($B250,$B$14:$B$37,FALSE))/INDEX($F$206:$F$229,MATCH($B250,$B$206:$B$229,FALSE))),NA()),NA())</f>
        <v>#N/A</v>
      </c>
      <c r="AT250" s="65" t="e">
        <f>IF(AS58=1,IF(AS$13&lt;=COUNT($C30:$CS30),IF(INDEX($F$206:$F$229,MATCH($B250,$B$206:$B$229,FALSE))=0,NA(),INDEX(AS$14:AS$37,MATCH($B250,$B$14:$B$37,FALSE))/INDEX($F$206:$F$229,MATCH($B250,$B$206:$B$229,FALSE))),NA()),NA())</f>
        <v>#N/A</v>
      </c>
      <c r="AU250" s="65" t="e">
        <f>IF(AT58=1,IF(AT$13&lt;=COUNT($C30:$CS30),IF(INDEX($F$206:$F$229,MATCH($B250,$B$206:$B$229,FALSE))=0,NA(),INDEX(AT$14:AT$37,MATCH($B250,$B$14:$B$37,FALSE))/INDEX($F$206:$F$229,MATCH($B250,$B$206:$B$229,FALSE))),NA()),NA())</f>
        <v>#N/A</v>
      </c>
      <c r="AV250" s="65" t="e">
        <f>IF(AU58=1,IF(AU$13&lt;=COUNT($C30:$CS30),IF(INDEX($F$206:$F$229,MATCH($B250,$B$206:$B$229,FALSE))=0,NA(),INDEX(AU$14:AU$37,MATCH($B250,$B$14:$B$37,FALSE))/INDEX($F$206:$F$229,MATCH($B250,$B$206:$B$229,FALSE))),NA()),NA())</f>
        <v>#N/A</v>
      </c>
      <c r="AW250" s="65" t="e">
        <f>IF(AV58=1,IF(AV$13&lt;=COUNT($C30:$CS30),IF(INDEX($F$206:$F$229,MATCH($B250,$B$206:$B$229,FALSE))=0,NA(),INDEX(AV$14:AV$37,MATCH($B250,$B$14:$B$37,FALSE))/INDEX($F$206:$F$229,MATCH($B250,$B$206:$B$229,FALSE))),NA()),NA())</f>
        <v>#N/A</v>
      </c>
      <c r="AX250" s="65" t="e">
        <f>IF(AW58=1,IF(AW$13&lt;=COUNT($C30:$CS30),IF(INDEX($F$206:$F$229,MATCH($B250,$B$206:$B$229,FALSE))=0,NA(),INDEX(AW$14:AW$37,MATCH($B250,$B$14:$B$37,FALSE))/INDEX($F$206:$F$229,MATCH($B250,$B$206:$B$229,FALSE))),NA()),NA())</f>
        <v>#N/A</v>
      </c>
      <c r="AY250" s="65" t="e">
        <f>IF(AX58=1,IF(AX$13&lt;=COUNT($C30:$CS30),IF(INDEX($F$206:$F$229,MATCH($B250,$B$206:$B$229,FALSE))=0,NA(),INDEX(AX$14:AX$37,MATCH($B250,$B$14:$B$37,FALSE))/INDEX($F$206:$F$229,MATCH($B250,$B$206:$B$229,FALSE))),NA()),NA())</f>
        <v>#N/A</v>
      </c>
      <c r="AZ250" s="65" t="e">
        <f>IF(AY58=1,IF(AY$13&lt;=COUNT($C30:$CS30),IF(INDEX($F$206:$F$229,MATCH($B250,$B$206:$B$229,FALSE))=0,NA(),INDEX(AY$14:AY$37,MATCH($B250,$B$14:$B$37,FALSE))/INDEX($F$206:$F$229,MATCH($B250,$B$206:$B$229,FALSE))),NA()),NA())</f>
        <v>#N/A</v>
      </c>
      <c r="BA250" s="65" t="e">
        <f>IF(AZ58=1,IF(AZ$13&lt;=COUNT($C30:$CS30),IF(INDEX($F$206:$F$229,MATCH($B250,$B$206:$B$229,FALSE))=0,NA(),INDEX(AZ$14:AZ$37,MATCH($B250,$B$14:$B$37,FALSE))/INDEX($F$206:$F$229,MATCH($B250,$B$206:$B$229,FALSE))),NA()),NA())</f>
        <v>#N/A</v>
      </c>
      <c r="BB250" s="65" t="e">
        <f>IF(BA58=1,IF(BA$13&lt;=COUNT($C30:$CS30),IF(INDEX($F$206:$F$229,MATCH($B250,$B$206:$B$229,FALSE))=0,NA(),INDEX(BA$14:BA$37,MATCH($B250,$B$14:$B$37,FALSE))/INDEX($F$206:$F$229,MATCH($B250,$B$206:$B$229,FALSE))),NA()),NA())</f>
        <v>#N/A</v>
      </c>
      <c r="BC250" s="65" t="e">
        <f>IF(BB58=1,IF(BB$13&lt;=COUNT($C30:$CS30),IF(INDEX($F$206:$F$229,MATCH($B250,$B$206:$B$229,FALSE))=0,NA(),INDEX(BB$14:BB$37,MATCH($B250,$B$14:$B$37,FALSE))/INDEX($F$206:$F$229,MATCH($B250,$B$206:$B$229,FALSE))),NA()),NA())</f>
        <v>#N/A</v>
      </c>
      <c r="BD250" s="65" t="e">
        <f>IF(BC58=1,IF(BC$13&lt;=COUNT($C30:$CS30),IF(INDEX($F$206:$F$229,MATCH($B250,$B$206:$B$229,FALSE))=0,NA(),INDEX(BC$14:BC$37,MATCH($B250,$B$14:$B$37,FALSE))/INDEX($F$206:$F$229,MATCH($B250,$B$206:$B$229,FALSE))),NA()),NA())</f>
        <v>#N/A</v>
      </c>
      <c r="BE250" s="65" t="e">
        <f>IF(BD58=1,IF(BD$13&lt;=COUNT($C30:$CS30),IF(INDEX($F$206:$F$229,MATCH($B250,$B$206:$B$229,FALSE))=0,NA(),INDEX(BD$14:BD$37,MATCH($B250,$B$14:$B$37,FALSE))/INDEX($F$206:$F$229,MATCH($B250,$B$206:$B$229,FALSE))),NA()),NA())</f>
        <v>#N/A</v>
      </c>
      <c r="BF250" s="65" t="e">
        <f>IF(BE58=1,IF(BE$13&lt;=COUNT($C30:$CS30),IF(INDEX($F$206:$F$229,MATCH($B250,$B$206:$B$229,FALSE))=0,NA(),INDEX(BE$14:BE$37,MATCH($B250,$B$14:$B$37,FALSE))/INDEX($F$206:$F$229,MATCH($B250,$B$206:$B$229,FALSE))),NA()),NA())</f>
        <v>#N/A</v>
      </c>
      <c r="BG250" s="65" t="e">
        <f>IF(BF58=1,IF(BF$13&lt;=COUNT($C30:$CS30),IF(INDEX($F$206:$F$229,MATCH($B250,$B$206:$B$229,FALSE))=0,NA(),INDEX(BF$14:BF$37,MATCH($B250,$B$14:$B$37,FALSE))/INDEX($F$206:$F$229,MATCH($B250,$B$206:$B$229,FALSE))),NA()),NA())</f>
        <v>#N/A</v>
      </c>
      <c r="BH250" s="65" t="e">
        <f>IF(BG58=1,IF(BG$13&lt;=COUNT($C30:$CS30),IF(INDEX($F$206:$F$229,MATCH($B250,$B$206:$B$229,FALSE))=0,NA(),INDEX(BG$14:BG$37,MATCH($B250,$B$14:$B$37,FALSE))/INDEX($F$206:$F$229,MATCH($B250,$B$206:$B$229,FALSE))),NA()),NA())</f>
        <v>#N/A</v>
      </c>
      <c r="BI250" s="65" t="e">
        <f>IF(BH58=1,IF(BH$13&lt;=COUNT($C30:$CS30),IF(INDEX($F$206:$F$229,MATCH($B250,$B$206:$B$229,FALSE))=0,NA(),INDEX(BH$14:BH$37,MATCH($B250,$B$14:$B$37,FALSE))/INDEX($F$206:$F$229,MATCH($B250,$B$206:$B$229,FALSE))),NA()),NA())</f>
        <v>#N/A</v>
      </c>
      <c r="BJ250" s="65" t="e">
        <f>IF(BI58=1,IF(BI$13&lt;=COUNT($C30:$CS30),IF(INDEX($F$206:$F$229,MATCH($B250,$B$206:$B$229,FALSE))=0,NA(),INDEX(BI$14:BI$37,MATCH($B250,$B$14:$B$37,FALSE))/INDEX($F$206:$F$229,MATCH($B250,$B$206:$B$229,FALSE))),NA()),NA())</f>
        <v>#N/A</v>
      </c>
      <c r="BK250" s="65" t="e">
        <f>IF(BJ58=1,IF(BJ$13&lt;=COUNT($C30:$CS30),IF(INDEX($F$206:$F$229,MATCH($B250,$B$206:$B$229,FALSE))=0,NA(),INDEX(BJ$14:BJ$37,MATCH($B250,$B$14:$B$37,FALSE))/INDEX($F$206:$F$229,MATCH($B250,$B$206:$B$229,FALSE))),NA()),NA())</f>
        <v>#N/A</v>
      </c>
      <c r="BL250" s="65" t="e">
        <f>IF(BK58=1,IF(BK$13&lt;=COUNT($C30:$CS30),IF(INDEX($F$206:$F$229,MATCH($B250,$B$206:$B$229,FALSE))=0,NA(),INDEX(BK$14:BK$37,MATCH($B250,$B$14:$B$37,FALSE))/INDEX($F$206:$F$229,MATCH($B250,$B$206:$B$229,FALSE))),NA()),NA())</f>
        <v>#N/A</v>
      </c>
      <c r="BM250" s="65" t="e">
        <f>IF(BL58=1,IF(BL$13&lt;=COUNT($C30:$CS30),IF(INDEX($F$206:$F$229,MATCH($B250,$B$206:$B$229,FALSE))=0,NA(),INDEX(BL$14:BL$37,MATCH($B250,$B$14:$B$37,FALSE))/INDEX($F$206:$F$229,MATCH($B250,$B$206:$B$229,FALSE))),NA()),NA())</f>
        <v>#N/A</v>
      </c>
      <c r="BN250" s="65" t="e">
        <f>IF(BM58=1,IF(BM$13&lt;=COUNT($C30:$CS30),IF(INDEX($F$206:$F$229,MATCH($B250,$B$206:$B$229,FALSE))=0,NA(),INDEX(BM$14:BM$37,MATCH($B250,$B$14:$B$37,FALSE))/INDEX($F$206:$F$229,MATCH($B250,$B$206:$B$229,FALSE))),NA()),NA())</f>
        <v>#N/A</v>
      </c>
      <c r="BO250" s="65" t="e">
        <f>IF(BN58=1,IF(BN$13&lt;=COUNT($C30:$CS30),IF(INDEX($F$206:$F$229,MATCH($B250,$B$206:$B$229,FALSE))=0,NA(),INDEX(BN$14:BN$37,MATCH($B250,$B$14:$B$37,FALSE))/INDEX($F$206:$F$229,MATCH($B250,$B$206:$B$229,FALSE))),NA()),NA())</f>
        <v>#N/A</v>
      </c>
      <c r="BP250" s="65" t="e">
        <f>IF(BO58=1,IF(BO$13&lt;=COUNT($C30:$CS30),IF(INDEX($F$206:$F$229,MATCH($B250,$B$206:$B$229,FALSE))=0,NA(),INDEX(BO$14:BO$37,MATCH($B250,$B$14:$B$37,FALSE))/INDEX($F$206:$F$229,MATCH($B250,$B$206:$B$229,FALSE))),NA()),NA())</f>
        <v>#N/A</v>
      </c>
      <c r="BQ250" s="65" t="e">
        <f>IF(BP58=1,IF(BP$13&lt;=COUNT($C30:$CS30),IF(INDEX($F$206:$F$229,MATCH($B250,$B$206:$B$229,FALSE))=0,NA(),INDEX(BP$14:BP$37,MATCH($B250,$B$14:$B$37,FALSE))/INDEX($F$206:$F$229,MATCH($B250,$B$206:$B$229,FALSE))),NA()),NA())</f>
        <v>#N/A</v>
      </c>
      <c r="BR250" s="65" t="e">
        <f>IF(BQ58=1,IF(BQ$13&lt;=COUNT($C30:$CS30),IF(INDEX($F$206:$F$229,MATCH($B250,$B$206:$B$229,FALSE))=0,NA(),INDEX(BQ$14:BQ$37,MATCH($B250,$B$14:$B$37,FALSE))/INDEX($F$206:$F$229,MATCH($B250,$B$206:$B$229,FALSE))),NA()),NA())</f>
        <v>#N/A</v>
      </c>
      <c r="BS250" s="65" t="e">
        <f>IF(BR58=1,IF(BR$13&lt;=COUNT($C30:$CS30),IF(INDEX($F$206:$F$229,MATCH($B250,$B$206:$B$229,FALSE))=0,NA(),INDEX(BR$14:BR$37,MATCH($B250,$B$14:$B$37,FALSE))/INDEX($F$206:$F$229,MATCH($B250,$B$206:$B$229,FALSE))),NA()),NA())</f>
        <v>#N/A</v>
      </c>
      <c r="BT250" s="65" t="e">
        <f>IF(BS58=1,IF(BS$13&lt;=COUNT($C30:$CS30),IF(INDEX($F$206:$F$229,MATCH($B250,$B$206:$B$229,FALSE))=0,NA(),INDEX(BS$14:BS$37,MATCH($B250,$B$14:$B$37,FALSE))/INDEX($F$206:$F$229,MATCH($B250,$B$206:$B$229,FALSE))),NA()),NA())</f>
        <v>#N/A</v>
      </c>
      <c r="BU250" s="65" t="e">
        <f>IF(BT58=1,IF(BT$13&lt;=COUNT($C30:$CS30),IF(INDEX($F$206:$F$229,MATCH($B250,$B$206:$B$229,FALSE))=0,NA(),INDEX(BT$14:BT$37,MATCH($B250,$B$14:$B$37,FALSE))/INDEX($F$206:$F$229,MATCH($B250,$B$206:$B$229,FALSE))),NA()),NA())</f>
        <v>#N/A</v>
      </c>
      <c r="BV250" s="65" t="e">
        <f>IF(BU58=1,IF(BU$13&lt;=COUNT($C30:$CS30),IF(INDEX($F$206:$F$229,MATCH($B250,$B$206:$B$229,FALSE))=0,NA(),INDEX(BU$14:BU$37,MATCH($B250,$B$14:$B$37,FALSE))/INDEX($F$206:$F$229,MATCH($B250,$B$206:$B$229,FALSE))),NA()),NA())</f>
        <v>#N/A</v>
      </c>
      <c r="BW250" s="65" t="e">
        <f>IF(BV58=1,IF(BV$13&lt;=COUNT($C30:$CS30),IF(INDEX($F$206:$F$229,MATCH($B250,$B$206:$B$229,FALSE))=0,NA(),INDEX(BV$14:BV$37,MATCH($B250,$B$14:$B$37,FALSE))/INDEX($F$206:$F$229,MATCH($B250,$B$206:$B$229,FALSE))),NA()),NA())</f>
        <v>#N/A</v>
      </c>
      <c r="BX250" s="65" t="e">
        <f>IF(BW58=1,IF(BW$13&lt;=COUNT($C30:$CS30),IF(INDEX($F$206:$F$229,MATCH($B250,$B$206:$B$229,FALSE))=0,NA(),INDEX(BW$14:BW$37,MATCH($B250,$B$14:$B$37,FALSE))/INDEX($F$206:$F$229,MATCH($B250,$B$206:$B$229,FALSE))),NA()),NA())</f>
        <v>#N/A</v>
      </c>
      <c r="BY250" s="65" t="e">
        <f>IF(BX58=1,IF(BX$13&lt;=COUNT($C30:$CS30),IF(INDEX($F$206:$F$229,MATCH($B250,$B$206:$B$229,FALSE))=0,NA(),INDEX(BX$14:BX$37,MATCH($B250,$B$14:$B$37,FALSE))/INDEX($F$206:$F$229,MATCH($B250,$B$206:$B$229,FALSE))),NA()),NA())</f>
        <v>#N/A</v>
      </c>
      <c r="BZ250" s="65" t="e">
        <f>IF(BY58=1,IF(BY$13&lt;=COUNT($C30:$CS30),IF(INDEX($F$206:$F$229,MATCH($B250,$B$206:$B$229,FALSE))=0,NA(),INDEX(BY$14:BY$37,MATCH($B250,$B$14:$B$37,FALSE))/INDEX($F$206:$F$229,MATCH($B250,$B$206:$B$229,FALSE))),NA()),NA())</f>
        <v>#N/A</v>
      </c>
      <c r="CA250" s="65" t="e">
        <f>IF(BZ58=1,IF(BZ$13&lt;=COUNT($C30:$CS30),IF(INDEX($F$206:$F$229,MATCH($B250,$B$206:$B$229,FALSE))=0,NA(),INDEX(BZ$14:BZ$37,MATCH($B250,$B$14:$B$37,FALSE))/INDEX($F$206:$F$229,MATCH($B250,$B$206:$B$229,FALSE))),NA()),NA())</f>
        <v>#N/A</v>
      </c>
      <c r="CB250" s="65" t="e">
        <f>IF(CA58=1,IF(CA$13&lt;=COUNT($C30:$CS30),IF(INDEX($F$206:$F$229,MATCH($B250,$B$206:$B$229,FALSE))=0,NA(),INDEX(CA$14:CA$37,MATCH($B250,$B$14:$B$37,FALSE))/INDEX($F$206:$F$229,MATCH($B250,$B$206:$B$229,FALSE))),NA()),NA())</f>
        <v>#N/A</v>
      </c>
      <c r="CC250" s="65" t="e">
        <f>IF(CB58=1,IF(CB$13&lt;=COUNT($C30:$CS30),IF(INDEX($F$206:$F$229,MATCH($B250,$B$206:$B$229,FALSE))=0,NA(),INDEX(CB$14:CB$37,MATCH($B250,$B$14:$B$37,FALSE))/INDEX($F$206:$F$229,MATCH($B250,$B$206:$B$229,FALSE))),NA()),NA())</f>
        <v>#N/A</v>
      </c>
      <c r="CD250" s="65" t="e">
        <f>IF(CC58=1,IF(CC$13&lt;=COUNT($C30:$CS30),IF(INDEX($F$206:$F$229,MATCH($B250,$B$206:$B$229,FALSE))=0,NA(),INDEX(CC$14:CC$37,MATCH($B250,$B$14:$B$37,FALSE))/INDEX($F$206:$F$229,MATCH($B250,$B$206:$B$229,FALSE))),NA()),NA())</f>
        <v>#N/A</v>
      </c>
      <c r="CE250" s="65" t="e">
        <f>IF(CD58=1,IF(CD$13&lt;=COUNT($C30:$CS30),IF(INDEX($F$206:$F$229,MATCH($B250,$B$206:$B$229,FALSE))=0,NA(),INDEX(CD$14:CD$37,MATCH($B250,$B$14:$B$37,FALSE))/INDEX($F$206:$F$229,MATCH($B250,$B$206:$B$229,FALSE))),NA()),NA())</f>
        <v>#N/A</v>
      </c>
      <c r="CF250" s="65" t="e">
        <f>IF(CE58=1,IF(CE$13&lt;=COUNT($C30:$CS30),IF(INDEX($F$206:$F$229,MATCH($B250,$B$206:$B$229,FALSE))=0,NA(),INDEX(CE$14:CE$37,MATCH($B250,$B$14:$B$37,FALSE))/INDEX($F$206:$F$229,MATCH($B250,$B$206:$B$229,FALSE))),NA()),NA())</f>
        <v>#N/A</v>
      </c>
      <c r="CG250" s="65" t="e">
        <f>IF(CF58=1,IF(CF$13&lt;=COUNT($C30:$CS30),IF(INDEX($F$206:$F$229,MATCH($B250,$B$206:$B$229,FALSE))=0,NA(),INDEX(CF$14:CF$37,MATCH($B250,$B$14:$B$37,FALSE))/INDEX($F$206:$F$229,MATCH($B250,$B$206:$B$229,FALSE))),NA()),NA())</f>
        <v>#N/A</v>
      </c>
      <c r="CH250" s="65" t="e">
        <f>IF(CG58=1,IF(CG$13&lt;=COUNT($C30:$CS30),IF(INDEX($F$206:$F$229,MATCH($B250,$B$206:$B$229,FALSE))=0,NA(),INDEX(CG$14:CG$37,MATCH($B250,$B$14:$B$37,FALSE))/INDEX($F$206:$F$229,MATCH($B250,$B$206:$B$229,FALSE))),NA()),NA())</f>
        <v>#N/A</v>
      </c>
      <c r="CI250" s="65" t="e">
        <f>IF(CH58=1,IF(CH$13&lt;=COUNT($C30:$CS30),IF(INDEX($F$206:$F$229,MATCH($B250,$B$206:$B$229,FALSE))=0,NA(),INDEX(CH$14:CH$37,MATCH($B250,$B$14:$B$37,FALSE))/INDEX($F$206:$F$229,MATCH($B250,$B$206:$B$229,FALSE))),NA()),NA())</f>
        <v>#N/A</v>
      </c>
      <c r="CJ250" s="65" t="e">
        <f>IF(CI58=1,IF(CI$13&lt;=COUNT($C30:$CS30),IF(INDEX($F$206:$F$229,MATCH($B250,$B$206:$B$229,FALSE))=0,NA(),INDEX(CI$14:CI$37,MATCH($B250,$B$14:$B$37,FALSE))/INDEX($F$206:$F$229,MATCH($B250,$B$206:$B$229,FALSE))),NA()),NA())</f>
        <v>#N/A</v>
      </c>
      <c r="CK250" s="65" t="e">
        <f>IF(CJ58=1,IF(CJ$13&lt;=COUNT($C30:$CS30),IF(INDEX($F$206:$F$229,MATCH($B250,$B$206:$B$229,FALSE))=0,NA(),INDEX(CJ$14:CJ$37,MATCH($B250,$B$14:$B$37,FALSE))/INDEX($F$206:$F$229,MATCH($B250,$B$206:$B$229,FALSE))),NA()),NA())</f>
        <v>#N/A</v>
      </c>
      <c r="CL250" s="65" t="e">
        <f>IF(CK58=1,IF(CK$13&lt;=COUNT($C30:$CS30),IF(INDEX($F$206:$F$229,MATCH($B250,$B$206:$B$229,FALSE))=0,NA(),INDEX(CK$14:CK$37,MATCH($B250,$B$14:$B$37,FALSE))/INDEX($F$206:$F$229,MATCH($B250,$B$206:$B$229,FALSE))),NA()),NA())</f>
        <v>#N/A</v>
      </c>
      <c r="CM250" s="65" t="e">
        <f>IF(CL58=1,IF(CL$13&lt;=COUNT($C30:$CS30),IF(INDEX($F$206:$F$229,MATCH($B250,$B$206:$B$229,FALSE))=0,NA(),INDEX(CL$14:CL$37,MATCH($B250,$B$14:$B$37,FALSE))/INDEX($F$206:$F$229,MATCH($B250,$B$206:$B$229,FALSE))),NA()),NA())</f>
        <v>#N/A</v>
      </c>
      <c r="CN250" s="65" t="e">
        <f>IF(CM58=1,IF(CM$13&lt;=COUNT($C30:$CS30),IF(INDEX($F$206:$F$229,MATCH($B250,$B$206:$B$229,FALSE))=0,NA(),INDEX(CM$14:CM$37,MATCH($B250,$B$14:$B$37,FALSE))/INDEX($F$206:$F$229,MATCH($B250,$B$206:$B$229,FALSE))),NA()),NA())</f>
        <v>#N/A</v>
      </c>
      <c r="CO250" s="65" t="e">
        <f>IF(CN58=1,IF(CN$13&lt;=COUNT($C30:$CS30),IF(INDEX($F$206:$F$229,MATCH($B250,$B$206:$B$229,FALSE))=0,NA(),INDEX(CN$14:CN$37,MATCH($B250,$B$14:$B$37,FALSE))/INDEX($F$206:$F$229,MATCH($B250,$B$206:$B$229,FALSE))),NA()),NA())</f>
        <v>#N/A</v>
      </c>
      <c r="CP250" s="65" t="e">
        <f>IF(CO58=1,IF(CO$13&lt;=COUNT($C30:$CS30),IF(INDEX($F$206:$F$229,MATCH($B250,$B$206:$B$229,FALSE))=0,NA(),INDEX(CO$14:CO$37,MATCH($B250,$B$14:$B$37,FALSE))/INDEX($F$206:$F$229,MATCH($B250,$B$206:$B$229,FALSE))),NA()),NA())</f>
        <v>#N/A</v>
      </c>
      <c r="CQ250" s="65" t="e">
        <f>IF(CP58=1,IF(CP$13&lt;=COUNT($C30:$CS30),IF(INDEX($F$206:$F$229,MATCH($B250,$B$206:$B$229,FALSE))=0,NA(),INDEX(CP$14:CP$37,MATCH($B250,$B$14:$B$37,FALSE))/INDEX($F$206:$F$229,MATCH($B250,$B$206:$B$229,FALSE))),NA()),NA())</f>
        <v>#N/A</v>
      </c>
      <c r="CR250" s="65" t="e">
        <f>IF(CQ58=1,IF(CQ$13&lt;=COUNT($C30:$CS30),IF(INDEX($F$206:$F$229,MATCH($B250,$B$206:$B$229,FALSE))=0,NA(),INDEX(CQ$14:CQ$37,MATCH($B250,$B$14:$B$37,FALSE))/INDEX($F$206:$F$229,MATCH($B250,$B$206:$B$229,FALSE))),NA()),NA())</f>
        <v>#N/A</v>
      </c>
      <c r="CS250" s="65" t="e">
        <f>IF(CR58=1,IF(CR$13&lt;=COUNT($C30:$CS30),IF(INDEX($F$206:$F$229,MATCH($B250,$B$206:$B$229,FALSE))=0,NA(),INDEX(CR$14:CR$37,MATCH($B250,$B$14:$B$37,FALSE))/INDEX($F$206:$F$229,MATCH($B250,$B$206:$B$229,FALSE))),NA()),NA())</f>
        <v>#N/A</v>
      </c>
      <c r="CT250" s="49"/>
      <c r="CU250" s="49"/>
      <c r="CV250" s="49"/>
      <c r="CW250" s="49"/>
    </row>
    <row r="251" spans="1:101" x14ac:dyDescent="0.25">
      <c r="A251" s="97">
        <f t="shared" si="352"/>
        <v>1</v>
      </c>
      <c r="B251" s="29">
        <f t="shared" si="351"/>
        <v>2013</v>
      </c>
      <c r="C251" s="154" t="str">
        <f t="shared" si="353"/>
        <v/>
      </c>
      <c r="D251" s="54" t="e">
        <f ca="1">IF(C59=1,IF(C$13&lt;=COUNT($C31:$CS31),IF(INDEX($F$206:$F$229,MATCH($B251,$B$206:$B$229,FALSE))=0,NA(),INDEX(C$14:C$37,MATCH($B251,$B$14:$B$37,FALSE))/INDEX($F$206:$F$229,MATCH($B251,$B$206:$B$229,FALSE))),NA()),NA())</f>
        <v>#N/A</v>
      </c>
      <c r="E251" s="65" t="e">
        <f ca="1">IF(D59=1,IF(D$13&lt;=COUNT($C31:$CS31),IF(INDEX($F$206:$F$229,MATCH($B251,$B$206:$B$229,FALSE))=0,NA(),INDEX(D$14:D$37,MATCH($B251,$B$14:$B$37,FALSE))/INDEX($F$206:$F$229,MATCH($B251,$B$206:$B$229,FALSE))),NA()),NA())</f>
        <v>#N/A</v>
      </c>
      <c r="F251" s="65" t="e">
        <f ca="1">IF(E59=1,IF(E$13&lt;=COUNT($C31:$CS31),IF(INDEX($F$206:$F$229,MATCH($B251,$B$206:$B$229,FALSE))=0,NA(),INDEX(E$14:E$37,MATCH($B251,$B$14:$B$37,FALSE))/INDEX($F$206:$F$229,MATCH($B251,$B$206:$B$229,FALSE))),NA()),NA())</f>
        <v>#N/A</v>
      </c>
      <c r="G251" s="65" t="e">
        <f ca="1">IF(F59=1,IF(F$13&lt;=COUNT($C31:$CS31),IF(INDEX($F$206:$F$229,MATCH($B251,$B$206:$B$229,FALSE))=0,NA(),INDEX(F$14:F$37,MATCH($B251,$B$14:$B$37,FALSE))/INDEX($F$206:$F$229,MATCH($B251,$B$206:$B$229,FALSE))),NA()),NA())</f>
        <v>#N/A</v>
      </c>
      <c r="H251" s="65" t="e">
        <f ca="1">IF(G59=1,IF(G$13&lt;=COUNT($C31:$CS31),IF(INDEX($F$206:$F$229,MATCH($B251,$B$206:$B$229,FALSE))=0,NA(),INDEX(G$14:G$37,MATCH($B251,$B$14:$B$37,FALSE))/INDEX($F$206:$F$229,MATCH($B251,$B$206:$B$229,FALSE))),NA()),NA())</f>
        <v>#N/A</v>
      </c>
      <c r="I251" s="65" t="e">
        <f ca="1">IF(H59=1,IF(H$13&lt;=COUNT($C31:$CS31),IF(INDEX($F$206:$F$229,MATCH($B251,$B$206:$B$229,FALSE))=0,NA(),INDEX(H$14:H$37,MATCH($B251,$B$14:$B$37,FALSE))/INDEX($F$206:$F$229,MATCH($B251,$B$206:$B$229,FALSE))),NA()),NA())</f>
        <v>#N/A</v>
      </c>
      <c r="J251" s="65" t="e">
        <f ca="1">IF(I59=1,IF(I$13&lt;=COUNT($C31:$CS31),IF(INDEX($F$206:$F$229,MATCH($B251,$B$206:$B$229,FALSE))=0,NA(),INDEX(I$14:I$37,MATCH($B251,$B$14:$B$37,FALSE))/INDEX($F$206:$F$229,MATCH($B251,$B$206:$B$229,FALSE))),NA()),NA())</f>
        <v>#N/A</v>
      </c>
      <c r="K251" s="65" t="e">
        <f>IF(J59=1,IF(J$13&lt;=COUNT($C31:$CS31),IF(INDEX($F$206:$F$229,MATCH($B251,$B$206:$B$229,FALSE))=0,NA(),INDEX(J$14:J$37,MATCH($B251,$B$14:$B$37,FALSE))/INDEX($F$206:$F$229,MATCH($B251,$B$206:$B$229,FALSE))),NA()),NA())</f>
        <v>#N/A</v>
      </c>
      <c r="L251" s="65" t="e">
        <f>IF(K59=1,IF(K$13&lt;=COUNT($C31:$CS31),IF(INDEX($F$206:$F$229,MATCH($B251,$B$206:$B$229,FALSE))=0,NA(),INDEX(K$14:K$37,MATCH($B251,$B$14:$B$37,FALSE))/INDEX($F$206:$F$229,MATCH($B251,$B$206:$B$229,FALSE))),NA()),NA())</f>
        <v>#N/A</v>
      </c>
      <c r="M251" s="65" t="e">
        <f>IF(L59=1,IF(L$13&lt;=COUNT($C31:$CS31),IF(INDEX($F$206:$F$229,MATCH($B251,$B$206:$B$229,FALSE))=0,NA(),INDEX(L$14:L$37,MATCH($B251,$B$14:$B$37,FALSE))/INDEX($F$206:$F$229,MATCH($B251,$B$206:$B$229,FALSE))),NA()),NA())</f>
        <v>#N/A</v>
      </c>
      <c r="N251" s="65" t="e">
        <f>IF(M59=1,IF(M$13&lt;=COUNT($C31:$CS31),IF(INDEX($F$206:$F$229,MATCH($B251,$B$206:$B$229,FALSE))=0,NA(),INDEX(M$14:M$37,MATCH($B251,$B$14:$B$37,FALSE))/INDEX($F$206:$F$229,MATCH($B251,$B$206:$B$229,FALSE))),NA()),NA())</f>
        <v>#N/A</v>
      </c>
      <c r="O251" s="65" t="e">
        <f>IF(N59=1,IF(N$13&lt;=COUNT($C31:$CS31),IF(INDEX($F$206:$F$229,MATCH($B251,$B$206:$B$229,FALSE))=0,NA(),INDEX(N$14:N$37,MATCH($B251,$B$14:$B$37,FALSE))/INDEX($F$206:$F$229,MATCH($B251,$B$206:$B$229,FALSE))),NA()),NA())</f>
        <v>#N/A</v>
      </c>
      <c r="P251" s="65" t="e">
        <f>IF(O59=1,IF(O$13&lt;=COUNT($C31:$CS31),IF(INDEX($F$206:$F$229,MATCH($B251,$B$206:$B$229,FALSE))=0,NA(),INDEX(O$14:O$37,MATCH($B251,$B$14:$B$37,FALSE))/INDEX($F$206:$F$229,MATCH($B251,$B$206:$B$229,FALSE))),NA()),NA())</f>
        <v>#N/A</v>
      </c>
      <c r="Q251" s="65" t="e">
        <f>IF(P59=1,IF(P$13&lt;=COUNT($C31:$CS31),IF(INDEX($F$206:$F$229,MATCH($B251,$B$206:$B$229,FALSE))=0,NA(),INDEX(P$14:P$37,MATCH($B251,$B$14:$B$37,FALSE))/INDEX($F$206:$F$229,MATCH($B251,$B$206:$B$229,FALSE))),NA()),NA())</f>
        <v>#N/A</v>
      </c>
      <c r="R251" s="65" t="e">
        <f>IF(Q59=1,IF(Q$13&lt;=COUNT($C31:$CS31),IF(INDEX($F$206:$F$229,MATCH($B251,$B$206:$B$229,FALSE))=0,NA(),INDEX(Q$14:Q$37,MATCH($B251,$B$14:$B$37,FALSE))/INDEX($F$206:$F$229,MATCH($B251,$B$206:$B$229,FALSE))),NA()),NA())</f>
        <v>#N/A</v>
      </c>
      <c r="S251" s="65" t="e">
        <f>IF(R59=1,IF(R$13&lt;=COUNT($C31:$CS31),IF(INDEX($F$206:$F$229,MATCH($B251,$B$206:$B$229,FALSE))=0,NA(),INDEX(R$14:R$37,MATCH($B251,$B$14:$B$37,FALSE))/INDEX($F$206:$F$229,MATCH($B251,$B$206:$B$229,FALSE))),NA()),NA())</f>
        <v>#N/A</v>
      </c>
      <c r="T251" s="65" t="e">
        <f>IF(S59=1,IF(S$13&lt;=COUNT($C31:$CS31),IF(INDEX($F$206:$F$229,MATCH($B251,$B$206:$B$229,FALSE))=0,NA(),INDEX(S$14:S$37,MATCH($B251,$B$14:$B$37,FALSE))/INDEX($F$206:$F$229,MATCH($B251,$B$206:$B$229,FALSE))),NA()),NA())</f>
        <v>#N/A</v>
      </c>
      <c r="U251" s="65" t="e">
        <f>IF(T59=1,IF(T$13&lt;=COUNT($C31:$CS31),IF(INDEX($F$206:$F$229,MATCH($B251,$B$206:$B$229,FALSE))=0,NA(),INDEX(T$14:T$37,MATCH($B251,$B$14:$B$37,FALSE))/INDEX($F$206:$F$229,MATCH($B251,$B$206:$B$229,FALSE))),NA()),NA())</f>
        <v>#N/A</v>
      </c>
      <c r="V251" s="65" t="e">
        <f>IF(U59=1,IF(U$13&lt;=COUNT($C31:$CS31),IF(INDEX($F$206:$F$229,MATCH($B251,$B$206:$B$229,FALSE))=0,NA(),INDEX(U$14:U$37,MATCH($B251,$B$14:$B$37,FALSE))/INDEX($F$206:$F$229,MATCH($B251,$B$206:$B$229,FALSE))),NA()),NA())</f>
        <v>#N/A</v>
      </c>
      <c r="W251" s="65" t="e">
        <f>IF(V59=1,IF(V$13&lt;=COUNT($C31:$CS31),IF(INDEX($F$206:$F$229,MATCH($B251,$B$206:$B$229,FALSE))=0,NA(),INDEX(V$14:V$37,MATCH($B251,$B$14:$B$37,FALSE))/INDEX($F$206:$F$229,MATCH($B251,$B$206:$B$229,FALSE))),NA()),NA())</f>
        <v>#N/A</v>
      </c>
      <c r="X251" s="65" t="e">
        <f>IF(W59=1,IF(W$13&lt;=COUNT($C31:$CS31),IF(INDEX($F$206:$F$229,MATCH($B251,$B$206:$B$229,FALSE))=0,NA(),INDEX(W$14:W$37,MATCH($B251,$B$14:$B$37,FALSE))/INDEX($F$206:$F$229,MATCH($B251,$B$206:$B$229,FALSE))),NA()),NA())</f>
        <v>#N/A</v>
      </c>
      <c r="Y251" s="65" t="e">
        <f>IF(X59=1,IF(X$13&lt;=COUNT($C31:$CS31),IF(INDEX($F$206:$F$229,MATCH($B251,$B$206:$B$229,FALSE))=0,NA(),INDEX(X$14:X$37,MATCH($B251,$B$14:$B$37,FALSE))/INDEX($F$206:$F$229,MATCH($B251,$B$206:$B$229,FALSE))),NA()),NA())</f>
        <v>#N/A</v>
      </c>
      <c r="Z251" s="65" t="e">
        <f>IF(Y59=1,IF(Y$13&lt;=COUNT($C31:$CS31),IF(INDEX($F$206:$F$229,MATCH($B251,$B$206:$B$229,FALSE))=0,NA(),INDEX(Y$14:Y$37,MATCH($B251,$B$14:$B$37,FALSE))/INDEX($F$206:$F$229,MATCH($B251,$B$206:$B$229,FALSE))),NA()),NA())</f>
        <v>#N/A</v>
      </c>
      <c r="AA251" s="65" t="e">
        <f>IF(Z59=1,IF(Z$13&lt;=COUNT($C31:$CS31),IF(INDEX($F$206:$F$229,MATCH($B251,$B$206:$B$229,FALSE))=0,NA(),INDEX(Z$14:Z$37,MATCH($B251,$B$14:$B$37,FALSE))/INDEX($F$206:$F$229,MATCH($B251,$B$206:$B$229,FALSE))),NA()),NA())</f>
        <v>#N/A</v>
      </c>
      <c r="AB251" s="65" t="e">
        <f>IF(AA59=1,IF(AA$13&lt;=COUNT($C31:$CS31),IF(INDEX($F$206:$F$229,MATCH($B251,$B$206:$B$229,FALSE))=0,NA(),INDEX(AA$14:AA$37,MATCH($B251,$B$14:$B$37,FALSE))/INDEX($F$206:$F$229,MATCH($B251,$B$206:$B$229,FALSE))),NA()),NA())</f>
        <v>#N/A</v>
      </c>
      <c r="AC251" s="65" t="e">
        <f>IF(AB59=1,IF(AB$13&lt;=COUNT($C31:$CS31),IF(INDEX($F$206:$F$229,MATCH($B251,$B$206:$B$229,FALSE))=0,NA(),INDEX(AB$14:AB$37,MATCH($B251,$B$14:$B$37,FALSE))/INDEX($F$206:$F$229,MATCH($B251,$B$206:$B$229,FALSE))),NA()),NA())</f>
        <v>#N/A</v>
      </c>
      <c r="AD251" s="65" t="e">
        <f>IF(AC59=1,IF(AC$13&lt;=COUNT($C31:$CS31),IF(INDEX($F$206:$F$229,MATCH($B251,$B$206:$B$229,FALSE))=0,NA(),INDEX(AC$14:AC$37,MATCH($B251,$B$14:$B$37,FALSE))/INDEX($F$206:$F$229,MATCH($B251,$B$206:$B$229,FALSE))),NA()),NA())</f>
        <v>#N/A</v>
      </c>
      <c r="AE251" s="65" t="e">
        <f>IF(AD59=1,IF(AD$13&lt;=COUNT($C31:$CS31),IF(INDEX($F$206:$F$229,MATCH($B251,$B$206:$B$229,FALSE))=0,NA(),INDEX(AD$14:AD$37,MATCH($B251,$B$14:$B$37,FALSE))/INDEX($F$206:$F$229,MATCH($B251,$B$206:$B$229,FALSE))),NA()),NA())</f>
        <v>#N/A</v>
      </c>
      <c r="AF251" s="65" t="e">
        <f>IF(AE59=1,IF(AE$13&lt;=COUNT($C31:$CS31),IF(INDEX($F$206:$F$229,MATCH($B251,$B$206:$B$229,FALSE))=0,NA(),INDEX(AE$14:AE$37,MATCH($B251,$B$14:$B$37,FALSE))/INDEX($F$206:$F$229,MATCH($B251,$B$206:$B$229,FALSE))),NA()),NA())</f>
        <v>#N/A</v>
      </c>
      <c r="AG251" s="65" t="e">
        <f>IF(AF59=1,IF(AF$13&lt;=COUNT($C31:$CS31),IF(INDEX($F$206:$F$229,MATCH($B251,$B$206:$B$229,FALSE))=0,NA(),INDEX(AF$14:AF$37,MATCH($B251,$B$14:$B$37,FALSE))/INDEX($F$206:$F$229,MATCH($B251,$B$206:$B$229,FALSE))),NA()),NA())</f>
        <v>#N/A</v>
      </c>
      <c r="AH251" s="65" t="e">
        <f>IF(AG59=1,IF(AG$13&lt;=COUNT($C31:$CS31),IF(INDEX($F$206:$F$229,MATCH($B251,$B$206:$B$229,FALSE))=0,NA(),INDEX(AG$14:AG$37,MATCH($B251,$B$14:$B$37,FALSE))/INDEX($F$206:$F$229,MATCH($B251,$B$206:$B$229,FALSE))),NA()),NA())</f>
        <v>#N/A</v>
      </c>
      <c r="AI251" s="65" t="e">
        <f>IF(AH59=1,IF(AH$13&lt;=COUNT($C31:$CS31),IF(INDEX($F$206:$F$229,MATCH($B251,$B$206:$B$229,FALSE))=0,NA(),INDEX(AH$14:AH$37,MATCH($B251,$B$14:$B$37,FALSE))/INDEX($F$206:$F$229,MATCH($B251,$B$206:$B$229,FALSE))),NA()),NA())</f>
        <v>#N/A</v>
      </c>
      <c r="AJ251" s="65" t="e">
        <f>IF(AI59=1,IF(AI$13&lt;=COUNT($C31:$CS31),IF(INDEX($F$206:$F$229,MATCH($B251,$B$206:$B$229,FALSE))=0,NA(),INDEX(AI$14:AI$37,MATCH($B251,$B$14:$B$37,FALSE))/INDEX($F$206:$F$229,MATCH($B251,$B$206:$B$229,FALSE))),NA()),NA())</f>
        <v>#N/A</v>
      </c>
      <c r="AK251" s="65" t="e">
        <f>IF(AJ59=1,IF(AJ$13&lt;=COUNT($C31:$CS31),IF(INDEX($F$206:$F$229,MATCH($B251,$B$206:$B$229,FALSE))=0,NA(),INDEX(AJ$14:AJ$37,MATCH($B251,$B$14:$B$37,FALSE))/INDEX($F$206:$F$229,MATCH($B251,$B$206:$B$229,FALSE))),NA()),NA())</f>
        <v>#N/A</v>
      </c>
      <c r="AL251" s="65" t="e">
        <f>IF(AK59=1,IF(AK$13&lt;=COUNT($C31:$CS31),IF(INDEX($F$206:$F$229,MATCH($B251,$B$206:$B$229,FALSE))=0,NA(),INDEX(AK$14:AK$37,MATCH($B251,$B$14:$B$37,FALSE))/INDEX($F$206:$F$229,MATCH($B251,$B$206:$B$229,FALSE))),NA()),NA())</f>
        <v>#N/A</v>
      </c>
      <c r="AM251" s="65" t="e">
        <f>IF(AL59=1,IF(AL$13&lt;=COUNT($C31:$CS31),IF(INDEX($F$206:$F$229,MATCH($B251,$B$206:$B$229,FALSE))=0,NA(),INDEX(AL$14:AL$37,MATCH($B251,$B$14:$B$37,FALSE))/INDEX($F$206:$F$229,MATCH($B251,$B$206:$B$229,FALSE))),NA()),NA())</f>
        <v>#N/A</v>
      </c>
      <c r="AN251" s="65" t="e">
        <f>IF(AM59=1,IF(AM$13&lt;=COUNT($C31:$CS31),IF(INDEX($F$206:$F$229,MATCH($B251,$B$206:$B$229,FALSE))=0,NA(),INDEX(AM$14:AM$37,MATCH($B251,$B$14:$B$37,FALSE))/INDEX($F$206:$F$229,MATCH($B251,$B$206:$B$229,FALSE))),NA()),NA())</f>
        <v>#N/A</v>
      </c>
      <c r="AO251" s="65" t="e">
        <f>IF(AN59=1,IF(AN$13&lt;=COUNT($C31:$CS31),IF(INDEX($F$206:$F$229,MATCH($B251,$B$206:$B$229,FALSE))=0,NA(),INDEX(AN$14:AN$37,MATCH($B251,$B$14:$B$37,FALSE))/INDEX($F$206:$F$229,MATCH($B251,$B$206:$B$229,FALSE))),NA()),NA())</f>
        <v>#N/A</v>
      </c>
      <c r="AP251" s="65" t="e">
        <f>IF(AO59=1,IF(AO$13&lt;=COUNT($C31:$CS31),IF(INDEX($F$206:$F$229,MATCH($B251,$B$206:$B$229,FALSE))=0,NA(),INDEX(AO$14:AO$37,MATCH($B251,$B$14:$B$37,FALSE))/INDEX($F$206:$F$229,MATCH($B251,$B$206:$B$229,FALSE))),NA()),NA())</f>
        <v>#N/A</v>
      </c>
      <c r="AQ251" s="65" t="e">
        <f>IF(AP59=1,IF(AP$13&lt;=COUNT($C31:$CS31),IF(INDEX($F$206:$F$229,MATCH($B251,$B$206:$B$229,FALSE))=0,NA(),INDEX(AP$14:AP$37,MATCH($B251,$B$14:$B$37,FALSE))/INDEX($F$206:$F$229,MATCH($B251,$B$206:$B$229,FALSE))),NA()),NA())</f>
        <v>#N/A</v>
      </c>
      <c r="AR251" s="65" t="e">
        <f>IF(AQ59=1,IF(AQ$13&lt;=COUNT($C31:$CS31),IF(INDEX($F$206:$F$229,MATCH($B251,$B$206:$B$229,FALSE))=0,NA(),INDEX(AQ$14:AQ$37,MATCH($B251,$B$14:$B$37,FALSE))/INDEX($F$206:$F$229,MATCH($B251,$B$206:$B$229,FALSE))),NA()),NA())</f>
        <v>#N/A</v>
      </c>
      <c r="AS251" s="65" t="e">
        <f>IF(AR59=1,IF(AR$13&lt;=COUNT($C31:$CS31),IF(INDEX($F$206:$F$229,MATCH($B251,$B$206:$B$229,FALSE))=0,NA(),INDEX(AR$14:AR$37,MATCH($B251,$B$14:$B$37,FALSE))/INDEX($F$206:$F$229,MATCH($B251,$B$206:$B$229,FALSE))),NA()),NA())</f>
        <v>#N/A</v>
      </c>
      <c r="AT251" s="65" t="e">
        <f>IF(AS59=1,IF(AS$13&lt;=COUNT($C31:$CS31),IF(INDEX($F$206:$F$229,MATCH($B251,$B$206:$B$229,FALSE))=0,NA(),INDEX(AS$14:AS$37,MATCH($B251,$B$14:$B$37,FALSE))/INDEX($F$206:$F$229,MATCH($B251,$B$206:$B$229,FALSE))),NA()),NA())</f>
        <v>#N/A</v>
      </c>
      <c r="AU251" s="65" t="e">
        <f>IF(AT59=1,IF(AT$13&lt;=COUNT($C31:$CS31),IF(INDEX($F$206:$F$229,MATCH($B251,$B$206:$B$229,FALSE))=0,NA(),INDEX(AT$14:AT$37,MATCH($B251,$B$14:$B$37,FALSE))/INDEX($F$206:$F$229,MATCH($B251,$B$206:$B$229,FALSE))),NA()),NA())</f>
        <v>#N/A</v>
      </c>
      <c r="AV251" s="65" t="e">
        <f>IF(AU59=1,IF(AU$13&lt;=COUNT($C31:$CS31),IF(INDEX($F$206:$F$229,MATCH($B251,$B$206:$B$229,FALSE))=0,NA(),INDEX(AU$14:AU$37,MATCH($B251,$B$14:$B$37,FALSE))/INDEX($F$206:$F$229,MATCH($B251,$B$206:$B$229,FALSE))),NA()),NA())</f>
        <v>#N/A</v>
      </c>
      <c r="AW251" s="65" t="e">
        <f>IF(AV59=1,IF(AV$13&lt;=COUNT($C31:$CS31),IF(INDEX($F$206:$F$229,MATCH($B251,$B$206:$B$229,FALSE))=0,NA(),INDEX(AV$14:AV$37,MATCH($B251,$B$14:$B$37,FALSE))/INDEX($F$206:$F$229,MATCH($B251,$B$206:$B$229,FALSE))),NA()),NA())</f>
        <v>#N/A</v>
      </c>
      <c r="AX251" s="65" t="e">
        <f>IF(AW59=1,IF(AW$13&lt;=COUNT($C31:$CS31),IF(INDEX($F$206:$F$229,MATCH($B251,$B$206:$B$229,FALSE))=0,NA(),INDEX(AW$14:AW$37,MATCH($B251,$B$14:$B$37,FALSE))/INDEX($F$206:$F$229,MATCH($B251,$B$206:$B$229,FALSE))),NA()),NA())</f>
        <v>#N/A</v>
      </c>
      <c r="AY251" s="65" t="e">
        <f>IF(AX59=1,IF(AX$13&lt;=COUNT($C31:$CS31),IF(INDEX($F$206:$F$229,MATCH($B251,$B$206:$B$229,FALSE))=0,NA(),INDEX(AX$14:AX$37,MATCH($B251,$B$14:$B$37,FALSE))/INDEX($F$206:$F$229,MATCH($B251,$B$206:$B$229,FALSE))),NA()),NA())</f>
        <v>#N/A</v>
      </c>
      <c r="AZ251" s="65" t="e">
        <f>IF(AY59=1,IF(AY$13&lt;=COUNT($C31:$CS31),IF(INDEX($F$206:$F$229,MATCH($B251,$B$206:$B$229,FALSE))=0,NA(),INDEX(AY$14:AY$37,MATCH($B251,$B$14:$B$37,FALSE))/INDEX($F$206:$F$229,MATCH($B251,$B$206:$B$229,FALSE))),NA()),NA())</f>
        <v>#N/A</v>
      </c>
      <c r="BA251" s="65" t="e">
        <f>IF(AZ59=1,IF(AZ$13&lt;=COUNT($C31:$CS31),IF(INDEX($F$206:$F$229,MATCH($B251,$B$206:$B$229,FALSE))=0,NA(),INDEX(AZ$14:AZ$37,MATCH($B251,$B$14:$B$37,FALSE))/INDEX($F$206:$F$229,MATCH($B251,$B$206:$B$229,FALSE))),NA()),NA())</f>
        <v>#N/A</v>
      </c>
      <c r="BB251" s="65" t="e">
        <f>IF(BA59=1,IF(BA$13&lt;=COUNT($C31:$CS31),IF(INDEX($F$206:$F$229,MATCH($B251,$B$206:$B$229,FALSE))=0,NA(),INDEX(BA$14:BA$37,MATCH($B251,$B$14:$B$37,FALSE))/INDEX($F$206:$F$229,MATCH($B251,$B$206:$B$229,FALSE))),NA()),NA())</f>
        <v>#N/A</v>
      </c>
      <c r="BC251" s="65" t="e">
        <f>IF(BB59=1,IF(BB$13&lt;=COUNT($C31:$CS31),IF(INDEX($F$206:$F$229,MATCH($B251,$B$206:$B$229,FALSE))=0,NA(),INDEX(BB$14:BB$37,MATCH($B251,$B$14:$B$37,FALSE))/INDEX($F$206:$F$229,MATCH($B251,$B$206:$B$229,FALSE))),NA()),NA())</f>
        <v>#N/A</v>
      </c>
      <c r="BD251" s="65" t="e">
        <f>IF(BC59=1,IF(BC$13&lt;=COUNT($C31:$CS31),IF(INDEX($F$206:$F$229,MATCH($B251,$B$206:$B$229,FALSE))=0,NA(),INDEX(BC$14:BC$37,MATCH($B251,$B$14:$B$37,FALSE))/INDEX($F$206:$F$229,MATCH($B251,$B$206:$B$229,FALSE))),NA()),NA())</f>
        <v>#N/A</v>
      </c>
      <c r="BE251" s="65" t="e">
        <f>IF(BD59=1,IF(BD$13&lt;=COUNT($C31:$CS31),IF(INDEX($F$206:$F$229,MATCH($B251,$B$206:$B$229,FALSE))=0,NA(),INDEX(BD$14:BD$37,MATCH($B251,$B$14:$B$37,FALSE))/INDEX($F$206:$F$229,MATCH($B251,$B$206:$B$229,FALSE))),NA()),NA())</f>
        <v>#N/A</v>
      </c>
      <c r="BF251" s="65" t="e">
        <f>IF(BE59=1,IF(BE$13&lt;=COUNT($C31:$CS31),IF(INDEX($F$206:$F$229,MATCH($B251,$B$206:$B$229,FALSE))=0,NA(),INDEX(BE$14:BE$37,MATCH($B251,$B$14:$B$37,FALSE))/INDEX($F$206:$F$229,MATCH($B251,$B$206:$B$229,FALSE))),NA()),NA())</f>
        <v>#N/A</v>
      </c>
      <c r="BG251" s="65" t="e">
        <f>IF(BF59=1,IF(BF$13&lt;=COUNT($C31:$CS31),IF(INDEX($F$206:$F$229,MATCH($B251,$B$206:$B$229,FALSE))=0,NA(),INDEX(BF$14:BF$37,MATCH($B251,$B$14:$B$37,FALSE))/INDEX($F$206:$F$229,MATCH($B251,$B$206:$B$229,FALSE))),NA()),NA())</f>
        <v>#N/A</v>
      </c>
      <c r="BH251" s="65" t="e">
        <f>IF(BG59=1,IF(BG$13&lt;=COUNT($C31:$CS31),IF(INDEX($F$206:$F$229,MATCH($B251,$B$206:$B$229,FALSE))=0,NA(),INDEX(BG$14:BG$37,MATCH($B251,$B$14:$B$37,FALSE))/INDEX($F$206:$F$229,MATCH($B251,$B$206:$B$229,FALSE))),NA()),NA())</f>
        <v>#N/A</v>
      </c>
      <c r="BI251" s="65" t="e">
        <f>IF(BH59=1,IF(BH$13&lt;=COUNT($C31:$CS31),IF(INDEX($F$206:$F$229,MATCH($B251,$B$206:$B$229,FALSE))=0,NA(),INDEX(BH$14:BH$37,MATCH($B251,$B$14:$B$37,FALSE))/INDEX($F$206:$F$229,MATCH($B251,$B$206:$B$229,FALSE))),NA()),NA())</f>
        <v>#N/A</v>
      </c>
      <c r="BJ251" s="65" t="e">
        <f>IF(BI59=1,IF(BI$13&lt;=COUNT($C31:$CS31),IF(INDEX($F$206:$F$229,MATCH($B251,$B$206:$B$229,FALSE))=0,NA(),INDEX(BI$14:BI$37,MATCH($B251,$B$14:$B$37,FALSE))/INDEX($F$206:$F$229,MATCH($B251,$B$206:$B$229,FALSE))),NA()),NA())</f>
        <v>#N/A</v>
      </c>
      <c r="BK251" s="65" t="e">
        <f>IF(BJ59=1,IF(BJ$13&lt;=COUNT($C31:$CS31),IF(INDEX($F$206:$F$229,MATCH($B251,$B$206:$B$229,FALSE))=0,NA(),INDEX(BJ$14:BJ$37,MATCH($B251,$B$14:$B$37,FALSE))/INDEX($F$206:$F$229,MATCH($B251,$B$206:$B$229,FALSE))),NA()),NA())</f>
        <v>#N/A</v>
      </c>
      <c r="BL251" s="65" t="e">
        <f>IF(BK59=1,IF(BK$13&lt;=COUNT($C31:$CS31),IF(INDEX($F$206:$F$229,MATCH($B251,$B$206:$B$229,FALSE))=0,NA(),INDEX(BK$14:BK$37,MATCH($B251,$B$14:$B$37,FALSE))/INDEX($F$206:$F$229,MATCH($B251,$B$206:$B$229,FALSE))),NA()),NA())</f>
        <v>#N/A</v>
      </c>
      <c r="BM251" s="65" t="e">
        <f>IF(BL59=1,IF(BL$13&lt;=COUNT($C31:$CS31),IF(INDEX($F$206:$F$229,MATCH($B251,$B$206:$B$229,FALSE))=0,NA(),INDEX(BL$14:BL$37,MATCH($B251,$B$14:$B$37,FALSE))/INDEX($F$206:$F$229,MATCH($B251,$B$206:$B$229,FALSE))),NA()),NA())</f>
        <v>#N/A</v>
      </c>
      <c r="BN251" s="65" t="e">
        <f>IF(BM59=1,IF(BM$13&lt;=COUNT($C31:$CS31),IF(INDEX($F$206:$F$229,MATCH($B251,$B$206:$B$229,FALSE))=0,NA(),INDEX(BM$14:BM$37,MATCH($B251,$B$14:$B$37,FALSE))/INDEX($F$206:$F$229,MATCH($B251,$B$206:$B$229,FALSE))),NA()),NA())</f>
        <v>#N/A</v>
      </c>
      <c r="BO251" s="65" t="e">
        <f>IF(BN59=1,IF(BN$13&lt;=COUNT($C31:$CS31),IF(INDEX($F$206:$F$229,MATCH($B251,$B$206:$B$229,FALSE))=0,NA(),INDEX(BN$14:BN$37,MATCH($B251,$B$14:$B$37,FALSE))/INDEX($F$206:$F$229,MATCH($B251,$B$206:$B$229,FALSE))),NA()),NA())</f>
        <v>#N/A</v>
      </c>
      <c r="BP251" s="65" t="e">
        <f>IF(BO59=1,IF(BO$13&lt;=COUNT($C31:$CS31),IF(INDEX($F$206:$F$229,MATCH($B251,$B$206:$B$229,FALSE))=0,NA(),INDEX(BO$14:BO$37,MATCH($B251,$B$14:$B$37,FALSE))/INDEX($F$206:$F$229,MATCH($B251,$B$206:$B$229,FALSE))),NA()),NA())</f>
        <v>#N/A</v>
      </c>
      <c r="BQ251" s="65" t="e">
        <f>IF(BP59=1,IF(BP$13&lt;=COUNT($C31:$CS31),IF(INDEX($F$206:$F$229,MATCH($B251,$B$206:$B$229,FALSE))=0,NA(),INDEX(BP$14:BP$37,MATCH($B251,$B$14:$B$37,FALSE))/INDEX($F$206:$F$229,MATCH($B251,$B$206:$B$229,FALSE))),NA()),NA())</f>
        <v>#N/A</v>
      </c>
      <c r="BR251" s="65" t="e">
        <f>IF(BQ59=1,IF(BQ$13&lt;=COUNT($C31:$CS31),IF(INDEX($F$206:$F$229,MATCH($B251,$B$206:$B$229,FALSE))=0,NA(),INDEX(BQ$14:BQ$37,MATCH($B251,$B$14:$B$37,FALSE))/INDEX($F$206:$F$229,MATCH($B251,$B$206:$B$229,FALSE))),NA()),NA())</f>
        <v>#N/A</v>
      </c>
      <c r="BS251" s="65" t="e">
        <f>IF(BR59=1,IF(BR$13&lt;=COUNT($C31:$CS31),IF(INDEX($F$206:$F$229,MATCH($B251,$B$206:$B$229,FALSE))=0,NA(),INDEX(BR$14:BR$37,MATCH($B251,$B$14:$B$37,FALSE))/INDEX($F$206:$F$229,MATCH($B251,$B$206:$B$229,FALSE))),NA()),NA())</f>
        <v>#N/A</v>
      </c>
      <c r="BT251" s="65" t="e">
        <f>IF(BS59=1,IF(BS$13&lt;=COUNT($C31:$CS31),IF(INDEX($F$206:$F$229,MATCH($B251,$B$206:$B$229,FALSE))=0,NA(),INDEX(BS$14:BS$37,MATCH($B251,$B$14:$B$37,FALSE))/INDEX($F$206:$F$229,MATCH($B251,$B$206:$B$229,FALSE))),NA()),NA())</f>
        <v>#N/A</v>
      </c>
      <c r="BU251" s="65" t="e">
        <f>IF(BT59=1,IF(BT$13&lt;=COUNT($C31:$CS31),IF(INDEX($F$206:$F$229,MATCH($B251,$B$206:$B$229,FALSE))=0,NA(),INDEX(BT$14:BT$37,MATCH($B251,$B$14:$B$37,FALSE))/INDEX($F$206:$F$229,MATCH($B251,$B$206:$B$229,FALSE))),NA()),NA())</f>
        <v>#N/A</v>
      </c>
      <c r="BV251" s="65" t="e">
        <f>IF(BU59=1,IF(BU$13&lt;=COUNT($C31:$CS31),IF(INDEX($F$206:$F$229,MATCH($B251,$B$206:$B$229,FALSE))=0,NA(),INDEX(BU$14:BU$37,MATCH($B251,$B$14:$B$37,FALSE))/INDEX($F$206:$F$229,MATCH($B251,$B$206:$B$229,FALSE))),NA()),NA())</f>
        <v>#N/A</v>
      </c>
      <c r="BW251" s="65" t="e">
        <f>IF(BV59=1,IF(BV$13&lt;=COUNT($C31:$CS31),IF(INDEX($F$206:$F$229,MATCH($B251,$B$206:$B$229,FALSE))=0,NA(),INDEX(BV$14:BV$37,MATCH($B251,$B$14:$B$37,FALSE))/INDEX($F$206:$F$229,MATCH($B251,$B$206:$B$229,FALSE))),NA()),NA())</f>
        <v>#N/A</v>
      </c>
      <c r="BX251" s="65" t="e">
        <f>IF(BW59=1,IF(BW$13&lt;=COUNT($C31:$CS31),IF(INDEX($F$206:$F$229,MATCH($B251,$B$206:$B$229,FALSE))=0,NA(),INDEX(BW$14:BW$37,MATCH($B251,$B$14:$B$37,FALSE))/INDEX($F$206:$F$229,MATCH($B251,$B$206:$B$229,FALSE))),NA()),NA())</f>
        <v>#N/A</v>
      </c>
      <c r="BY251" s="65" t="e">
        <f>IF(BX59=1,IF(BX$13&lt;=COUNT($C31:$CS31),IF(INDEX($F$206:$F$229,MATCH($B251,$B$206:$B$229,FALSE))=0,NA(),INDEX(BX$14:BX$37,MATCH($B251,$B$14:$B$37,FALSE))/INDEX($F$206:$F$229,MATCH($B251,$B$206:$B$229,FALSE))),NA()),NA())</f>
        <v>#N/A</v>
      </c>
      <c r="BZ251" s="65" t="e">
        <f>IF(BY59=1,IF(BY$13&lt;=COUNT($C31:$CS31),IF(INDEX($F$206:$F$229,MATCH($B251,$B$206:$B$229,FALSE))=0,NA(),INDEX(BY$14:BY$37,MATCH($B251,$B$14:$B$37,FALSE))/INDEX($F$206:$F$229,MATCH($B251,$B$206:$B$229,FALSE))),NA()),NA())</f>
        <v>#N/A</v>
      </c>
      <c r="CA251" s="65" t="e">
        <f>IF(BZ59=1,IF(BZ$13&lt;=COUNT($C31:$CS31),IF(INDEX($F$206:$F$229,MATCH($B251,$B$206:$B$229,FALSE))=0,NA(),INDEX(BZ$14:BZ$37,MATCH($B251,$B$14:$B$37,FALSE))/INDEX($F$206:$F$229,MATCH($B251,$B$206:$B$229,FALSE))),NA()),NA())</f>
        <v>#N/A</v>
      </c>
      <c r="CB251" s="65" t="e">
        <f>IF(CA59=1,IF(CA$13&lt;=COUNT($C31:$CS31),IF(INDEX($F$206:$F$229,MATCH($B251,$B$206:$B$229,FALSE))=0,NA(),INDEX(CA$14:CA$37,MATCH($B251,$B$14:$B$37,FALSE))/INDEX($F$206:$F$229,MATCH($B251,$B$206:$B$229,FALSE))),NA()),NA())</f>
        <v>#N/A</v>
      </c>
      <c r="CC251" s="65" t="e">
        <f>IF(CB59=1,IF(CB$13&lt;=COUNT($C31:$CS31),IF(INDEX($F$206:$F$229,MATCH($B251,$B$206:$B$229,FALSE))=0,NA(),INDEX(CB$14:CB$37,MATCH($B251,$B$14:$B$37,FALSE))/INDEX($F$206:$F$229,MATCH($B251,$B$206:$B$229,FALSE))),NA()),NA())</f>
        <v>#N/A</v>
      </c>
      <c r="CD251" s="65" t="e">
        <f>IF(CC59=1,IF(CC$13&lt;=COUNT($C31:$CS31),IF(INDEX($F$206:$F$229,MATCH($B251,$B$206:$B$229,FALSE))=0,NA(),INDEX(CC$14:CC$37,MATCH($B251,$B$14:$B$37,FALSE))/INDEX($F$206:$F$229,MATCH($B251,$B$206:$B$229,FALSE))),NA()),NA())</f>
        <v>#N/A</v>
      </c>
      <c r="CE251" s="65" t="e">
        <f>IF(CD59=1,IF(CD$13&lt;=COUNT($C31:$CS31),IF(INDEX($F$206:$F$229,MATCH($B251,$B$206:$B$229,FALSE))=0,NA(),INDEX(CD$14:CD$37,MATCH($B251,$B$14:$B$37,FALSE))/INDEX($F$206:$F$229,MATCH($B251,$B$206:$B$229,FALSE))),NA()),NA())</f>
        <v>#N/A</v>
      </c>
      <c r="CF251" s="65" t="e">
        <f>IF(CE59=1,IF(CE$13&lt;=COUNT($C31:$CS31),IF(INDEX($F$206:$F$229,MATCH($B251,$B$206:$B$229,FALSE))=0,NA(),INDEX(CE$14:CE$37,MATCH($B251,$B$14:$B$37,FALSE))/INDEX($F$206:$F$229,MATCH($B251,$B$206:$B$229,FALSE))),NA()),NA())</f>
        <v>#N/A</v>
      </c>
      <c r="CG251" s="65" t="e">
        <f>IF(CF59=1,IF(CF$13&lt;=COUNT($C31:$CS31),IF(INDEX($F$206:$F$229,MATCH($B251,$B$206:$B$229,FALSE))=0,NA(),INDEX(CF$14:CF$37,MATCH($B251,$B$14:$B$37,FALSE))/INDEX($F$206:$F$229,MATCH($B251,$B$206:$B$229,FALSE))),NA()),NA())</f>
        <v>#N/A</v>
      </c>
      <c r="CH251" s="65" t="e">
        <f>IF(CG59=1,IF(CG$13&lt;=COUNT($C31:$CS31),IF(INDEX($F$206:$F$229,MATCH($B251,$B$206:$B$229,FALSE))=0,NA(),INDEX(CG$14:CG$37,MATCH($B251,$B$14:$B$37,FALSE))/INDEX($F$206:$F$229,MATCH($B251,$B$206:$B$229,FALSE))),NA()),NA())</f>
        <v>#N/A</v>
      </c>
      <c r="CI251" s="65" t="e">
        <f>IF(CH59=1,IF(CH$13&lt;=COUNT($C31:$CS31),IF(INDEX($F$206:$F$229,MATCH($B251,$B$206:$B$229,FALSE))=0,NA(),INDEX(CH$14:CH$37,MATCH($B251,$B$14:$B$37,FALSE))/INDEX($F$206:$F$229,MATCH($B251,$B$206:$B$229,FALSE))),NA()),NA())</f>
        <v>#N/A</v>
      </c>
      <c r="CJ251" s="65" t="e">
        <f>IF(CI59=1,IF(CI$13&lt;=COUNT($C31:$CS31),IF(INDEX($F$206:$F$229,MATCH($B251,$B$206:$B$229,FALSE))=0,NA(),INDEX(CI$14:CI$37,MATCH($B251,$B$14:$B$37,FALSE))/INDEX($F$206:$F$229,MATCH($B251,$B$206:$B$229,FALSE))),NA()),NA())</f>
        <v>#N/A</v>
      </c>
      <c r="CK251" s="65" t="e">
        <f>IF(CJ59=1,IF(CJ$13&lt;=COUNT($C31:$CS31),IF(INDEX($F$206:$F$229,MATCH($B251,$B$206:$B$229,FALSE))=0,NA(),INDEX(CJ$14:CJ$37,MATCH($B251,$B$14:$B$37,FALSE))/INDEX($F$206:$F$229,MATCH($B251,$B$206:$B$229,FALSE))),NA()),NA())</f>
        <v>#N/A</v>
      </c>
      <c r="CL251" s="65" t="e">
        <f>IF(CK59=1,IF(CK$13&lt;=COUNT($C31:$CS31),IF(INDEX($F$206:$F$229,MATCH($B251,$B$206:$B$229,FALSE))=0,NA(),INDEX(CK$14:CK$37,MATCH($B251,$B$14:$B$37,FALSE))/INDEX($F$206:$F$229,MATCH($B251,$B$206:$B$229,FALSE))),NA()),NA())</f>
        <v>#N/A</v>
      </c>
      <c r="CM251" s="65" t="e">
        <f>IF(CL59=1,IF(CL$13&lt;=COUNT($C31:$CS31),IF(INDEX($F$206:$F$229,MATCH($B251,$B$206:$B$229,FALSE))=0,NA(),INDEX(CL$14:CL$37,MATCH($B251,$B$14:$B$37,FALSE))/INDEX($F$206:$F$229,MATCH($B251,$B$206:$B$229,FALSE))),NA()),NA())</f>
        <v>#N/A</v>
      </c>
      <c r="CN251" s="65" t="e">
        <f>IF(CM59=1,IF(CM$13&lt;=COUNT($C31:$CS31),IF(INDEX($F$206:$F$229,MATCH($B251,$B$206:$B$229,FALSE))=0,NA(),INDEX(CM$14:CM$37,MATCH($B251,$B$14:$B$37,FALSE))/INDEX($F$206:$F$229,MATCH($B251,$B$206:$B$229,FALSE))),NA()),NA())</f>
        <v>#N/A</v>
      </c>
      <c r="CO251" s="65" t="e">
        <f>IF(CN59=1,IF(CN$13&lt;=COUNT($C31:$CS31),IF(INDEX($F$206:$F$229,MATCH($B251,$B$206:$B$229,FALSE))=0,NA(),INDEX(CN$14:CN$37,MATCH($B251,$B$14:$B$37,FALSE))/INDEX($F$206:$F$229,MATCH($B251,$B$206:$B$229,FALSE))),NA()),NA())</f>
        <v>#N/A</v>
      </c>
      <c r="CP251" s="65" t="e">
        <f>IF(CO59=1,IF(CO$13&lt;=COUNT($C31:$CS31),IF(INDEX($F$206:$F$229,MATCH($B251,$B$206:$B$229,FALSE))=0,NA(),INDEX(CO$14:CO$37,MATCH($B251,$B$14:$B$37,FALSE))/INDEX($F$206:$F$229,MATCH($B251,$B$206:$B$229,FALSE))),NA()),NA())</f>
        <v>#N/A</v>
      </c>
      <c r="CQ251" s="65" t="e">
        <f>IF(CP59=1,IF(CP$13&lt;=COUNT($C31:$CS31),IF(INDEX($F$206:$F$229,MATCH($B251,$B$206:$B$229,FALSE))=0,NA(),INDEX(CP$14:CP$37,MATCH($B251,$B$14:$B$37,FALSE))/INDEX($F$206:$F$229,MATCH($B251,$B$206:$B$229,FALSE))),NA()),NA())</f>
        <v>#N/A</v>
      </c>
      <c r="CR251" s="65" t="e">
        <f>IF(CQ59=1,IF(CQ$13&lt;=COUNT($C31:$CS31),IF(INDEX($F$206:$F$229,MATCH($B251,$B$206:$B$229,FALSE))=0,NA(),INDEX(CQ$14:CQ$37,MATCH($B251,$B$14:$B$37,FALSE))/INDEX($F$206:$F$229,MATCH($B251,$B$206:$B$229,FALSE))),NA()),NA())</f>
        <v>#N/A</v>
      </c>
      <c r="CS251" s="65" t="e">
        <f>IF(CR59=1,IF(CR$13&lt;=COUNT($C31:$CS31),IF(INDEX($F$206:$F$229,MATCH($B251,$B$206:$B$229,FALSE))=0,NA(),INDEX(CR$14:CR$37,MATCH($B251,$B$14:$B$37,FALSE))/INDEX($F$206:$F$229,MATCH($B251,$B$206:$B$229,FALSE))),NA()),NA())</f>
        <v>#N/A</v>
      </c>
      <c r="CT251" s="49"/>
      <c r="CU251" s="49"/>
      <c r="CV251" s="49"/>
      <c r="CW251" s="49"/>
    </row>
    <row r="252" spans="1:101" x14ac:dyDescent="0.25">
      <c r="A252" s="97">
        <f t="shared" si="352"/>
        <v>1</v>
      </c>
      <c r="B252" s="29">
        <f t="shared" si="351"/>
        <v>2014</v>
      </c>
      <c r="C252" s="154" t="str">
        <f t="shared" si="353"/>
        <v/>
      </c>
      <c r="D252" s="54">
        <f t="shared" ref="D252:BO252" ca="1" si="357">IF(C60=1,IF(C$13&lt;=COUNT($C32:$CS32),IF(INDEX($F$206:$F$229,MATCH($B252,$B$206:$B$229,FALSE))=0,NA(),INDEX(C$14:C$37,MATCH($B252,$B$14:$B$37,FALSE))/INDEX($F$206:$F$229,MATCH($B252,$B$206:$B$229,FALSE))),NA()),NA())</f>
        <v>0.24256717831176661</v>
      </c>
      <c r="E252" s="65">
        <f t="shared" ca="1" si="357"/>
        <v>1.1382312913279216</v>
      </c>
      <c r="F252" s="65">
        <f t="shared" ca="1" si="357"/>
        <v>1.1382312913279216</v>
      </c>
      <c r="G252" s="65">
        <f t="shared" ca="1" si="357"/>
        <v>1.1971009907027943</v>
      </c>
      <c r="H252" s="65">
        <f t="shared" ca="1" si="357"/>
        <v>1.1782207777335043</v>
      </c>
      <c r="I252" s="65">
        <f t="shared" ca="1" si="357"/>
        <v>1.0880103866928268</v>
      </c>
      <c r="J252" s="65" t="e">
        <f>IF(I60=1,IF(I$13&lt;=COUNT($C32:$CS32),IF(INDEX($F$206:$F$229,MATCH($B252,$B$206:$B$229,FALSE))=0,NA(),INDEX(I$14:I$37,MATCH($B252,$B$14:$B$37,FALSE))/INDEX($F$206:$F$229,MATCH($B252,$B$206:$B$229,FALSE))),NA()),NA())</f>
        <v>#N/A</v>
      </c>
      <c r="K252" s="65" t="e">
        <f>IF(J60=1,IF(J$13&lt;=COUNT($C32:$CS32),IF(INDEX($F$206:$F$229,MATCH($B252,$B$206:$B$229,FALSE))=0,NA(),INDEX(J$14:J$37,MATCH($B252,$B$14:$B$37,FALSE))/INDEX($F$206:$F$229,MATCH($B252,$B$206:$B$229,FALSE))),NA()),NA())</f>
        <v>#N/A</v>
      </c>
      <c r="L252" s="65" t="e">
        <f>IF(K60=1,IF(K$13&lt;=COUNT($C32:$CS32),IF(INDEX($F$206:$F$229,MATCH($B252,$B$206:$B$229,FALSE))=0,NA(),INDEX(K$14:K$37,MATCH($B252,$B$14:$B$37,FALSE))/INDEX($F$206:$F$229,MATCH($B252,$B$206:$B$229,FALSE))),NA()),NA())</f>
        <v>#N/A</v>
      </c>
      <c r="M252" s="65" t="e">
        <f>IF(L60=1,IF(L$13&lt;=COUNT($C32:$CS32),IF(INDEX($F$206:$F$229,MATCH($B252,$B$206:$B$229,FALSE))=0,NA(),INDEX(L$14:L$37,MATCH($B252,$B$14:$B$37,FALSE))/INDEX($F$206:$F$229,MATCH($B252,$B$206:$B$229,FALSE))),NA()),NA())</f>
        <v>#N/A</v>
      </c>
      <c r="N252" s="65" t="e">
        <f>IF(M60=1,IF(M$13&lt;=COUNT($C32:$CS32),IF(INDEX($F$206:$F$229,MATCH($B252,$B$206:$B$229,FALSE))=0,NA(),INDEX(M$14:M$37,MATCH($B252,$B$14:$B$37,FALSE))/INDEX($F$206:$F$229,MATCH($B252,$B$206:$B$229,FALSE))),NA()),NA())</f>
        <v>#N/A</v>
      </c>
      <c r="O252" s="65" t="e">
        <f>IF(N60=1,IF(N$13&lt;=COUNT($C32:$CS32),IF(INDEX($F$206:$F$229,MATCH($B252,$B$206:$B$229,FALSE))=0,NA(),INDEX(N$14:N$37,MATCH($B252,$B$14:$B$37,FALSE))/INDEX($F$206:$F$229,MATCH($B252,$B$206:$B$229,FALSE))),NA()),NA())</f>
        <v>#N/A</v>
      </c>
      <c r="P252" s="65" t="e">
        <f>IF(O60=1,IF(O$13&lt;=COUNT($C32:$CS32),IF(INDEX($F$206:$F$229,MATCH($B252,$B$206:$B$229,FALSE))=0,NA(),INDEX(O$14:O$37,MATCH($B252,$B$14:$B$37,FALSE))/INDEX($F$206:$F$229,MATCH($B252,$B$206:$B$229,FALSE))),NA()),NA())</f>
        <v>#N/A</v>
      </c>
      <c r="Q252" s="65" t="e">
        <f>IF(P60=1,IF(P$13&lt;=COUNT($C32:$CS32),IF(INDEX($F$206:$F$229,MATCH($B252,$B$206:$B$229,FALSE))=0,NA(),INDEX(P$14:P$37,MATCH($B252,$B$14:$B$37,FALSE))/INDEX($F$206:$F$229,MATCH($B252,$B$206:$B$229,FALSE))),NA()),NA())</f>
        <v>#N/A</v>
      </c>
      <c r="R252" s="65" t="e">
        <f>IF(Q60=1,IF(Q$13&lt;=COUNT($C32:$CS32),IF(INDEX($F$206:$F$229,MATCH($B252,$B$206:$B$229,FALSE))=0,NA(),INDEX(Q$14:Q$37,MATCH($B252,$B$14:$B$37,FALSE))/INDEX($F$206:$F$229,MATCH($B252,$B$206:$B$229,FALSE))),NA()),NA())</f>
        <v>#N/A</v>
      </c>
      <c r="S252" s="65" t="e">
        <f>IF(R60=1,IF(R$13&lt;=COUNT($C32:$CS32),IF(INDEX($F$206:$F$229,MATCH($B252,$B$206:$B$229,FALSE))=0,NA(),INDEX(R$14:R$37,MATCH($B252,$B$14:$B$37,FALSE))/INDEX($F$206:$F$229,MATCH($B252,$B$206:$B$229,FALSE))),NA()),NA())</f>
        <v>#N/A</v>
      </c>
      <c r="T252" s="65" t="e">
        <f>IF(S60=1,IF(S$13&lt;=COUNT($C32:$CS32),IF(INDEX($F$206:$F$229,MATCH($B252,$B$206:$B$229,FALSE))=0,NA(),INDEX(S$14:S$37,MATCH($B252,$B$14:$B$37,FALSE))/INDEX($F$206:$F$229,MATCH($B252,$B$206:$B$229,FALSE))),NA()),NA())</f>
        <v>#N/A</v>
      </c>
      <c r="U252" s="65" t="e">
        <f>IF(T60=1,IF(T$13&lt;=COUNT($C32:$CS32),IF(INDEX($F$206:$F$229,MATCH($B252,$B$206:$B$229,FALSE))=0,NA(),INDEX(T$14:T$37,MATCH($B252,$B$14:$B$37,FALSE))/INDEX($F$206:$F$229,MATCH($B252,$B$206:$B$229,FALSE))),NA()),NA())</f>
        <v>#N/A</v>
      </c>
      <c r="V252" s="65" t="e">
        <f>IF(U60=1,IF(U$13&lt;=COUNT($C32:$CS32),IF(INDEX($F$206:$F$229,MATCH($B252,$B$206:$B$229,FALSE))=0,NA(),INDEX(U$14:U$37,MATCH($B252,$B$14:$B$37,FALSE))/INDEX($F$206:$F$229,MATCH($B252,$B$206:$B$229,FALSE))),NA()),NA())</f>
        <v>#N/A</v>
      </c>
      <c r="W252" s="65" t="e">
        <f>IF(V60=1,IF(V$13&lt;=COUNT($C32:$CS32),IF(INDEX($F$206:$F$229,MATCH($B252,$B$206:$B$229,FALSE))=0,NA(),INDEX(V$14:V$37,MATCH($B252,$B$14:$B$37,FALSE))/INDEX($F$206:$F$229,MATCH($B252,$B$206:$B$229,FALSE))),NA()),NA())</f>
        <v>#N/A</v>
      </c>
      <c r="X252" s="65" t="e">
        <f>IF(W60=1,IF(W$13&lt;=COUNT($C32:$CS32),IF(INDEX($F$206:$F$229,MATCH($B252,$B$206:$B$229,FALSE))=0,NA(),INDEX(W$14:W$37,MATCH($B252,$B$14:$B$37,FALSE))/INDEX($F$206:$F$229,MATCH($B252,$B$206:$B$229,FALSE))),NA()),NA())</f>
        <v>#N/A</v>
      </c>
      <c r="Y252" s="65" t="e">
        <f>IF(X60=1,IF(X$13&lt;=COUNT($C32:$CS32),IF(INDEX($F$206:$F$229,MATCH($B252,$B$206:$B$229,FALSE))=0,NA(),INDEX(X$14:X$37,MATCH($B252,$B$14:$B$37,FALSE))/INDEX($F$206:$F$229,MATCH($B252,$B$206:$B$229,FALSE))),NA()),NA())</f>
        <v>#N/A</v>
      </c>
      <c r="Z252" s="65" t="e">
        <f>IF(Y60=1,IF(Y$13&lt;=COUNT($C32:$CS32),IF(INDEX($F$206:$F$229,MATCH($B252,$B$206:$B$229,FALSE))=0,NA(),INDEX(Y$14:Y$37,MATCH($B252,$B$14:$B$37,FALSE))/INDEX($F$206:$F$229,MATCH($B252,$B$206:$B$229,FALSE))),NA()),NA())</f>
        <v>#N/A</v>
      </c>
      <c r="AA252" s="65" t="e">
        <f>IF(Z60=1,IF(Z$13&lt;=COUNT($C32:$CS32),IF(INDEX($F$206:$F$229,MATCH($B252,$B$206:$B$229,FALSE))=0,NA(),INDEX(Z$14:Z$37,MATCH($B252,$B$14:$B$37,FALSE))/INDEX($F$206:$F$229,MATCH($B252,$B$206:$B$229,FALSE))),NA()),NA())</f>
        <v>#N/A</v>
      </c>
      <c r="AB252" s="65" t="e">
        <f>IF(AA60=1,IF(AA$13&lt;=COUNT($C32:$CS32),IF(INDEX($F$206:$F$229,MATCH($B252,$B$206:$B$229,FALSE))=0,NA(),INDEX(AA$14:AA$37,MATCH($B252,$B$14:$B$37,FALSE))/INDEX($F$206:$F$229,MATCH($B252,$B$206:$B$229,FALSE))),NA()),NA())</f>
        <v>#N/A</v>
      </c>
      <c r="AC252" s="65" t="e">
        <f>IF(AB60=1,IF(AB$13&lt;=COUNT($C32:$CS32),IF(INDEX($F$206:$F$229,MATCH($B252,$B$206:$B$229,FALSE))=0,NA(),INDEX(AB$14:AB$37,MATCH($B252,$B$14:$B$37,FALSE))/INDEX($F$206:$F$229,MATCH($B252,$B$206:$B$229,FALSE))),NA()),NA())</f>
        <v>#N/A</v>
      </c>
      <c r="AD252" s="65" t="e">
        <f>IF(AC60=1,IF(AC$13&lt;=COUNT($C32:$CS32),IF(INDEX($F$206:$F$229,MATCH($B252,$B$206:$B$229,FALSE))=0,NA(),INDEX(AC$14:AC$37,MATCH($B252,$B$14:$B$37,FALSE))/INDEX($F$206:$F$229,MATCH($B252,$B$206:$B$229,FALSE))),NA()),NA())</f>
        <v>#N/A</v>
      </c>
      <c r="AE252" s="65" t="e">
        <f>IF(AD60=1,IF(AD$13&lt;=COUNT($C32:$CS32),IF(INDEX($F$206:$F$229,MATCH($B252,$B$206:$B$229,FALSE))=0,NA(),INDEX(AD$14:AD$37,MATCH($B252,$B$14:$B$37,FALSE))/INDEX($F$206:$F$229,MATCH($B252,$B$206:$B$229,FALSE))),NA()),NA())</f>
        <v>#N/A</v>
      </c>
      <c r="AF252" s="65" t="e">
        <f>IF(AE60=1,IF(AE$13&lt;=COUNT($C32:$CS32),IF(INDEX($F$206:$F$229,MATCH($B252,$B$206:$B$229,FALSE))=0,NA(),INDEX(AE$14:AE$37,MATCH($B252,$B$14:$B$37,FALSE))/INDEX($F$206:$F$229,MATCH($B252,$B$206:$B$229,FALSE))),NA()),NA())</f>
        <v>#N/A</v>
      </c>
      <c r="AG252" s="65" t="e">
        <f>IF(AF60=1,IF(AF$13&lt;=COUNT($C32:$CS32),IF(INDEX($F$206:$F$229,MATCH($B252,$B$206:$B$229,FALSE))=0,NA(),INDEX(AF$14:AF$37,MATCH($B252,$B$14:$B$37,FALSE))/INDEX($F$206:$F$229,MATCH($B252,$B$206:$B$229,FALSE))),NA()),NA())</f>
        <v>#N/A</v>
      </c>
      <c r="AH252" s="65" t="e">
        <f>IF(AG60=1,IF(AG$13&lt;=COUNT($C32:$CS32),IF(INDEX($F$206:$F$229,MATCH($B252,$B$206:$B$229,FALSE))=0,NA(),INDEX(AG$14:AG$37,MATCH($B252,$B$14:$B$37,FALSE))/INDEX($F$206:$F$229,MATCH($B252,$B$206:$B$229,FALSE))),NA()),NA())</f>
        <v>#N/A</v>
      </c>
      <c r="AI252" s="65" t="e">
        <f>IF(AH60=1,IF(AH$13&lt;=COUNT($C32:$CS32),IF(INDEX($F$206:$F$229,MATCH($B252,$B$206:$B$229,FALSE))=0,NA(),INDEX(AH$14:AH$37,MATCH($B252,$B$14:$B$37,FALSE))/INDEX($F$206:$F$229,MATCH($B252,$B$206:$B$229,FALSE))),NA()),NA())</f>
        <v>#N/A</v>
      </c>
      <c r="AJ252" s="65" t="e">
        <f>IF(AI60=1,IF(AI$13&lt;=COUNT($C32:$CS32),IF(INDEX($F$206:$F$229,MATCH($B252,$B$206:$B$229,FALSE))=0,NA(),INDEX(AI$14:AI$37,MATCH($B252,$B$14:$B$37,FALSE))/INDEX($F$206:$F$229,MATCH($B252,$B$206:$B$229,FALSE))),NA()),NA())</f>
        <v>#N/A</v>
      </c>
      <c r="AK252" s="65" t="e">
        <f>IF(AJ60=1,IF(AJ$13&lt;=COUNT($C32:$CS32),IF(INDEX($F$206:$F$229,MATCH($B252,$B$206:$B$229,FALSE))=0,NA(),INDEX(AJ$14:AJ$37,MATCH($B252,$B$14:$B$37,FALSE))/INDEX($F$206:$F$229,MATCH($B252,$B$206:$B$229,FALSE))),NA()),NA())</f>
        <v>#N/A</v>
      </c>
      <c r="AL252" s="65" t="e">
        <f>IF(AK60=1,IF(AK$13&lt;=COUNT($C32:$CS32),IF(INDEX($F$206:$F$229,MATCH($B252,$B$206:$B$229,FALSE))=0,NA(),INDEX(AK$14:AK$37,MATCH($B252,$B$14:$B$37,FALSE))/INDEX($F$206:$F$229,MATCH($B252,$B$206:$B$229,FALSE))),NA()),NA())</f>
        <v>#N/A</v>
      </c>
      <c r="AM252" s="65" t="e">
        <f>IF(AL60=1,IF(AL$13&lt;=COUNT($C32:$CS32),IF(INDEX($F$206:$F$229,MATCH($B252,$B$206:$B$229,FALSE))=0,NA(),INDEX(AL$14:AL$37,MATCH($B252,$B$14:$B$37,FALSE))/INDEX($F$206:$F$229,MATCH($B252,$B$206:$B$229,FALSE))),NA()),NA())</f>
        <v>#N/A</v>
      </c>
      <c r="AN252" s="65" t="e">
        <f>IF(AM60=1,IF(AM$13&lt;=COUNT($C32:$CS32),IF(INDEX($F$206:$F$229,MATCH($B252,$B$206:$B$229,FALSE))=0,NA(),INDEX(AM$14:AM$37,MATCH($B252,$B$14:$B$37,FALSE))/INDEX($F$206:$F$229,MATCH($B252,$B$206:$B$229,FALSE))),NA()),NA())</f>
        <v>#N/A</v>
      </c>
      <c r="AO252" s="65" t="e">
        <f>IF(AN60=1,IF(AN$13&lt;=COUNT($C32:$CS32),IF(INDEX($F$206:$F$229,MATCH($B252,$B$206:$B$229,FALSE))=0,NA(),INDEX(AN$14:AN$37,MATCH($B252,$B$14:$B$37,FALSE))/INDEX($F$206:$F$229,MATCH($B252,$B$206:$B$229,FALSE))),NA()),NA())</f>
        <v>#N/A</v>
      </c>
      <c r="AP252" s="65" t="e">
        <f>IF(AO60=1,IF(AO$13&lt;=COUNT($C32:$CS32),IF(INDEX($F$206:$F$229,MATCH($B252,$B$206:$B$229,FALSE))=0,NA(),INDEX(AO$14:AO$37,MATCH($B252,$B$14:$B$37,FALSE))/INDEX($F$206:$F$229,MATCH($B252,$B$206:$B$229,FALSE))),NA()),NA())</f>
        <v>#N/A</v>
      </c>
      <c r="AQ252" s="65" t="e">
        <f>IF(AP60=1,IF(AP$13&lt;=COUNT($C32:$CS32),IF(INDEX($F$206:$F$229,MATCH($B252,$B$206:$B$229,FALSE))=0,NA(),INDEX(AP$14:AP$37,MATCH($B252,$B$14:$B$37,FALSE))/INDEX($F$206:$F$229,MATCH($B252,$B$206:$B$229,FALSE))),NA()),NA())</f>
        <v>#N/A</v>
      </c>
      <c r="AR252" s="65" t="e">
        <f>IF(AQ60=1,IF(AQ$13&lt;=COUNT($C32:$CS32),IF(INDEX($F$206:$F$229,MATCH($B252,$B$206:$B$229,FALSE))=0,NA(),INDEX(AQ$14:AQ$37,MATCH($B252,$B$14:$B$37,FALSE))/INDEX($F$206:$F$229,MATCH($B252,$B$206:$B$229,FALSE))),NA()),NA())</f>
        <v>#N/A</v>
      </c>
      <c r="AS252" s="65" t="e">
        <f>IF(AR60=1,IF(AR$13&lt;=COUNT($C32:$CS32),IF(INDEX($F$206:$F$229,MATCH($B252,$B$206:$B$229,FALSE))=0,NA(),INDEX(AR$14:AR$37,MATCH($B252,$B$14:$B$37,FALSE))/INDEX($F$206:$F$229,MATCH($B252,$B$206:$B$229,FALSE))),NA()),NA())</f>
        <v>#N/A</v>
      </c>
      <c r="AT252" s="65" t="e">
        <f>IF(AS60=1,IF(AS$13&lt;=COUNT($C32:$CS32),IF(INDEX($F$206:$F$229,MATCH($B252,$B$206:$B$229,FALSE))=0,NA(),INDEX(AS$14:AS$37,MATCH($B252,$B$14:$B$37,FALSE))/INDEX($F$206:$F$229,MATCH($B252,$B$206:$B$229,FALSE))),NA()),NA())</f>
        <v>#N/A</v>
      </c>
      <c r="AU252" s="65" t="e">
        <f>IF(AT60=1,IF(AT$13&lt;=COUNT($C32:$CS32),IF(INDEX($F$206:$F$229,MATCH($B252,$B$206:$B$229,FALSE))=0,NA(),INDEX(AT$14:AT$37,MATCH($B252,$B$14:$B$37,FALSE))/INDEX($F$206:$F$229,MATCH($B252,$B$206:$B$229,FALSE))),NA()),NA())</f>
        <v>#N/A</v>
      </c>
      <c r="AV252" s="65" t="e">
        <f>IF(AU60=1,IF(AU$13&lt;=COUNT($C32:$CS32),IF(INDEX($F$206:$F$229,MATCH($B252,$B$206:$B$229,FALSE))=0,NA(),INDEX(AU$14:AU$37,MATCH($B252,$B$14:$B$37,FALSE))/INDEX($F$206:$F$229,MATCH($B252,$B$206:$B$229,FALSE))),NA()),NA())</f>
        <v>#N/A</v>
      </c>
      <c r="AW252" s="65" t="e">
        <f>IF(AV60=1,IF(AV$13&lt;=COUNT($C32:$CS32),IF(INDEX($F$206:$F$229,MATCH($B252,$B$206:$B$229,FALSE))=0,NA(),INDEX(AV$14:AV$37,MATCH($B252,$B$14:$B$37,FALSE))/INDEX($F$206:$F$229,MATCH($B252,$B$206:$B$229,FALSE))),NA()),NA())</f>
        <v>#N/A</v>
      </c>
      <c r="AX252" s="65" t="e">
        <f>IF(AW60=1,IF(AW$13&lt;=COUNT($C32:$CS32),IF(INDEX($F$206:$F$229,MATCH($B252,$B$206:$B$229,FALSE))=0,NA(),INDEX(AW$14:AW$37,MATCH($B252,$B$14:$B$37,FALSE))/INDEX($F$206:$F$229,MATCH($B252,$B$206:$B$229,FALSE))),NA()),NA())</f>
        <v>#N/A</v>
      </c>
      <c r="AY252" s="65" t="e">
        <f>IF(AX60=1,IF(AX$13&lt;=COUNT($C32:$CS32),IF(INDEX($F$206:$F$229,MATCH($B252,$B$206:$B$229,FALSE))=0,NA(),INDEX(AX$14:AX$37,MATCH($B252,$B$14:$B$37,FALSE))/INDEX($F$206:$F$229,MATCH($B252,$B$206:$B$229,FALSE))),NA()),NA())</f>
        <v>#N/A</v>
      </c>
      <c r="AZ252" s="65" t="e">
        <f>IF(AY60=1,IF(AY$13&lt;=COUNT($C32:$CS32),IF(INDEX($F$206:$F$229,MATCH($B252,$B$206:$B$229,FALSE))=0,NA(),INDEX(AY$14:AY$37,MATCH($B252,$B$14:$B$37,FALSE))/INDEX($F$206:$F$229,MATCH($B252,$B$206:$B$229,FALSE))),NA()),NA())</f>
        <v>#N/A</v>
      </c>
      <c r="BA252" s="65" t="e">
        <f>IF(AZ60=1,IF(AZ$13&lt;=COUNT($C32:$CS32),IF(INDEX($F$206:$F$229,MATCH($B252,$B$206:$B$229,FALSE))=0,NA(),INDEX(AZ$14:AZ$37,MATCH($B252,$B$14:$B$37,FALSE))/INDEX($F$206:$F$229,MATCH($B252,$B$206:$B$229,FALSE))),NA()),NA())</f>
        <v>#N/A</v>
      </c>
      <c r="BB252" s="65" t="e">
        <f>IF(BA60=1,IF(BA$13&lt;=COUNT($C32:$CS32),IF(INDEX($F$206:$F$229,MATCH($B252,$B$206:$B$229,FALSE))=0,NA(),INDEX(BA$14:BA$37,MATCH($B252,$B$14:$B$37,FALSE))/INDEX($F$206:$F$229,MATCH($B252,$B$206:$B$229,FALSE))),NA()),NA())</f>
        <v>#N/A</v>
      </c>
      <c r="BC252" s="65" t="e">
        <f>IF(BB60=1,IF(BB$13&lt;=COUNT($C32:$CS32),IF(INDEX($F$206:$F$229,MATCH($B252,$B$206:$B$229,FALSE))=0,NA(),INDEX(BB$14:BB$37,MATCH($B252,$B$14:$B$37,FALSE))/INDEX($F$206:$F$229,MATCH($B252,$B$206:$B$229,FALSE))),NA()),NA())</f>
        <v>#N/A</v>
      </c>
      <c r="BD252" s="65" t="e">
        <f>IF(BC60=1,IF(BC$13&lt;=COUNT($C32:$CS32),IF(INDEX($F$206:$F$229,MATCH($B252,$B$206:$B$229,FALSE))=0,NA(),INDEX(BC$14:BC$37,MATCH($B252,$B$14:$B$37,FALSE))/INDEX($F$206:$F$229,MATCH($B252,$B$206:$B$229,FALSE))),NA()),NA())</f>
        <v>#N/A</v>
      </c>
      <c r="BE252" s="65" t="e">
        <f>IF(BD60=1,IF(BD$13&lt;=COUNT($C32:$CS32),IF(INDEX($F$206:$F$229,MATCH($B252,$B$206:$B$229,FALSE))=0,NA(),INDEX(BD$14:BD$37,MATCH($B252,$B$14:$B$37,FALSE))/INDEX($F$206:$F$229,MATCH($B252,$B$206:$B$229,FALSE))),NA()),NA())</f>
        <v>#N/A</v>
      </c>
      <c r="BF252" s="65" t="e">
        <f>IF(BE60=1,IF(BE$13&lt;=COUNT($C32:$CS32),IF(INDEX($F$206:$F$229,MATCH($B252,$B$206:$B$229,FALSE))=0,NA(),INDEX(BE$14:BE$37,MATCH($B252,$B$14:$B$37,FALSE))/INDEX($F$206:$F$229,MATCH($B252,$B$206:$B$229,FALSE))),NA()),NA())</f>
        <v>#N/A</v>
      </c>
      <c r="BG252" s="65" t="e">
        <f>IF(BF60=1,IF(BF$13&lt;=COUNT($C32:$CS32),IF(INDEX($F$206:$F$229,MATCH($B252,$B$206:$B$229,FALSE))=0,NA(),INDEX(BF$14:BF$37,MATCH($B252,$B$14:$B$37,FALSE))/INDEX($F$206:$F$229,MATCH($B252,$B$206:$B$229,FALSE))),NA()),NA())</f>
        <v>#N/A</v>
      </c>
      <c r="BH252" s="65" t="e">
        <f>IF(BG60=1,IF(BG$13&lt;=COUNT($C32:$CS32),IF(INDEX($F$206:$F$229,MATCH($B252,$B$206:$B$229,FALSE))=0,NA(),INDEX(BG$14:BG$37,MATCH($B252,$B$14:$B$37,FALSE))/INDEX($F$206:$F$229,MATCH($B252,$B$206:$B$229,FALSE))),NA()),NA())</f>
        <v>#N/A</v>
      </c>
      <c r="BI252" s="65" t="e">
        <f>IF(BH60=1,IF(BH$13&lt;=COUNT($C32:$CS32),IF(INDEX($F$206:$F$229,MATCH($B252,$B$206:$B$229,FALSE))=0,NA(),INDEX(BH$14:BH$37,MATCH($B252,$B$14:$B$37,FALSE))/INDEX($F$206:$F$229,MATCH($B252,$B$206:$B$229,FALSE))),NA()),NA())</f>
        <v>#N/A</v>
      </c>
      <c r="BJ252" s="65" t="e">
        <f>IF(BI60=1,IF(BI$13&lt;=COUNT($C32:$CS32),IF(INDEX($F$206:$F$229,MATCH($B252,$B$206:$B$229,FALSE))=0,NA(),INDEX(BI$14:BI$37,MATCH($B252,$B$14:$B$37,FALSE))/INDEX($F$206:$F$229,MATCH($B252,$B$206:$B$229,FALSE))),NA()),NA())</f>
        <v>#N/A</v>
      </c>
      <c r="BK252" s="65" t="e">
        <f>IF(BJ60=1,IF(BJ$13&lt;=COUNT($C32:$CS32),IF(INDEX($F$206:$F$229,MATCH($B252,$B$206:$B$229,FALSE))=0,NA(),INDEX(BJ$14:BJ$37,MATCH($B252,$B$14:$B$37,FALSE))/INDEX($F$206:$F$229,MATCH($B252,$B$206:$B$229,FALSE))),NA()),NA())</f>
        <v>#N/A</v>
      </c>
      <c r="BL252" s="65" t="e">
        <f>IF(BK60=1,IF(BK$13&lt;=COUNT($C32:$CS32),IF(INDEX($F$206:$F$229,MATCH($B252,$B$206:$B$229,FALSE))=0,NA(),INDEX(BK$14:BK$37,MATCH($B252,$B$14:$B$37,FALSE))/INDEX($F$206:$F$229,MATCH($B252,$B$206:$B$229,FALSE))),NA()),NA())</f>
        <v>#N/A</v>
      </c>
      <c r="BM252" s="65" t="e">
        <f>IF(BL60=1,IF(BL$13&lt;=COUNT($C32:$CS32),IF(INDEX($F$206:$F$229,MATCH($B252,$B$206:$B$229,FALSE))=0,NA(),INDEX(BL$14:BL$37,MATCH($B252,$B$14:$B$37,FALSE))/INDEX($F$206:$F$229,MATCH($B252,$B$206:$B$229,FALSE))),NA()),NA())</f>
        <v>#N/A</v>
      </c>
      <c r="BN252" s="65" t="e">
        <f>IF(BM60=1,IF(BM$13&lt;=COUNT($C32:$CS32),IF(INDEX($F$206:$F$229,MATCH($B252,$B$206:$B$229,FALSE))=0,NA(),INDEX(BM$14:BM$37,MATCH($B252,$B$14:$B$37,FALSE))/INDEX($F$206:$F$229,MATCH($B252,$B$206:$B$229,FALSE))),NA()),NA())</f>
        <v>#N/A</v>
      </c>
      <c r="BO252" s="65" t="e">
        <f>IF(BN60=1,IF(BN$13&lt;=COUNT($C32:$CS32),IF(INDEX($F$206:$F$229,MATCH($B252,$B$206:$B$229,FALSE))=0,NA(),INDEX(BN$14:BN$37,MATCH($B252,$B$14:$B$37,FALSE))/INDEX($F$206:$F$229,MATCH($B252,$B$206:$B$229,FALSE))),NA()),NA())</f>
        <v>#N/A</v>
      </c>
      <c r="BP252" s="65" t="e">
        <f>IF(BO60=1,IF(BO$13&lt;=COUNT($C32:$CS32),IF(INDEX($F$206:$F$229,MATCH($B252,$B$206:$B$229,FALSE))=0,NA(),INDEX(BO$14:BO$37,MATCH($B252,$B$14:$B$37,FALSE))/INDEX($F$206:$F$229,MATCH($B252,$B$206:$B$229,FALSE))),NA()),NA())</f>
        <v>#N/A</v>
      </c>
      <c r="BQ252" s="65" t="e">
        <f>IF(BP60=1,IF(BP$13&lt;=COUNT($C32:$CS32),IF(INDEX($F$206:$F$229,MATCH($B252,$B$206:$B$229,FALSE))=0,NA(),INDEX(BP$14:BP$37,MATCH($B252,$B$14:$B$37,FALSE))/INDEX($F$206:$F$229,MATCH($B252,$B$206:$B$229,FALSE))),NA()),NA())</f>
        <v>#N/A</v>
      </c>
      <c r="BR252" s="65" t="e">
        <f>IF(BQ60=1,IF(BQ$13&lt;=COUNT($C32:$CS32),IF(INDEX($F$206:$F$229,MATCH($B252,$B$206:$B$229,FALSE))=0,NA(),INDEX(BQ$14:BQ$37,MATCH($B252,$B$14:$B$37,FALSE))/INDEX($F$206:$F$229,MATCH($B252,$B$206:$B$229,FALSE))),NA()),NA())</f>
        <v>#N/A</v>
      </c>
      <c r="BS252" s="65" t="e">
        <f>IF(BR60=1,IF(BR$13&lt;=COUNT($C32:$CS32),IF(INDEX($F$206:$F$229,MATCH($B252,$B$206:$B$229,FALSE))=0,NA(),INDEX(BR$14:BR$37,MATCH($B252,$B$14:$B$37,FALSE))/INDEX($F$206:$F$229,MATCH($B252,$B$206:$B$229,FALSE))),NA()),NA())</f>
        <v>#N/A</v>
      </c>
      <c r="BT252" s="65" t="e">
        <f>IF(BS60=1,IF(BS$13&lt;=COUNT($C32:$CS32),IF(INDEX($F$206:$F$229,MATCH($B252,$B$206:$B$229,FALSE))=0,NA(),INDEX(BS$14:BS$37,MATCH($B252,$B$14:$B$37,FALSE))/INDEX($F$206:$F$229,MATCH($B252,$B$206:$B$229,FALSE))),NA()),NA())</f>
        <v>#N/A</v>
      </c>
      <c r="BU252" s="65" t="e">
        <f>IF(BT60=1,IF(BT$13&lt;=COUNT($C32:$CS32),IF(INDEX($F$206:$F$229,MATCH($B252,$B$206:$B$229,FALSE))=0,NA(),INDEX(BT$14:BT$37,MATCH($B252,$B$14:$B$37,FALSE))/INDEX($F$206:$F$229,MATCH($B252,$B$206:$B$229,FALSE))),NA()),NA())</f>
        <v>#N/A</v>
      </c>
      <c r="BV252" s="65" t="e">
        <f>IF(BU60=1,IF(BU$13&lt;=COUNT($C32:$CS32),IF(INDEX($F$206:$F$229,MATCH($B252,$B$206:$B$229,FALSE))=0,NA(),INDEX(BU$14:BU$37,MATCH($B252,$B$14:$B$37,FALSE))/INDEX($F$206:$F$229,MATCH($B252,$B$206:$B$229,FALSE))),NA()),NA())</f>
        <v>#N/A</v>
      </c>
      <c r="BW252" s="65" t="e">
        <f>IF(BV60=1,IF(BV$13&lt;=COUNT($C32:$CS32),IF(INDEX($F$206:$F$229,MATCH($B252,$B$206:$B$229,FALSE))=0,NA(),INDEX(BV$14:BV$37,MATCH($B252,$B$14:$B$37,FALSE))/INDEX($F$206:$F$229,MATCH($B252,$B$206:$B$229,FALSE))),NA()),NA())</f>
        <v>#N/A</v>
      </c>
      <c r="BX252" s="65" t="e">
        <f>IF(BW60=1,IF(BW$13&lt;=COUNT($C32:$CS32),IF(INDEX($F$206:$F$229,MATCH($B252,$B$206:$B$229,FALSE))=0,NA(),INDEX(BW$14:BW$37,MATCH($B252,$B$14:$B$37,FALSE))/INDEX($F$206:$F$229,MATCH($B252,$B$206:$B$229,FALSE))),NA()),NA())</f>
        <v>#N/A</v>
      </c>
      <c r="BY252" s="65" t="e">
        <f>IF(BX60=1,IF(BX$13&lt;=COUNT($C32:$CS32),IF(INDEX($F$206:$F$229,MATCH($B252,$B$206:$B$229,FALSE))=0,NA(),INDEX(BX$14:BX$37,MATCH($B252,$B$14:$B$37,FALSE))/INDEX($F$206:$F$229,MATCH($B252,$B$206:$B$229,FALSE))),NA()),NA())</f>
        <v>#N/A</v>
      </c>
      <c r="BZ252" s="65" t="e">
        <f>IF(BY60=1,IF(BY$13&lt;=COUNT($C32:$CS32),IF(INDEX($F$206:$F$229,MATCH($B252,$B$206:$B$229,FALSE))=0,NA(),INDEX(BY$14:BY$37,MATCH($B252,$B$14:$B$37,FALSE))/INDEX($F$206:$F$229,MATCH($B252,$B$206:$B$229,FALSE))),NA()),NA())</f>
        <v>#N/A</v>
      </c>
      <c r="CA252" s="65" t="e">
        <f>IF(BZ60=1,IF(BZ$13&lt;=COUNT($C32:$CS32),IF(INDEX($F$206:$F$229,MATCH($B252,$B$206:$B$229,FALSE))=0,NA(),INDEX(BZ$14:BZ$37,MATCH($B252,$B$14:$B$37,FALSE))/INDEX($F$206:$F$229,MATCH($B252,$B$206:$B$229,FALSE))),NA()),NA())</f>
        <v>#N/A</v>
      </c>
      <c r="CB252" s="65" t="e">
        <f>IF(CA60=1,IF(CA$13&lt;=COUNT($C32:$CS32),IF(INDEX($F$206:$F$229,MATCH($B252,$B$206:$B$229,FALSE))=0,NA(),INDEX(CA$14:CA$37,MATCH($B252,$B$14:$B$37,FALSE))/INDEX($F$206:$F$229,MATCH($B252,$B$206:$B$229,FALSE))),NA()),NA())</f>
        <v>#N/A</v>
      </c>
      <c r="CC252" s="65" t="e">
        <f>IF(CB60=1,IF(CB$13&lt;=COUNT($C32:$CS32),IF(INDEX($F$206:$F$229,MATCH($B252,$B$206:$B$229,FALSE))=0,NA(),INDEX(CB$14:CB$37,MATCH($B252,$B$14:$B$37,FALSE))/INDEX($F$206:$F$229,MATCH($B252,$B$206:$B$229,FALSE))),NA()),NA())</f>
        <v>#N/A</v>
      </c>
      <c r="CD252" s="65" t="e">
        <f>IF(CC60=1,IF(CC$13&lt;=COUNT($C32:$CS32),IF(INDEX($F$206:$F$229,MATCH($B252,$B$206:$B$229,FALSE))=0,NA(),INDEX(CC$14:CC$37,MATCH($B252,$B$14:$B$37,FALSE))/INDEX($F$206:$F$229,MATCH($B252,$B$206:$B$229,FALSE))),NA()),NA())</f>
        <v>#N/A</v>
      </c>
      <c r="CE252" s="65" t="e">
        <f>IF(CD60=1,IF(CD$13&lt;=COUNT($C32:$CS32),IF(INDEX($F$206:$F$229,MATCH($B252,$B$206:$B$229,FALSE))=0,NA(),INDEX(CD$14:CD$37,MATCH($B252,$B$14:$B$37,FALSE))/INDEX($F$206:$F$229,MATCH($B252,$B$206:$B$229,FALSE))),NA()),NA())</f>
        <v>#N/A</v>
      </c>
      <c r="CF252" s="65" t="e">
        <f>IF(CE60=1,IF(CE$13&lt;=COUNT($C32:$CS32),IF(INDEX($F$206:$F$229,MATCH($B252,$B$206:$B$229,FALSE))=0,NA(),INDEX(CE$14:CE$37,MATCH($B252,$B$14:$B$37,FALSE))/INDEX($F$206:$F$229,MATCH($B252,$B$206:$B$229,FALSE))),NA()),NA())</f>
        <v>#N/A</v>
      </c>
      <c r="CG252" s="65" t="e">
        <f>IF(CF60=1,IF(CF$13&lt;=COUNT($C32:$CS32),IF(INDEX($F$206:$F$229,MATCH($B252,$B$206:$B$229,FALSE))=0,NA(),INDEX(CF$14:CF$37,MATCH($B252,$B$14:$B$37,FALSE))/INDEX($F$206:$F$229,MATCH($B252,$B$206:$B$229,FALSE))),NA()),NA())</f>
        <v>#N/A</v>
      </c>
      <c r="CH252" s="65" t="e">
        <f>IF(CG60=1,IF(CG$13&lt;=COUNT($C32:$CS32),IF(INDEX($F$206:$F$229,MATCH($B252,$B$206:$B$229,FALSE))=0,NA(),INDEX(CG$14:CG$37,MATCH($B252,$B$14:$B$37,FALSE))/INDEX($F$206:$F$229,MATCH($B252,$B$206:$B$229,FALSE))),NA()),NA())</f>
        <v>#N/A</v>
      </c>
      <c r="CI252" s="65" t="e">
        <f>IF(CH60=1,IF(CH$13&lt;=COUNT($C32:$CS32),IF(INDEX($F$206:$F$229,MATCH($B252,$B$206:$B$229,FALSE))=0,NA(),INDEX(CH$14:CH$37,MATCH($B252,$B$14:$B$37,FALSE))/INDEX($F$206:$F$229,MATCH($B252,$B$206:$B$229,FALSE))),NA()),NA())</f>
        <v>#N/A</v>
      </c>
      <c r="CJ252" s="65" t="e">
        <f>IF(CI60=1,IF(CI$13&lt;=COUNT($C32:$CS32),IF(INDEX($F$206:$F$229,MATCH($B252,$B$206:$B$229,FALSE))=0,NA(),INDEX(CI$14:CI$37,MATCH($B252,$B$14:$B$37,FALSE))/INDEX($F$206:$F$229,MATCH($B252,$B$206:$B$229,FALSE))),NA()),NA())</f>
        <v>#N/A</v>
      </c>
      <c r="CK252" s="65" t="e">
        <f>IF(CJ60=1,IF(CJ$13&lt;=COUNT($C32:$CS32),IF(INDEX($F$206:$F$229,MATCH($B252,$B$206:$B$229,FALSE))=0,NA(),INDEX(CJ$14:CJ$37,MATCH($B252,$B$14:$B$37,FALSE))/INDEX($F$206:$F$229,MATCH($B252,$B$206:$B$229,FALSE))),NA()),NA())</f>
        <v>#N/A</v>
      </c>
      <c r="CL252" s="65" t="e">
        <f>IF(CK60=1,IF(CK$13&lt;=COUNT($C32:$CS32),IF(INDEX($F$206:$F$229,MATCH($B252,$B$206:$B$229,FALSE))=0,NA(),INDEX(CK$14:CK$37,MATCH($B252,$B$14:$B$37,FALSE))/INDEX($F$206:$F$229,MATCH($B252,$B$206:$B$229,FALSE))),NA()),NA())</f>
        <v>#N/A</v>
      </c>
      <c r="CM252" s="65" t="e">
        <f>IF(CL60=1,IF(CL$13&lt;=COUNT($C32:$CS32),IF(INDEX($F$206:$F$229,MATCH($B252,$B$206:$B$229,FALSE))=0,NA(),INDEX(CL$14:CL$37,MATCH($B252,$B$14:$B$37,FALSE))/INDEX($F$206:$F$229,MATCH($B252,$B$206:$B$229,FALSE))),NA()),NA())</f>
        <v>#N/A</v>
      </c>
      <c r="CN252" s="65" t="e">
        <f>IF(CM60=1,IF(CM$13&lt;=COUNT($C32:$CS32),IF(INDEX($F$206:$F$229,MATCH($B252,$B$206:$B$229,FALSE))=0,NA(),INDEX(CM$14:CM$37,MATCH($B252,$B$14:$B$37,FALSE))/INDEX($F$206:$F$229,MATCH($B252,$B$206:$B$229,FALSE))),NA()),NA())</f>
        <v>#N/A</v>
      </c>
      <c r="CO252" s="65" t="e">
        <f>IF(CN60=1,IF(CN$13&lt;=COUNT($C32:$CS32),IF(INDEX($F$206:$F$229,MATCH($B252,$B$206:$B$229,FALSE))=0,NA(),INDEX(CN$14:CN$37,MATCH($B252,$B$14:$B$37,FALSE))/INDEX($F$206:$F$229,MATCH($B252,$B$206:$B$229,FALSE))),NA()),NA())</f>
        <v>#N/A</v>
      </c>
      <c r="CP252" s="65" t="e">
        <f>IF(CO60=1,IF(CO$13&lt;=COUNT($C32:$CS32),IF(INDEX($F$206:$F$229,MATCH($B252,$B$206:$B$229,FALSE))=0,NA(),INDEX(CO$14:CO$37,MATCH($B252,$B$14:$B$37,FALSE))/INDEX($F$206:$F$229,MATCH($B252,$B$206:$B$229,FALSE))),NA()),NA())</f>
        <v>#N/A</v>
      </c>
      <c r="CQ252" s="65" t="e">
        <f>IF(CP60=1,IF(CP$13&lt;=COUNT($C32:$CS32),IF(INDEX($F$206:$F$229,MATCH($B252,$B$206:$B$229,FALSE))=0,NA(),INDEX(CP$14:CP$37,MATCH($B252,$B$14:$B$37,FALSE))/INDEX($F$206:$F$229,MATCH($B252,$B$206:$B$229,FALSE))),NA()),NA())</f>
        <v>#N/A</v>
      </c>
      <c r="CR252" s="65" t="e">
        <f>IF(CQ60=1,IF(CQ$13&lt;=COUNT($C32:$CS32),IF(INDEX($F$206:$F$229,MATCH($B252,$B$206:$B$229,FALSE))=0,NA(),INDEX(CQ$14:CQ$37,MATCH($B252,$B$14:$B$37,FALSE))/INDEX($F$206:$F$229,MATCH($B252,$B$206:$B$229,FALSE))),NA()),NA())</f>
        <v>#N/A</v>
      </c>
      <c r="CS252" s="65" t="e">
        <f>IF(CR60=1,IF(CR$13&lt;=COUNT($C32:$CS32),IF(INDEX($F$206:$F$229,MATCH($B252,$B$206:$B$229,FALSE))=0,NA(),INDEX(CR$14:CR$37,MATCH($B252,$B$14:$B$37,FALSE))/INDEX($F$206:$F$229,MATCH($B252,$B$206:$B$229,FALSE))),NA()),NA())</f>
        <v>#N/A</v>
      </c>
      <c r="CT252" s="49"/>
      <c r="CU252" s="49"/>
      <c r="CV252" s="49"/>
      <c r="CW252" s="49"/>
    </row>
    <row r="253" spans="1:101" x14ac:dyDescent="0.25">
      <c r="A253" s="97">
        <f t="shared" si="352"/>
        <v>1</v>
      </c>
      <c r="B253" s="29">
        <f t="shared" si="351"/>
        <v>2015</v>
      </c>
      <c r="C253" s="154" t="str">
        <f t="shared" si="353"/>
        <v/>
      </c>
      <c r="D253" s="54" t="e">
        <f ca="1">IF(C61=1,IF(C$13&lt;=COUNT($C33:$CS33),IF(INDEX($F$206:$F$229,MATCH($B253,$B$206:$B$229,FALSE))=0,NA(),INDEX(C$14:C$37,MATCH($B253,$B$14:$B$37,FALSE))/INDEX($F$206:$F$229,MATCH($B253,$B$206:$B$229,FALSE))),NA()),NA())</f>
        <v>#N/A</v>
      </c>
      <c r="E253" s="65" t="e">
        <f ca="1">IF(D61=1,IF(D$13&lt;=COUNT($C33:$CS33),IF(INDEX($F$206:$F$229,MATCH($B253,$B$206:$B$229,FALSE))=0,NA(),INDEX(D$14:D$37,MATCH($B253,$B$14:$B$37,FALSE))/INDEX($F$206:$F$229,MATCH($B253,$B$206:$B$229,FALSE))),NA()),NA())</f>
        <v>#N/A</v>
      </c>
      <c r="F253" s="65" t="e">
        <f ca="1">IF(E61=1,IF(E$13&lt;=COUNT($C33:$CS33),IF(INDEX($F$206:$F$229,MATCH($B253,$B$206:$B$229,FALSE))=0,NA(),INDEX(E$14:E$37,MATCH($B253,$B$14:$B$37,FALSE))/INDEX($F$206:$F$229,MATCH($B253,$B$206:$B$229,FALSE))),NA()),NA())</f>
        <v>#N/A</v>
      </c>
      <c r="G253" s="65" t="e">
        <f ca="1">IF(F61=1,IF(F$13&lt;=COUNT($C33:$CS33),IF(INDEX($F$206:$F$229,MATCH($B253,$B$206:$B$229,FALSE))=0,NA(),INDEX(F$14:F$37,MATCH($B253,$B$14:$B$37,FALSE))/INDEX($F$206:$F$229,MATCH($B253,$B$206:$B$229,FALSE))),NA()),NA())</f>
        <v>#N/A</v>
      </c>
      <c r="H253" s="65" t="e">
        <f ca="1">IF(G61=1,IF(G$13&lt;=COUNT($C33:$CS33),IF(INDEX($F$206:$F$229,MATCH($B253,$B$206:$B$229,FALSE))=0,NA(),INDEX(G$14:G$37,MATCH($B253,$B$14:$B$37,FALSE))/INDEX($F$206:$F$229,MATCH($B253,$B$206:$B$229,FALSE))),NA()),NA())</f>
        <v>#N/A</v>
      </c>
      <c r="I253" s="65" t="e">
        <f>IF(H61=1,IF(H$13&lt;=COUNT($C33:$CS33),IF(INDEX($F$206:$F$229,MATCH($B253,$B$206:$B$229,FALSE))=0,NA(),INDEX(H$14:H$37,MATCH($B253,$B$14:$B$37,FALSE))/INDEX($F$206:$F$229,MATCH($B253,$B$206:$B$229,FALSE))),NA()),NA())</f>
        <v>#N/A</v>
      </c>
      <c r="J253" s="65" t="e">
        <f>IF(I61=1,IF(I$13&lt;=COUNT($C33:$CS33),IF(INDEX($F$206:$F$229,MATCH($B253,$B$206:$B$229,FALSE))=0,NA(),INDEX(I$14:I$37,MATCH($B253,$B$14:$B$37,FALSE))/INDEX($F$206:$F$229,MATCH($B253,$B$206:$B$229,FALSE))),NA()),NA())</f>
        <v>#N/A</v>
      </c>
      <c r="K253" s="65" t="e">
        <f>IF(J61=1,IF(J$13&lt;=COUNT($C33:$CS33),IF(INDEX($F$206:$F$229,MATCH($B253,$B$206:$B$229,FALSE))=0,NA(),INDEX(J$14:J$37,MATCH($B253,$B$14:$B$37,FALSE))/INDEX($F$206:$F$229,MATCH($B253,$B$206:$B$229,FALSE))),NA()),NA())</f>
        <v>#N/A</v>
      </c>
      <c r="L253" s="65" t="e">
        <f>IF(K61=1,IF(K$13&lt;=COUNT($C33:$CS33),IF(INDEX($F$206:$F$229,MATCH($B253,$B$206:$B$229,FALSE))=0,NA(),INDEX(K$14:K$37,MATCH($B253,$B$14:$B$37,FALSE))/INDEX($F$206:$F$229,MATCH($B253,$B$206:$B$229,FALSE))),NA()),NA())</f>
        <v>#N/A</v>
      </c>
      <c r="M253" s="65" t="e">
        <f>IF(L61=1,IF(L$13&lt;=COUNT($C33:$CS33),IF(INDEX($F$206:$F$229,MATCH($B253,$B$206:$B$229,FALSE))=0,NA(),INDEX(L$14:L$37,MATCH($B253,$B$14:$B$37,FALSE))/INDEX($F$206:$F$229,MATCH($B253,$B$206:$B$229,FALSE))),NA()),NA())</f>
        <v>#N/A</v>
      </c>
      <c r="N253" s="65" t="e">
        <f>IF(M61=1,IF(M$13&lt;=COUNT($C33:$CS33),IF(INDEX($F$206:$F$229,MATCH($B253,$B$206:$B$229,FALSE))=0,NA(),INDEX(M$14:M$37,MATCH($B253,$B$14:$B$37,FALSE))/INDEX($F$206:$F$229,MATCH($B253,$B$206:$B$229,FALSE))),NA()),NA())</f>
        <v>#N/A</v>
      </c>
      <c r="O253" s="65" t="e">
        <f>IF(N61=1,IF(N$13&lt;=COUNT($C33:$CS33),IF(INDEX($F$206:$F$229,MATCH($B253,$B$206:$B$229,FALSE))=0,NA(),INDEX(N$14:N$37,MATCH($B253,$B$14:$B$37,FALSE))/INDEX($F$206:$F$229,MATCH($B253,$B$206:$B$229,FALSE))),NA()),NA())</f>
        <v>#N/A</v>
      </c>
      <c r="P253" s="65" t="e">
        <f>IF(O61=1,IF(O$13&lt;=COUNT($C33:$CS33),IF(INDEX($F$206:$F$229,MATCH($B253,$B$206:$B$229,FALSE))=0,NA(),INDEX(O$14:O$37,MATCH($B253,$B$14:$B$37,FALSE))/INDEX($F$206:$F$229,MATCH($B253,$B$206:$B$229,FALSE))),NA()),NA())</f>
        <v>#N/A</v>
      </c>
      <c r="Q253" s="65" t="e">
        <f>IF(P61=1,IF(P$13&lt;=COUNT($C33:$CS33),IF(INDEX($F$206:$F$229,MATCH($B253,$B$206:$B$229,FALSE))=0,NA(),INDEX(P$14:P$37,MATCH($B253,$B$14:$B$37,FALSE))/INDEX($F$206:$F$229,MATCH($B253,$B$206:$B$229,FALSE))),NA()),NA())</f>
        <v>#N/A</v>
      </c>
      <c r="R253" s="65" t="e">
        <f>IF(Q61=1,IF(Q$13&lt;=COUNT($C33:$CS33),IF(INDEX($F$206:$F$229,MATCH($B253,$B$206:$B$229,FALSE))=0,NA(),INDEX(Q$14:Q$37,MATCH($B253,$B$14:$B$37,FALSE))/INDEX($F$206:$F$229,MATCH($B253,$B$206:$B$229,FALSE))),NA()),NA())</f>
        <v>#N/A</v>
      </c>
      <c r="S253" s="65" t="e">
        <f>IF(R61=1,IF(R$13&lt;=COUNT($C33:$CS33),IF(INDEX($F$206:$F$229,MATCH($B253,$B$206:$B$229,FALSE))=0,NA(),INDEX(R$14:R$37,MATCH($B253,$B$14:$B$37,FALSE))/INDEX($F$206:$F$229,MATCH($B253,$B$206:$B$229,FALSE))),NA()),NA())</f>
        <v>#N/A</v>
      </c>
      <c r="T253" s="65" t="e">
        <f>IF(S61=1,IF(S$13&lt;=COUNT($C33:$CS33),IF(INDEX($F$206:$F$229,MATCH($B253,$B$206:$B$229,FALSE))=0,NA(),INDEX(S$14:S$37,MATCH($B253,$B$14:$B$37,FALSE))/INDEX($F$206:$F$229,MATCH($B253,$B$206:$B$229,FALSE))),NA()),NA())</f>
        <v>#N/A</v>
      </c>
      <c r="U253" s="65" t="e">
        <f>IF(T61=1,IF(T$13&lt;=COUNT($C33:$CS33),IF(INDEX($F$206:$F$229,MATCH($B253,$B$206:$B$229,FALSE))=0,NA(),INDEX(T$14:T$37,MATCH($B253,$B$14:$B$37,FALSE))/INDEX($F$206:$F$229,MATCH($B253,$B$206:$B$229,FALSE))),NA()),NA())</f>
        <v>#N/A</v>
      </c>
      <c r="V253" s="65" t="e">
        <f>IF(U61=1,IF(U$13&lt;=COUNT($C33:$CS33),IF(INDEX($F$206:$F$229,MATCH($B253,$B$206:$B$229,FALSE))=0,NA(),INDEX(U$14:U$37,MATCH($B253,$B$14:$B$37,FALSE))/INDEX($F$206:$F$229,MATCH($B253,$B$206:$B$229,FALSE))),NA()),NA())</f>
        <v>#N/A</v>
      </c>
      <c r="W253" s="65" t="e">
        <f>IF(V61=1,IF(V$13&lt;=COUNT($C33:$CS33),IF(INDEX($F$206:$F$229,MATCH($B253,$B$206:$B$229,FALSE))=0,NA(),INDEX(V$14:V$37,MATCH($B253,$B$14:$B$37,FALSE))/INDEX($F$206:$F$229,MATCH($B253,$B$206:$B$229,FALSE))),NA()),NA())</f>
        <v>#N/A</v>
      </c>
      <c r="X253" s="65" t="e">
        <f>IF(W61=1,IF(W$13&lt;=COUNT($C33:$CS33),IF(INDEX($F$206:$F$229,MATCH($B253,$B$206:$B$229,FALSE))=0,NA(),INDEX(W$14:W$37,MATCH($B253,$B$14:$B$37,FALSE))/INDEX($F$206:$F$229,MATCH($B253,$B$206:$B$229,FALSE))),NA()),NA())</f>
        <v>#N/A</v>
      </c>
      <c r="Y253" s="65" t="e">
        <f>IF(X61=1,IF(X$13&lt;=COUNT($C33:$CS33),IF(INDEX($F$206:$F$229,MATCH($B253,$B$206:$B$229,FALSE))=0,NA(),INDEX(X$14:X$37,MATCH($B253,$B$14:$B$37,FALSE))/INDEX($F$206:$F$229,MATCH($B253,$B$206:$B$229,FALSE))),NA()),NA())</f>
        <v>#N/A</v>
      </c>
      <c r="Z253" s="65" t="e">
        <f>IF(Y61=1,IF(Y$13&lt;=COUNT($C33:$CS33),IF(INDEX($F$206:$F$229,MATCH($B253,$B$206:$B$229,FALSE))=0,NA(),INDEX(Y$14:Y$37,MATCH($B253,$B$14:$B$37,FALSE))/INDEX($F$206:$F$229,MATCH($B253,$B$206:$B$229,FALSE))),NA()),NA())</f>
        <v>#N/A</v>
      </c>
      <c r="AA253" s="65" t="e">
        <f>IF(Z61=1,IF(Z$13&lt;=COUNT($C33:$CS33),IF(INDEX($F$206:$F$229,MATCH($B253,$B$206:$B$229,FALSE))=0,NA(),INDEX(Z$14:Z$37,MATCH($B253,$B$14:$B$37,FALSE))/INDEX($F$206:$F$229,MATCH($B253,$B$206:$B$229,FALSE))),NA()),NA())</f>
        <v>#N/A</v>
      </c>
      <c r="AB253" s="65" t="e">
        <f>IF(AA61=1,IF(AA$13&lt;=COUNT($C33:$CS33),IF(INDEX($F$206:$F$229,MATCH($B253,$B$206:$B$229,FALSE))=0,NA(),INDEX(AA$14:AA$37,MATCH($B253,$B$14:$B$37,FALSE))/INDEX($F$206:$F$229,MATCH($B253,$B$206:$B$229,FALSE))),NA()),NA())</f>
        <v>#N/A</v>
      </c>
      <c r="AC253" s="65" t="e">
        <f>IF(AB61=1,IF(AB$13&lt;=COUNT($C33:$CS33),IF(INDEX($F$206:$F$229,MATCH($B253,$B$206:$B$229,FALSE))=0,NA(),INDEX(AB$14:AB$37,MATCH($B253,$B$14:$B$37,FALSE))/INDEX($F$206:$F$229,MATCH($B253,$B$206:$B$229,FALSE))),NA()),NA())</f>
        <v>#N/A</v>
      </c>
      <c r="AD253" s="65" t="e">
        <f>IF(AC61=1,IF(AC$13&lt;=COUNT($C33:$CS33),IF(INDEX($F$206:$F$229,MATCH($B253,$B$206:$B$229,FALSE))=0,NA(),INDEX(AC$14:AC$37,MATCH($B253,$B$14:$B$37,FALSE))/INDEX($F$206:$F$229,MATCH($B253,$B$206:$B$229,FALSE))),NA()),NA())</f>
        <v>#N/A</v>
      </c>
      <c r="AE253" s="65" t="e">
        <f>IF(AD61=1,IF(AD$13&lt;=COUNT($C33:$CS33),IF(INDEX($F$206:$F$229,MATCH($B253,$B$206:$B$229,FALSE))=0,NA(),INDEX(AD$14:AD$37,MATCH($B253,$B$14:$B$37,FALSE))/INDEX($F$206:$F$229,MATCH($B253,$B$206:$B$229,FALSE))),NA()),NA())</f>
        <v>#N/A</v>
      </c>
      <c r="AF253" s="65" t="e">
        <f>IF(AE61=1,IF(AE$13&lt;=COUNT($C33:$CS33),IF(INDEX($F$206:$F$229,MATCH($B253,$B$206:$B$229,FALSE))=0,NA(),INDEX(AE$14:AE$37,MATCH($B253,$B$14:$B$37,FALSE))/INDEX($F$206:$F$229,MATCH($B253,$B$206:$B$229,FALSE))),NA()),NA())</f>
        <v>#N/A</v>
      </c>
      <c r="AG253" s="65" t="e">
        <f>IF(AF61=1,IF(AF$13&lt;=COUNT($C33:$CS33),IF(INDEX($F$206:$F$229,MATCH($B253,$B$206:$B$229,FALSE))=0,NA(),INDEX(AF$14:AF$37,MATCH($B253,$B$14:$B$37,FALSE))/INDEX($F$206:$F$229,MATCH($B253,$B$206:$B$229,FALSE))),NA()),NA())</f>
        <v>#N/A</v>
      </c>
      <c r="AH253" s="65" t="e">
        <f>IF(AG61=1,IF(AG$13&lt;=COUNT($C33:$CS33),IF(INDEX($F$206:$F$229,MATCH($B253,$B$206:$B$229,FALSE))=0,NA(),INDEX(AG$14:AG$37,MATCH($B253,$B$14:$B$37,FALSE))/INDEX($F$206:$F$229,MATCH($B253,$B$206:$B$229,FALSE))),NA()),NA())</f>
        <v>#N/A</v>
      </c>
      <c r="AI253" s="65" t="e">
        <f>IF(AH61=1,IF(AH$13&lt;=COUNT($C33:$CS33),IF(INDEX($F$206:$F$229,MATCH($B253,$B$206:$B$229,FALSE))=0,NA(),INDEX(AH$14:AH$37,MATCH($B253,$B$14:$B$37,FALSE))/INDEX($F$206:$F$229,MATCH($B253,$B$206:$B$229,FALSE))),NA()),NA())</f>
        <v>#N/A</v>
      </c>
      <c r="AJ253" s="65" t="e">
        <f>IF(AI61=1,IF(AI$13&lt;=COUNT($C33:$CS33),IF(INDEX($F$206:$F$229,MATCH($B253,$B$206:$B$229,FALSE))=0,NA(),INDEX(AI$14:AI$37,MATCH($B253,$B$14:$B$37,FALSE))/INDEX($F$206:$F$229,MATCH($B253,$B$206:$B$229,FALSE))),NA()),NA())</f>
        <v>#N/A</v>
      </c>
      <c r="AK253" s="65" t="e">
        <f>IF(AJ61=1,IF(AJ$13&lt;=COUNT($C33:$CS33),IF(INDEX($F$206:$F$229,MATCH($B253,$B$206:$B$229,FALSE))=0,NA(),INDEX(AJ$14:AJ$37,MATCH($B253,$B$14:$B$37,FALSE))/INDEX($F$206:$F$229,MATCH($B253,$B$206:$B$229,FALSE))),NA()),NA())</f>
        <v>#N/A</v>
      </c>
      <c r="AL253" s="65" t="e">
        <f>IF(AK61=1,IF(AK$13&lt;=COUNT($C33:$CS33),IF(INDEX($F$206:$F$229,MATCH($B253,$B$206:$B$229,FALSE))=0,NA(),INDEX(AK$14:AK$37,MATCH($B253,$B$14:$B$37,FALSE))/INDEX($F$206:$F$229,MATCH($B253,$B$206:$B$229,FALSE))),NA()),NA())</f>
        <v>#N/A</v>
      </c>
      <c r="AM253" s="65" t="e">
        <f>IF(AL61=1,IF(AL$13&lt;=COUNT($C33:$CS33),IF(INDEX($F$206:$F$229,MATCH($B253,$B$206:$B$229,FALSE))=0,NA(),INDEX(AL$14:AL$37,MATCH($B253,$B$14:$B$37,FALSE))/INDEX($F$206:$F$229,MATCH($B253,$B$206:$B$229,FALSE))),NA()),NA())</f>
        <v>#N/A</v>
      </c>
      <c r="AN253" s="65" t="e">
        <f>IF(AM61=1,IF(AM$13&lt;=COUNT($C33:$CS33),IF(INDEX($F$206:$F$229,MATCH($B253,$B$206:$B$229,FALSE))=0,NA(),INDEX(AM$14:AM$37,MATCH($B253,$B$14:$B$37,FALSE))/INDEX($F$206:$F$229,MATCH($B253,$B$206:$B$229,FALSE))),NA()),NA())</f>
        <v>#N/A</v>
      </c>
      <c r="AO253" s="65" t="e">
        <f>IF(AN61=1,IF(AN$13&lt;=COUNT($C33:$CS33),IF(INDEX($F$206:$F$229,MATCH($B253,$B$206:$B$229,FALSE))=0,NA(),INDEX(AN$14:AN$37,MATCH($B253,$B$14:$B$37,FALSE))/INDEX($F$206:$F$229,MATCH($B253,$B$206:$B$229,FALSE))),NA()),NA())</f>
        <v>#N/A</v>
      </c>
      <c r="AP253" s="65" t="e">
        <f>IF(AO61=1,IF(AO$13&lt;=COUNT($C33:$CS33),IF(INDEX($F$206:$F$229,MATCH($B253,$B$206:$B$229,FALSE))=0,NA(),INDEX(AO$14:AO$37,MATCH($B253,$B$14:$B$37,FALSE))/INDEX($F$206:$F$229,MATCH($B253,$B$206:$B$229,FALSE))),NA()),NA())</f>
        <v>#N/A</v>
      </c>
      <c r="AQ253" s="65" t="e">
        <f>IF(AP61=1,IF(AP$13&lt;=COUNT($C33:$CS33),IF(INDEX($F$206:$F$229,MATCH($B253,$B$206:$B$229,FALSE))=0,NA(),INDEX(AP$14:AP$37,MATCH($B253,$B$14:$B$37,FALSE))/INDEX($F$206:$F$229,MATCH($B253,$B$206:$B$229,FALSE))),NA()),NA())</f>
        <v>#N/A</v>
      </c>
      <c r="AR253" s="65" t="e">
        <f>IF(AQ61=1,IF(AQ$13&lt;=COUNT($C33:$CS33),IF(INDEX($F$206:$F$229,MATCH($B253,$B$206:$B$229,FALSE))=0,NA(),INDEX(AQ$14:AQ$37,MATCH($B253,$B$14:$B$37,FALSE))/INDEX($F$206:$F$229,MATCH($B253,$B$206:$B$229,FALSE))),NA()),NA())</f>
        <v>#N/A</v>
      </c>
      <c r="AS253" s="65" t="e">
        <f>IF(AR61=1,IF(AR$13&lt;=COUNT($C33:$CS33),IF(INDEX($F$206:$F$229,MATCH($B253,$B$206:$B$229,FALSE))=0,NA(),INDEX(AR$14:AR$37,MATCH($B253,$B$14:$B$37,FALSE))/INDEX($F$206:$F$229,MATCH($B253,$B$206:$B$229,FALSE))),NA()),NA())</f>
        <v>#N/A</v>
      </c>
      <c r="AT253" s="65" t="e">
        <f>IF(AS61=1,IF(AS$13&lt;=COUNT($C33:$CS33),IF(INDEX($F$206:$F$229,MATCH($B253,$B$206:$B$229,FALSE))=0,NA(),INDEX(AS$14:AS$37,MATCH($B253,$B$14:$B$37,FALSE))/INDEX($F$206:$F$229,MATCH($B253,$B$206:$B$229,FALSE))),NA()),NA())</f>
        <v>#N/A</v>
      </c>
      <c r="AU253" s="65" t="e">
        <f>IF(AT61=1,IF(AT$13&lt;=COUNT($C33:$CS33),IF(INDEX($F$206:$F$229,MATCH($B253,$B$206:$B$229,FALSE))=0,NA(),INDEX(AT$14:AT$37,MATCH($B253,$B$14:$B$37,FALSE))/INDEX($F$206:$F$229,MATCH($B253,$B$206:$B$229,FALSE))),NA()),NA())</f>
        <v>#N/A</v>
      </c>
      <c r="AV253" s="65" t="e">
        <f>IF(AU61=1,IF(AU$13&lt;=COUNT($C33:$CS33),IF(INDEX($F$206:$F$229,MATCH($B253,$B$206:$B$229,FALSE))=0,NA(),INDEX(AU$14:AU$37,MATCH($B253,$B$14:$B$37,FALSE))/INDEX($F$206:$F$229,MATCH($B253,$B$206:$B$229,FALSE))),NA()),NA())</f>
        <v>#N/A</v>
      </c>
      <c r="AW253" s="65" t="e">
        <f>IF(AV61=1,IF(AV$13&lt;=COUNT($C33:$CS33),IF(INDEX($F$206:$F$229,MATCH($B253,$B$206:$B$229,FALSE))=0,NA(),INDEX(AV$14:AV$37,MATCH($B253,$B$14:$B$37,FALSE))/INDEX($F$206:$F$229,MATCH($B253,$B$206:$B$229,FALSE))),NA()),NA())</f>
        <v>#N/A</v>
      </c>
      <c r="AX253" s="65" t="e">
        <f>IF(AW61=1,IF(AW$13&lt;=COUNT($C33:$CS33),IF(INDEX($F$206:$F$229,MATCH($B253,$B$206:$B$229,FALSE))=0,NA(),INDEX(AW$14:AW$37,MATCH($B253,$B$14:$B$37,FALSE))/INDEX($F$206:$F$229,MATCH($B253,$B$206:$B$229,FALSE))),NA()),NA())</f>
        <v>#N/A</v>
      </c>
      <c r="AY253" s="65" t="e">
        <f>IF(AX61=1,IF(AX$13&lt;=COUNT($C33:$CS33),IF(INDEX($F$206:$F$229,MATCH($B253,$B$206:$B$229,FALSE))=0,NA(),INDEX(AX$14:AX$37,MATCH($B253,$B$14:$B$37,FALSE))/INDEX($F$206:$F$229,MATCH($B253,$B$206:$B$229,FALSE))),NA()),NA())</f>
        <v>#N/A</v>
      </c>
      <c r="AZ253" s="65" t="e">
        <f>IF(AY61=1,IF(AY$13&lt;=COUNT($C33:$CS33),IF(INDEX($F$206:$F$229,MATCH($B253,$B$206:$B$229,FALSE))=0,NA(),INDEX(AY$14:AY$37,MATCH($B253,$B$14:$B$37,FALSE))/INDEX($F$206:$F$229,MATCH($B253,$B$206:$B$229,FALSE))),NA()),NA())</f>
        <v>#N/A</v>
      </c>
      <c r="BA253" s="65" t="e">
        <f>IF(AZ61=1,IF(AZ$13&lt;=COUNT($C33:$CS33),IF(INDEX($F$206:$F$229,MATCH($B253,$B$206:$B$229,FALSE))=0,NA(),INDEX(AZ$14:AZ$37,MATCH($B253,$B$14:$B$37,FALSE))/INDEX($F$206:$F$229,MATCH($B253,$B$206:$B$229,FALSE))),NA()),NA())</f>
        <v>#N/A</v>
      </c>
      <c r="BB253" s="65" t="e">
        <f>IF(BA61=1,IF(BA$13&lt;=COUNT($C33:$CS33),IF(INDEX($F$206:$F$229,MATCH($B253,$B$206:$B$229,FALSE))=0,NA(),INDEX(BA$14:BA$37,MATCH($B253,$B$14:$B$37,FALSE))/INDEX($F$206:$F$229,MATCH($B253,$B$206:$B$229,FALSE))),NA()),NA())</f>
        <v>#N/A</v>
      </c>
      <c r="BC253" s="65" t="e">
        <f>IF(BB61=1,IF(BB$13&lt;=COUNT($C33:$CS33),IF(INDEX($F$206:$F$229,MATCH($B253,$B$206:$B$229,FALSE))=0,NA(),INDEX(BB$14:BB$37,MATCH($B253,$B$14:$B$37,FALSE))/INDEX($F$206:$F$229,MATCH($B253,$B$206:$B$229,FALSE))),NA()),NA())</f>
        <v>#N/A</v>
      </c>
      <c r="BD253" s="65" t="e">
        <f>IF(BC61=1,IF(BC$13&lt;=COUNT($C33:$CS33),IF(INDEX($F$206:$F$229,MATCH($B253,$B$206:$B$229,FALSE))=0,NA(),INDEX(BC$14:BC$37,MATCH($B253,$B$14:$B$37,FALSE))/INDEX($F$206:$F$229,MATCH($B253,$B$206:$B$229,FALSE))),NA()),NA())</f>
        <v>#N/A</v>
      </c>
      <c r="BE253" s="65" t="e">
        <f>IF(BD61=1,IF(BD$13&lt;=COUNT($C33:$CS33),IF(INDEX($F$206:$F$229,MATCH($B253,$B$206:$B$229,FALSE))=0,NA(),INDEX(BD$14:BD$37,MATCH($B253,$B$14:$B$37,FALSE))/INDEX($F$206:$F$229,MATCH($B253,$B$206:$B$229,FALSE))),NA()),NA())</f>
        <v>#N/A</v>
      </c>
      <c r="BF253" s="65" t="e">
        <f>IF(BE61=1,IF(BE$13&lt;=COUNT($C33:$CS33),IF(INDEX($F$206:$F$229,MATCH($B253,$B$206:$B$229,FALSE))=0,NA(),INDEX(BE$14:BE$37,MATCH($B253,$B$14:$B$37,FALSE))/INDEX($F$206:$F$229,MATCH($B253,$B$206:$B$229,FALSE))),NA()),NA())</f>
        <v>#N/A</v>
      </c>
      <c r="BG253" s="65" t="e">
        <f>IF(BF61=1,IF(BF$13&lt;=COUNT($C33:$CS33),IF(INDEX($F$206:$F$229,MATCH($B253,$B$206:$B$229,FALSE))=0,NA(),INDEX(BF$14:BF$37,MATCH($B253,$B$14:$B$37,FALSE))/INDEX($F$206:$F$229,MATCH($B253,$B$206:$B$229,FALSE))),NA()),NA())</f>
        <v>#N/A</v>
      </c>
      <c r="BH253" s="65" t="e">
        <f>IF(BG61=1,IF(BG$13&lt;=COUNT($C33:$CS33),IF(INDEX($F$206:$F$229,MATCH($B253,$B$206:$B$229,FALSE))=0,NA(),INDEX(BG$14:BG$37,MATCH($B253,$B$14:$B$37,FALSE))/INDEX($F$206:$F$229,MATCH($B253,$B$206:$B$229,FALSE))),NA()),NA())</f>
        <v>#N/A</v>
      </c>
      <c r="BI253" s="65" t="e">
        <f>IF(BH61=1,IF(BH$13&lt;=COUNT($C33:$CS33),IF(INDEX($F$206:$F$229,MATCH($B253,$B$206:$B$229,FALSE))=0,NA(),INDEX(BH$14:BH$37,MATCH($B253,$B$14:$B$37,FALSE))/INDEX($F$206:$F$229,MATCH($B253,$B$206:$B$229,FALSE))),NA()),NA())</f>
        <v>#N/A</v>
      </c>
      <c r="BJ253" s="65" t="e">
        <f>IF(BI61=1,IF(BI$13&lt;=COUNT($C33:$CS33),IF(INDEX($F$206:$F$229,MATCH($B253,$B$206:$B$229,FALSE))=0,NA(),INDEX(BI$14:BI$37,MATCH($B253,$B$14:$B$37,FALSE))/INDEX($F$206:$F$229,MATCH($B253,$B$206:$B$229,FALSE))),NA()),NA())</f>
        <v>#N/A</v>
      </c>
      <c r="BK253" s="65" t="e">
        <f>IF(BJ61=1,IF(BJ$13&lt;=COUNT($C33:$CS33),IF(INDEX($F$206:$F$229,MATCH($B253,$B$206:$B$229,FALSE))=0,NA(),INDEX(BJ$14:BJ$37,MATCH($B253,$B$14:$B$37,FALSE))/INDEX($F$206:$F$229,MATCH($B253,$B$206:$B$229,FALSE))),NA()),NA())</f>
        <v>#N/A</v>
      </c>
      <c r="BL253" s="65" t="e">
        <f>IF(BK61=1,IF(BK$13&lt;=COUNT($C33:$CS33),IF(INDEX($F$206:$F$229,MATCH($B253,$B$206:$B$229,FALSE))=0,NA(),INDEX(BK$14:BK$37,MATCH($B253,$B$14:$B$37,FALSE))/INDEX($F$206:$F$229,MATCH($B253,$B$206:$B$229,FALSE))),NA()),NA())</f>
        <v>#N/A</v>
      </c>
      <c r="BM253" s="65" t="e">
        <f>IF(BL61=1,IF(BL$13&lt;=COUNT($C33:$CS33),IF(INDEX($F$206:$F$229,MATCH($B253,$B$206:$B$229,FALSE))=0,NA(),INDEX(BL$14:BL$37,MATCH($B253,$B$14:$B$37,FALSE))/INDEX($F$206:$F$229,MATCH($B253,$B$206:$B$229,FALSE))),NA()),NA())</f>
        <v>#N/A</v>
      </c>
      <c r="BN253" s="65" t="e">
        <f>IF(BM61=1,IF(BM$13&lt;=COUNT($C33:$CS33),IF(INDEX($F$206:$F$229,MATCH($B253,$B$206:$B$229,FALSE))=0,NA(),INDEX(BM$14:BM$37,MATCH($B253,$B$14:$B$37,FALSE))/INDEX($F$206:$F$229,MATCH($B253,$B$206:$B$229,FALSE))),NA()),NA())</f>
        <v>#N/A</v>
      </c>
      <c r="BO253" s="65" t="e">
        <f>IF(BN61=1,IF(BN$13&lt;=COUNT($C33:$CS33),IF(INDEX($F$206:$F$229,MATCH($B253,$B$206:$B$229,FALSE))=0,NA(),INDEX(BN$14:BN$37,MATCH($B253,$B$14:$B$37,FALSE))/INDEX($F$206:$F$229,MATCH($B253,$B$206:$B$229,FALSE))),NA()),NA())</f>
        <v>#N/A</v>
      </c>
      <c r="BP253" s="65" t="e">
        <f>IF(BO61=1,IF(BO$13&lt;=COUNT($C33:$CS33),IF(INDEX($F$206:$F$229,MATCH($B253,$B$206:$B$229,FALSE))=0,NA(),INDEX(BO$14:BO$37,MATCH($B253,$B$14:$B$37,FALSE))/INDEX($F$206:$F$229,MATCH($B253,$B$206:$B$229,FALSE))),NA()),NA())</f>
        <v>#N/A</v>
      </c>
      <c r="BQ253" s="65" t="e">
        <f>IF(BP61=1,IF(BP$13&lt;=COUNT($C33:$CS33),IF(INDEX($F$206:$F$229,MATCH($B253,$B$206:$B$229,FALSE))=0,NA(),INDEX(BP$14:BP$37,MATCH($B253,$B$14:$B$37,FALSE))/INDEX($F$206:$F$229,MATCH($B253,$B$206:$B$229,FALSE))),NA()),NA())</f>
        <v>#N/A</v>
      </c>
      <c r="BR253" s="65" t="e">
        <f>IF(BQ61=1,IF(BQ$13&lt;=COUNT($C33:$CS33),IF(INDEX($F$206:$F$229,MATCH($B253,$B$206:$B$229,FALSE))=0,NA(),INDEX(BQ$14:BQ$37,MATCH($B253,$B$14:$B$37,FALSE))/INDEX($F$206:$F$229,MATCH($B253,$B$206:$B$229,FALSE))),NA()),NA())</f>
        <v>#N/A</v>
      </c>
      <c r="BS253" s="65" t="e">
        <f>IF(BR61=1,IF(BR$13&lt;=COUNT($C33:$CS33),IF(INDEX($F$206:$F$229,MATCH($B253,$B$206:$B$229,FALSE))=0,NA(),INDEX(BR$14:BR$37,MATCH($B253,$B$14:$B$37,FALSE))/INDEX($F$206:$F$229,MATCH($B253,$B$206:$B$229,FALSE))),NA()),NA())</f>
        <v>#N/A</v>
      </c>
      <c r="BT253" s="65" t="e">
        <f>IF(BS61=1,IF(BS$13&lt;=COUNT($C33:$CS33),IF(INDEX($F$206:$F$229,MATCH($B253,$B$206:$B$229,FALSE))=0,NA(),INDEX(BS$14:BS$37,MATCH($B253,$B$14:$B$37,FALSE))/INDEX($F$206:$F$229,MATCH($B253,$B$206:$B$229,FALSE))),NA()),NA())</f>
        <v>#N/A</v>
      </c>
      <c r="BU253" s="65" t="e">
        <f>IF(BT61=1,IF(BT$13&lt;=COUNT($C33:$CS33),IF(INDEX($F$206:$F$229,MATCH($B253,$B$206:$B$229,FALSE))=0,NA(),INDEX(BT$14:BT$37,MATCH($B253,$B$14:$B$37,FALSE))/INDEX($F$206:$F$229,MATCH($B253,$B$206:$B$229,FALSE))),NA()),NA())</f>
        <v>#N/A</v>
      </c>
      <c r="BV253" s="65" t="e">
        <f>IF(BU61=1,IF(BU$13&lt;=COUNT($C33:$CS33),IF(INDEX($F$206:$F$229,MATCH($B253,$B$206:$B$229,FALSE))=0,NA(),INDEX(BU$14:BU$37,MATCH($B253,$B$14:$B$37,FALSE))/INDEX($F$206:$F$229,MATCH($B253,$B$206:$B$229,FALSE))),NA()),NA())</f>
        <v>#N/A</v>
      </c>
      <c r="BW253" s="65" t="e">
        <f>IF(BV61=1,IF(BV$13&lt;=COUNT($C33:$CS33),IF(INDEX($F$206:$F$229,MATCH($B253,$B$206:$B$229,FALSE))=0,NA(),INDEX(BV$14:BV$37,MATCH($B253,$B$14:$B$37,FALSE))/INDEX($F$206:$F$229,MATCH($B253,$B$206:$B$229,FALSE))),NA()),NA())</f>
        <v>#N/A</v>
      </c>
      <c r="BX253" s="65" t="e">
        <f>IF(BW61=1,IF(BW$13&lt;=COUNT($C33:$CS33),IF(INDEX($F$206:$F$229,MATCH($B253,$B$206:$B$229,FALSE))=0,NA(),INDEX(BW$14:BW$37,MATCH($B253,$B$14:$B$37,FALSE))/INDEX($F$206:$F$229,MATCH($B253,$B$206:$B$229,FALSE))),NA()),NA())</f>
        <v>#N/A</v>
      </c>
      <c r="BY253" s="65" t="e">
        <f>IF(BX61=1,IF(BX$13&lt;=COUNT($C33:$CS33),IF(INDEX($F$206:$F$229,MATCH($B253,$B$206:$B$229,FALSE))=0,NA(),INDEX(BX$14:BX$37,MATCH($B253,$B$14:$B$37,FALSE))/INDEX($F$206:$F$229,MATCH($B253,$B$206:$B$229,FALSE))),NA()),NA())</f>
        <v>#N/A</v>
      </c>
      <c r="BZ253" s="65" t="e">
        <f>IF(BY61=1,IF(BY$13&lt;=COUNT($C33:$CS33),IF(INDEX($F$206:$F$229,MATCH($B253,$B$206:$B$229,FALSE))=0,NA(),INDEX(BY$14:BY$37,MATCH($B253,$B$14:$B$37,FALSE))/INDEX($F$206:$F$229,MATCH($B253,$B$206:$B$229,FALSE))),NA()),NA())</f>
        <v>#N/A</v>
      </c>
      <c r="CA253" s="65" t="e">
        <f>IF(BZ61=1,IF(BZ$13&lt;=COUNT($C33:$CS33),IF(INDEX($F$206:$F$229,MATCH($B253,$B$206:$B$229,FALSE))=0,NA(),INDEX(BZ$14:BZ$37,MATCH($B253,$B$14:$B$37,FALSE))/INDEX($F$206:$F$229,MATCH($B253,$B$206:$B$229,FALSE))),NA()),NA())</f>
        <v>#N/A</v>
      </c>
      <c r="CB253" s="65" t="e">
        <f>IF(CA61=1,IF(CA$13&lt;=COUNT($C33:$CS33),IF(INDEX($F$206:$F$229,MATCH($B253,$B$206:$B$229,FALSE))=0,NA(),INDEX(CA$14:CA$37,MATCH($B253,$B$14:$B$37,FALSE))/INDEX($F$206:$F$229,MATCH($B253,$B$206:$B$229,FALSE))),NA()),NA())</f>
        <v>#N/A</v>
      </c>
      <c r="CC253" s="65" t="e">
        <f>IF(CB61=1,IF(CB$13&lt;=COUNT($C33:$CS33),IF(INDEX($F$206:$F$229,MATCH($B253,$B$206:$B$229,FALSE))=0,NA(),INDEX(CB$14:CB$37,MATCH($B253,$B$14:$B$37,FALSE))/INDEX($F$206:$F$229,MATCH($B253,$B$206:$B$229,FALSE))),NA()),NA())</f>
        <v>#N/A</v>
      </c>
      <c r="CD253" s="65" t="e">
        <f>IF(CC61=1,IF(CC$13&lt;=COUNT($C33:$CS33),IF(INDEX($F$206:$F$229,MATCH($B253,$B$206:$B$229,FALSE))=0,NA(),INDEX(CC$14:CC$37,MATCH($B253,$B$14:$B$37,FALSE))/INDEX($F$206:$F$229,MATCH($B253,$B$206:$B$229,FALSE))),NA()),NA())</f>
        <v>#N/A</v>
      </c>
      <c r="CE253" s="65" t="e">
        <f>IF(CD61=1,IF(CD$13&lt;=COUNT($C33:$CS33),IF(INDEX($F$206:$F$229,MATCH($B253,$B$206:$B$229,FALSE))=0,NA(),INDEX(CD$14:CD$37,MATCH($B253,$B$14:$B$37,FALSE))/INDEX($F$206:$F$229,MATCH($B253,$B$206:$B$229,FALSE))),NA()),NA())</f>
        <v>#N/A</v>
      </c>
      <c r="CF253" s="65" t="e">
        <f>IF(CE61=1,IF(CE$13&lt;=COUNT($C33:$CS33),IF(INDEX($F$206:$F$229,MATCH($B253,$B$206:$B$229,FALSE))=0,NA(),INDEX(CE$14:CE$37,MATCH($B253,$B$14:$B$37,FALSE))/INDEX($F$206:$F$229,MATCH($B253,$B$206:$B$229,FALSE))),NA()),NA())</f>
        <v>#N/A</v>
      </c>
      <c r="CG253" s="65" t="e">
        <f>IF(CF61=1,IF(CF$13&lt;=COUNT($C33:$CS33),IF(INDEX($F$206:$F$229,MATCH($B253,$B$206:$B$229,FALSE))=0,NA(),INDEX(CF$14:CF$37,MATCH($B253,$B$14:$B$37,FALSE))/INDEX($F$206:$F$229,MATCH($B253,$B$206:$B$229,FALSE))),NA()),NA())</f>
        <v>#N/A</v>
      </c>
      <c r="CH253" s="65" t="e">
        <f>IF(CG61=1,IF(CG$13&lt;=COUNT($C33:$CS33),IF(INDEX($F$206:$F$229,MATCH($B253,$B$206:$B$229,FALSE))=0,NA(),INDEX(CG$14:CG$37,MATCH($B253,$B$14:$B$37,FALSE))/INDEX($F$206:$F$229,MATCH($B253,$B$206:$B$229,FALSE))),NA()),NA())</f>
        <v>#N/A</v>
      </c>
      <c r="CI253" s="65" t="e">
        <f>IF(CH61=1,IF(CH$13&lt;=COUNT($C33:$CS33),IF(INDEX($F$206:$F$229,MATCH($B253,$B$206:$B$229,FALSE))=0,NA(),INDEX(CH$14:CH$37,MATCH($B253,$B$14:$B$37,FALSE))/INDEX($F$206:$F$229,MATCH($B253,$B$206:$B$229,FALSE))),NA()),NA())</f>
        <v>#N/A</v>
      </c>
      <c r="CJ253" s="65" t="e">
        <f>IF(CI61=1,IF(CI$13&lt;=COUNT($C33:$CS33),IF(INDEX($F$206:$F$229,MATCH($B253,$B$206:$B$229,FALSE))=0,NA(),INDEX(CI$14:CI$37,MATCH($B253,$B$14:$B$37,FALSE))/INDEX($F$206:$F$229,MATCH($B253,$B$206:$B$229,FALSE))),NA()),NA())</f>
        <v>#N/A</v>
      </c>
      <c r="CK253" s="65" t="e">
        <f>IF(CJ61=1,IF(CJ$13&lt;=COUNT($C33:$CS33),IF(INDEX($F$206:$F$229,MATCH($B253,$B$206:$B$229,FALSE))=0,NA(),INDEX(CJ$14:CJ$37,MATCH($B253,$B$14:$B$37,FALSE))/INDEX($F$206:$F$229,MATCH($B253,$B$206:$B$229,FALSE))),NA()),NA())</f>
        <v>#N/A</v>
      </c>
      <c r="CL253" s="65" t="e">
        <f>IF(CK61=1,IF(CK$13&lt;=COUNT($C33:$CS33),IF(INDEX($F$206:$F$229,MATCH($B253,$B$206:$B$229,FALSE))=0,NA(),INDEX(CK$14:CK$37,MATCH($B253,$B$14:$B$37,FALSE))/INDEX($F$206:$F$229,MATCH($B253,$B$206:$B$229,FALSE))),NA()),NA())</f>
        <v>#N/A</v>
      </c>
      <c r="CM253" s="65" t="e">
        <f>IF(CL61=1,IF(CL$13&lt;=COUNT($C33:$CS33),IF(INDEX($F$206:$F$229,MATCH($B253,$B$206:$B$229,FALSE))=0,NA(),INDEX(CL$14:CL$37,MATCH($B253,$B$14:$B$37,FALSE))/INDEX($F$206:$F$229,MATCH($B253,$B$206:$B$229,FALSE))),NA()),NA())</f>
        <v>#N/A</v>
      </c>
      <c r="CN253" s="65" t="e">
        <f>IF(CM61=1,IF(CM$13&lt;=COUNT($C33:$CS33),IF(INDEX($F$206:$F$229,MATCH($B253,$B$206:$B$229,FALSE))=0,NA(),INDEX(CM$14:CM$37,MATCH($B253,$B$14:$B$37,FALSE))/INDEX($F$206:$F$229,MATCH($B253,$B$206:$B$229,FALSE))),NA()),NA())</f>
        <v>#N/A</v>
      </c>
      <c r="CO253" s="65" t="e">
        <f>IF(CN61=1,IF(CN$13&lt;=COUNT($C33:$CS33),IF(INDEX($F$206:$F$229,MATCH($B253,$B$206:$B$229,FALSE))=0,NA(),INDEX(CN$14:CN$37,MATCH($B253,$B$14:$B$37,FALSE))/INDEX($F$206:$F$229,MATCH($B253,$B$206:$B$229,FALSE))),NA()),NA())</f>
        <v>#N/A</v>
      </c>
      <c r="CP253" s="65" t="e">
        <f>IF(CO61=1,IF(CO$13&lt;=COUNT($C33:$CS33),IF(INDEX($F$206:$F$229,MATCH($B253,$B$206:$B$229,FALSE))=0,NA(),INDEX(CO$14:CO$37,MATCH($B253,$B$14:$B$37,FALSE))/INDEX($F$206:$F$229,MATCH($B253,$B$206:$B$229,FALSE))),NA()),NA())</f>
        <v>#N/A</v>
      </c>
      <c r="CQ253" s="65" t="e">
        <f>IF(CP61=1,IF(CP$13&lt;=COUNT($C33:$CS33),IF(INDEX($F$206:$F$229,MATCH($B253,$B$206:$B$229,FALSE))=0,NA(),INDEX(CP$14:CP$37,MATCH($B253,$B$14:$B$37,FALSE))/INDEX($F$206:$F$229,MATCH($B253,$B$206:$B$229,FALSE))),NA()),NA())</f>
        <v>#N/A</v>
      </c>
      <c r="CR253" s="65" t="e">
        <f>IF(CQ61=1,IF(CQ$13&lt;=COUNT($C33:$CS33),IF(INDEX($F$206:$F$229,MATCH($B253,$B$206:$B$229,FALSE))=0,NA(),INDEX(CQ$14:CQ$37,MATCH($B253,$B$14:$B$37,FALSE))/INDEX($F$206:$F$229,MATCH($B253,$B$206:$B$229,FALSE))),NA()),NA())</f>
        <v>#N/A</v>
      </c>
      <c r="CS253" s="65" t="e">
        <f>IF(CR61=1,IF(CR$13&lt;=COUNT($C33:$CS33),IF(INDEX($F$206:$F$229,MATCH($B253,$B$206:$B$229,FALSE))=0,NA(),INDEX(CR$14:CR$37,MATCH($B253,$B$14:$B$37,FALSE))/INDEX($F$206:$F$229,MATCH($B253,$B$206:$B$229,FALSE))),NA()),NA())</f>
        <v>#N/A</v>
      </c>
      <c r="CT253" s="49"/>
      <c r="CU253" s="49"/>
      <c r="CV253" s="49"/>
      <c r="CW253" s="49"/>
    </row>
    <row r="254" spans="1:101" x14ac:dyDescent="0.25">
      <c r="A254" s="97">
        <f t="shared" si="352"/>
        <v>1</v>
      </c>
      <c r="B254" s="29">
        <f t="shared" si="351"/>
        <v>2016</v>
      </c>
      <c r="C254" s="154" t="str">
        <f t="shared" si="353"/>
        <v/>
      </c>
      <c r="D254" s="54">
        <f t="shared" ref="D254:BO254" ca="1" si="358">IF(C62=1,IF(C$13&lt;=COUNT($C34:$CS34),IF(INDEX($F$206:$F$229,MATCH($B254,$B$206:$B$229,FALSE))=0,NA(),INDEX(C$14:C$37,MATCH($B254,$B$14:$B$37,FALSE))/INDEX($F$206:$F$229,MATCH($B254,$B$206:$B$229,FALSE))),NA()),NA())</f>
        <v>0.18534857745325087</v>
      </c>
      <c r="E254" s="65">
        <f t="shared" ca="1" si="358"/>
        <v>1.2406962783258715</v>
      </c>
      <c r="F254" s="65">
        <f t="shared" ca="1" si="358"/>
        <v>1.4519582062775829</v>
      </c>
      <c r="G254" s="65">
        <f t="shared" ca="1" si="358"/>
        <v>1.2872115323431041</v>
      </c>
      <c r="H254" s="65" t="e">
        <f>IF(G62=1,IF(G$13&lt;=COUNT($C34:$CS34),IF(INDEX($F$206:$F$229,MATCH($B254,$B$206:$B$229,FALSE))=0,NA(),INDEX(G$14:G$37,MATCH($B254,$B$14:$B$37,FALSE))/INDEX($F$206:$F$229,MATCH($B254,$B$206:$B$229,FALSE))),NA()),NA())</f>
        <v>#N/A</v>
      </c>
      <c r="I254" s="65" t="e">
        <f>IF(H62=1,IF(H$13&lt;=COUNT($C34:$CS34),IF(INDEX($F$206:$F$229,MATCH($B254,$B$206:$B$229,FALSE))=0,NA(),INDEX(H$14:H$37,MATCH($B254,$B$14:$B$37,FALSE))/INDEX($F$206:$F$229,MATCH($B254,$B$206:$B$229,FALSE))),NA()),NA())</f>
        <v>#N/A</v>
      </c>
      <c r="J254" s="65" t="e">
        <f>IF(I62=1,IF(I$13&lt;=COUNT($C34:$CS34),IF(INDEX($F$206:$F$229,MATCH($B254,$B$206:$B$229,FALSE))=0,NA(),INDEX(I$14:I$37,MATCH($B254,$B$14:$B$37,FALSE))/INDEX($F$206:$F$229,MATCH($B254,$B$206:$B$229,FALSE))),NA()),NA())</f>
        <v>#N/A</v>
      </c>
      <c r="K254" s="65" t="e">
        <f>IF(J62=1,IF(J$13&lt;=COUNT($C34:$CS34),IF(INDEX($F$206:$F$229,MATCH($B254,$B$206:$B$229,FALSE))=0,NA(),INDEX(J$14:J$37,MATCH($B254,$B$14:$B$37,FALSE))/INDEX($F$206:$F$229,MATCH($B254,$B$206:$B$229,FALSE))),NA()),NA())</f>
        <v>#N/A</v>
      </c>
      <c r="L254" s="65" t="e">
        <f>IF(K62=1,IF(K$13&lt;=COUNT($C34:$CS34),IF(INDEX($F$206:$F$229,MATCH($B254,$B$206:$B$229,FALSE))=0,NA(),INDEX(K$14:K$37,MATCH($B254,$B$14:$B$37,FALSE))/INDEX($F$206:$F$229,MATCH($B254,$B$206:$B$229,FALSE))),NA()),NA())</f>
        <v>#N/A</v>
      </c>
      <c r="M254" s="65" t="e">
        <f>IF(L62=1,IF(L$13&lt;=COUNT($C34:$CS34),IF(INDEX($F$206:$F$229,MATCH($B254,$B$206:$B$229,FALSE))=0,NA(),INDEX(L$14:L$37,MATCH($B254,$B$14:$B$37,FALSE))/INDEX($F$206:$F$229,MATCH($B254,$B$206:$B$229,FALSE))),NA()),NA())</f>
        <v>#N/A</v>
      </c>
      <c r="N254" s="65" t="e">
        <f>IF(M62=1,IF(M$13&lt;=COUNT($C34:$CS34),IF(INDEX($F$206:$F$229,MATCH($B254,$B$206:$B$229,FALSE))=0,NA(),INDEX(M$14:M$37,MATCH($B254,$B$14:$B$37,FALSE))/INDEX($F$206:$F$229,MATCH($B254,$B$206:$B$229,FALSE))),NA()),NA())</f>
        <v>#N/A</v>
      </c>
      <c r="O254" s="65" t="e">
        <f>IF(N62=1,IF(N$13&lt;=COUNT($C34:$CS34),IF(INDEX($F$206:$F$229,MATCH($B254,$B$206:$B$229,FALSE))=0,NA(),INDEX(N$14:N$37,MATCH($B254,$B$14:$B$37,FALSE))/INDEX($F$206:$F$229,MATCH($B254,$B$206:$B$229,FALSE))),NA()),NA())</f>
        <v>#N/A</v>
      </c>
      <c r="P254" s="65" t="e">
        <f>IF(O62=1,IF(O$13&lt;=COUNT($C34:$CS34),IF(INDEX($F$206:$F$229,MATCH($B254,$B$206:$B$229,FALSE))=0,NA(),INDEX(O$14:O$37,MATCH($B254,$B$14:$B$37,FALSE))/INDEX($F$206:$F$229,MATCH($B254,$B$206:$B$229,FALSE))),NA()),NA())</f>
        <v>#N/A</v>
      </c>
      <c r="Q254" s="65" t="e">
        <f>IF(P62=1,IF(P$13&lt;=COUNT($C34:$CS34),IF(INDEX($F$206:$F$229,MATCH($B254,$B$206:$B$229,FALSE))=0,NA(),INDEX(P$14:P$37,MATCH($B254,$B$14:$B$37,FALSE))/INDEX($F$206:$F$229,MATCH($B254,$B$206:$B$229,FALSE))),NA()),NA())</f>
        <v>#N/A</v>
      </c>
      <c r="R254" s="65" t="e">
        <f>IF(Q62=1,IF(Q$13&lt;=COUNT($C34:$CS34),IF(INDEX($F$206:$F$229,MATCH($B254,$B$206:$B$229,FALSE))=0,NA(),INDEX(Q$14:Q$37,MATCH($B254,$B$14:$B$37,FALSE))/INDEX($F$206:$F$229,MATCH($B254,$B$206:$B$229,FALSE))),NA()),NA())</f>
        <v>#N/A</v>
      </c>
      <c r="S254" s="65" t="e">
        <f>IF(R62=1,IF(R$13&lt;=COUNT($C34:$CS34),IF(INDEX($F$206:$F$229,MATCH($B254,$B$206:$B$229,FALSE))=0,NA(),INDEX(R$14:R$37,MATCH($B254,$B$14:$B$37,FALSE))/INDEX($F$206:$F$229,MATCH($B254,$B$206:$B$229,FALSE))),NA()),NA())</f>
        <v>#N/A</v>
      </c>
      <c r="T254" s="65" t="e">
        <f>IF(S62=1,IF(S$13&lt;=COUNT($C34:$CS34),IF(INDEX($F$206:$F$229,MATCH($B254,$B$206:$B$229,FALSE))=0,NA(),INDEX(S$14:S$37,MATCH($B254,$B$14:$B$37,FALSE))/INDEX($F$206:$F$229,MATCH($B254,$B$206:$B$229,FALSE))),NA()),NA())</f>
        <v>#N/A</v>
      </c>
      <c r="U254" s="65" t="e">
        <f>IF(T62=1,IF(T$13&lt;=COUNT($C34:$CS34),IF(INDEX($F$206:$F$229,MATCH($B254,$B$206:$B$229,FALSE))=0,NA(),INDEX(T$14:T$37,MATCH($B254,$B$14:$B$37,FALSE))/INDEX($F$206:$F$229,MATCH($B254,$B$206:$B$229,FALSE))),NA()),NA())</f>
        <v>#N/A</v>
      </c>
      <c r="V254" s="65" t="e">
        <f>IF(U62=1,IF(U$13&lt;=COUNT($C34:$CS34),IF(INDEX($F$206:$F$229,MATCH($B254,$B$206:$B$229,FALSE))=0,NA(),INDEX(U$14:U$37,MATCH($B254,$B$14:$B$37,FALSE))/INDEX($F$206:$F$229,MATCH($B254,$B$206:$B$229,FALSE))),NA()),NA())</f>
        <v>#N/A</v>
      </c>
      <c r="W254" s="65" t="e">
        <f>IF(V62=1,IF(V$13&lt;=COUNT($C34:$CS34),IF(INDEX($F$206:$F$229,MATCH($B254,$B$206:$B$229,FALSE))=0,NA(),INDEX(V$14:V$37,MATCH($B254,$B$14:$B$37,FALSE))/INDEX($F$206:$F$229,MATCH($B254,$B$206:$B$229,FALSE))),NA()),NA())</f>
        <v>#N/A</v>
      </c>
      <c r="X254" s="65" t="e">
        <f>IF(W62=1,IF(W$13&lt;=COUNT($C34:$CS34),IF(INDEX($F$206:$F$229,MATCH($B254,$B$206:$B$229,FALSE))=0,NA(),INDEX(W$14:W$37,MATCH($B254,$B$14:$B$37,FALSE))/INDEX($F$206:$F$229,MATCH($B254,$B$206:$B$229,FALSE))),NA()),NA())</f>
        <v>#N/A</v>
      </c>
      <c r="Y254" s="65" t="e">
        <f>IF(X62=1,IF(X$13&lt;=COUNT($C34:$CS34),IF(INDEX($F$206:$F$229,MATCH($B254,$B$206:$B$229,FALSE))=0,NA(),INDEX(X$14:X$37,MATCH($B254,$B$14:$B$37,FALSE))/INDEX($F$206:$F$229,MATCH($B254,$B$206:$B$229,FALSE))),NA()),NA())</f>
        <v>#N/A</v>
      </c>
      <c r="Z254" s="65" t="e">
        <f>IF(Y62=1,IF(Y$13&lt;=COUNT($C34:$CS34),IF(INDEX($F$206:$F$229,MATCH($B254,$B$206:$B$229,FALSE))=0,NA(),INDEX(Y$14:Y$37,MATCH($B254,$B$14:$B$37,FALSE))/INDEX($F$206:$F$229,MATCH($B254,$B$206:$B$229,FALSE))),NA()),NA())</f>
        <v>#N/A</v>
      </c>
      <c r="AA254" s="65" t="e">
        <f>IF(Z62=1,IF(Z$13&lt;=COUNT($C34:$CS34),IF(INDEX($F$206:$F$229,MATCH($B254,$B$206:$B$229,FALSE))=0,NA(),INDEX(Z$14:Z$37,MATCH($B254,$B$14:$B$37,FALSE))/INDEX($F$206:$F$229,MATCH($B254,$B$206:$B$229,FALSE))),NA()),NA())</f>
        <v>#N/A</v>
      </c>
      <c r="AB254" s="65" t="e">
        <f>IF(AA62=1,IF(AA$13&lt;=COUNT($C34:$CS34),IF(INDEX($F$206:$F$229,MATCH($B254,$B$206:$B$229,FALSE))=0,NA(),INDEX(AA$14:AA$37,MATCH($B254,$B$14:$B$37,FALSE))/INDEX($F$206:$F$229,MATCH($B254,$B$206:$B$229,FALSE))),NA()),NA())</f>
        <v>#N/A</v>
      </c>
      <c r="AC254" s="65" t="e">
        <f>IF(AB62=1,IF(AB$13&lt;=COUNT($C34:$CS34),IF(INDEX($F$206:$F$229,MATCH($B254,$B$206:$B$229,FALSE))=0,NA(),INDEX(AB$14:AB$37,MATCH($B254,$B$14:$B$37,FALSE))/INDEX($F$206:$F$229,MATCH($B254,$B$206:$B$229,FALSE))),NA()),NA())</f>
        <v>#N/A</v>
      </c>
      <c r="AD254" s="65" t="e">
        <f>IF(AC62=1,IF(AC$13&lt;=COUNT($C34:$CS34),IF(INDEX($F$206:$F$229,MATCH($B254,$B$206:$B$229,FALSE))=0,NA(),INDEX(AC$14:AC$37,MATCH($B254,$B$14:$B$37,FALSE))/INDEX($F$206:$F$229,MATCH($B254,$B$206:$B$229,FALSE))),NA()),NA())</f>
        <v>#N/A</v>
      </c>
      <c r="AE254" s="65" t="e">
        <f>IF(AD62=1,IF(AD$13&lt;=COUNT($C34:$CS34),IF(INDEX($F$206:$F$229,MATCH($B254,$B$206:$B$229,FALSE))=0,NA(),INDEX(AD$14:AD$37,MATCH($B254,$B$14:$B$37,FALSE))/INDEX($F$206:$F$229,MATCH($B254,$B$206:$B$229,FALSE))),NA()),NA())</f>
        <v>#N/A</v>
      </c>
      <c r="AF254" s="65" t="e">
        <f>IF(AE62=1,IF(AE$13&lt;=COUNT($C34:$CS34),IF(INDEX($F$206:$F$229,MATCH($B254,$B$206:$B$229,FALSE))=0,NA(),INDEX(AE$14:AE$37,MATCH($B254,$B$14:$B$37,FALSE))/INDEX($F$206:$F$229,MATCH($B254,$B$206:$B$229,FALSE))),NA()),NA())</f>
        <v>#N/A</v>
      </c>
      <c r="AG254" s="65" t="e">
        <f>IF(AF62=1,IF(AF$13&lt;=COUNT($C34:$CS34),IF(INDEX($F$206:$F$229,MATCH($B254,$B$206:$B$229,FALSE))=0,NA(),INDEX(AF$14:AF$37,MATCH($B254,$B$14:$B$37,FALSE))/INDEX($F$206:$F$229,MATCH($B254,$B$206:$B$229,FALSE))),NA()),NA())</f>
        <v>#N/A</v>
      </c>
      <c r="AH254" s="65" t="e">
        <f>IF(AG62=1,IF(AG$13&lt;=COUNT($C34:$CS34),IF(INDEX($F$206:$F$229,MATCH($B254,$B$206:$B$229,FALSE))=0,NA(),INDEX(AG$14:AG$37,MATCH($B254,$B$14:$B$37,FALSE))/INDEX($F$206:$F$229,MATCH($B254,$B$206:$B$229,FALSE))),NA()),NA())</f>
        <v>#N/A</v>
      </c>
      <c r="AI254" s="65" t="e">
        <f>IF(AH62=1,IF(AH$13&lt;=COUNT($C34:$CS34),IF(INDEX($F$206:$F$229,MATCH($B254,$B$206:$B$229,FALSE))=0,NA(),INDEX(AH$14:AH$37,MATCH($B254,$B$14:$B$37,FALSE))/INDEX($F$206:$F$229,MATCH($B254,$B$206:$B$229,FALSE))),NA()),NA())</f>
        <v>#N/A</v>
      </c>
      <c r="AJ254" s="65" t="e">
        <f>IF(AI62=1,IF(AI$13&lt;=COUNT($C34:$CS34),IF(INDEX($F$206:$F$229,MATCH($B254,$B$206:$B$229,FALSE))=0,NA(),INDEX(AI$14:AI$37,MATCH($B254,$B$14:$B$37,FALSE))/INDEX($F$206:$F$229,MATCH($B254,$B$206:$B$229,FALSE))),NA()),NA())</f>
        <v>#N/A</v>
      </c>
      <c r="AK254" s="65" t="e">
        <f>IF(AJ62=1,IF(AJ$13&lt;=COUNT($C34:$CS34),IF(INDEX($F$206:$F$229,MATCH($B254,$B$206:$B$229,FALSE))=0,NA(),INDEX(AJ$14:AJ$37,MATCH($B254,$B$14:$B$37,FALSE))/INDEX($F$206:$F$229,MATCH($B254,$B$206:$B$229,FALSE))),NA()),NA())</f>
        <v>#N/A</v>
      </c>
      <c r="AL254" s="65" t="e">
        <f>IF(AK62=1,IF(AK$13&lt;=COUNT($C34:$CS34),IF(INDEX($F$206:$F$229,MATCH($B254,$B$206:$B$229,FALSE))=0,NA(),INDEX(AK$14:AK$37,MATCH($B254,$B$14:$B$37,FALSE))/INDEX($F$206:$F$229,MATCH($B254,$B$206:$B$229,FALSE))),NA()),NA())</f>
        <v>#N/A</v>
      </c>
      <c r="AM254" s="65" t="e">
        <f>IF(AL62=1,IF(AL$13&lt;=COUNT($C34:$CS34),IF(INDEX($F$206:$F$229,MATCH($B254,$B$206:$B$229,FALSE))=0,NA(),INDEX(AL$14:AL$37,MATCH($B254,$B$14:$B$37,FALSE))/INDEX($F$206:$F$229,MATCH($B254,$B$206:$B$229,FALSE))),NA()),NA())</f>
        <v>#N/A</v>
      </c>
      <c r="AN254" s="65" t="e">
        <f>IF(AM62=1,IF(AM$13&lt;=COUNT($C34:$CS34),IF(INDEX($F$206:$F$229,MATCH($B254,$B$206:$B$229,FALSE))=0,NA(),INDEX(AM$14:AM$37,MATCH($B254,$B$14:$B$37,FALSE))/INDEX($F$206:$F$229,MATCH($B254,$B$206:$B$229,FALSE))),NA()),NA())</f>
        <v>#N/A</v>
      </c>
      <c r="AO254" s="65" t="e">
        <f>IF(AN62=1,IF(AN$13&lt;=COUNT($C34:$CS34),IF(INDEX($F$206:$F$229,MATCH($B254,$B$206:$B$229,FALSE))=0,NA(),INDEX(AN$14:AN$37,MATCH($B254,$B$14:$B$37,FALSE))/INDEX($F$206:$F$229,MATCH($B254,$B$206:$B$229,FALSE))),NA()),NA())</f>
        <v>#N/A</v>
      </c>
      <c r="AP254" s="65" t="e">
        <f>IF(AO62=1,IF(AO$13&lt;=COUNT($C34:$CS34),IF(INDEX($F$206:$F$229,MATCH($B254,$B$206:$B$229,FALSE))=0,NA(),INDEX(AO$14:AO$37,MATCH($B254,$B$14:$B$37,FALSE))/INDEX($F$206:$F$229,MATCH($B254,$B$206:$B$229,FALSE))),NA()),NA())</f>
        <v>#N/A</v>
      </c>
      <c r="AQ254" s="65" t="e">
        <f>IF(AP62=1,IF(AP$13&lt;=COUNT($C34:$CS34),IF(INDEX($F$206:$F$229,MATCH($B254,$B$206:$B$229,FALSE))=0,NA(),INDEX(AP$14:AP$37,MATCH($B254,$B$14:$B$37,FALSE))/INDEX($F$206:$F$229,MATCH($B254,$B$206:$B$229,FALSE))),NA()),NA())</f>
        <v>#N/A</v>
      </c>
      <c r="AR254" s="65" t="e">
        <f>IF(AQ62=1,IF(AQ$13&lt;=COUNT($C34:$CS34),IF(INDEX($F$206:$F$229,MATCH($B254,$B$206:$B$229,FALSE))=0,NA(),INDEX(AQ$14:AQ$37,MATCH($B254,$B$14:$B$37,FALSE))/INDEX($F$206:$F$229,MATCH($B254,$B$206:$B$229,FALSE))),NA()),NA())</f>
        <v>#N/A</v>
      </c>
      <c r="AS254" s="65" t="e">
        <f>IF(AR62=1,IF(AR$13&lt;=COUNT($C34:$CS34),IF(INDEX($F$206:$F$229,MATCH($B254,$B$206:$B$229,FALSE))=0,NA(),INDEX(AR$14:AR$37,MATCH($B254,$B$14:$B$37,FALSE))/INDEX($F$206:$F$229,MATCH($B254,$B$206:$B$229,FALSE))),NA()),NA())</f>
        <v>#N/A</v>
      </c>
      <c r="AT254" s="65" t="e">
        <f>IF(AS62=1,IF(AS$13&lt;=COUNT($C34:$CS34),IF(INDEX($F$206:$F$229,MATCH($B254,$B$206:$B$229,FALSE))=0,NA(),INDEX(AS$14:AS$37,MATCH($B254,$B$14:$B$37,FALSE))/INDEX($F$206:$F$229,MATCH($B254,$B$206:$B$229,FALSE))),NA()),NA())</f>
        <v>#N/A</v>
      </c>
      <c r="AU254" s="65" t="e">
        <f>IF(AT62=1,IF(AT$13&lt;=COUNT($C34:$CS34),IF(INDEX($F$206:$F$229,MATCH($B254,$B$206:$B$229,FALSE))=0,NA(),INDEX(AT$14:AT$37,MATCH($B254,$B$14:$B$37,FALSE))/INDEX($F$206:$F$229,MATCH($B254,$B$206:$B$229,FALSE))),NA()),NA())</f>
        <v>#N/A</v>
      </c>
      <c r="AV254" s="65" t="e">
        <f>IF(AU62=1,IF(AU$13&lt;=COUNT($C34:$CS34),IF(INDEX($F$206:$F$229,MATCH($B254,$B$206:$B$229,FALSE))=0,NA(),INDEX(AU$14:AU$37,MATCH($B254,$B$14:$B$37,FALSE))/INDEX($F$206:$F$229,MATCH($B254,$B$206:$B$229,FALSE))),NA()),NA())</f>
        <v>#N/A</v>
      </c>
      <c r="AW254" s="65" t="e">
        <f>IF(AV62=1,IF(AV$13&lt;=COUNT($C34:$CS34),IF(INDEX($F$206:$F$229,MATCH($B254,$B$206:$B$229,FALSE))=0,NA(),INDEX(AV$14:AV$37,MATCH($B254,$B$14:$B$37,FALSE))/INDEX($F$206:$F$229,MATCH($B254,$B$206:$B$229,FALSE))),NA()),NA())</f>
        <v>#N/A</v>
      </c>
      <c r="AX254" s="65" t="e">
        <f>IF(AW62=1,IF(AW$13&lt;=COUNT($C34:$CS34),IF(INDEX($F$206:$F$229,MATCH($B254,$B$206:$B$229,FALSE))=0,NA(),INDEX(AW$14:AW$37,MATCH($B254,$B$14:$B$37,FALSE))/INDEX($F$206:$F$229,MATCH($B254,$B$206:$B$229,FALSE))),NA()),NA())</f>
        <v>#N/A</v>
      </c>
      <c r="AY254" s="65" t="e">
        <f>IF(AX62=1,IF(AX$13&lt;=COUNT($C34:$CS34),IF(INDEX($F$206:$F$229,MATCH($B254,$B$206:$B$229,FALSE))=0,NA(),INDEX(AX$14:AX$37,MATCH($B254,$B$14:$B$37,FALSE))/INDEX($F$206:$F$229,MATCH($B254,$B$206:$B$229,FALSE))),NA()),NA())</f>
        <v>#N/A</v>
      </c>
      <c r="AZ254" s="65" t="e">
        <f>IF(AY62=1,IF(AY$13&lt;=COUNT($C34:$CS34),IF(INDEX($F$206:$F$229,MATCH($B254,$B$206:$B$229,FALSE))=0,NA(),INDEX(AY$14:AY$37,MATCH($B254,$B$14:$B$37,FALSE))/INDEX($F$206:$F$229,MATCH($B254,$B$206:$B$229,FALSE))),NA()),NA())</f>
        <v>#N/A</v>
      </c>
      <c r="BA254" s="65" t="e">
        <f>IF(AZ62=1,IF(AZ$13&lt;=COUNT($C34:$CS34),IF(INDEX($F$206:$F$229,MATCH($B254,$B$206:$B$229,FALSE))=0,NA(),INDEX(AZ$14:AZ$37,MATCH($B254,$B$14:$B$37,FALSE))/INDEX($F$206:$F$229,MATCH($B254,$B$206:$B$229,FALSE))),NA()),NA())</f>
        <v>#N/A</v>
      </c>
      <c r="BB254" s="65" t="e">
        <f>IF(BA62=1,IF(BA$13&lt;=COUNT($C34:$CS34),IF(INDEX($F$206:$F$229,MATCH($B254,$B$206:$B$229,FALSE))=0,NA(),INDEX(BA$14:BA$37,MATCH($B254,$B$14:$B$37,FALSE))/INDEX($F$206:$F$229,MATCH($B254,$B$206:$B$229,FALSE))),NA()),NA())</f>
        <v>#N/A</v>
      </c>
      <c r="BC254" s="65" t="e">
        <f>IF(BB62=1,IF(BB$13&lt;=COUNT($C34:$CS34),IF(INDEX($F$206:$F$229,MATCH($B254,$B$206:$B$229,FALSE))=0,NA(),INDEX(BB$14:BB$37,MATCH($B254,$B$14:$B$37,FALSE))/INDEX($F$206:$F$229,MATCH($B254,$B$206:$B$229,FALSE))),NA()),NA())</f>
        <v>#N/A</v>
      </c>
      <c r="BD254" s="65" t="e">
        <f>IF(BC62=1,IF(BC$13&lt;=COUNT($C34:$CS34),IF(INDEX($F$206:$F$229,MATCH($B254,$B$206:$B$229,FALSE))=0,NA(),INDEX(BC$14:BC$37,MATCH($B254,$B$14:$B$37,FALSE))/INDEX($F$206:$F$229,MATCH($B254,$B$206:$B$229,FALSE))),NA()),NA())</f>
        <v>#N/A</v>
      </c>
      <c r="BE254" s="65" t="e">
        <f>IF(BD62=1,IF(BD$13&lt;=COUNT($C34:$CS34),IF(INDEX($F$206:$F$229,MATCH($B254,$B$206:$B$229,FALSE))=0,NA(),INDEX(BD$14:BD$37,MATCH($B254,$B$14:$B$37,FALSE))/INDEX($F$206:$F$229,MATCH($B254,$B$206:$B$229,FALSE))),NA()),NA())</f>
        <v>#N/A</v>
      </c>
      <c r="BF254" s="65" t="e">
        <f>IF(BE62=1,IF(BE$13&lt;=COUNT($C34:$CS34),IF(INDEX($F$206:$F$229,MATCH($B254,$B$206:$B$229,FALSE))=0,NA(),INDEX(BE$14:BE$37,MATCH($B254,$B$14:$B$37,FALSE))/INDEX($F$206:$F$229,MATCH($B254,$B$206:$B$229,FALSE))),NA()),NA())</f>
        <v>#N/A</v>
      </c>
      <c r="BG254" s="65" t="e">
        <f>IF(BF62=1,IF(BF$13&lt;=COUNT($C34:$CS34),IF(INDEX($F$206:$F$229,MATCH($B254,$B$206:$B$229,FALSE))=0,NA(),INDEX(BF$14:BF$37,MATCH($B254,$B$14:$B$37,FALSE))/INDEX($F$206:$F$229,MATCH($B254,$B$206:$B$229,FALSE))),NA()),NA())</f>
        <v>#N/A</v>
      </c>
      <c r="BH254" s="65" t="e">
        <f>IF(BG62=1,IF(BG$13&lt;=COUNT($C34:$CS34),IF(INDEX($F$206:$F$229,MATCH($B254,$B$206:$B$229,FALSE))=0,NA(),INDEX(BG$14:BG$37,MATCH($B254,$B$14:$B$37,FALSE))/INDEX($F$206:$F$229,MATCH($B254,$B$206:$B$229,FALSE))),NA()),NA())</f>
        <v>#N/A</v>
      </c>
      <c r="BI254" s="65" t="e">
        <f>IF(BH62=1,IF(BH$13&lt;=COUNT($C34:$CS34),IF(INDEX($F$206:$F$229,MATCH($B254,$B$206:$B$229,FALSE))=0,NA(),INDEX(BH$14:BH$37,MATCH($B254,$B$14:$B$37,FALSE))/INDEX($F$206:$F$229,MATCH($B254,$B$206:$B$229,FALSE))),NA()),NA())</f>
        <v>#N/A</v>
      </c>
      <c r="BJ254" s="65" t="e">
        <f>IF(BI62=1,IF(BI$13&lt;=COUNT($C34:$CS34),IF(INDEX($F$206:$F$229,MATCH($B254,$B$206:$B$229,FALSE))=0,NA(),INDEX(BI$14:BI$37,MATCH($B254,$B$14:$B$37,FALSE))/INDEX($F$206:$F$229,MATCH($B254,$B$206:$B$229,FALSE))),NA()),NA())</f>
        <v>#N/A</v>
      </c>
      <c r="BK254" s="65" t="e">
        <f>IF(BJ62=1,IF(BJ$13&lt;=COUNT($C34:$CS34),IF(INDEX($F$206:$F$229,MATCH($B254,$B$206:$B$229,FALSE))=0,NA(),INDEX(BJ$14:BJ$37,MATCH($B254,$B$14:$B$37,FALSE))/INDEX($F$206:$F$229,MATCH($B254,$B$206:$B$229,FALSE))),NA()),NA())</f>
        <v>#N/A</v>
      </c>
      <c r="BL254" s="65" t="e">
        <f>IF(BK62=1,IF(BK$13&lt;=COUNT($C34:$CS34),IF(INDEX($F$206:$F$229,MATCH($B254,$B$206:$B$229,FALSE))=0,NA(),INDEX(BK$14:BK$37,MATCH($B254,$B$14:$B$37,FALSE))/INDEX($F$206:$F$229,MATCH($B254,$B$206:$B$229,FALSE))),NA()),NA())</f>
        <v>#N/A</v>
      </c>
      <c r="BM254" s="65" t="e">
        <f>IF(BL62=1,IF(BL$13&lt;=COUNT($C34:$CS34),IF(INDEX($F$206:$F$229,MATCH($B254,$B$206:$B$229,FALSE))=0,NA(),INDEX(BL$14:BL$37,MATCH($B254,$B$14:$B$37,FALSE))/INDEX($F$206:$F$229,MATCH($B254,$B$206:$B$229,FALSE))),NA()),NA())</f>
        <v>#N/A</v>
      </c>
      <c r="BN254" s="65" t="e">
        <f>IF(BM62=1,IF(BM$13&lt;=COUNT($C34:$CS34),IF(INDEX($F$206:$F$229,MATCH($B254,$B$206:$B$229,FALSE))=0,NA(),INDEX(BM$14:BM$37,MATCH($B254,$B$14:$B$37,FALSE))/INDEX($F$206:$F$229,MATCH($B254,$B$206:$B$229,FALSE))),NA()),NA())</f>
        <v>#N/A</v>
      </c>
      <c r="BO254" s="65" t="e">
        <f>IF(BN62=1,IF(BN$13&lt;=COUNT($C34:$CS34),IF(INDEX($F$206:$F$229,MATCH($B254,$B$206:$B$229,FALSE))=0,NA(),INDEX(BN$14:BN$37,MATCH($B254,$B$14:$B$37,FALSE))/INDEX($F$206:$F$229,MATCH($B254,$B$206:$B$229,FALSE))),NA()),NA())</f>
        <v>#N/A</v>
      </c>
      <c r="BP254" s="65" t="e">
        <f>IF(BO62=1,IF(BO$13&lt;=COUNT($C34:$CS34),IF(INDEX($F$206:$F$229,MATCH($B254,$B$206:$B$229,FALSE))=0,NA(),INDEX(BO$14:BO$37,MATCH($B254,$B$14:$B$37,FALSE))/INDEX($F$206:$F$229,MATCH($B254,$B$206:$B$229,FALSE))),NA()),NA())</f>
        <v>#N/A</v>
      </c>
      <c r="BQ254" s="65" t="e">
        <f>IF(BP62=1,IF(BP$13&lt;=COUNT($C34:$CS34),IF(INDEX($F$206:$F$229,MATCH($B254,$B$206:$B$229,FALSE))=0,NA(),INDEX(BP$14:BP$37,MATCH($B254,$B$14:$B$37,FALSE))/INDEX($F$206:$F$229,MATCH($B254,$B$206:$B$229,FALSE))),NA()),NA())</f>
        <v>#N/A</v>
      </c>
      <c r="BR254" s="65" t="e">
        <f>IF(BQ62=1,IF(BQ$13&lt;=COUNT($C34:$CS34),IF(INDEX($F$206:$F$229,MATCH($B254,$B$206:$B$229,FALSE))=0,NA(),INDEX(BQ$14:BQ$37,MATCH($B254,$B$14:$B$37,FALSE))/INDEX($F$206:$F$229,MATCH($B254,$B$206:$B$229,FALSE))),NA()),NA())</f>
        <v>#N/A</v>
      </c>
      <c r="BS254" s="65" t="e">
        <f>IF(BR62=1,IF(BR$13&lt;=COUNT($C34:$CS34),IF(INDEX($F$206:$F$229,MATCH($B254,$B$206:$B$229,FALSE))=0,NA(),INDEX(BR$14:BR$37,MATCH($B254,$B$14:$B$37,FALSE))/INDEX($F$206:$F$229,MATCH($B254,$B$206:$B$229,FALSE))),NA()),NA())</f>
        <v>#N/A</v>
      </c>
      <c r="BT254" s="65" t="e">
        <f>IF(BS62=1,IF(BS$13&lt;=COUNT($C34:$CS34),IF(INDEX($F$206:$F$229,MATCH($B254,$B$206:$B$229,FALSE))=0,NA(),INDEX(BS$14:BS$37,MATCH($B254,$B$14:$B$37,FALSE))/INDEX($F$206:$F$229,MATCH($B254,$B$206:$B$229,FALSE))),NA()),NA())</f>
        <v>#N/A</v>
      </c>
      <c r="BU254" s="65" t="e">
        <f>IF(BT62=1,IF(BT$13&lt;=COUNT($C34:$CS34),IF(INDEX($F$206:$F$229,MATCH($B254,$B$206:$B$229,FALSE))=0,NA(),INDEX(BT$14:BT$37,MATCH($B254,$B$14:$B$37,FALSE))/INDEX($F$206:$F$229,MATCH($B254,$B$206:$B$229,FALSE))),NA()),NA())</f>
        <v>#N/A</v>
      </c>
      <c r="BV254" s="65" t="e">
        <f>IF(BU62=1,IF(BU$13&lt;=COUNT($C34:$CS34),IF(INDEX($F$206:$F$229,MATCH($B254,$B$206:$B$229,FALSE))=0,NA(),INDEX(BU$14:BU$37,MATCH($B254,$B$14:$B$37,FALSE))/INDEX($F$206:$F$229,MATCH($B254,$B$206:$B$229,FALSE))),NA()),NA())</f>
        <v>#N/A</v>
      </c>
      <c r="BW254" s="65" t="e">
        <f>IF(BV62=1,IF(BV$13&lt;=COUNT($C34:$CS34),IF(INDEX($F$206:$F$229,MATCH($B254,$B$206:$B$229,FALSE))=0,NA(),INDEX(BV$14:BV$37,MATCH($B254,$B$14:$B$37,FALSE))/INDEX($F$206:$F$229,MATCH($B254,$B$206:$B$229,FALSE))),NA()),NA())</f>
        <v>#N/A</v>
      </c>
      <c r="BX254" s="65" t="e">
        <f>IF(BW62=1,IF(BW$13&lt;=COUNT($C34:$CS34),IF(INDEX($F$206:$F$229,MATCH($B254,$B$206:$B$229,FALSE))=0,NA(),INDEX(BW$14:BW$37,MATCH($B254,$B$14:$B$37,FALSE))/INDEX($F$206:$F$229,MATCH($B254,$B$206:$B$229,FALSE))),NA()),NA())</f>
        <v>#N/A</v>
      </c>
      <c r="BY254" s="65" t="e">
        <f>IF(BX62=1,IF(BX$13&lt;=COUNT($C34:$CS34),IF(INDEX($F$206:$F$229,MATCH($B254,$B$206:$B$229,FALSE))=0,NA(),INDEX(BX$14:BX$37,MATCH($B254,$B$14:$B$37,FALSE))/INDEX($F$206:$F$229,MATCH($B254,$B$206:$B$229,FALSE))),NA()),NA())</f>
        <v>#N/A</v>
      </c>
      <c r="BZ254" s="65" t="e">
        <f>IF(BY62=1,IF(BY$13&lt;=COUNT($C34:$CS34),IF(INDEX($F$206:$F$229,MATCH($B254,$B$206:$B$229,FALSE))=0,NA(),INDEX(BY$14:BY$37,MATCH($B254,$B$14:$B$37,FALSE))/INDEX($F$206:$F$229,MATCH($B254,$B$206:$B$229,FALSE))),NA()),NA())</f>
        <v>#N/A</v>
      </c>
      <c r="CA254" s="65" t="e">
        <f>IF(BZ62=1,IF(BZ$13&lt;=COUNT($C34:$CS34),IF(INDEX($F$206:$F$229,MATCH($B254,$B$206:$B$229,FALSE))=0,NA(),INDEX(BZ$14:BZ$37,MATCH($B254,$B$14:$B$37,FALSE))/INDEX($F$206:$F$229,MATCH($B254,$B$206:$B$229,FALSE))),NA()),NA())</f>
        <v>#N/A</v>
      </c>
      <c r="CB254" s="65" t="e">
        <f>IF(CA62=1,IF(CA$13&lt;=COUNT($C34:$CS34),IF(INDEX($F$206:$F$229,MATCH($B254,$B$206:$B$229,FALSE))=0,NA(),INDEX(CA$14:CA$37,MATCH($B254,$B$14:$B$37,FALSE))/INDEX($F$206:$F$229,MATCH($B254,$B$206:$B$229,FALSE))),NA()),NA())</f>
        <v>#N/A</v>
      </c>
      <c r="CC254" s="65" t="e">
        <f>IF(CB62=1,IF(CB$13&lt;=COUNT($C34:$CS34),IF(INDEX($F$206:$F$229,MATCH($B254,$B$206:$B$229,FALSE))=0,NA(),INDEX(CB$14:CB$37,MATCH($B254,$B$14:$B$37,FALSE))/INDEX($F$206:$F$229,MATCH($B254,$B$206:$B$229,FALSE))),NA()),NA())</f>
        <v>#N/A</v>
      </c>
      <c r="CD254" s="65" t="e">
        <f>IF(CC62=1,IF(CC$13&lt;=COUNT($C34:$CS34),IF(INDEX($F$206:$F$229,MATCH($B254,$B$206:$B$229,FALSE))=0,NA(),INDEX(CC$14:CC$37,MATCH($B254,$B$14:$B$37,FALSE))/INDEX($F$206:$F$229,MATCH($B254,$B$206:$B$229,FALSE))),NA()),NA())</f>
        <v>#N/A</v>
      </c>
      <c r="CE254" s="65" t="e">
        <f>IF(CD62=1,IF(CD$13&lt;=COUNT($C34:$CS34),IF(INDEX($F$206:$F$229,MATCH($B254,$B$206:$B$229,FALSE))=0,NA(),INDEX(CD$14:CD$37,MATCH($B254,$B$14:$B$37,FALSE))/INDEX($F$206:$F$229,MATCH($B254,$B$206:$B$229,FALSE))),NA()),NA())</f>
        <v>#N/A</v>
      </c>
      <c r="CF254" s="65" t="e">
        <f>IF(CE62=1,IF(CE$13&lt;=COUNT($C34:$CS34),IF(INDEX($F$206:$F$229,MATCH($B254,$B$206:$B$229,FALSE))=0,NA(),INDEX(CE$14:CE$37,MATCH($B254,$B$14:$B$37,FALSE))/INDEX($F$206:$F$229,MATCH($B254,$B$206:$B$229,FALSE))),NA()),NA())</f>
        <v>#N/A</v>
      </c>
      <c r="CG254" s="65" t="e">
        <f>IF(CF62=1,IF(CF$13&lt;=COUNT($C34:$CS34),IF(INDEX($F$206:$F$229,MATCH($B254,$B$206:$B$229,FALSE))=0,NA(),INDEX(CF$14:CF$37,MATCH($B254,$B$14:$B$37,FALSE))/INDEX($F$206:$F$229,MATCH($B254,$B$206:$B$229,FALSE))),NA()),NA())</f>
        <v>#N/A</v>
      </c>
      <c r="CH254" s="65" t="e">
        <f>IF(CG62=1,IF(CG$13&lt;=COUNT($C34:$CS34),IF(INDEX($F$206:$F$229,MATCH($B254,$B$206:$B$229,FALSE))=0,NA(),INDEX(CG$14:CG$37,MATCH($B254,$B$14:$B$37,FALSE))/INDEX($F$206:$F$229,MATCH($B254,$B$206:$B$229,FALSE))),NA()),NA())</f>
        <v>#N/A</v>
      </c>
      <c r="CI254" s="65" t="e">
        <f>IF(CH62=1,IF(CH$13&lt;=COUNT($C34:$CS34),IF(INDEX($F$206:$F$229,MATCH($B254,$B$206:$B$229,FALSE))=0,NA(),INDEX(CH$14:CH$37,MATCH($B254,$B$14:$B$37,FALSE))/INDEX($F$206:$F$229,MATCH($B254,$B$206:$B$229,FALSE))),NA()),NA())</f>
        <v>#N/A</v>
      </c>
      <c r="CJ254" s="65" t="e">
        <f>IF(CI62=1,IF(CI$13&lt;=COUNT($C34:$CS34),IF(INDEX($F$206:$F$229,MATCH($B254,$B$206:$B$229,FALSE))=0,NA(),INDEX(CI$14:CI$37,MATCH($B254,$B$14:$B$37,FALSE))/INDEX($F$206:$F$229,MATCH($B254,$B$206:$B$229,FALSE))),NA()),NA())</f>
        <v>#N/A</v>
      </c>
      <c r="CK254" s="65" t="e">
        <f>IF(CJ62=1,IF(CJ$13&lt;=COUNT($C34:$CS34),IF(INDEX($F$206:$F$229,MATCH($B254,$B$206:$B$229,FALSE))=0,NA(),INDEX(CJ$14:CJ$37,MATCH($B254,$B$14:$B$37,FALSE))/INDEX($F$206:$F$229,MATCH($B254,$B$206:$B$229,FALSE))),NA()),NA())</f>
        <v>#N/A</v>
      </c>
      <c r="CL254" s="65" t="e">
        <f>IF(CK62=1,IF(CK$13&lt;=COUNT($C34:$CS34),IF(INDEX($F$206:$F$229,MATCH($B254,$B$206:$B$229,FALSE))=0,NA(),INDEX(CK$14:CK$37,MATCH($B254,$B$14:$B$37,FALSE))/INDEX($F$206:$F$229,MATCH($B254,$B$206:$B$229,FALSE))),NA()),NA())</f>
        <v>#N/A</v>
      </c>
      <c r="CM254" s="65" t="e">
        <f>IF(CL62=1,IF(CL$13&lt;=COUNT($C34:$CS34),IF(INDEX($F$206:$F$229,MATCH($B254,$B$206:$B$229,FALSE))=0,NA(),INDEX(CL$14:CL$37,MATCH($B254,$B$14:$B$37,FALSE))/INDEX($F$206:$F$229,MATCH($B254,$B$206:$B$229,FALSE))),NA()),NA())</f>
        <v>#N/A</v>
      </c>
      <c r="CN254" s="65" t="e">
        <f>IF(CM62=1,IF(CM$13&lt;=COUNT($C34:$CS34),IF(INDEX($F$206:$F$229,MATCH($B254,$B$206:$B$229,FALSE))=0,NA(),INDEX(CM$14:CM$37,MATCH($B254,$B$14:$B$37,FALSE))/INDEX($F$206:$F$229,MATCH($B254,$B$206:$B$229,FALSE))),NA()),NA())</f>
        <v>#N/A</v>
      </c>
      <c r="CO254" s="65" t="e">
        <f>IF(CN62=1,IF(CN$13&lt;=COUNT($C34:$CS34),IF(INDEX($F$206:$F$229,MATCH($B254,$B$206:$B$229,FALSE))=0,NA(),INDEX(CN$14:CN$37,MATCH($B254,$B$14:$B$37,FALSE))/INDEX($F$206:$F$229,MATCH($B254,$B$206:$B$229,FALSE))),NA()),NA())</f>
        <v>#N/A</v>
      </c>
      <c r="CP254" s="65" t="e">
        <f>IF(CO62=1,IF(CO$13&lt;=COUNT($C34:$CS34),IF(INDEX($F$206:$F$229,MATCH($B254,$B$206:$B$229,FALSE))=0,NA(),INDEX(CO$14:CO$37,MATCH($B254,$B$14:$B$37,FALSE))/INDEX($F$206:$F$229,MATCH($B254,$B$206:$B$229,FALSE))),NA()),NA())</f>
        <v>#N/A</v>
      </c>
      <c r="CQ254" s="65" t="e">
        <f>IF(CP62=1,IF(CP$13&lt;=COUNT($C34:$CS34),IF(INDEX($F$206:$F$229,MATCH($B254,$B$206:$B$229,FALSE))=0,NA(),INDEX(CP$14:CP$37,MATCH($B254,$B$14:$B$37,FALSE))/INDEX($F$206:$F$229,MATCH($B254,$B$206:$B$229,FALSE))),NA()),NA())</f>
        <v>#N/A</v>
      </c>
      <c r="CR254" s="65" t="e">
        <f>IF(CQ62=1,IF(CQ$13&lt;=COUNT($C34:$CS34),IF(INDEX($F$206:$F$229,MATCH($B254,$B$206:$B$229,FALSE))=0,NA(),INDEX(CQ$14:CQ$37,MATCH($B254,$B$14:$B$37,FALSE))/INDEX($F$206:$F$229,MATCH($B254,$B$206:$B$229,FALSE))),NA()),NA())</f>
        <v>#N/A</v>
      </c>
      <c r="CS254" s="65" t="e">
        <f>IF(CR62=1,IF(CR$13&lt;=COUNT($C34:$CS34),IF(INDEX($F$206:$F$229,MATCH($B254,$B$206:$B$229,FALSE))=0,NA(),INDEX(CR$14:CR$37,MATCH($B254,$B$14:$B$37,FALSE))/INDEX($F$206:$F$229,MATCH($B254,$B$206:$B$229,FALSE))),NA()),NA())</f>
        <v>#N/A</v>
      </c>
      <c r="CT254" s="49"/>
      <c r="CU254" s="49"/>
      <c r="CV254" s="49"/>
      <c r="CW254" s="49"/>
    </row>
    <row r="255" spans="1:101" x14ac:dyDescent="0.25">
      <c r="A255" s="97">
        <f t="shared" si="352"/>
        <v>1</v>
      </c>
      <c r="B255" s="29">
        <f t="shared" si="351"/>
        <v>2017</v>
      </c>
      <c r="C255" s="154" t="str">
        <f t="shared" si="353"/>
        <v/>
      </c>
      <c r="D255" s="54">
        <f t="shared" ref="D255:BO255" ca="1" si="359">IF(C63=1,IF(C$13&lt;=COUNT($C35:$CS35),IF(INDEX($F$206:$F$229,MATCH($B255,$B$206:$B$229,FALSE))=0,NA(),INDEX(C$14:C$37,MATCH($B255,$B$14:$B$37,FALSE))/INDEX($F$206:$F$229,MATCH($B255,$B$206:$B$229,FALSE))),NA()),NA())</f>
        <v>0</v>
      </c>
      <c r="E255" s="65">
        <f t="shared" ca="1" si="359"/>
        <v>1.2083679677923913E-2</v>
      </c>
      <c r="F255" s="65">
        <f t="shared" ca="1" si="359"/>
        <v>1.1633644885481438</v>
      </c>
      <c r="G255" s="65" t="e">
        <f>IF(F63=1,IF(F$13&lt;=COUNT($C35:$CS35),IF(INDEX($F$206:$F$229,MATCH($B255,$B$206:$B$229,FALSE))=0,NA(),INDEX(F$14:F$37,MATCH($B255,$B$14:$B$37,FALSE))/INDEX($F$206:$F$229,MATCH($B255,$B$206:$B$229,FALSE))),NA()),NA())</f>
        <v>#N/A</v>
      </c>
      <c r="H255" s="65" t="e">
        <f>IF(G63=1,IF(G$13&lt;=COUNT($C35:$CS35),IF(INDEX($F$206:$F$229,MATCH($B255,$B$206:$B$229,FALSE))=0,NA(),INDEX(G$14:G$37,MATCH($B255,$B$14:$B$37,FALSE))/INDEX($F$206:$F$229,MATCH($B255,$B$206:$B$229,FALSE))),NA()),NA())</f>
        <v>#N/A</v>
      </c>
      <c r="I255" s="65" t="e">
        <f>IF(H63=1,IF(H$13&lt;=COUNT($C35:$CS35),IF(INDEX($F$206:$F$229,MATCH($B255,$B$206:$B$229,FALSE))=0,NA(),INDEX(H$14:H$37,MATCH($B255,$B$14:$B$37,FALSE))/INDEX($F$206:$F$229,MATCH($B255,$B$206:$B$229,FALSE))),NA()),NA())</f>
        <v>#N/A</v>
      </c>
      <c r="J255" s="65" t="e">
        <f>IF(I63=1,IF(I$13&lt;=COUNT($C35:$CS35),IF(INDEX($F$206:$F$229,MATCH($B255,$B$206:$B$229,FALSE))=0,NA(),INDEX(I$14:I$37,MATCH($B255,$B$14:$B$37,FALSE))/INDEX($F$206:$F$229,MATCH($B255,$B$206:$B$229,FALSE))),NA()),NA())</f>
        <v>#N/A</v>
      </c>
      <c r="K255" s="65" t="e">
        <f>IF(J63=1,IF(J$13&lt;=COUNT($C35:$CS35),IF(INDEX($F$206:$F$229,MATCH($B255,$B$206:$B$229,FALSE))=0,NA(),INDEX(J$14:J$37,MATCH($B255,$B$14:$B$37,FALSE))/INDEX($F$206:$F$229,MATCH($B255,$B$206:$B$229,FALSE))),NA()),NA())</f>
        <v>#N/A</v>
      </c>
      <c r="L255" s="65" t="e">
        <f>IF(K63=1,IF(K$13&lt;=COUNT($C35:$CS35),IF(INDEX($F$206:$F$229,MATCH($B255,$B$206:$B$229,FALSE))=0,NA(),INDEX(K$14:K$37,MATCH($B255,$B$14:$B$37,FALSE))/INDEX($F$206:$F$229,MATCH($B255,$B$206:$B$229,FALSE))),NA()),NA())</f>
        <v>#N/A</v>
      </c>
      <c r="M255" s="65" t="e">
        <f>IF(L63=1,IF(L$13&lt;=COUNT($C35:$CS35),IF(INDEX($F$206:$F$229,MATCH($B255,$B$206:$B$229,FALSE))=0,NA(),INDEX(L$14:L$37,MATCH($B255,$B$14:$B$37,FALSE))/INDEX($F$206:$F$229,MATCH($B255,$B$206:$B$229,FALSE))),NA()),NA())</f>
        <v>#N/A</v>
      </c>
      <c r="N255" s="65" t="e">
        <f>IF(M63=1,IF(M$13&lt;=COUNT($C35:$CS35),IF(INDEX($F$206:$F$229,MATCH($B255,$B$206:$B$229,FALSE))=0,NA(),INDEX(M$14:M$37,MATCH($B255,$B$14:$B$37,FALSE))/INDEX($F$206:$F$229,MATCH($B255,$B$206:$B$229,FALSE))),NA()),NA())</f>
        <v>#N/A</v>
      </c>
      <c r="O255" s="65" t="e">
        <f>IF(N63=1,IF(N$13&lt;=COUNT($C35:$CS35),IF(INDEX($F$206:$F$229,MATCH($B255,$B$206:$B$229,FALSE))=0,NA(),INDEX(N$14:N$37,MATCH($B255,$B$14:$B$37,FALSE))/INDEX($F$206:$F$229,MATCH($B255,$B$206:$B$229,FALSE))),NA()),NA())</f>
        <v>#N/A</v>
      </c>
      <c r="P255" s="65" t="e">
        <f>IF(O63=1,IF(O$13&lt;=COUNT($C35:$CS35),IF(INDEX($F$206:$F$229,MATCH($B255,$B$206:$B$229,FALSE))=0,NA(),INDEX(O$14:O$37,MATCH($B255,$B$14:$B$37,FALSE))/INDEX($F$206:$F$229,MATCH($B255,$B$206:$B$229,FALSE))),NA()),NA())</f>
        <v>#N/A</v>
      </c>
      <c r="Q255" s="65" t="e">
        <f>IF(P63=1,IF(P$13&lt;=COUNT($C35:$CS35),IF(INDEX($F$206:$F$229,MATCH($B255,$B$206:$B$229,FALSE))=0,NA(),INDEX(P$14:P$37,MATCH($B255,$B$14:$B$37,FALSE))/INDEX($F$206:$F$229,MATCH($B255,$B$206:$B$229,FALSE))),NA()),NA())</f>
        <v>#N/A</v>
      </c>
      <c r="R255" s="65" t="e">
        <f>IF(Q63=1,IF(Q$13&lt;=COUNT($C35:$CS35),IF(INDEX($F$206:$F$229,MATCH($B255,$B$206:$B$229,FALSE))=0,NA(),INDEX(Q$14:Q$37,MATCH($B255,$B$14:$B$37,FALSE))/INDEX($F$206:$F$229,MATCH($B255,$B$206:$B$229,FALSE))),NA()),NA())</f>
        <v>#N/A</v>
      </c>
      <c r="S255" s="65" t="e">
        <f>IF(R63=1,IF(R$13&lt;=COUNT($C35:$CS35),IF(INDEX($F$206:$F$229,MATCH($B255,$B$206:$B$229,FALSE))=0,NA(),INDEX(R$14:R$37,MATCH($B255,$B$14:$B$37,FALSE))/INDEX($F$206:$F$229,MATCH($B255,$B$206:$B$229,FALSE))),NA()),NA())</f>
        <v>#N/A</v>
      </c>
      <c r="T255" s="65" t="e">
        <f>IF(S63=1,IF(S$13&lt;=COUNT($C35:$CS35),IF(INDEX($F$206:$F$229,MATCH($B255,$B$206:$B$229,FALSE))=0,NA(),INDEX(S$14:S$37,MATCH($B255,$B$14:$B$37,FALSE))/INDEX($F$206:$F$229,MATCH($B255,$B$206:$B$229,FALSE))),NA()),NA())</f>
        <v>#N/A</v>
      </c>
      <c r="U255" s="65" t="e">
        <f>IF(T63=1,IF(T$13&lt;=COUNT($C35:$CS35),IF(INDEX($F$206:$F$229,MATCH($B255,$B$206:$B$229,FALSE))=0,NA(),INDEX(T$14:T$37,MATCH($B255,$B$14:$B$37,FALSE))/INDEX($F$206:$F$229,MATCH($B255,$B$206:$B$229,FALSE))),NA()),NA())</f>
        <v>#N/A</v>
      </c>
      <c r="V255" s="65" t="e">
        <f>IF(U63=1,IF(U$13&lt;=COUNT($C35:$CS35),IF(INDEX($F$206:$F$229,MATCH($B255,$B$206:$B$229,FALSE))=0,NA(),INDEX(U$14:U$37,MATCH($B255,$B$14:$B$37,FALSE))/INDEX($F$206:$F$229,MATCH($B255,$B$206:$B$229,FALSE))),NA()),NA())</f>
        <v>#N/A</v>
      </c>
      <c r="W255" s="65" t="e">
        <f>IF(V63=1,IF(V$13&lt;=COUNT($C35:$CS35),IF(INDEX($F$206:$F$229,MATCH($B255,$B$206:$B$229,FALSE))=0,NA(),INDEX(V$14:V$37,MATCH($B255,$B$14:$B$37,FALSE))/INDEX($F$206:$F$229,MATCH($B255,$B$206:$B$229,FALSE))),NA()),NA())</f>
        <v>#N/A</v>
      </c>
      <c r="X255" s="65" t="e">
        <f>IF(W63=1,IF(W$13&lt;=COUNT($C35:$CS35),IF(INDEX($F$206:$F$229,MATCH($B255,$B$206:$B$229,FALSE))=0,NA(),INDEX(W$14:W$37,MATCH($B255,$B$14:$B$37,FALSE))/INDEX($F$206:$F$229,MATCH($B255,$B$206:$B$229,FALSE))),NA()),NA())</f>
        <v>#N/A</v>
      </c>
      <c r="Y255" s="65" t="e">
        <f>IF(X63=1,IF(X$13&lt;=COUNT($C35:$CS35),IF(INDEX($F$206:$F$229,MATCH($B255,$B$206:$B$229,FALSE))=0,NA(),INDEX(X$14:X$37,MATCH($B255,$B$14:$B$37,FALSE))/INDEX($F$206:$F$229,MATCH($B255,$B$206:$B$229,FALSE))),NA()),NA())</f>
        <v>#N/A</v>
      </c>
      <c r="Z255" s="65" t="e">
        <f>IF(Y63=1,IF(Y$13&lt;=COUNT($C35:$CS35),IF(INDEX($F$206:$F$229,MATCH($B255,$B$206:$B$229,FALSE))=0,NA(),INDEX(Y$14:Y$37,MATCH($B255,$B$14:$B$37,FALSE))/INDEX($F$206:$F$229,MATCH($B255,$B$206:$B$229,FALSE))),NA()),NA())</f>
        <v>#N/A</v>
      </c>
      <c r="AA255" s="65" t="e">
        <f>IF(Z63=1,IF(Z$13&lt;=COUNT($C35:$CS35),IF(INDEX($F$206:$F$229,MATCH($B255,$B$206:$B$229,FALSE))=0,NA(),INDEX(Z$14:Z$37,MATCH($B255,$B$14:$B$37,FALSE))/INDEX($F$206:$F$229,MATCH($B255,$B$206:$B$229,FALSE))),NA()),NA())</f>
        <v>#N/A</v>
      </c>
      <c r="AB255" s="65" t="e">
        <f>IF(AA63=1,IF(AA$13&lt;=COUNT($C35:$CS35),IF(INDEX($F$206:$F$229,MATCH($B255,$B$206:$B$229,FALSE))=0,NA(),INDEX(AA$14:AA$37,MATCH($B255,$B$14:$B$37,FALSE))/INDEX($F$206:$F$229,MATCH($B255,$B$206:$B$229,FALSE))),NA()),NA())</f>
        <v>#N/A</v>
      </c>
      <c r="AC255" s="65" t="e">
        <f>IF(AB63=1,IF(AB$13&lt;=COUNT($C35:$CS35),IF(INDEX($F$206:$F$229,MATCH($B255,$B$206:$B$229,FALSE))=0,NA(),INDEX(AB$14:AB$37,MATCH($B255,$B$14:$B$37,FALSE))/INDEX($F$206:$F$229,MATCH($B255,$B$206:$B$229,FALSE))),NA()),NA())</f>
        <v>#N/A</v>
      </c>
      <c r="AD255" s="65" t="e">
        <f>IF(AC63=1,IF(AC$13&lt;=COUNT($C35:$CS35),IF(INDEX($F$206:$F$229,MATCH($B255,$B$206:$B$229,FALSE))=0,NA(),INDEX(AC$14:AC$37,MATCH($B255,$B$14:$B$37,FALSE))/INDEX($F$206:$F$229,MATCH($B255,$B$206:$B$229,FALSE))),NA()),NA())</f>
        <v>#N/A</v>
      </c>
      <c r="AE255" s="65" t="e">
        <f>IF(AD63=1,IF(AD$13&lt;=COUNT($C35:$CS35),IF(INDEX($F$206:$F$229,MATCH($B255,$B$206:$B$229,FALSE))=0,NA(),INDEX(AD$14:AD$37,MATCH($B255,$B$14:$B$37,FALSE))/INDEX($F$206:$F$229,MATCH($B255,$B$206:$B$229,FALSE))),NA()),NA())</f>
        <v>#N/A</v>
      </c>
      <c r="AF255" s="65" t="e">
        <f>IF(AE63=1,IF(AE$13&lt;=COUNT($C35:$CS35),IF(INDEX($F$206:$F$229,MATCH($B255,$B$206:$B$229,FALSE))=0,NA(),INDEX(AE$14:AE$37,MATCH($B255,$B$14:$B$37,FALSE))/INDEX($F$206:$F$229,MATCH($B255,$B$206:$B$229,FALSE))),NA()),NA())</f>
        <v>#N/A</v>
      </c>
      <c r="AG255" s="65" t="e">
        <f>IF(AF63=1,IF(AF$13&lt;=COUNT($C35:$CS35),IF(INDEX($F$206:$F$229,MATCH($B255,$B$206:$B$229,FALSE))=0,NA(),INDEX(AF$14:AF$37,MATCH($B255,$B$14:$B$37,FALSE))/INDEX($F$206:$F$229,MATCH($B255,$B$206:$B$229,FALSE))),NA()),NA())</f>
        <v>#N/A</v>
      </c>
      <c r="AH255" s="65" t="e">
        <f>IF(AG63=1,IF(AG$13&lt;=COUNT($C35:$CS35),IF(INDEX($F$206:$F$229,MATCH($B255,$B$206:$B$229,FALSE))=0,NA(),INDEX(AG$14:AG$37,MATCH($B255,$B$14:$B$37,FALSE))/INDEX($F$206:$F$229,MATCH($B255,$B$206:$B$229,FALSE))),NA()),NA())</f>
        <v>#N/A</v>
      </c>
      <c r="AI255" s="65" t="e">
        <f>IF(AH63=1,IF(AH$13&lt;=COUNT($C35:$CS35),IF(INDEX($F$206:$F$229,MATCH($B255,$B$206:$B$229,FALSE))=0,NA(),INDEX(AH$14:AH$37,MATCH($B255,$B$14:$B$37,FALSE))/INDEX($F$206:$F$229,MATCH($B255,$B$206:$B$229,FALSE))),NA()),NA())</f>
        <v>#N/A</v>
      </c>
      <c r="AJ255" s="65" t="e">
        <f>IF(AI63=1,IF(AI$13&lt;=COUNT($C35:$CS35),IF(INDEX($F$206:$F$229,MATCH($B255,$B$206:$B$229,FALSE))=0,NA(),INDEX(AI$14:AI$37,MATCH($B255,$B$14:$B$37,FALSE))/INDEX($F$206:$F$229,MATCH($B255,$B$206:$B$229,FALSE))),NA()),NA())</f>
        <v>#N/A</v>
      </c>
      <c r="AK255" s="65" t="e">
        <f>IF(AJ63=1,IF(AJ$13&lt;=COUNT($C35:$CS35),IF(INDEX($F$206:$F$229,MATCH($B255,$B$206:$B$229,FALSE))=0,NA(),INDEX(AJ$14:AJ$37,MATCH($B255,$B$14:$B$37,FALSE))/INDEX($F$206:$F$229,MATCH($B255,$B$206:$B$229,FALSE))),NA()),NA())</f>
        <v>#N/A</v>
      </c>
      <c r="AL255" s="65" t="e">
        <f>IF(AK63=1,IF(AK$13&lt;=COUNT($C35:$CS35),IF(INDEX($F$206:$F$229,MATCH($B255,$B$206:$B$229,FALSE))=0,NA(),INDEX(AK$14:AK$37,MATCH($B255,$B$14:$B$37,FALSE))/INDEX($F$206:$F$229,MATCH($B255,$B$206:$B$229,FALSE))),NA()),NA())</f>
        <v>#N/A</v>
      </c>
      <c r="AM255" s="65" t="e">
        <f>IF(AL63=1,IF(AL$13&lt;=COUNT($C35:$CS35),IF(INDEX($F$206:$F$229,MATCH($B255,$B$206:$B$229,FALSE))=0,NA(),INDEX(AL$14:AL$37,MATCH($B255,$B$14:$B$37,FALSE))/INDEX($F$206:$F$229,MATCH($B255,$B$206:$B$229,FALSE))),NA()),NA())</f>
        <v>#N/A</v>
      </c>
      <c r="AN255" s="65" t="e">
        <f>IF(AM63=1,IF(AM$13&lt;=COUNT($C35:$CS35),IF(INDEX($F$206:$F$229,MATCH($B255,$B$206:$B$229,FALSE))=0,NA(),INDEX(AM$14:AM$37,MATCH($B255,$B$14:$B$37,FALSE))/INDEX($F$206:$F$229,MATCH($B255,$B$206:$B$229,FALSE))),NA()),NA())</f>
        <v>#N/A</v>
      </c>
      <c r="AO255" s="65" t="e">
        <f>IF(AN63=1,IF(AN$13&lt;=COUNT($C35:$CS35),IF(INDEX($F$206:$F$229,MATCH($B255,$B$206:$B$229,FALSE))=0,NA(),INDEX(AN$14:AN$37,MATCH($B255,$B$14:$B$37,FALSE))/INDEX($F$206:$F$229,MATCH($B255,$B$206:$B$229,FALSE))),NA()),NA())</f>
        <v>#N/A</v>
      </c>
      <c r="AP255" s="65" t="e">
        <f>IF(AO63=1,IF(AO$13&lt;=COUNT($C35:$CS35),IF(INDEX($F$206:$F$229,MATCH($B255,$B$206:$B$229,FALSE))=0,NA(),INDEX(AO$14:AO$37,MATCH($B255,$B$14:$B$37,FALSE))/INDEX($F$206:$F$229,MATCH($B255,$B$206:$B$229,FALSE))),NA()),NA())</f>
        <v>#N/A</v>
      </c>
      <c r="AQ255" s="65" t="e">
        <f>IF(AP63=1,IF(AP$13&lt;=COUNT($C35:$CS35),IF(INDEX($F$206:$F$229,MATCH($B255,$B$206:$B$229,FALSE))=0,NA(),INDEX(AP$14:AP$37,MATCH($B255,$B$14:$B$37,FALSE))/INDEX($F$206:$F$229,MATCH($B255,$B$206:$B$229,FALSE))),NA()),NA())</f>
        <v>#N/A</v>
      </c>
      <c r="AR255" s="65" t="e">
        <f>IF(AQ63=1,IF(AQ$13&lt;=COUNT($C35:$CS35),IF(INDEX($F$206:$F$229,MATCH($B255,$B$206:$B$229,FALSE))=0,NA(),INDEX(AQ$14:AQ$37,MATCH($B255,$B$14:$B$37,FALSE))/INDEX($F$206:$F$229,MATCH($B255,$B$206:$B$229,FALSE))),NA()),NA())</f>
        <v>#N/A</v>
      </c>
      <c r="AS255" s="65" t="e">
        <f>IF(AR63=1,IF(AR$13&lt;=COUNT($C35:$CS35),IF(INDEX($F$206:$F$229,MATCH($B255,$B$206:$B$229,FALSE))=0,NA(),INDEX(AR$14:AR$37,MATCH($B255,$B$14:$B$37,FALSE))/INDEX($F$206:$F$229,MATCH($B255,$B$206:$B$229,FALSE))),NA()),NA())</f>
        <v>#N/A</v>
      </c>
      <c r="AT255" s="65" t="e">
        <f>IF(AS63=1,IF(AS$13&lt;=COUNT($C35:$CS35),IF(INDEX($F$206:$F$229,MATCH($B255,$B$206:$B$229,FALSE))=0,NA(),INDEX(AS$14:AS$37,MATCH($B255,$B$14:$B$37,FALSE))/INDEX($F$206:$F$229,MATCH($B255,$B$206:$B$229,FALSE))),NA()),NA())</f>
        <v>#N/A</v>
      </c>
      <c r="AU255" s="65" t="e">
        <f>IF(AT63=1,IF(AT$13&lt;=COUNT($C35:$CS35),IF(INDEX($F$206:$F$229,MATCH($B255,$B$206:$B$229,FALSE))=0,NA(),INDEX(AT$14:AT$37,MATCH($B255,$B$14:$B$37,FALSE))/INDEX($F$206:$F$229,MATCH($B255,$B$206:$B$229,FALSE))),NA()),NA())</f>
        <v>#N/A</v>
      </c>
      <c r="AV255" s="65" t="e">
        <f>IF(AU63=1,IF(AU$13&lt;=COUNT($C35:$CS35),IF(INDEX($F$206:$F$229,MATCH($B255,$B$206:$B$229,FALSE))=0,NA(),INDEX(AU$14:AU$37,MATCH($B255,$B$14:$B$37,FALSE))/INDEX($F$206:$F$229,MATCH($B255,$B$206:$B$229,FALSE))),NA()),NA())</f>
        <v>#N/A</v>
      </c>
      <c r="AW255" s="65" t="e">
        <f>IF(AV63=1,IF(AV$13&lt;=COUNT($C35:$CS35),IF(INDEX($F$206:$F$229,MATCH($B255,$B$206:$B$229,FALSE))=0,NA(),INDEX(AV$14:AV$37,MATCH($B255,$B$14:$B$37,FALSE))/INDEX($F$206:$F$229,MATCH($B255,$B$206:$B$229,FALSE))),NA()),NA())</f>
        <v>#N/A</v>
      </c>
      <c r="AX255" s="65" t="e">
        <f>IF(AW63=1,IF(AW$13&lt;=COUNT($C35:$CS35),IF(INDEX($F$206:$F$229,MATCH($B255,$B$206:$B$229,FALSE))=0,NA(),INDEX(AW$14:AW$37,MATCH($B255,$B$14:$B$37,FALSE))/INDEX($F$206:$F$229,MATCH($B255,$B$206:$B$229,FALSE))),NA()),NA())</f>
        <v>#N/A</v>
      </c>
      <c r="AY255" s="65" t="e">
        <f>IF(AX63=1,IF(AX$13&lt;=COUNT($C35:$CS35),IF(INDEX($F$206:$F$229,MATCH($B255,$B$206:$B$229,FALSE))=0,NA(),INDEX(AX$14:AX$37,MATCH($B255,$B$14:$B$37,FALSE))/INDEX($F$206:$F$229,MATCH($B255,$B$206:$B$229,FALSE))),NA()),NA())</f>
        <v>#N/A</v>
      </c>
      <c r="AZ255" s="65" t="e">
        <f>IF(AY63=1,IF(AY$13&lt;=COUNT($C35:$CS35),IF(INDEX($F$206:$F$229,MATCH($B255,$B$206:$B$229,FALSE))=0,NA(),INDEX(AY$14:AY$37,MATCH($B255,$B$14:$B$37,FALSE))/INDEX($F$206:$F$229,MATCH($B255,$B$206:$B$229,FALSE))),NA()),NA())</f>
        <v>#N/A</v>
      </c>
      <c r="BA255" s="65" t="e">
        <f>IF(AZ63=1,IF(AZ$13&lt;=COUNT($C35:$CS35),IF(INDEX($F$206:$F$229,MATCH($B255,$B$206:$B$229,FALSE))=0,NA(),INDEX(AZ$14:AZ$37,MATCH($B255,$B$14:$B$37,FALSE))/INDEX($F$206:$F$229,MATCH($B255,$B$206:$B$229,FALSE))),NA()),NA())</f>
        <v>#N/A</v>
      </c>
      <c r="BB255" s="65" t="e">
        <f>IF(BA63=1,IF(BA$13&lt;=COUNT($C35:$CS35),IF(INDEX($F$206:$F$229,MATCH($B255,$B$206:$B$229,FALSE))=0,NA(),INDEX(BA$14:BA$37,MATCH($B255,$B$14:$B$37,FALSE))/INDEX($F$206:$F$229,MATCH($B255,$B$206:$B$229,FALSE))),NA()),NA())</f>
        <v>#N/A</v>
      </c>
      <c r="BC255" s="65" t="e">
        <f>IF(BB63=1,IF(BB$13&lt;=COUNT($C35:$CS35),IF(INDEX($F$206:$F$229,MATCH($B255,$B$206:$B$229,FALSE))=0,NA(),INDEX(BB$14:BB$37,MATCH($B255,$B$14:$B$37,FALSE))/INDEX($F$206:$F$229,MATCH($B255,$B$206:$B$229,FALSE))),NA()),NA())</f>
        <v>#N/A</v>
      </c>
      <c r="BD255" s="65" t="e">
        <f>IF(BC63=1,IF(BC$13&lt;=COUNT($C35:$CS35),IF(INDEX($F$206:$F$229,MATCH($B255,$B$206:$B$229,FALSE))=0,NA(),INDEX(BC$14:BC$37,MATCH($B255,$B$14:$B$37,FALSE))/INDEX($F$206:$F$229,MATCH($B255,$B$206:$B$229,FALSE))),NA()),NA())</f>
        <v>#N/A</v>
      </c>
      <c r="BE255" s="65" t="e">
        <f>IF(BD63=1,IF(BD$13&lt;=COUNT($C35:$CS35),IF(INDEX($F$206:$F$229,MATCH($B255,$B$206:$B$229,FALSE))=0,NA(),INDEX(BD$14:BD$37,MATCH($B255,$B$14:$B$37,FALSE))/INDEX($F$206:$F$229,MATCH($B255,$B$206:$B$229,FALSE))),NA()),NA())</f>
        <v>#N/A</v>
      </c>
      <c r="BF255" s="65" t="e">
        <f>IF(BE63=1,IF(BE$13&lt;=COUNT($C35:$CS35),IF(INDEX($F$206:$F$229,MATCH($B255,$B$206:$B$229,FALSE))=0,NA(),INDEX(BE$14:BE$37,MATCH($B255,$B$14:$B$37,FALSE))/INDEX($F$206:$F$229,MATCH($B255,$B$206:$B$229,FALSE))),NA()),NA())</f>
        <v>#N/A</v>
      </c>
      <c r="BG255" s="65" t="e">
        <f>IF(BF63=1,IF(BF$13&lt;=COUNT($C35:$CS35),IF(INDEX($F$206:$F$229,MATCH($B255,$B$206:$B$229,FALSE))=0,NA(),INDEX(BF$14:BF$37,MATCH($B255,$B$14:$B$37,FALSE))/INDEX($F$206:$F$229,MATCH($B255,$B$206:$B$229,FALSE))),NA()),NA())</f>
        <v>#N/A</v>
      </c>
      <c r="BH255" s="65" t="e">
        <f>IF(BG63=1,IF(BG$13&lt;=COUNT($C35:$CS35),IF(INDEX($F$206:$F$229,MATCH($B255,$B$206:$B$229,FALSE))=0,NA(),INDEX(BG$14:BG$37,MATCH($B255,$B$14:$B$37,FALSE))/INDEX($F$206:$F$229,MATCH($B255,$B$206:$B$229,FALSE))),NA()),NA())</f>
        <v>#N/A</v>
      </c>
      <c r="BI255" s="65" t="e">
        <f>IF(BH63=1,IF(BH$13&lt;=COUNT($C35:$CS35),IF(INDEX($F$206:$F$229,MATCH($B255,$B$206:$B$229,FALSE))=0,NA(),INDEX(BH$14:BH$37,MATCH($B255,$B$14:$B$37,FALSE))/INDEX($F$206:$F$229,MATCH($B255,$B$206:$B$229,FALSE))),NA()),NA())</f>
        <v>#N/A</v>
      </c>
      <c r="BJ255" s="65" t="e">
        <f>IF(BI63=1,IF(BI$13&lt;=COUNT($C35:$CS35),IF(INDEX($F$206:$F$229,MATCH($B255,$B$206:$B$229,FALSE))=0,NA(),INDEX(BI$14:BI$37,MATCH($B255,$B$14:$B$37,FALSE))/INDEX($F$206:$F$229,MATCH($B255,$B$206:$B$229,FALSE))),NA()),NA())</f>
        <v>#N/A</v>
      </c>
      <c r="BK255" s="65" t="e">
        <f>IF(BJ63=1,IF(BJ$13&lt;=COUNT($C35:$CS35),IF(INDEX($F$206:$F$229,MATCH($B255,$B$206:$B$229,FALSE))=0,NA(),INDEX(BJ$14:BJ$37,MATCH($B255,$B$14:$B$37,FALSE))/INDEX($F$206:$F$229,MATCH($B255,$B$206:$B$229,FALSE))),NA()),NA())</f>
        <v>#N/A</v>
      </c>
      <c r="BL255" s="65" t="e">
        <f>IF(BK63=1,IF(BK$13&lt;=COUNT($C35:$CS35),IF(INDEX($F$206:$F$229,MATCH($B255,$B$206:$B$229,FALSE))=0,NA(),INDEX(BK$14:BK$37,MATCH($B255,$B$14:$B$37,FALSE))/INDEX($F$206:$F$229,MATCH($B255,$B$206:$B$229,FALSE))),NA()),NA())</f>
        <v>#N/A</v>
      </c>
      <c r="BM255" s="65" t="e">
        <f>IF(BL63=1,IF(BL$13&lt;=COUNT($C35:$CS35),IF(INDEX($F$206:$F$229,MATCH($B255,$B$206:$B$229,FALSE))=0,NA(),INDEX(BL$14:BL$37,MATCH($B255,$B$14:$B$37,FALSE))/INDEX($F$206:$F$229,MATCH($B255,$B$206:$B$229,FALSE))),NA()),NA())</f>
        <v>#N/A</v>
      </c>
      <c r="BN255" s="65" t="e">
        <f>IF(BM63=1,IF(BM$13&lt;=COUNT($C35:$CS35),IF(INDEX($F$206:$F$229,MATCH($B255,$B$206:$B$229,FALSE))=0,NA(),INDEX(BM$14:BM$37,MATCH($B255,$B$14:$B$37,FALSE))/INDEX($F$206:$F$229,MATCH($B255,$B$206:$B$229,FALSE))),NA()),NA())</f>
        <v>#N/A</v>
      </c>
      <c r="BO255" s="65" t="e">
        <f>IF(BN63=1,IF(BN$13&lt;=COUNT($C35:$CS35),IF(INDEX($F$206:$F$229,MATCH($B255,$B$206:$B$229,FALSE))=0,NA(),INDEX(BN$14:BN$37,MATCH($B255,$B$14:$B$37,FALSE))/INDEX($F$206:$F$229,MATCH($B255,$B$206:$B$229,FALSE))),NA()),NA())</f>
        <v>#N/A</v>
      </c>
      <c r="BP255" s="65" t="e">
        <f>IF(BO63=1,IF(BO$13&lt;=COUNT($C35:$CS35),IF(INDEX($F$206:$F$229,MATCH($B255,$B$206:$B$229,FALSE))=0,NA(),INDEX(BO$14:BO$37,MATCH($B255,$B$14:$B$37,FALSE))/INDEX($F$206:$F$229,MATCH($B255,$B$206:$B$229,FALSE))),NA()),NA())</f>
        <v>#N/A</v>
      </c>
      <c r="BQ255" s="65" t="e">
        <f>IF(BP63=1,IF(BP$13&lt;=COUNT($C35:$CS35),IF(INDEX($F$206:$F$229,MATCH($B255,$B$206:$B$229,FALSE))=0,NA(),INDEX(BP$14:BP$37,MATCH($B255,$B$14:$B$37,FALSE))/INDEX($F$206:$F$229,MATCH($B255,$B$206:$B$229,FALSE))),NA()),NA())</f>
        <v>#N/A</v>
      </c>
      <c r="BR255" s="65" t="e">
        <f>IF(BQ63=1,IF(BQ$13&lt;=COUNT($C35:$CS35),IF(INDEX($F$206:$F$229,MATCH($B255,$B$206:$B$229,FALSE))=0,NA(),INDEX(BQ$14:BQ$37,MATCH($B255,$B$14:$B$37,FALSE))/INDEX($F$206:$F$229,MATCH($B255,$B$206:$B$229,FALSE))),NA()),NA())</f>
        <v>#N/A</v>
      </c>
      <c r="BS255" s="65" t="e">
        <f>IF(BR63=1,IF(BR$13&lt;=COUNT($C35:$CS35),IF(INDEX($F$206:$F$229,MATCH($B255,$B$206:$B$229,FALSE))=0,NA(),INDEX(BR$14:BR$37,MATCH($B255,$B$14:$B$37,FALSE))/INDEX($F$206:$F$229,MATCH($B255,$B$206:$B$229,FALSE))),NA()),NA())</f>
        <v>#N/A</v>
      </c>
      <c r="BT255" s="65" t="e">
        <f>IF(BS63=1,IF(BS$13&lt;=COUNT($C35:$CS35),IF(INDEX($F$206:$F$229,MATCH($B255,$B$206:$B$229,FALSE))=0,NA(),INDEX(BS$14:BS$37,MATCH($B255,$B$14:$B$37,FALSE))/INDEX($F$206:$F$229,MATCH($B255,$B$206:$B$229,FALSE))),NA()),NA())</f>
        <v>#N/A</v>
      </c>
      <c r="BU255" s="65" t="e">
        <f>IF(BT63=1,IF(BT$13&lt;=COUNT($C35:$CS35),IF(INDEX($F$206:$F$229,MATCH($B255,$B$206:$B$229,FALSE))=0,NA(),INDEX(BT$14:BT$37,MATCH($B255,$B$14:$B$37,FALSE))/INDEX($F$206:$F$229,MATCH($B255,$B$206:$B$229,FALSE))),NA()),NA())</f>
        <v>#N/A</v>
      </c>
      <c r="BV255" s="65" t="e">
        <f>IF(BU63=1,IF(BU$13&lt;=COUNT($C35:$CS35),IF(INDEX($F$206:$F$229,MATCH($B255,$B$206:$B$229,FALSE))=0,NA(),INDEX(BU$14:BU$37,MATCH($B255,$B$14:$B$37,FALSE))/INDEX($F$206:$F$229,MATCH($B255,$B$206:$B$229,FALSE))),NA()),NA())</f>
        <v>#N/A</v>
      </c>
      <c r="BW255" s="65" t="e">
        <f>IF(BV63=1,IF(BV$13&lt;=COUNT($C35:$CS35),IF(INDEX($F$206:$F$229,MATCH($B255,$B$206:$B$229,FALSE))=0,NA(),INDEX(BV$14:BV$37,MATCH($B255,$B$14:$B$37,FALSE))/INDEX($F$206:$F$229,MATCH($B255,$B$206:$B$229,FALSE))),NA()),NA())</f>
        <v>#N/A</v>
      </c>
      <c r="BX255" s="65" t="e">
        <f>IF(BW63=1,IF(BW$13&lt;=COUNT($C35:$CS35),IF(INDEX($F$206:$F$229,MATCH($B255,$B$206:$B$229,FALSE))=0,NA(),INDEX(BW$14:BW$37,MATCH($B255,$B$14:$B$37,FALSE))/INDEX($F$206:$F$229,MATCH($B255,$B$206:$B$229,FALSE))),NA()),NA())</f>
        <v>#N/A</v>
      </c>
      <c r="BY255" s="65" t="e">
        <f>IF(BX63=1,IF(BX$13&lt;=COUNT($C35:$CS35),IF(INDEX($F$206:$F$229,MATCH($B255,$B$206:$B$229,FALSE))=0,NA(),INDEX(BX$14:BX$37,MATCH($B255,$B$14:$B$37,FALSE))/INDEX($F$206:$F$229,MATCH($B255,$B$206:$B$229,FALSE))),NA()),NA())</f>
        <v>#N/A</v>
      </c>
      <c r="BZ255" s="65" t="e">
        <f>IF(BY63=1,IF(BY$13&lt;=COUNT($C35:$CS35),IF(INDEX($F$206:$F$229,MATCH($B255,$B$206:$B$229,FALSE))=0,NA(),INDEX(BY$14:BY$37,MATCH($B255,$B$14:$B$37,FALSE))/INDEX($F$206:$F$229,MATCH($B255,$B$206:$B$229,FALSE))),NA()),NA())</f>
        <v>#N/A</v>
      </c>
      <c r="CA255" s="65" t="e">
        <f>IF(BZ63=1,IF(BZ$13&lt;=COUNT($C35:$CS35),IF(INDEX($F$206:$F$229,MATCH($B255,$B$206:$B$229,FALSE))=0,NA(),INDEX(BZ$14:BZ$37,MATCH($B255,$B$14:$B$37,FALSE))/INDEX($F$206:$F$229,MATCH($B255,$B$206:$B$229,FALSE))),NA()),NA())</f>
        <v>#N/A</v>
      </c>
      <c r="CB255" s="65" t="e">
        <f>IF(CA63=1,IF(CA$13&lt;=COUNT($C35:$CS35),IF(INDEX($F$206:$F$229,MATCH($B255,$B$206:$B$229,FALSE))=0,NA(),INDEX(CA$14:CA$37,MATCH($B255,$B$14:$B$37,FALSE))/INDEX($F$206:$F$229,MATCH($B255,$B$206:$B$229,FALSE))),NA()),NA())</f>
        <v>#N/A</v>
      </c>
      <c r="CC255" s="65" t="e">
        <f>IF(CB63=1,IF(CB$13&lt;=COUNT($C35:$CS35),IF(INDEX($F$206:$F$229,MATCH($B255,$B$206:$B$229,FALSE))=0,NA(),INDEX(CB$14:CB$37,MATCH($B255,$B$14:$B$37,FALSE))/INDEX($F$206:$F$229,MATCH($B255,$B$206:$B$229,FALSE))),NA()),NA())</f>
        <v>#N/A</v>
      </c>
      <c r="CD255" s="65" t="e">
        <f>IF(CC63=1,IF(CC$13&lt;=COUNT($C35:$CS35),IF(INDEX($F$206:$F$229,MATCH($B255,$B$206:$B$229,FALSE))=0,NA(),INDEX(CC$14:CC$37,MATCH($B255,$B$14:$B$37,FALSE))/INDEX($F$206:$F$229,MATCH($B255,$B$206:$B$229,FALSE))),NA()),NA())</f>
        <v>#N/A</v>
      </c>
      <c r="CE255" s="65" t="e">
        <f>IF(CD63=1,IF(CD$13&lt;=COUNT($C35:$CS35),IF(INDEX($F$206:$F$229,MATCH($B255,$B$206:$B$229,FALSE))=0,NA(),INDEX(CD$14:CD$37,MATCH($B255,$B$14:$B$37,FALSE))/INDEX($F$206:$F$229,MATCH($B255,$B$206:$B$229,FALSE))),NA()),NA())</f>
        <v>#N/A</v>
      </c>
      <c r="CF255" s="65" t="e">
        <f>IF(CE63=1,IF(CE$13&lt;=COUNT($C35:$CS35),IF(INDEX($F$206:$F$229,MATCH($B255,$B$206:$B$229,FALSE))=0,NA(),INDEX(CE$14:CE$37,MATCH($B255,$B$14:$B$37,FALSE))/INDEX($F$206:$F$229,MATCH($B255,$B$206:$B$229,FALSE))),NA()),NA())</f>
        <v>#N/A</v>
      </c>
      <c r="CG255" s="65" t="e">
        <f>IF(CF63=1,IF(CF$13&lt;=COUNT($C35:$CS35),IF(INDEX($F$206:$F$229,MATCH($B255,$B$206:$B$229,FALSE))=0,NA(),INDEX(CF$14:CF$37,MATCH($B255,$B$14:$B$37,FALSE))/INDEX($F$206:$F$229,MATCH($B255,$B$206:$B$229,FALSE))),NA()),NA())</f>
        <v>#N/A</v>
      </c>
      <c r="CH255" s="65" t="e">
        <f>IF(CG63=1,IF(CG$13&lt;=COUNT($C35:$CS35),IF(INDEX($F$206:$F$229,MATCH($B255,$B$206:$B$229,FALSE))=0,NA(),INDEX(CG$14:CG$37,MATCH($B255,$B$14:$B$37,FALSE))/INDEX($F$206:$F$229,MATCH($B255,$B$206:$B$229,FALSE))),NA()),NA())</f>
        <v>#N/A</v>
      </c>
      <c r="CI255" s="65" t="e">
        <f>IF(CH63=1,IF(CH$13&lt;=COUNT($C35:$CS35),IF(INDEX($F$206:$F$229,MATCH($B255,$B$206:$B$229,FALSE))=0,NA(),INDEX(CH$14:CH$37,MATCH($B255,$B$14:$B$37,FALSE))/INDEX($F$206:$F$229,MATCH($B255,$B$206:$B$229,FALSE))),NA()),NA())</f>
        <v>#N/A</v>
      </c>
      <c r="CJ255" s="65" t="e">
        <f>IF(CI63=1,IF(CI$13&lt;=COUNT($C35:$CS35),IF(INDEX($F$206:$F$229,MATCH($B255,$B$206:$B$229,FALSE))=0,NA(),INDEX(CI$14:CI$37,MATCH($B255,$B$14:$B$37,FALSE))/INDEX($F$206:$F$229,MATCH($B255,$B$206:$B$229,FALSE))),NA()),NA())</f>
        <v>#N/A</v>
      </c>
      <c r="CK255" s="65" t="e">
        <f>IF(CJ63=1,IF(CJ$13&lt;=COUNT($C35:$CS35),IF(INDEX($F$206:$F$229,MATCH($B255,$B$206:$B$229,FALSE))=0,NA(),INDEX(CJ$14:CJ$37,MATCH($B255,$B$14:$B$37,FALSE))/INDEX($F$206:$F$229,MATCH($B255,$B$206:$B$229,FALSE))),NA()),NA())</f>
        <v>#N/A</v>
      </c>
      <c r="CL255" s="65" t="e">
        <f>IF(CK63=1,IF(CK$13&lt;=COUNT($C35:$CS35),IF(INDEX($F$206:$F$229,MATCH($B255,$B$206:$B$229,FALSE))=0,NA(),INDEX(CK$14:CK$37,MATCH($B255,$B$14:$B$37,FALSE))/INDEX($F$206:$F$229,MATCH($B255,$B$206:$B$229,FALSE))),NA()),NA())</f>
        <v>#N/A</v>
      </c>
      <c r="CM255" s="65" t="e">
        <f>IF(CL63=1,IF(CL$13&lt;=COUNT($C35:$CS35),IF(INDEX($F$206:$F$229,MATCH($B255,$B$206:$B$229,FALSE))=0,NA(),INDEX(CL$14:CL$37,MATCH($B255,$B$14:$B$37,FALSE))/INDEX($F$206:$F$229,MATCH($B255,$B$206:$B$229,FALSE))),NA()),NA())</f>
        <v>#N/A</v>
      </c>
      <c r="CN255" s="65" t="e">
        <f>IF(CM63=1,IF(CM$13&lt;=COUNT($C35:$CS35),IF(INDEX($F$206:$F$229,MATCH($B255,$B$206:$B$229,FALSE))=0,NA(),INDEX(CM$14:CM$37,MATCH($B255,$B$14:$B$37,FALSE))/INDEX($F$206:$F$229,MATCH($B255,$B$206:$B$229,FALSE))),NA()),NA())</f>
        <v>#N/A</v>
      </c>
      <c r="CO255" s="65" t="e">
        <f>IF(CN63=1,IF(CN$13&lt;=COUNT($C35:$CS35),IF(INDEX($F$206:$F$229,MATCH($B255,$B$206:$B$229,FALSE))=0,NA(),INDEX(CN$14:CN$37,MATCH($B255,$B$14:$B$37,FALSE))/INDEX($F$206:$F$229,MATCH($B255,$B$206:$B$229,FALSE))),NA()),NA())</f>
        <v>#N/A</v>
      </c>
      <c r="CP255" s="65" t="e">
        <f>IF(CO63=1,IF(CO$13&lt;=COUNT($C35:$CS35),IF(INDEX($F$206:$F$229,MATCH($B255,$B$206:$B$229,FALSE))=0,NA(),INDEX(CO$14:CO$37,MATCH($B255,$B$14:$B$37,FALSE))/INDEX($F$206:$F$229,MATCH($B255,$B$206:$B$229,FALSE))),NA()),NA())</f>
        <v>#N/A</v>
      </c>
      <c r="CQ255" s="65" t="e">
        <f>IF(CP63=1,IF(CP$13&lt;=COUNT($C35:$CS35),IF(INDEX($F$206:$F$229,MATCH($B255,$B$206:$B$229,FALSE))=0,NA(),INDEX(CP$14:CP$37,MATCH($B255,$B$14:$B$37,FALSE))/INDEX($F$206:$F$229,MATCH($B255,$B$206:$B$229,FALSE))),NA()),NA())</f>
        <v>#N/A</v>
      </c>
      <c r="CR255" s="65" t="e">
        <f>IF(CQ63=1,IF(CQ$13&lt;=COUNT($C35:$CS35),IF(INDEX($F$206:$F$229,MATCH($B255,$B$206:$B$229,FALSE))=0,NA(),INDEX(CQ$14:CQ$37,MATCH($B255,$B$14:$B$37,FALSE))/INDEX($F$206:$F$229,MATCH($B255,$B$206:$B$229,FALSE))),NA()),NA())</f>
        <v>#N/A</v>
      </c>
      <c r="CS255" s="65" t="e">
        <f>IF(CR63=1,IF(CR$13&lt;=COUNT($C35:$CS35),IF(INDEX($F$206:$F$229,MATCH($B255,$B$206:$B$229,FALSE))=0,NA(),INDEX(CR$14:CR$37,MATCH($B255,$B$14:$B$37,FALSE))/INDEX($F$206:$F$229,MATCH($B255,$B$206:$B$229,FALSE))),NA()),NA())</f>
        <v>#N/A</v>
      </c>
      <c r="CT255" s="49"/>
      <c r="CU255" s="49"/>
      <c r="CV255" s="49"/>
      <c r="CW255" s="49"/>
    </row>
    <row r="256" spans="1:101" x14ac:dyDescent="0.25">
      <c r="A256" s="97">
        <f t="shared" si="352"/>
        <v>1</v>
      </c>
      <c r="B256" s="29">
        <v>2018</v>
      </c>
      <c r="C256" s="154" t="str">
        <f t="shared" si="353"/>
        <v/>
      </c>
      <c r="D256" s="54">
        <f t="shared" ref="D256:BO256" ca="1" si="360">IF(C64=1,IF(C$13&lt;=COUNT($C36:$CS36),IF(INDEX($F$206:$F$229,MATCH($B256,$B$206:$B$229,FALSE))=0,NA(),INDEX(C$14:C$37,MATCH($B256,$B$14:$B$37,FALSE))/INDEX($F$206:$F$229,MATCH($B256,$B$206:$B$229,FALSE))),NA()),NA())</f>
        <v>1.0595492615705908</v>
      </c>
      <c r="E256" s="65">
        <f t="shared" ca="1" si="360"/>
        <v>0.60848617159943708</v>
      </c>
      <c r="F256" s="65" t="e">
        <f>IF(E64=1,IF(E$13&lt;=COUNT($C36:$CS36),IF(INDEX($F$206:$F$229,MATCH($B256,$B$206:$B$229,FALSE))=0,NA(),INDEX(E$14:E$37,MATCH($B256,$B$14:$B$37,FALSE))/INDEX($F$206:$F$229,MATCH($B256,$B$206:$B$229,FALSE))),NA()),NA())</f>
        <v>#N/A</v>
      </c>
      <c r="G256" s="65" t="e">
        <f>IF(F64=1,IF(F$13&lt;=COUNT($C36:$CS36),IF(INDEX($F$206:$F$229,MATCH($B256,$B$206:$B$229,FALSE))=0,NA(),INDEX(F$14:F$37,MATCH($B256,$B$14:$B$37,FALSE))/INDEX($F$206:$F$229,MATCH($B256,$B$206:$B$229,FALSE))),NA()),NA())</f>
        <v>#N/A</v>
      </c>
      <c r="H256" s="65" t="e">
        <f>IF(G64=1,IF(G$13&lt;=COUNT($C36:$CS36),IF(INDEX($F$206:$F$229,MATCH($B256,$B$206:$B$229,FALSE))=0,NA(),INDEX(G$14:G$37,MATCH($B256,$B$14:$B$37,FALSE))/INDEX($F$206:$F$229,MATCH($B256,$B$206:$B$229,FALSE))),NA()),NA())</f>
        <v>#N/A</v>
      </c>
      <c r="I256" s="65" t="e">
        <f>IF(H64=1,IF(H$13&lt;=COUNT($C36:$CS36),IF(INDEX($F$206:$F$229,MATCH($B256,$B$206:$B$229,FALSE))=0,NA(),INDEX(H$14:H$37,MATCH($B256,$B$14:$B$37,FALSE))/INDEX($F$206:$F$229,MATCH($B256,$B$206:$B$229,FALSE))),NA()),NA())</f>
        <v>#N/A</v>
      </c>
      <c r="J256" s="65" t="e">
        <f>IF(I64=1,IF(I$13&lt;=COUNT($C36:$CS36),IF(INDEX($F$206:$F$229,MATCH($B256,$B$206:$B$229,FALSE))=0,NA(),INDEX(I$14:I$37,MATCH($B256,$B$14:$B$37,FALSE))/INDEX($F$206:$F$229,MATCH($B256,$B$206:$B$229,FALSE))),NA()),NA())</f>
        <v>#N/A</v>
      </c>
      <c r="K256" s="65" t="e">
        <f>IF(J64=1,IF(J$13&lt;=COUNT($C36:$CS36),IF(INDEX($F$206:$F$229,MATCH($B256,$B$206:$B$229,FALSE))=0,NA(),INDEX(J$14:J$37,MATCH($B256,$B$14:$B$37,FALSE))/INDEX($F$206:$F$229,MATCH($B256,$B$206:$B$229,FALSE))),NA()),NA())</f>
        <v>#N/A</v>
      </c>
      <c r="L256" s="65" t="e">
        <f>IF(K64=1,IF(K$13&lt;=COUNT($C36:$CS36),IF(INDEX($F$206:$F$229,MATCH($B256,$B$206:$B$229,FALSE))=0,NA(),INDEX(K$14:K$37,MATCH($B256,$B$14:$B$37,FALSE))/INDEX($F$206:$F$229,MATCH($B256,$B$206:$B$229,FALSE))),NA()),NA())</f>
        <v>#N/A</v>
      </c>
      <c r="M256" s="65" t="e">
        <f>IF(L64=1,IF(L$13&lt;=COUNT($C36:$CS36),IF(INDEX($F$206:$F$229,MATCH($B256,$B$206:$B$229,FALSE))=0,NA(),INDEX(L$14:L$37,MATCH($B256,$B$14:$B$37,FALSE))/INDEX($F$206:$F$229,MATCH($B256,$B$206:$B$229,FALSE))),NA()),NA())</f>
        <v>#N/A</v>
      </c>
      <c r="N256" s="65" t="e">
        <f>IF(M64=1,IF(M$13&lt;=COUNT($C36:$CS36),IF(INDEX($F$206:$F$229,MATCH($B256,$B$206:$B$229,FALSE))=0,NA(),INDEX(M$14:M$37,MATCH($B256,$B$14:$B$37,FALSE))/INDEX($F$206:$F$229,MATCH($B256,$B$206:$B$229,FALSE))),NA()),NA())</f>
        <v>#N/A</v>
      </c>
      <c r="O256" s="65" t="e">
        <f>IF(N64=1,IF(N$13&lt;=COUNT($C36:$CS36),IF(INDEX($F$206:$F$229,MATCH($B256,$B$206:$B$229,FALSE))=0,NA(),INDEX(N$14:N$37,MATCH($B256,$B$14:$B$37,FALSE))/INDEX($F$206:$F$229,MATCH($B256,$B$206:$B$229,FALSE))),NA()),NA())</f>
        <v>#N/A</v>
      </c>
      <c r="P256" s="65" t="e">
        <f>IF(O64=1,IF(O$13&lt;=COUNT($C36:$CS36),IF(INDEX($F$206:$F$229,MATCH($B256,$B$206:$B$229,FALSE))=0,NA(),INDEX(O$14:O$37,MATCH($B256,$B$14:$B$37,FALSE))/INDEX($F$206:$F$229,MATCH($B256,$B$206:$B$229,FALSE))),NA()),NA())</f>
        <v>#N/A</v>
      </c>
      <c r="Q256" s="65" t="e">
        <f>IF(P64=1,IF(P$13&lt;=COUNT($C36:$CS36),IF(INDEX($F$206:$F$229,MATCH($B256,$B$206:$B$229,FALSE))=0,NA(),INDEX(P$14:P$37,MATCH($B256,$B$14:$B$37,FALSE))/INDEX($F$206:$F$229,MATCH($B256,$B$206:$B$229,FALSE))),NA()),NA())</f>
        <v>#N/A</v>
      </c>
      <c r="R256" s="65" t="e">
        <f>IF(Q64=1,IF(Q$13&lt;=COUNT($C36:$CS36),IF(INDEX($F$206:$F$229,MATCH($B256,$B$206:$B$229,FALSE))=0,NA(),INDEX(Q$14:Q$37,MATCH($B256,$B$14:$B$37,FALSE))/INDEX($F$206:$F$229,MATCH($B256,$B$206:$B$229,FALSE))),NA()),NA())</f>
        <v>#N/A</v>
      </c>
      <c r="S256" s="65" t="e">
        <f>IF(R64=1,IF(R$13&lt;=COUNT($C36:$CS36),IF(INDEX($F$206:$F$229,MATCH($B256,$B$206:$B$229,FALSE))=0,NA(),INDEX(R$14:R$37,MATCH($B256,$B$14:$B$37,FALSE))/INDEX($F$206:$F$229,MATCH($B256,$B$206:$B$229,FALSE))),NA()),NA())</f>
        <v>#N/A</v>
      </c>
      <c r="T256" s="65" t="e">
        <f>IF(S64=1,IF(S$13&lt;=COUNT($C36:$CS36),IF(INDEX($F$206:$F$229,MATCH($B256,$B$206:$B$229,FALSE))=0,NA(),INDEX(S$14:S$37,MATCH($B256,$B$14:$B$37,FALSE))/INDEX($F$206:$F$229,MATCH($B256,$B$206:$B$229,FALSE))),NA()),NA())</f>
        <v>#N/A</v>
      </c>
      <c r="U256" s="65" t="e">
        <f>IF(T64=1,IF(T$13&lt;=COUNT($C36:$CS36),IF(INDEX($F$206:$F$229,MATCH($B256,$B$206:$B$229,FALSE))=0,NA(),INDEX(T$14:T$37,MATCH($B256,$B$14:$B$37,FALSE))/INDEX($F$206:$F$229,MATCH($B256,$B$206:$B$229,FALSE))),NA()),NA())</f>
        <v>#N/A</v>
      </c>
      <c r="V256" s="65" t="e">
        <f>IF(U64=1,IF(U$13&lt;=COUNT($C36:$CS36),IF(INDEX($F$206:$F$229,MATCH($B256,$B$206:$B$229,FALSE))=0,NA(),INDEX(U$14:U$37,MATCH($B256,$B$14:$B$37,FALSE))/INDEX($F$206:$F$229,MATCH($B256,$B$206:$B$229,FALSE))),NA()),NA())</f>
        <v>#N/A</v>
      </c>
      <c r="W256" s="65" t="e">
        <f>IF(V64=1,IF(V$13&lt;=COUNT($C36:$CS36),IF(INDEX($F$206:$F$229,MATCH($B256,$B$206:$B$229,FALSE))=0,NA(),INDEX(V$14:V$37,MATCH($B256,$B$14:$B$37,FALSE))/INDEX($F$206:$F$229,MATCH($B256,$B$206:$B$229,FALSE))),NA()),NA())</f>
        <v>#N/A</v>
      </c>
      <c r="X256" s="65" t="e">
        <f>IF(W64=1,IF(W$13&lt;=COUNT($C36:$CS36),IF(INDEX($F$206:$F$229,MATCH($B256,$B$206:$B$229,FALSE))=0,NA(),INDEX(W$14:W$37,MATCH($B256,$B$14:$B$37,FALSE))/INDEX($F$206:$F$229,MATCH($B256,$B$206:$B$229,FALSE))),NA()),NA())</f>
        <v>#N/A</v>
      </c>
      <c r="Y256" s="65" t="e">
        <f>IF(X64=1,IF(X$13&lt;=COUNT($C36:$CS36),IF(INDEX($F$206:$F$229,MATCH($B256,$B$206:$B$229,FALSE))=0,NA(),INDEX(X$14:X$37,MATCH($B256,$B$14:$B$37,FALSE))/INDEX($F$206:$F$229,MATCH($B256,$B$206:$B$229,FALSE))),NA()),NA())</f>
        <v>#N/A</v>
      </c>
      <c r="Z256" s="65" t="e">
        <f>IF(Y64=1,IF(Y$13&lt;=COUNT($C36:$CS36),IF(INDEX($F$206:$F$229,MATCH($B256,$B$206:$B$229,FALSE))=0,NA(),INDEX(Y$14:Y$37,MATCH($B256,$B$14:$B$37,FALSE))/INDEX($F$206:$F$229,MATCH($B256,$B$206:$B$229,FALSE))),NA()),NA())</f>
        <v>#N/A</v>
      </c>
      <c r="AA256" s="65" t="e">
        <f>IF(Z64=1,IF(Z$13&lt;=COUNT($C36:$CS36),IF(INDEX($F$206:$F$229,MATCH($B256,$B$206:$B$229,FALSE))=0,NA(),INDEX(Z$14:Z$37,MATCH($B256,$B$14:$B$37,FALSE))/INDEX($F$206:$F$229,MATCH($B256,$B$206:$B$229,FALSE))),NA()),NA())</f>
        <v>#N/A</v>
      </c>
      <c r="AB256" s="65" t="e">
        <f>IF(AA64=1,IF(AA$13&lt;=COUNT($C36:$CS36),IF(INDEX($F$206:$F$229,MATCH($B256,$B$206:$B$229,FALSE))=0,NA(),INDEX(AA$14:AA$37,MATCH($B256,$B$14:$B$37,FALSE))/INDEX($F$206:$F$229,MATCH($B256,$B$206:$B$229,FALSE))),NA()),NA())</f>
        <v>#N/A</v>
      </c>
      <c r="AC256" s="65" t="e">
        <f>IF(AB64=1,IF(AB$13&lt;=COUNT($C36:$CS36),IF(INDEX($F$206:$F$229,MATCH($B256,$B$206:$B$229,FALSE))=0,NA(),INDEX(AB$14:AB$37,MATCH($B256,$B$14:$B$37,FALSE))/INDEX($F$206:$F$229,MATCH($B256,$B$206:$B$229,FALSE))),NA()),NA())</f>
        <v>#N/A</v>
      </c>
      <c r="AD256" s="65" t="e">
        <f>IF(AC64=1,IF(AC$13&lt;=COUNT($C36:$CS36),IF(INDEX($F$206:$F$229,MATCH($B256,$B$206:$B$229,FALSE))=0,NA(),INDEX(AC$14:AC$37,MATCH($B256,$B$14:$B$37,FALSE))/INDEX($F$206:$F$229,MATCH($B256,$B$206:$B$229,FALSE))),NA()),NA())</f>
        <v>#N/A</v>
      </c>
      <c r="AE256" s="65" t="e">
        <f>IF(AD64=1,IF(AD$13&lt;=COUNT($C36:$CS36),IF(INDEX($F$206:$F$229,MATCH($B256,$B$206:$B$229,FALSE))=0,NA(),INDEX(AD$14:AD$37,MATCH($B256,$B$14:$B$37,FALSE))/INDEX($F$206:$F$229,MATCH($B256,$B$206:$B$229,FALSE))),NA()),NA())</f>
        <v>#N/A</v>
      </c>
      <c r="AF256" s="65" t="e">
        <f>IF(AE64=1,IF(AE$13&lt;=COUNT($C36:$CS36),IF(INDEX($F$206:$F$229,MATCH($B256,$B$206:$B$229,FALSE))=0,NA(),INDEX(AE$14:AE$37,MATCH($B256,$B$14:$B$37,FALSE))/INDEX($F$206:$F$229,MATCH($B256,$B$206:$B$229,FALSE))),NA()),NA())</f>
        <v>#N/A</v>
      </c>
      <c r="AG256" s="65" t="e">
        <f>IF(AF64=1,IF(AF$13&lt;=COUNT($C36:$CS36),IF(INDEX($F$206:$F$229,MATCH($B256,$B$206:$B$229,FALSE))=0,NA(),INDEX(AF$14:AF$37,MATCH($B256,$B$14:$B$37,FALSE))/INDEX($F$206:$F$229,MATCH($B256,$B$206:$B$229,FALSE))),NA()),NA())</f>
        <v>#N/A</v>
      </c>
      <c r="AH256" s="65" t="e">
        <f>IF(AG64=1,IF(AG$13&lt;=COUNT($C36:$CS36),IF(INDEX($F$206:$F$229,MATCH($B256,$B$206:$B$229,FALSE))=0,NA(),INDEX(AG$14:AG$37,MATCH($B256,$B$14:$B$37,FALSE))/INDEX($F$206:$F$229,MATCH($B256,$B$206:$B$229,FALSE))),NA()),NA())</f>
        <v>#N/A</v>
      </c>
      <c r="AI256" s="65" t="e">
        <f>IF(AH64=1,IF(AH$13&lt;=COUNT($C36:$CS36),IF(INDEX($F$206:$F$229,MATCH($B256,$B$206:$B$229,FALSE))=0,NA(),INDEX(AH$14:AH$37,MATCH($B256,$B$14:$B$37,FALSE))/INDEX($F$206:$F$229,MATCH($B256,$B$206:$B$229,FALSE))),NA()),NA())</f>
        <v>#N/A</v>
      </c>
      <c r="AJ256" s="65" t="e">
        <f>IF(AI64=1,IF(AI$13&lt;=COUNT($C36:$CS36),IF(INDEX($F$206:$F$229,MATCH($B256,$B$206:$B$229,FALSE))=0,NA(),INDEX(AI$14:AI$37,MATCH($B256,$B$14:$B$37,FALSE))/INDEX($F$206:$F$229,MATCH($B256,$B$206:$B$229,FALSE))),NA()),NA())</f>
        <v>#N/A</v>
      </c>
      <c r="AK256" s="65" t="e">
        <f>IF(AJ64=1,IF(AJ$13&lt;=COUNT($C36:$CS36),IF(INDEX($F$206:$F$229,MATCH($B256,$B$206:$B$229,FALSE))=0,NA(),INDEX(AJ$14:AJ$37,MATCH($B256,$B$14:$B$37,FALSE))/INDEX($F$206:$F$229,MATCH($B256,$B$206:$B$229,FALSE))),NA()),NA())</f>
        <v>#N/A</v>
      </c>
      <c r="AL256" s="65" t="e">
        <f>IF(AK64=1,IF(AK$13&lt;=COUNT($C36:$CS36),IF(INDEX($F$206:$F$229,MATCH($B256,$B$206:$B$229,FALSE))=0,NA(),INDEX(AK$14:AK$37,MATCH($B256,$B$14:$B$37,FALSE))/INDEX($F$206:$F$229,MATCH($B256,$B$206:$B$229,FALSE))),NA()),NA())</f>
        <v>#N/A</v>
      </c>
      <c r="AM256" s="65" t="e">
        <f>IF(AL64=1,IF(AL$13&lt;=COUNT($C36:$CS36),IF(INDEX($F$206:$F$229,MATCH($B256,$B$206:$B$229,FALSE))=0,NA(),INDEX(AL$14:AL$37,MATCH($B256,$B$14:$B$37,FALSE))/INDEX($F$206:$F$229,MATCH($B256,$B$206:$B$229,FALSE))),NA()),NA())</f>
        <v>#N/A</v>
      </c>
      <c r="AN256" s="65" t="e">
        <f>IF(AM64=1,IF(AM$13&lt;=COUNT($C36:$CS36),IF(INDEX($F$206:$F$229,MATCH($B256,$B$206:$B$229,FALSE))=0,NA(),INDEX(AM$14:AM$37,MATCH($B256,$B$14:$B$37,FALSE))/INDEX($F$206:$F$229,MATCH($B256,$B$206:$B$229,FALSE))),NA()),NA())</f>
        <v>#N/A</v>
      </c>
      <c r="AO256" s="65" t="e">
        <f>IF(AN64=1,IF(AN$13&lt;=COUNT($C36:$CS36),IF(INDEX($F$206:$F$229,MATCH($B256,$B$206:$B$229,FALSE))=0,NA(),INDEX(AN$14:AN$37,MATCH($B256,$B$14:$B$37,FALSE))/INDEX($F$206:$F$229,MATCH($B256,$B$206:$B$229,FALSE))),NA()),NA())</f>
        <v>#N/A</v>
      </c>
      <c r="AP256" s="65" t="e">
        <f>IF(AO64=1,IF(AO$13&lt;=COUNT($C36:$CS36),IF(INDEX($F$206:$F$229,MATCH($B256,$B$206:$B$229,FALSE))=0,NA(),INDEX(AO$14:AO$37,MATCH($B256,$B$14:$B$37,FALSE))/INDEX($F$206:$F$229,MATCH($B256,$B$206:$B$229,FALSE))),NA()),NA())</f>
        <v>#N/A</v>
      </c>
      <c r="AQ256" s="65" t="e">
        <f>IF(AP64=1,IF(AP$13&lt;=COUNT($C36:$CS36),IF(INDEX($F$206:$F$229,MATCH($B256,$B$206:$B$229,FALSE))=0,NA(),INDEX(AP$14:AP$37,MATCH($B256,$B$14:$B$37,FALSE))/INDEX($F$206:$F$229,MATCH($B256,$B$206:$B$229,FALSE))),NA()),NA())</f>
        <v>#N/A</v>
      </c>
      <c r="AR256" s="65" t="e">
        <f>IF(AQ64=1,IF(AQ$13&lt;=COUNT($C36:$CS36),IF(INDEX($F$206:$F$229,MATCH($B256,$B$206:$B$229,FALSE))=0,NA(),INDEX(AQ$14:AQ$37,MATCH($B256,$B$14:$B$37,FALSE))/INDEX($F$206:$F$229,MATCH($B256,$B$206:$B$229,FALSE))),NA()),NA())</f>
        <v>#N/A</v>
      </c>
      <c r="AS256" s="65" t="e">
        <f>IF(AR64=1,IF(AR$13&lt;=COUNT($C36:$CS36),IF(INDEX($F$206:$F$229,MATCH($B256,$B$206:$B$229,FALSE))=0,NA(),INDEX(AR$14:AR$37,MATCH($B256,$B$14:$B$37,FALSE))/INDEX($F$206:$F$229,MATCH($B256,$B$206:$B$229,FALSE))),NA()),NA())</f>
        <v>#N/A</v>
      </c>
      <c r="AT256" s="65" t="e">
        <f>IF(AS64=1,IF(AS$13&lt;=COUNT($C36:$CS36),IF(INDEX($F$206:$F$229,MATCH($B256,$B$206:$B$229,FALSE))=0,NA(),INDEX(AS$14:AS$37,MATCH($B256,$B$14:$B$37,FALSE))/INDEX($F$206:$F$229,MATCH($B256,$B$206:$B$229,FALSE))),NA()),NA())</f>
        <v>#N/A</v>
      </c>
      <c r="AU256" s="65" t="e">
        <f>IF(AT64=1,IF(AT$13&lt;=COUNT($C36:$CS36),IF(INDEX($F$206:$F$229,MATCH($B256,$B$206:$B$229,FALSE))=0,NA(),INDEX(AT$14:AT$37,MATCH($B256,$B$14:$B$37,FALSE))/INDEX($F$206:$F$229,MATCH($B256,$B$206:$B$229,FALSE))),NA()),NA())</f>
        <v>#N/A</v>
      </c>
      <c r="AV256" s="65" t="e">
        <f>IF(AU64=1,IF(AU$13&lt;=COUNT($C36:$CS36),IF(INDEX($F$206:$F$229,MATCH($B256,$B$206:$B$229,FALSE))=0,NA(),INDEX(AU$14:AU$37,MATCH($B256,$B$14:$B$37,FALSE))/INDEX($F$206:$F$229,MATCH($B256,$B$206:$B$229,FALSE))),NA()),NA())</f>
        <v>#N/A</v>
      </c>
      <c r="AW256" s="65" t="e">
        <f>IF(AV64=1,IF(AV$13&lt;=COUNT($C36:$CS36),IF(INDEX($F$206:$F$229,MATCH($B256,$B$206:$B$229,FALSE))=0,NA(),INDEX(AV$14:AV$37,MATCH($B256,$B$14:$B$37,FALSE))/INDEX($F$206:$F$229,MATCH($B256,$B$206:$B$229,FALSE))),NA()),NA())</f>
        <v>#N/A</v>
      </c>
      <c r="AX256" s="65" t="e">
        <f>IF(AW64=1,IF(AW$13&lt;=COUNT($C36:$CS36),IF(INDEX($F$206:$F$229,MATCH($B256,$B$206:$B$229,FALSE))=0,NA(),INDEX(AW$14:AW$37,MATCH($B256,$B$14:$B$37,FALSE))/INDEX($F$206:$F$229,MATCH($B256,$B$206:$B$229,FALSE))),NA()),NA())</f>
        <v>#N/A</v>
      </c>
      <c r="AY256" s="65" t="e">
        <f>IF(AX64=1,IF(AX$13&lt;=COUNT($C36:$CS36),IF(INDEX($F$206:$F$229,MATCH($B256,$B$206:$B$229,FALSE))=0,NA(),INDEX(AX$14:AX$37,MATCH($B256,$B$14:$B$37,FALSE))/INDEX($F$206:$F$229,MATCH($B256,$B$206:$B$229,FALSE))),NA()),NA())</f>
        <v>#N/A</v>
      </c>
      <c r="AZ256" s="65" t="e">
        <f>IF(AY64=1,IF(AY$13&lt;=COUNT($C36:$CS36),IF(INDEX($F$206:$F$229,MATCH($B256,$B$206:$B$229,FALSE))=0,NA(),INDEX(AY$14:AY$37,MATCH($B256,$B$14:$B$37,FALSE))/INDEX($F$206:$F$229,MATCH($B256,$B$206:$B$229,FALSE))),NA()),NA())</f>
        <v>#N/A</v>
      </c>
      <c r="BA256" s="65" t="e">
        <f>IF(AZ64=1,IF(AZ$13&lt;=COUNT($C36:$CS36),IF(INDEX($F$206:$F$229,MATCH($B256,$B$206:$B$229,FALSE))=0,NA(),INDEX(AZ$14:AZ$37,MATCH($B256,$B$14:$B$37,FALSE))/INDEX($F$206:$F$229,MATCH($B256,$B$206:$B$229,FALSE))),NA()),NA())</f>
        <v>#N/A</v>
      </c>
      <c r="BB256" s="65" t="e">
        <f>IF(BA64=1,IF(BA$13&lt;=COUNT($C36:$CS36),IF(INDEX($F$206:$F$229,MATCH($B256,$B$206:$B$229,FALSE))=0,NA(),INDEX(BA$14:BA$37,MATCH($B256,$B$14:$B$37,FALSE))/INDEX($F$206:$F$229,MATCH($B256,$B$206:$B$229,FALSE))),NA()),NA())</f>
        <v>#N/A</v>
      </c>
      <c r="BC256" s="65" t="e">
        <f>IF(BB64=1,IF(BB$13&lt;=COUNT($C36:$CS36),IF(INDEX($F$206:$F$229,MATCH($B256,$B$206:$B$229,FALSE))=0,NA(),INDEX(BB$14:BB$37,MATCH($B256,$B$14:$B$37,FALSE))/INDEX($F$206:$F$229,MATCH($B256,$B$206:$B$229,FALSE))),NA()),NA())</f>
        <v>#N/A</v>
      </c>
      <c r="BD256" s="65" t="e">
        <f>IF(BC64=1,IF(BC$13&lt;=COUNT($C36:$CS36),IF(INDEX($F$206:$F$229,MATCH($B256,$B$206:$B$229,FALSE))=0,NA(),INDEX(BC$14:BC$37,MATCH($B256,$B$14:$B$37,FALSE))/INDEX($F$206:$F$229,MATCH($B256,$B$206:$B$229,FALSE))),NA()),NA())</f>
        <v>#N/A</v>
      </c>
      <c r="BE256" s="65" t="e">
        <f>IF(BD64=1,IF(BD$13&lt;=COUNT($C36:$CS36),IF(INDEX($F$206:$F$229,MATCH($B256,$B$206:$B$229,FALSE))=0,NA(),INDEX(BD$14:BD$37,MATCH($B256,$B$14:$B$37,FALSE))/INDEX($F$206:$F$229,MATCH($B256,$B$206:$B$229,FALSE))),NA()),NA())</f>
        <v>#N/A</v>
      </c>
      <c r="BF256" s="65" t="e">
        <f>IF(BE64=1,IF(BE$13&lt;=COUNT($C36:$CS36),IF(INDEX($F$206:$F$229,MATCH($B256,$B$206:$B$229,FALSE))=0,NA(),INDEX(BE$14:BE$37,MATCH($B256,$B$14:$B$37,FALSE))/INDEX($F$206:$F$229,MATCH($B256,$B$206:$B$229,FALSE))),NA()),NA())</f>
        <v>#N/A</v>
      </c>
      <c r="BG256" s="65" t="e">
        <f>IF(BF64=1,IF(BF$13&lt;=COUNT($C36:$CS36),IF(INDEX($F$206:$F$229,MATCH($B256,$B$206:$B$229,FALSE))=0,NA(),INDEX(BF$14:BF$37,MATCH($B256,$B$14:$B$37,FALSE))/INDEX($F$206:$F$229,MATCH($B256,$B$206:$B$229,FALSE))),NA()),NA())</f>
        <v>#N/A</v>
      </c>
      <c r="BH256" s="65" t="e">
        <f>IF(BG64=1,IF(BG$13&lt;=COUNT($C36:$CS36),IF(INDEX($F$206:$F$229,MATCH($B256,$B$206:$B$229,FALSE))=0,NA(),INDEX(BG$14:BG$37,MATCH($B256,$B$14:$B$37,FALSE))/INDEX($F$206:$F$229,MATCH($B256,$B$206:$B$229,FALSE))),NA()),NA())</f>
        <v>#N/A</v>
      </c>
      <c r="BI256" s="65" t="e">
        <f>IF(BH64=1,IF(BH$13&lt;=COUNT($C36:$CS36),IF(INDEX($F$206:$F$229,MATCH($B256,$B$206:$B$229,FALSE))=0,NA(),INDEX(BH$14:BH$37,MATCH($B256,$B$14:$B$37,FALSE))/INDEX($F$206:$F$229,MATCH($B256,$B$206:$B$229,FALSE))),NA()),NA())</f>
        <v>#N/A</v>
      </c>
      <c r="BJ256" s="65" t="e">
        <f>IF(BI64=1,IF(BI$13&lt;=COUNT($C36:$CS36),IF(INDEX($F$206:$F$229,MATCH($B256,$B$206:$B$229,FALSE))=0,NA(),INDEX(BI$14:BI$37,MATCH($B256,$B$14:$B$37,FALSE))/INDEX($F$206:$F$229,MATCH($B256,$B$206:$B$229,FALSE))),NA()),NA())</f>
        <v>#N/A</v>
      </c>
      <c r="BK256" s="65" t="e">
        <f>IF(BJ64=1,IF(BJ$13&lt;=COUNT($C36:$CS36),IF(INDEX($F$206:$F$229,MATCH($B256,$B$206:$B$229,FALSE))=0,NA(),INDEX(BJ$14:BJ$37,MATCH($B256,$B$14:$B$37,FALSE))/INDEX($F$206:$F$229,MATCH($B256,$B$206:$B$229,FALSE))),NA()),NA())</f>
        <v>#N/A</v>
      </c>
      <c r="BL256" s="65" t="e">
        <f>IF(BK64=1,IF(BK$13&lt;=COUNT($C36:$CS36),IF(INDEX($F$206:$F$229,MATCH($B256,$B$206:$B$229,FALSE))=0,NA(),INDEX(BK$14:BK$37,MATCH($B256,$B$14:$B$37,FALSE))/INDEX($F$206:$F$229,MATCH($B256,$B$206:$B$229,FALSE))),NA()),NA())</f>
        <v>#N/A</v>
      </c>
      <c r="BM256" s="65" t="e">
        <f>IF(BL64=1,IF(BL$13&lt;=COUNT($C36:$CS36),IF(INDEX($F$206:$F$229,MATCH($B256,$B$206:$B$229,FALSE))=0,NA(),INDEX(BL$14:BL$37,MATCH($B256,$B$14:$B$37,FALSE))/INDEX($F$206:$F$229,MATCH($B256,$B$206:$B$229,FALSE))),NA()),NA())</f>
        <v>#N/A</v>
      </c>
      <c r="BN256" s="65" t="e">
        <f>IF(BM64=1,IF(BM$13&lt;=COUNT($C36:$CS36),IF(INDEX($F$206:$F$229,MATCH($B256,$B$206:$B$229,FALSE))=0,NA(),INDEX(BM$14:BM$37,MATCH($B256,$B$14:$B$37,FALSE))/INDEX($F$206:$F$229,MATCH($B256,$B$206:$B$229,FALSE))),NA()),NA())</f>
        <v>#N/A</v>
      </c>
      <c r="BO256" s="65" t="e">
        <f>IF(BN64=1,IF(BN$13&lt;=COUNT($C36:$CS36),IF(INDEX($F$206:$F$229,MATCH($B256,$B$206:$B$229,FALSE))=0,NA(),INDEX(BN$14:BN$37,MATCH($B256,$B$14:$B$37,FALSE))/INDEX($F$206:$F$229,MATCH($B256,$B$206:$B$229,FALSE))),NA()),NA())</f>
        <v>#N/A</v>
      </c>
      <c r="BP256" s="65" t="e">
        <f>IF(BO64=1,IF(BO$13&lt;=COUNT($C36:$CS36),IF(INDEX($F$206:$F$229,MATCH($B256,$B$206:$B$229,FALSE))=0,NA(),INDEX(BO$14:BO$37,MATCH($B256,$B$14:$B$37,FALSE))/INDEX($F$206:$F$229,MATCH($B256,$B$206:$B$229,FALSE))),NA()),NA())</f>
        <v>#N/A</v>
      </c>
      <c r="BQ256" s="65" t="e">
        <f>IF(BP64=1,IF(BP$13&lt;=COUNT($C36:$CS36),IF(INDEX($F$206:$F$229,MATCH($B256,$B$206:$B$229,FALSE))=0,NA(),INDEX(BP$14:BP$37,MATCH($B256,$B$14:$B$37,FALSE))/INDEX($F$206:$F$229,MATCH($B256,$B$206:$B$229,FALSE))),NA()),NA())</f>
        <v>#N/A</v>
      </c>
      <c r="BR256" s="65" t="e">
        <f>IF(BQ64=1,IF(BQ$13&lt;=COUNT($C36:$CS36),IF(INDEX($F$206:$F$229,MATCH($B256,$B$206:$B$229,FALSE))=0,NA(),INDEX(BQ$14:BQ$37,MATCH($B256,$B$14:$B$37,FALSE))/INDEX($F$206:$F$229,MATCH($B256,$B$206:$B$229,FALSE))),NA()),NA())</f>
        <v>#N/A</v>
      </c>
      <c r="BS256" s="65" t="e">
        <f>IF(BR64=1,IF(BR$13&lt;=COUNT($C36:$CS36),IF(INDEX($F$206:$F$229,MATCH($B256,$B$206:$B$229,FALSE))=0,NA(),INDEX(BR$14:BR$37,MATCH($B256,$B$14:$B$37,FALSE))/INDEX($F$206:$F$229,MATCH($B256,$B$206:$B$229,FALSE))),NA()),NA())</f>
        <v>#N/A</v>
      </c>
      <c r="BT256" s="65" t="e">
        <f>IF(BS64=1,IF(BS$13&lt;=COUNT($C36:$CS36),IF(INDEX($F$206:$F$229,MATCH($B256,$B$206:$B$229,FALSE))=0,NA(),INDEX(BS$14:BS$37,MATCH($B256,$B$14:$B$37,FALSE))/INDEX($F$206:$F$229,MATCH($B256,$B$206:$B$229,FALSE))),NA()),NA())</f>
        <v>#N/A</v>
      </c>
      <c r="BU256" s="65" t="e">
        <f>IF(BT64=1,IF(BT$13&lt;=COUNT($C36:$CS36),IF(INDEX($F$206:$F$229,MATCH($B256,$B$206:$B$229,FALSE))=0,NA(),INDEX(BT$14:BT$37,MATCH($B256,$B$14:$B$37,FALSE))/INDEX($F$206:$F$229,MATCH($B256,$B$206:$B$229,FALSE))),NA()),NA())</f>
        <v>#N/A</v>
      </c>
      <c r="BV256" s="65" t="e">
        <f>IF(BU64=1,IF(BU$13&lt;=COUNT($C36:$CS36),IF(INDEX($F$206:$F$229,MATCH($B256,$B$206:$B$229,FALSE))=0,NA(),INDEX(BU$14:BU$37,MATCH($B256,$B$14:$B$37,FALSE))/INDEX($F$206:$F$229,MATCH($B256,$B$206:$B$229,FALSE))),NA()),NA())</f>
        <v>#N/A</v>
      </c>
      <c r="BW256" s="65" t="e">
        <f>IF(BV64=1,IF(BV$13&lt;=COUNT($C36:$CS36),IF(INDEX($F$206:$F$229,MATCH($B256,$B$206:$B$229,FALSE))=0,NA(),INDEX(BV$14:BV$37,MATCH($B256,$B$14:$B$37,FALSE))/INDEX($F$206:$F$229,MATCH($B256,$B$206:$B$229,FALSE))),NA()),NA())</f>
        <v>#N/A</v>
      </c>
      <c r="BX256" s="65" t="e">
        <f>IF(BW64=1,IF(BW$13&lt;=COUNT($C36:$CS36),IF(INDEX($F$206:$F$229,MATCH($B256,$B$206:$B$229,FALSE))=0,NA(),INDEX(BW$14:BW$37,MATCH($B256,$B$14:$B$37,FALSE))/INDEX($F$206:$F$229,MATCH($B256,$B$206:$B$229,FALSE))),NA()),NA())</f>
        <v>#N/A</v>
      </c>
      <c r="BY256" s="65" t="e">
        <f>IF(BX64=1,IF(BX$13&lt;=COUNT($C36:$CS36),IF(INDEX($F$206:$F$229,MATCH($B256,$B$206:$B$229,FALSE))=0,NA(),INDEX(BX$14:BX$37,MATCH($B256,$B$14:$B$37,FALSE))/INDEX($F$206:$F$229,MATCH($B256,$B$206:$B$229,FALSE))),NA()),NA())</f>
        <v>#N/A</v>
      </c>
      <c r="BZ256" s="65" t="e">
        <f>IF(BY64=1,IF(BY$13&lt;=COUNT($C36:$CS36),IF(INDEX($F$206:$F$229,MATCH($B256,$B$206:$B$229,FALSE))=0,NA(),INDEX(BY$14:BY$37,MATCH($B256,$B$14:$B$37,FALSE))/INDEX($F$206:$F$229,MATCH($B256,$B$206:$B$229,FALSE))),NA()),NA())</f>
        <v>#N/A</v>
      </c>
      <c r="CA256" s="65" t="e">
        <f>IF(BZ64=1,IF(BZ$13&lt;=COUNT($C36:$CS36),IF(INDEX($F$206:$F$229,MATCH($B256,$B$206:$B$229,FALSE))=0,NA(),INDEX(BZ$14:BZ$37,MATCH($B256,$B$14:$B$37,FALSE))/INDEX($F$206:$F$229,MATCH($B256,$B$206:$B$229,FALSE))),NA()),NA())</f>
        <v>#N/A</v>
      </c>
      <c r="CB256" s="65" t="e">
        <f>IF(CA64=1,IF(CA$13&lt;=COUNT($C36:$CS36),IF(INDEX($F$206:$F$229,MATCH($B256,$B$206:$B$229,FALSE))=0,NA(),INDEX(CA$14:CA$37,MATCH($B256,$B$14:$B$37,FALSE))/INDEX($F$206:$F$229,MATCH($B256,$B$206:$B$229,FALSE))),NA()),NA())</f>
        <v>#N/A</v>
      </c>
      <c r="CC256" s="65" t="e">
        <f>IF(CB64=1,IF(CB$13&lt;=COUNT($C36:$CS36),IF(INDEX($F$206:$F$229,MATCH($B256,$B$206:$B$229,FALSE))=0,NA(),INDEX(CB$14:CB$37,MATCH($B256,$B$14:$B$37,FALSE))/INDEX($F$206:$F$229,MATCH($B256,$B$206:$B$229,FALSE))),NA()),NA())</f>
        <v>#N/A</v>
      </c>
      <c r="CD256" s="65" t="e">
        <f>IF(CC64=1,IF(CC$13&lt;=COUNT($C36:$CS36),IF(INDEX($F$206:$F$229,MATCH($B256,$B$206:$B$229,FALSE))=0,NA(),INDEX(CC$14:CC$37,MATCH($B256,$B$14:$B$37,FALSE))/INDEX($F$206:$F$229,MATCH($B256,$B$206:$B$229,FALSE))),NA()),NA())</f>
        <v>#N/A</v>
      </c>
      <c r="CE256" s="65" t="e">
        <f>IF(CD64=1,IF(CD$13&lt;=COUNT($C36:$CS36),IF(INDEX($F$206:$F$229,MATCH($B256,$B$206:$B$229,FALSE))=0,NA(),INDEX(CD$14:CD$37,MATCH($B256,$B$14:$B$37,FALSE))/INDEX($F$206:$F$229,MATCH($B256,$B$206:$B$229,FALSE))),NA()),NA())</f>
        <v>#N/A</v>
      </c>
      <c r="CF256" s="65" t="e">
        <f>IF(CE64=1,IF(CE$13&lt;=COUNT($C36:$CS36),IF(INDEX($F$206:$F$229,MATCH($B256,$B$206:$B$229,FALSE))=0,NA(),INDEX(CE$14:CE$37,MATCH($B256,$B$14:$B$37,FALSE))/INDEX($F$206:$F$229,MATCH($B256,$B$206:$B$229,FALSE))),NA()),NA())</f>
        <v>#N/A</v>
      </c>
      <c r="CG256" s="65" t="e">
        <f>IF(CF64=1,IF(CF$13&lt;=COUNT($C36:$CS36),IF(INDEX($F$206:$F$229,MATCH($B256,$B$206:$B$229,FALSE))=0,NA(),INDEX(CF$14:CF$37,MATCH($B256,$B$14:$B$37,FALSE))/INDEX($F$206:$F$229,MATCH($B256,$B$206:$B$229,FALSE))),NA()),NA())</f>
        <v>#N/A</v>
      </c>
      <c r="CH256" s="65" t="e">
        <f>IF(CG64=1,IF(CG$13&lt;=COUNT($C36:$CS36),IF(INDEX($F$206:$F$229,MATCH($B256,$B$206:$B$229,FALSE))=0,NA(),INDEX(CG$14:CG$37,MATCH($B256,$B$14:$B$37,FALSE))/INDEX($F$206:$F$229,MATCH($B256,$B$206:$B$229,FALSE))),NA()),NA())</f>
        <v>#N/A</v>
      </c>
      <c r="CI256" s="65" t="e">
        <f>IF(CH64=1,IF(CH$13&lt;=COUNT($C36:$CS36),IF(INDEX($F$206:$F$229,MATCH($B256,$B$206:$B$229,FALSE))=0,NA(),INDEX(CH$14:CH$37,MATCH($B256,$B$14:$B$37,FALSE))/INDEX($F$206:$F$229,MATCH($B256,$B$206:$B$229,FALSE))),NA()),NA())</f>
        <v>#N/A</v>
      </c>
      <c r="CJ256" s="65" t="e">
        <f>IF(CI64=1,IF(CI$13&lt;=COUNT($C36:$CS36),IF(INDEX($F$206:$F$229,MATCH($B256,$B$206:$B$229,FALSE))=0,NA(),INDEX(CI$14:CI$37,MATCH($B256,$B$14:$B$37,FALSE))/INDEX($F$206:$F$229,MATCH($B256,$B$206:$B$229,FALSE))),NA()),NA())</f>
        <v>#N/A</v>
      </c>
      <c r="CK256" s="65" t="e">
        <f>IF(CJ64=1,IF(CJ$13&lt;=COUNT($C36:$CS36),IF(INDEX($F$206:$F$229,MATCH($B256,$B$206:$B$229,FALSE))=0,NA(),INDEX(CJ$14:CJ$37,MATCH($B256,$B$14:$B$37,FALSE))/INDEX($F$206:$F$229,MATCH($B256,$B$206:$B$229,FALSE))),NA()),NA())</f>
        <v>#N/A</v>
      </c>
      <c r="CL256" s="65" t="e">
        <f>IF(CK64=1,IF(CK$13&lt;=COUNT($C36:$CS36),IF(INDEX($F$206:$F$229,MATCH($B256,$B$206:$B$229,FALSE))=0,NA(),INDEX(CK$14:CK$37,MATCH($B256,$B$14:$B$37,FALSE))/INDEX($F$206:$F$229,MATCH($B256,$B$206:$B$229,FALSE))),NA()),NA())</f>
        <v>#N/A</v>
      </c>
      <c r="CM256" s="65" t="e">
        <f>IF(CL64=1,IF(CL$13&lt;=COUNT($C36:$CS36),IF(INDEX($F$206:$F$229,MATCH($B256,$B$206:$B$229,FALSE))=0,NA(),INDEX(CL$14:CL$37,MATCH($B256,$B$14:$B$37,FALSE))/INDEX($F$206:$F$229,MATCH($B256,$B$206:$B$229,FALSE))),NA()),NA())</f>
        <v>#N/A</v>
      </c>
      <c r="CN256" s="65" t="e">
        <f>IF(CM64=1,IF(CM$13&lt;=COUNT($C36:$CS36),IF(INDEX($F$206:$F$229,MATCH($B256,$B$206:$B$229,FALSE))=0,NA(),INDEX(CM$14:CM$37,MATCH($B256,$B$14:$B$37,FALSE))/INDEX($F$206:$F$229,MATCH($B256,$B$206:$B$229,FALSE))),NA()),NA())</f>
        <v>#N/A</v>
      </c>
      <c r="CO256" s="65" t="e">
        <f>IF(CN64=1,IF(CN$13&lt;=COUNT($C36:$CS36),IF(INDEX($F$206:$F$229,MATCH($B256,$B$206:$B$229,FALSE))=0,NA(),INDEX(CN$14:CN$37,MATCH($B256,$B$14:$B$37,FALSE))/INDEX($F$206:$F$229,MATCH($B256,$B$206:$B$229,FALSE))),NA()),NA())</f>
        <v>#N/A</v>
      </c>
      <c r="CP256" s="65" t="e">
        <f>IF(CO64=1,IF(CO$13&lt;=COUNT($C36:$CS36),IF(INDEX($F$206:$F$229,MATCH($B256,$B$206:$B$229,FALSE))=0,NA(),INDEX(CO$14:CO$37,MATCH($B256,$B$14:$B$37,FALSE))/INDEX($F$206:$F$229,MATCH($B256,$B$206:$B$229,FALSE))),NA()),NA())</f>
        <v>#N/A</v>
      </c>
      <c r="CQ256" s="65" t="e">
        <f>IF(CP64=1,IF(CP$13&lt;=COUNT($C36:$CS36),IF(INDEX($F$206:$F$229,MATCH($B256,$B$206:$B$229,FALSE))=0,NA(),INDEX(CP$14:CP$37,MATCH($B256,$B$14:$B$37,FALSE))/INDEX($F$206:$F$229,MATCH($B256,$B$206:$B$229,FALSE))),NA()),NA())</f>
        <v>#N/A</v>
      </c>
      <c r="CR256" s="65" t="e">
        <f>IF(CQ64=1,IF(CQ$13&lt;=COUNT($C36:$CS36),IF(INDEX($F$206:$F$229,MATCH($B256,$B$206:$B$229,FALSE))=0,NA(),INDEX(CQ$14:CQ$37,MATCH($B256,$B$14:$B$37,FALSE))/INDEX($F$206:$F$229,MATCH($B256,$B$206:$B$229,FALSE))),NA()),NA())</f>
        <v>#N/A</v>
      </c>
      <c r="CS256" s="65" t="e">
        <f>IF(CR64=1,IF(CR$13&lt;=COUNT($C36:$CS36),IF(INDEX($F$206:$F$229,MATCH($B256,$B$206:$B$229,FALSE))=0,NA(),INDEX(CR$14:CR$37,MATCH($B256,$B$14:$B$37,FALSE))/INDEX($F$206:$F$229,MATCH($B256,$B$206:$B$229,FALSE))),NA()),NA())</f>
        <v>#N/A</v>
      </c>
      <c r="CT256" s="49"/>
      <c r="CU256" s="49"/>
      <c r="CV256" s="49"/>
      <c r="CW256" s="49"/>
    </row>
    <row r="257" spans="1:101" x14ac:dyDescent="0.25">
      <c r="A257" s="97">
        <f t="shared" si="352"/>
        <v>1</v>
      </c>
      <c r="B257" s="29">
        <v>2019</v>
      </c>
      <c r="C257" s="154" t="str">
        <f t="shared" si="353"/>
        <v/>
      </c>
      <c r="D257" s="55" t="e">
        <f ca="1">IF(C65=1,IF(C$13&lt;=COUNT($C37:$CS37),IF(INDEX($F$206:$F$229,MATCH($B257,$B$206:$B$229,FALSE))=0,NA(),INDEX(C$14:C$37,MATCH($B257,$B$14:$B$37,FALSE))/INDEX($F$206:$F$229,MATCH($B257,$B$206:$B$229,FALSE))),NA()),NA())</f>
        <v>#N/A</v>
      </c>
      <c r="E257" s="56" t="e">
        <f>IF(D65=1,IF(D$13&lt;=COUNT($C37:$CS37),IF(INDEX($F$206:$F$229,MATCH($B257,$B$206:$B$229,FALSE))=0,NA(),INDEX(D$14:D$37,MATCH($B257,$B$14:$B$37,FALSE))/INDEX($F$206:$F$229,MATCH($B257,$B$206:$B$229,FALSE))),NA()),NA())</f>
        <v>#N/A</v>
      </c>
      <c r="F257" s="56" t="e">
        <f>IF(E65=1,IF(E$13&lt;=COUNT($C37:$CS37),IF(INDEX($F$206:$F$229,MATCH($B257,$B$206:$B$229,FALSE))=0,NA(),INDEX(E$14:E$37,MATCH($B257,$B$14:$B$37,FALSE))/INDEX($F$206:$F$229,MATCH($B257,$B$206:$B$229,FALSE))),NA()),NA())</f>
        <v>#N/A</v>
      </c>
      <c r="G257" s="56" t="e">
        <f>IF(F65=1,IF(F$13&lt;=COUNT($C37:$CS37),IF(INDEX($F$206:$F$229,MATCH($B257,$B$206:$B$229,FALSE))=0,NA(),INDEX(F$14:F$37,MATCH($B257,$B$14:$B$37,FALSE))/INDEX($F$206:$F$229,MATCH($B257,$B$206:$B$229,FALSE))),NA()),NA())</f>
        <v>#N/A</v>
      </c>
      <c r="H257" s="56" t="e">
        <f>IF(G65=1,IF(G$13&lt;=COUNT($C37:$CS37),IF(INDEX($F$206:$F$229,MATCH($B257,$B$206:$B$229,FALSE))=0,NA(),INDEX(G$14:G$37,MATCH($B257,$B$14:$B$37,FALSE))/INDEX($F$206:$F$229,MATCH($B257,$B$206:$B$229,FALSE))),NA()),NA())</f>
        <v>#N/A</v>
      </c>
      <c r="I257" s="56" t="e">
        <f>IF(H65=1,IF(H$13&lt;=COUNT($C37:$CS37),IF(INDEX($F$206:$F$229,MATCH($B257,$B$206:$B$229,FALSE))=0,NA(),INDEX(H$14:H$37,MATCH($B257,$B$14:$B$37,FALSE))/INDEX($F$206:$F$229,MATCH($B257,$B$206:$B$229,FALSE))),NA()),NA())</f>
        <v>#N/A</v>
      </c>
      <c r="J257" s="56" t="e">
        <f>IF(I65=1,IF(I$13&lt;=COUNT($C37:$CS37),IF(INDEX($F$206:$F$229,MATCH($B257,$B$206:$B$229,FALSE))=0,NA(),INDEX(I$14:I$37,MATCH($B257,$B$14:$B$37,FALSE))/INDEX($F$206:$F$229,MATCH($B257,$B$206:$B$229,FALSE))),NA()),NA())</f>
        <v>#N/A</v>
      </c>
      <c r="K257" s="56" t="e">
        <f>IF(J65=1,IF(J$13&lt;=COUNT($C37:$CS37),IF(INDEX($F$206:$F$229,MATCH($B257,$B$206:$B$229,FALSE))=0,NA(),INDEX(J$14:J$37,MATCH($B257,$B$14:$B$37,FALSE))/INDEX($F$206:$F$229,MATCH($B257,$B$206:$B$229,FALSE))),NA()),NA())</f>
        <v>#N/A</v>
      </c>
      <c r="L257" s="56" t="e">
        <f>IF(K65=1,IF(K$13&lt;=COUNT($C37:$CS37),IF(INDEX($F$206:$F$229,MATCH($B257,$B$206:$B$229,FALSE))=0,NA(),INDEX(K$14:K$37,MATCH($B257,$B$14:$B$37,FALSE))/INDEX($F$206:$F$229,MATCH($B257,$B$206:$B$229,FALSE))),NA()),NA())</f>
        <v>#N/A</v>
      </c>
      <c r="M257" s="56" t="e">
        <f>IF(L65=1,IF(L$13&lt;=COUNT($C37:$CS37),IF(INDEX($F$206:$F$229,MATCH($B257,$B$206:$B$229,FALSE))=0,NA(),INDEX(L$14:L$37,MATCH($B257,$B$14:$B$37,FALSE))/INDEX($F$206:$F$229,MATCH($B257,$B$206:$B$229,FALSE))),NA()),NA())</f>
        <v>#N/A</v>
      </c>
      <c r="N257" s="56" t="e">
        <f>IF(M65=1,IF(M$13&lt;=COUNT($C37:$CS37),IF(INDEX($F$206:$F$229,MATCH($B257,$B$206:$B$229,FALSE))=0,NA(),INDEX(M$14:M$37,MATCH($B257,$B$14:$B$37,FALSE))/INDEX($F$206:$F$229,MATCH($B257,$B$206:$B$229,FALSE))),NA()),NA())</f>
        <v>#N/A</v>
      </c>
      <c r="O257" s="56" t="e">
        <f>IF(N65=1,IF(N$13&lt;=COUNT($C37:$CS37),IF(INDEX($F$206:$F$229,MATCH($B257,$B$206:$B$229,FALSE))=0,NA(),INDEX(N$14:N$37,MATCH($B257,$B$14:$B$37,FALSE))/INDEX($F$206:$F$229,MATCH($B257,$B$206:$B$229,FALSE))),NA()),NA())</f>
        <v>#N/A</v>
      </c>
      <c r="P257" s="56" t="e">
        <f>IF(O65=1,IF(O$13&lt;=COUNT($C37:$CS37),IF(INDEX($F$206:$F$229,MATCH($B257,$B$206:$B$229,FALSE))=0,NA(),INDEX(O$14:O$37,MATCH($B257,$B$14:$B$37,FALSE))/INDEX($F$206:$F$229,MATCH($B257,$B$206:$B$229,FALSE))),NA()),NA())</f>
        <v>#N/A</v>
      </c>
      <c r="Q257" s="56" t="e">
        <f>IF(P65=1,IF(P$13&lt;=COUNT($C37:$CS37),IF(INDEX($F$206:$F$229,MATCH($B257,$B$206:$B$229,FALSE))=0,NA(),INDEX(P$14:P$37,MATCH($B257,$B$14:$B$37,FALSE))/INDEX($F$206:$F$229,MATCH($B257,$B$206:$B$229,FALSE))),NA()),NA())</f>
        <v>#N/A</v>
      </c>
      <c r="R257" s="56" t="e">
        <f>IF(Q65=1,IF(Q$13&lt;=COUNT($C37:$CS37),IF(INDEX($F$206:$F$229,MATCH($B257,$B$206:$B$229,FALSE))=0,NA(),INDEX(Q$14:Q$37,MATCH($B257,$B$14:$B$37,FALSE))/INDEX($F$206:$F$229,MATCH($B257,$B$206:$B$229,FALSE))),NA()),NA())</f>
        <v>#N/A</v>
      </c>
      <c r="S257" s="56" t="e">
        <f>IF(R65=1,IF(R$13&lt;=COUNT($C37:$CS37),IF(INDEX($F$206:$F$229,MATCH($B257,$B$206:$B$229,FALSE))=0,NA(),INDEX(R$14:R$37,MATCH($B257,$B$14:$B$37,FALSE))/INDEX($F$206:$F$229,MATCH($B257,$B$206:$B$229,FALSE))),NA()),NA())</f>
        <v>#N/A</v>
      </c>
      <c r="T257" s="56" t="e">
        <f>IF(S65=1,IF(S$13&lt;=COUNT($C37:$CS37),IF(INDEX($F$206:$F$229,MATCH($B257,$B$206:$B$229,FALSE))=0,NA(),INDEX(S$14:S$37,MATCH($B257,$B$14:$B$37,FALSE))/INDEX($F$206:$F$229,MATCH($B257,$B$206:$B$229,FALSE))),NA()),NA())</f>
        <v>#N/A</v>
      </c>
      <c r="U257" s="56" t="e">
        <f>IF(T65=1,IF(T$13&lt;=COUNT($C37:$CS37),IF(INDEX($F$206:$F$229,MATCH($B257,$B$206:$B$229,FALSE))=0,NA(),INDEX(T$14:T$37,MATCH($B257,$B$14:$B$37,FALSE))/INDEX($F$206:$F$229,MATCH($B257,$B$206:$B$229,FALSE))),NA()),NA())</f>
        <v>#N/A</v>
      </c>
      <c r="V257" s="56" t="e">
        <f>IF(U65=1,IF(U$13&lt;=COUNT($C37:$CS37),IF(INDEX($F$206:$F$229,MATCH($B257,$B$206:$B$229,FALSE))=0,NA(),INDEX(U$14:U$37,MATCH($B257,$B$14:$B$37,FALSE))/INDEX($F$206:$F$229,MATCH($B257,$B$206:$B$229,FALSE))),NA()),NA())</f>
        <v>#N/A</v>
      </c>
      <c r="W257" s="56" t="e">
        <f>IF(V65=1,IF(V$13&lt;=COUNT($C37:$CS37),IF(INDEX($F$206:$F$229,MATCH($B257,$B$206:$B$229,FALSE))=0,NA(),INDEX(V$14:V$37,MATCH($B257,$B$14:$B$37,FALSE))/INDEX($F$206:$F$229,MATCH($B257,$B$206:$B$229,FALSE))),NA()),NA())</f>
        <v>#N/A</v>
      </c>
      <c r="X257" s="56" t="e">
        <f>IF(W65=1,IF(W$13&lt;=COUNT($C37:$CS37),IF(INDEX($F$206:$F$229,MATCH($B257,$B$206:$B$229,FALSE))=0,NA(),INDEX(W$14:W$37,MATCH($B257,$B$14:$B$37,FALSE))/INDEX($F$206:$F$229,MATCH($B257,$B$206:$B$229,FALSE))),NA()),NA())</f>
        <v>#N/A</v>
      </c>
      <c r="Y257" s="56" t="e">
        <f>IF(X65=1,IF(X$13&lt;=COUNT($C37:$CS37),IF(INDEX($F$206:$F$229,MATCH($B257,$B$206:$B$229,FALSE))=0,NA(),INDEX(X$14:X$37,MATCH($B257,$B$14:$B$37,FALSE))/INDEX($F$206:$F$229,MATCH($B257,$B$206:$B$229,FALSE))),NA()),NA())</f>
        <v>#N/A</v>
      </c>
      <c r="Z257" s="56" t="e">
        <f>IF(Y65=1,IF(Y$13&lt;=COUNT($C37:$CS37),IF(INDEX($F$206:$F$229,MATCH($B257,$B$206:$B$229,FALSE))=0,NA(),INDEX(Y$14:Y$37,MATCH($B257,$B$14:$B$37,FALSE))/INDEX($F$206:$F$229,MATCH($B257,$B$206:$B$229,FALSE))),NA()),NA())</f>
        <v>#N/A</v>
      </c>
      <c r="AA257" s="56" t="e">
        <f>IF(Z65=1,IF(Z$13&lt;=COUNT($C37:$CS37),IF(INDEX($F$206:$F$229,MATCH($B257,$B$206:$B$229,FALSE))=0,NA(),INDEX(Z$14:Z$37,MATCH($B257,$B$14:$B$37,FALSE))/INDEX($F$206:$F$229,MATCH($B257,$B$206:$B$229,FALSE))),NA()),NA())</f>
        <v>#N/A</v>
      </c>
      <c r="AB257" s="56" t="e">
        <f>IF(AA65=1,IF(AA$13&lt;=COUNT($C37:$CS37),IF(INDEX($F$206:$F$229,MATCH($B257,$B$206:$B$229,FALSE))=0,NA(),INDEX(AA$14:AA$37,MATCH($B257,$B$14:$B$37,FALSE))/INDEX($F$206:$F$229,MATCH($B257,$B$206:$B$229,FALSE))),NA()),NA())</f>
        <v>#N/A</v>
      </c>
      <c r="AC257" s="56" t="e">
        <f>IF(AB65=1,IF(AB$13&lt;=COUNT($C37:$CS37),IF(INDEX($F$206:$F$229,MATCH($B257,$B$206:$B$229,FALSE))=0,NA(),INDEX(AB$14:AB$37,MATCH($B257,$B$14:$B$37,FALSE))/INDEX($F$206:$F$229,MATCH($B257,$B$206:$B$229,FALSE))),NA()),NA())</f>
        <v>#N/A</v>
      </c>
      <c r="AD257" s="56" t="e">
        <f>IF(AC65=1,IF(AC$13&lt;=COUNT($C37:$CS37),IF(INDEX($F$206:$F$229,MATCH($B257,$B$206:$B$229,FALSE))=0,NA(),INDEX(AC$14:AC$37,MATCH($B257,$B$14:$B$37,FALSE))/INDEX($F$206:$F$229,MATCH($B257,$B$206:$B$229,FALSE))),NA()),NA())</f>
        <v>#N/A</v>
      </c>
      <c r="AE257" s="56" t="e">
        <f>IF(AD65=1,IF(AD$13&lt;=COUNT($C37:$CS37),IF(INDEX($F$206:$F$229,MATCH($B257,$B$206:$B$229,FALSE))=0,NA(),INDEX(AD$14:AD$37,MATCH($B257,$B$14:$B$37,FALSE))/INDEX($F$206:$F$229,MATCH($B257,$B$206:$B$229,FALSE))),NA()),NA())</f>
        <v>#N/A</v>
      </c>
      <c r="AF257" s="56" t="e">
        <f>IF(AE65=1,IF(AE$13&lt;=COUNT($C37:$CS37),IF(INDEX($F$206:$F$229,MATCH($B257,$B$206:$B$229,FALSE))=0,NA(),INDEX(AE$14:AE$37,MATCH($B257,$B$14:$B$37,FALSE))/INDEX($F$206:$F$229,MATCH($B257,$B$206:$B$229,FALSE))),NA()),NA())</f>
        <v>#N/A</v>
      </c>
      <c r="AG257" s="56" t="e">
        <f>IF(AF65=1,IF(AF$13&lt;=COUNT($C37:$CS37),IF(INDEX($F$206:$F$229,MATCH($B257,$B$206:$B$229,FALSE))=0,NA(),INDEX(AF$14:AF$37,MATCH($B257,$B$14:$B$37,FALSE))/INDEX($F$206:$F$229,MATCH($B257,$B$206:$B$229,FALSE))),NA()),NA())</f>
        <v>#N/A</v>
      </c>
      <c r="AH257" s="56" t="e">
        <f>IF(AG65=1,IF(AG$13&lt;=COUNT($C37:$CS37),IF(INDEX($F$206:$F$229,MATCH($B257,$B$206:$B$229,FALSE))=0,NA(),INDEX(AG$14:AG$37,MATCH($B257,$B$14:$B$37,FALSE))/INDEX($F$206:$F$229,MATCH($B257,$B$206:$B$229,FALSE))),NA()),NA())</f>
        <v>#N/A</v>
      </c>
      <c r="AI257" s="56" t="e">
        <f>IF(AH65=1,IF(AH$13&lt;=COUNT($C37:$CS37),IF(INDEX($F$206:$F$229,MATCH($B257,$B$206:$B$229,FALSE))=0,NA(),INDEX(AH$14:AH$37,MATCH($B257,$B$14:$B$37,FALSE))/INDEX($F$206:$F$229,MATCH($B257,$B$206:$B$229,FALSE))),NA()),NA())</f>
        <v>#N/A</v>
      </c>
      <c r="AJ257" s="56" t="e">
        <f>IF(AI65=1,IF(AI$13&lt;=COUNT($C37:$CS37),IF(INDEX($F$206:$F$229,MATCH($B257,$B$206:$B$229,FALSE))=0,NA(),INDEX(AI$14:AI$37,MATCH($B257,$B$14:$B$37,FALSE))/INDEX($F$206:$F$229,MATCH($B257,$B$206:$B$229,FALSE))),NA()),NA())</f>
        <v>#N/A</v>
      </c>
      <c r="AK257" s="56" t="e">
        <f>IF(AJ65=1,IF(AJ$13&lt;=COUNT($C37:$CS37),IF(INDEX($F$206:$F$229,MATCH($B257,$B$206:$B$229,FALSE))=0,NA(),INDEX(AJ$14:AJ$37,MATCH($B257,$B$14:$B$37,FALSE))/INDEX($F$206:$F$229,MATCH($B257,$B$206:$B$229,FALSE))),NA()),NA())</f>
        <v>#N/A</v>
      </c>
      <c r="AL257" s="56" t="e">
        <f>IF(AK65=1,IF(AK$13&lt;=COUNT($C37:$CS37),IF(INDEX($F$206:$F$229,MATCH($B257,$B$206:$B$229,FALSE))=0,NA(),INDEX(AK$14:AK$37,MATCH($B257,$B$14:$B$37,FALSE))/INDEX($F$206:$F$229,MATCH($B257,$B$206:$B$229,FALSE))),NA()),NA())</f>
        <v>#N/A</v>
      </c>
      <c r="AM257" s="56" t="e">
        <f>IF(AL65=1,IF(AL$13&lt;=COUNT($C37:$CS37),IF(INDEX($F$206:$F$229,MATCH($B257,$B$206:$B$229,FALSE))=0,NA(),INDEX(AL$14:AL$37,MATCH($B257,$B$14:$B$37,FALSE))/INDEX($F$206:$F$229,MATCH($B257,$B$206:$B$229,FALSE))),NA()),NA())</f>
        <v>#N/A</v>
      </c>
      <c r="AN257" s="56" t="e">
        <f>IF(AM65=1,IF(AM$13&lt;=COUNT($C37:$CS37),IF(INDEX($F$206:$F$229,MATCH($B257,$B$206:$B$229,FALSE))=0,NA(),INDEX(AM$14:AM$37,MATCH($B257,$B$14:$B$37,FALSE))/INDEX($F$206:$F$229,MATCH($B257,$B$206:$B$229,FALSE))),NA()),NA())</f>
        <v>#N/A</v>
      </c>
      <c r="AO257" s="56" t="e">
        <f>IF(AN65=1,IF(AN$13&lt;=COUNT($C37:$CS37),IF(INDEX($F$206:$F$229,MATCH($B257,$B$206:$B$229,FALSE))=0,NA(),INDEX(AN$14:AN$37,MATCH($B257,$B$14:$B$37,FALSE))/INDEX($F$206:$F$229,MATCH($B257,$B$206:$B$229,FALSE))),NA()),NA())</f>
        <v>#N/A</v>
      </c>
      <c r="AP257" s="56" t="e">
        <f>IF(AO65=1,IF(AO$13&lt;=COUNT($C37:$CS37),IF(INDEX($F$206:$F$229,MATCH($B257,$B$206:$B$229,FALSE))=0,NA(),INDEX(AO$14:AO$37,MATCH($B257,$B$14:$B$37,FALSE))/INDEX($F$206:$F$229,MATCH($B257,$B$206:$B$229,FALSE))),NA()),NA())</f>
        <v>#N/A</v>
      </c>
      <c r="AQ257" s="56" t="e">
        <f>IF(AP65=1,IF(AP$13&lt;=COUNT($C37:$CS37),IF(INDEX($F$206:$F$229,MATCH($B257,$B$206:$B$229,FALSE))=0,NA(),INDEX(AP$14:AP$37,MATCH($B257,$B$14:$B$37,FALSE))/INDEX($F$206:$F$229,MATCH($B257,$B$206:$B$229,FALSE))),NA()),NA())</f>
        <v>#N/A</v>
      </c>
      <c r="AR257" s="56" t="e">
        <f>IF(AQ65=1,IF(AQ$13&lt;=COUNT($C37:$CS37),IF(INDEX($F$206:$F$229,MATCH($B257,$B$206:$B$229,FALSE))=0,NA(),INDEX(AQ$14:AQ$37,MATCH($B257,$B$14:$B$37,FALSE))/INDEX($F$206:$F$229,MATCH($B257,$B$206:$B$229,FALSE))),NA()),NA())</f>
        <v>#N/A</v>
      </c>
      <c r="AS257" s="56" t="e">
        <f>IF(AR65=1,IF(AR$13&lt;=COUNT($C37:$CS37),IF(INDEX($F$206:$F$229,MATCH($B257,$B$206:$B$229,FALSE))=0,NA(),INDEX(AR$14:AR$37,MATCH($B257,$B$14:$B$37,FALSE))/INDEX($F$206:$F$229,MATCH($B257,$B$206:$B$229,FALSE))),NA()),NA())</f>
        <v>#N/A</v>
      </c>
      <c r="AT257" s="56" t="e">
        <f>IF(AS65=1,IF(AS$13&lt;=COUNT($C37:$CS37),IF(INDEX($F$206:$F$229,MATCH($B257,$B$206:$B$229,FALSE))=0,NA(),INDEX(AS$14:AS$37,MATCH($B257,$B$14:$B$37,FALSE))/INDEX($F$206:$F$229,MATCH($B257,$B$206:$B$229,FALSE))),NA()),NA())</f>
        <v>#N/A</v>
      </c>
      <c r="AU257" s="56" t="e">
        <f>IF(AT65=1,IF(AT$13&lt;=COUNT($C37:$CS37),IF(INDEX($F$206:$F$229,MATCH($B257,$B$206:$B$229,FALSE))=0,NA(),INDEX(AT$14:AT$37,MATCH($B257,$B$14:$B$37,FALSE))/INDEX($F$206:$F$229,MATCH($B257,$B$206:$B$229,FALSE))),NA()),NA())</f>
        <v>#N/A</v>
      </c>
      <c r="AV257" s="56" t="e">
        <f>IF(AU65=1,IF(AU$13&lt;=COUNT($C37:$CS37),IF(INDEX($F$206:$F$229,MATCH($B257,$B$206:$B$229,FALSE))=0,NA(),INDEX(AU$14:AU$37,MATCH($B257,$B$14:$B$37,FALSE))/INDEX($F$206:$F$229,MATCH($B257,$B$206:$B$229,FALSE))),NA()),NA())</f>
        <v>#N/A</v>
      </c>
      <c r="AW257" s="56" t="e">
        <f>IF(AV65=1,IF(AV$13&lt;=COUNT($C37:$CS37),IF(INDEX($F$206:$F$229,MATCH($B257,$B$206:$B$229,FALSE))=0,NA(),INDEX(AV$14:AV$37,MATCH($B257,$B$14:$B$37,FALSE))/INDEX($F$206:$F$229,MATCH($B257,$B$206:$B$229,FALSE))),NA()),NA())</f>
        <v>#N/A</v>
      </c>
      <c r="AX257" s="56" t="e">
        <f>IF(AW65=1,IF(AW$13&lt;=COUNT($C37:$CS37),IF(INDEX($F$206:$F$229,MATCH($B257,$B$206:$B$229,FALSE))=0,NA(),INDEX(AW$14:AW$37,MATCH($B257,$B$14:$B$37,FALSE))/INDEX($F$206:$F$229,MATCH($B257,$B$206:$B$229,FALSE))),NA()),NA())</f>
        <v>#N/A</v>
      </c>
      <c r="AY257" s="56" t="e">
        <f>IF(AX65=1,IF(AX$13&lt;=COUNT($C37:$CS37),IF(INDEX($F$206:$F$229,MATCH($B257,$B$206:$B$229,FALSE))=0,NA(),INDEX(AX$14:AX$37,MATCH($B257,$B$14:$B$37,FALSE))/INDEX($F$206:$F$229,MATCH($B257,$B$206:$B$229,FALSE))),NA()),NA())</f>
        <v>#N/A</v>
      </c>
      <c r="AZ257" s="56" t="e">
        <f>IF(AY65=1,IF(AY$13&lt;=COUNT($C37:$CS37),IF(INDEX($F$206:$F$229,MATCH($B257,$B$206:$B$229,FALSE))=0,NA(),INDEX(AY$14:AY$37,MATCH($B257,$B$14:$B$37,FALSE))/INDEX($F$206:$F$229,MATCH($B257,$B$206:$B$229,FALSE))),NA()),NA())</f>
        <v>#N/A</v>
      </c>
      <c r="BA257" s="56" t="e">
        <f>IF(AZ65=1,IF(AZ$13&lt;=COUNT($C37:$CS37),IF(INDEX($F$206:$F$229,MATCH($B257,$B$206:$B$229,FALSE))=0,NA(),INDEX(AZ$14:AZ$37,MATCH($B257,$B$14:$B$37,FALSE))/INDEX($F$206:$F$229,MATCH($B257,$B$206:$B$229,FALSE))),NA()),NA())</f>
        <v>#N/A</v>
      </c>
      <c r="BB257" s="56" t="e">
        <f>IF(BA65=1,IF(BA$13&lt;=COUNT($C37:$CS37),IF(INDEX($F$206:$F$229,MATCH($B257,$B$206:$B$229,FALSE))=0,NA(),INDEX(BA$14:BA$37,MATCH($B257,$B$14:$B$37,FALSE))/INDEX($F$206:$F$229,MATCH($B257,$B$206:$B$229,FALSE))),NA()),NA())</f>
        <v>#N/A</v>
      </c>
      <c r="BC257" s="56" t="e">
        <f>IF(BB65=1,IF(BB$13&lt;=COUNT($C37:$CS37),IF(INDEX($F$206:$F$229,MATCH($B257,$B$206:$B$229,FALSE))=0,NA(),INDEX(BB$14:BB$37,MATCH($B257,$B$14:$B$37,FALSE))/INDEX($F$206:$F$229,MATCH($B257,$B$206:$B$229,FALSE))),NA()),NA())</f>
        <v>#N/A</v>
      </c>
      <c r="BD257" s="56" t="e">
        <f>IF(BC65=1,IF(BC$13&lt;=COUNT($C37:$CS37),IF(INDEX($F$206:$F$229,MATCH($B257,$B$206:$B$229,FALSE))=0,NA(),INDEX(BC$14:BC$37,MATCH($B257,$B$14:$B$37,FALSE))/INDEX($F$206:$F$229,MATCH($B257,$B$206:$B$229,FALSE))),NA()),NA())</f>
        <v>#N/A</v>
      </c>
      <c r="BE257" s="56" t="e">
        <f>IF(BD65=1,IF(BD$13&lt;=COUNT($C37:$CS37),IF(INDEX($F$206:$F$229,MATCH($B257,$B$206:$B$229,FALSE))=0,NA(),INDEX(BD$14:BD$37,MATCH($B257,$B$14:$B$37,FALSE))/INDEX($F$206:$F$229,MATCH($B257,$B$206:$B$229,FALSE))),NA()),NA())</f>
        <v>#N/A</v>
      </c>
      <c r="BF257" s="56" t="e">
        <f>IF(BE65=1,IF(BE$13&lt;=COUNT($C37:$CS37),IF(INDEX($F$206:$F$229,MATCH($B257,$B$206:$B$229,FALSE))=0,NA(),INDEX(BE$14:BE$37,MATCH($B257,$B$14:$B$37,FALSE))/INDEX($F$206:$F$229,MATCH($B257,$B$206:$B$229,FALSE))),NA()),NA())</f>
        <v>#N/A</v>
      </c>
      <c r="BG257" s="56" t="e">
        <f>IF(BF65=1,IF(BF$13&lt;=COUNT($C37:$CS37),IF(INDEX($F$206:$F$229,MATCH($B257,$B$206:$B$229,FALSE))=0,NA(),INDEX(BF$14:BF$37,MATCH($B257,$B$14:$B$37,FALSE))/INDEX($F$206:$F$229,MATCH($B257,$B$206:$B$229,FALSE))),NA()),NA())</f>
        <v>#N/A</v>
      </c>
      <c r="BH257" s="56" t="e">
        <f>IF(BG65=1,IF(BG$13&lt;=COUNT($C37:$CS37),IF(INDEX($F$206:$F$229,MATCH($B257,$B$206:$B$229,FALSE))=0,NA(),INDEX(BG$14:BG$37,MATCH($B257,$B$14:$B$37,FALSE))/INDEX($F$206:$F$229,MATCH($B257,$B$206:$B$229,FALSE))),NA()),NA())</f>
        <v>#N/A</v>
      </c>
      <c r="BI257" s="56" t="e">
        <f>IF(BH65=1,IF(BH$13&lt;=COUNT($C37:$CS37),IF(INDEX($F$206:$F$229,MATCH($B257,$B$206:$B$229,FALSE))=0,NA(),INDEX(BH$14:BH$37,MATCH($B257,$B$14:$B$37,FALSE))/INDEX($F$206:$F$229,MATCH($B257,$B$206:$B$229,FALSE))),NA()),NA())</f>
        <v>#N/A</v>
      </c>
      <c r="BJ257" s="56" t="e">
        <f>IF(BI65=1,IF(BI$13&lt;=COUNT($C37:$CS37),IF(INDEX($F$206:$F$229,MATCH($B257,$B$206:$B$229,FALSE))=0,NA(),INDEX(BI$14:BI$37,MATCH($B257,$B$14:$B$37,FALSE))/INDEX($F$206:$F$229,MATCH($B257,$B$206:$B$229,FALSE))),NA()),NA())</f>
        <v>#N/A</v>
      </c>
      <c r="BK257" s="56" t="e">
        <f>IF(BJ65=1,IF(BJ$13&lt;=COUNT($C37:$CS37),IF(INDEX($F$206:$F$229,MATCH($B257,$B$206:$B$229,FALSE))=0,NA(),INDEX(BJ$14:BJ$37,MATCH($B257,$B$14:$B$37,FALSE))/INDEX($F$206:$F$229,MATCH($B257,$B$206:$B$229,FALSE))),NA()),NA())</f>
        <v>#N/A</v>
      </c>
      <c r="BL257" s="56" t="e">
        <f>IF(BK65=1,IF(BK$13&lt;=COUNT($C37:$CS37),IF(INDEX($F$206:$F$229,MATCH($B257,$B$206:$B$229,FALSE))=0,NA(),INDEX(BK$14:BK$37,MATCH($B257,$B$14:$B$37,FALSE))/INDEX($F$206:$F$229,MATCH($B257,$B$206:$B$229,FALSE))),NA()),NA())</f>
        <v>#N/A</v>
      </c>
      <c r="BM257" s="56" t="e">
        <f>IF(BL65=1,IF(BL$13&lt;=COUNT($C37:$CS37),IF(INDEX($F$206:$F$229,MATCH($B257,$B$206:$B$229,FALSE))=0,NA(),INDEX(BL$14:BL$37,MATCH($B257,$B$14:$B$37,FALSE))/INDEX($F$206:$F$229,MATCH($B257,$B$206:$B$229,FALSE))),NA()),NA())</f>
        <v>#N/A</v>
      </c>
      <c r="BN257" s="56" t="e">
        <f>IF(BM65=1,IF(BM$13&lt;=COUNT($C37:$CS37),IF(INDEX($F$206:$F$229,MATCH($B257,$B$206:$B$229,FALSE))=0,NA(),INDEX(BM$14:BM$37,MATCH($B257,$B$14:$B$37,FALSE))/INDEX($F$206:$F$229,MATCH($B257,$B$206:$B$229,FALSE))),NA()),NA())</f>
        <v>#N/A</v>
      </c>
      <c r="BO257" s="56" t="e">
        <f>IF(BN65=1,IF(BN$13&lt;=COUNT($C37:$CS37),IF(INDEX($F$206:$F$229,MATCH($B257,$B$206:$B$229,FALSE))=0,NA(),INDEX(BN$14:BN$37,MATCH($B257,$B$14:$B$37,FALSE))/INDEX($F$206:$F$229,MATCH($B257,$B$206:$B$229,FALSE))),NA()),NA())</f>
        <v>#N/A</v>
      </c>
      <c r="BP257" s="56" t="e">
        <f>IF(BO65=1,IF(BO$13&lt;=COUNT($C37:$CS37),IF(INDEX($F$206:$F$229,MATCH($B257,$B$206:$B$229,FALSE))=0,NA(),INDEX(BO$14:BO$37,MATCH($B257,$B$14:$B$37,FALSE))/INDEX($F$206:$F$229,MATCH($B257,$B$206:$B$229,FALSE))),NA()),NA())</f>
        <v>#N/A</v>
      </c>
      <c r="BQ257" s="56" t="e">
        <f>IF(BP65=1,IF(BP$13&lt;=COUNT($C37:$CS37),IF(INDEX($F$206:$F$229,MATCH($B257,$B$206:$B$229,FALSE))=0,NA(),INDEX(BP$14:BP$37,MATCH($B257,$B$14:$B$37,FALSE))/INDEX($F$206:$F$229,MATCH($B257,$B$206:$B$229,FALSE))),NA()),NA())</f>
        <v>#N/A</v>
      </c>
      <c r="BR257" s="56" t="e">
        <f>IF(BQ65=1,IF(BQ$13&lt;=COUNT($C37:$CS37),IF(INDEX($F$206:$F$229,MATCH($B257,$B$206:$B$229,FALSE))=0,NA(),INDEX(BQ$14:BQ$37,MATCH($B257,$B$14:$B$37,FALSE))/INDEX($F$206:$F$229,MATCH($B257,$B$206:$B$229,FALSE))),NA()),NA())</f>
        <v>#N/A</v>
      </c>
      <c r="BS257" s="56" t="e">
        <f>IF(BR65=1,IF(BR$13&lt;=COUNT($C37:$CS37),IF(INDEX($F$206:$F$229,MATCH($B257,$B$206:$B$229,FALSE))=0,NA(),INDEX(BR$14:BR$37,MATCH($B257,$B$14:$B$37,FALSE))/INDEX($F$206:$F$229,MATCH($B257,$B$206:$B$229,FALSE))),NA()),NA())</f>
        <v>#N/A</v>
      </c>
      <c r="BT257" s="56" t="e">
        <f>IF(BS65=1,IF(BS$13&lt;=COUNT($C37:$CS37),IF(INDEX($F$206:$F$229,MATCH($B257,$B$206:$B$229,FALSE))=0,NA(),INDEX(BS$14:BS$37,MATCH($B257,$B$14:$B$37,FALSE))/INDEX($F$206:$F$229,MATCH($B257,$B$206:$B$229,FALSE))),NA()),NA())</f>
        <v>#N/A</v>
      </c>
      <c r="BU257" s="56" t="e">
        <f>IF(BT65=1,IF(BT$13&lt;=COUNT($C37:$CS37),IF(INDEX($F$206:$F$229,MATCH($B257,$B$206:$B$229,FALSE))=0,NA(),INDEX(BT$14:BT$37,MATCH($B257,$B$14:$B$37,FALSE))/INDEX($F$206:$F$229,MATCH($B257,$B$206:$B$229,FALSE))),NA()),NA())</f>
        <v>#N/A</v>
      </c>
      <c r="BV257" s="56" t="e">
        <f>IF(BU65=1,IF(BU$13&lt;=COUNT($C37:$CS37),IF(INDEX($F$206:$F$229,MATCH($B257,$B$206:$B$229,FALSE))=0,NA(),INDEX(BU$14:BU$37,MATCH($B257,$B$14:$B$37,FALSE))/INDEX($F$206:$F$229,MATCH($B257,$B$206:$B$229,FALSE))),NA()),NA())</f>
        <v>#N/A</v>
      </c>
      <c r="BW257" s="56" t="e">
        <f>IF(BV65=1,IF(BV$13&lt;=COUNT($C37:$CS37),IF(INDEX($F$206:$F$229,MATCH($B257,$B$206:$B$229,FALSE))=0,NA(),INDEX(BV$14:BV$37,MATCH($B257,$B$14:$B$37,FALSE))/INDEX($F$206:$F$229,MATCH($B257,$B$206:$B$229,FALSE))),NA()),NA())</f>
        <v>#N/A</v>
      </c>
      <c r="BX257" s="56" t="e">
        <f>IF(BW65=1,IF(BW$13&lt;=COUNT($C37:$CS37),IF(INDEX($F$206:$F$229,MATCH($B257,$B$206:$B$229,FALSE))=0,NA(),INDEX(BW$14:BW$37,MATCH($B257,$B$14:$B$37,FALSE))/INDEX($F$206:$F$229,MATCH($B257,$B$206:$B$229,FALSE))),NA()),NA())</f>
        <v>#N/A</v>
      </c>
      <c r="BY257" s="56" t="e">
        <f>IF(BX65=1,IF(BX$13&lt;=COUNT($C37:$CS37),IF(INDEX($F$206:$F$229,MATCH($B257,$B$206:$B$229,FALSE))=0,NA(),INDEX(BX$14:BX$37,MATCH($B257,$B$14:$B$37,FALSE))/INDEX($F$206:$F$229,MATCH($B257,$B$206:$B$229,FALSE))),NA()),NA())</f>
        <v>#N/A</v>
      </c>
      <c r="BZ257" s="56" t="e">
        <f>IF(BY65=1,IF(BY$13&lt;=COUNT($C37:$CS37),IF(INDEX($F$206:$F$229,MATCH($B257,$B$206:$B$229,FALSE))=0,NA(),INDEX(BY$14:BY$37,MATCH($B257,$B$14:$B$37,FALSE))/INDEX($F$206:$F$229,MATCH($B257,$B$206:$B$229,FALSE))),NA()),NA())</f>
        <v>#N/A</v>
      </c>
      <c r="CA257" s="56" t="e">
        <f>IF(BZ65=1,IF(BZ$13&lt;=COUNT($C37:$CS37),IF(INDEX($F$206:$F$229,MATCH($B257,$B$206:$B$229,FALSE))=0,NA(),INDEX(BZ$14:BZ$37,MATCH($B257,$B$14:$B$37,FALSE))/INDEX($F$206:$F$229,MATCH($B257,$B$206:$B$229,FALSE))),NA()),NA())</f>
        <v>#N/A</v>
      </c>
      <c r="CB257" s="56" t="e">
        <f>IF(CA65=1,IF(CA$13&lt;=COUNT($C37:$CS37),IF(INDEX($F$206:$F$229,MATCH($B257,$B$206:$B$229,FALSE))=0,NA(),INDEX(CA$14:CA$37,MATCH($B257,$B$14:$B$37,FALSE))/INDEX($F$206:$F$229,MATCH($B257,$B$206:$B$229,FALSE))),NA()),NA())</f>
        <v>#N/A</v>
      </c>
      <c r="CC257" s="56" t="e">
        <f>IF(CB65=1,IF(CB$13&lt;=COUNT($C37:$CS37),IF(INDEX($F$206:$F$229,MATCH($B257,$B$206:$B$229,FALSE))=0,NA(),INDEX(CB$14:CB$37,MATCH($B257,$B$14:$B$37,FALSE))/INDEX($F$206:$F$229,MATCH($B257,$B$206:$B$229,FALSE))),NA()),NA())</f>
        <v>#N/A</v>
      </c>
      <c r="CD257" s="56" t="e">
        <f>IF(CC65=1,IF(CC$13&lt;=COUNT($C37:$CS37),IF(INDEX($F$206:$F$229,MATCH($B257,$B$206:$B$229,FALSE))=0,NA(),INDEX(CC$14:CC$37,MATCH($B257,$B$14:$B$37,FALSE))/INDEX($F$206:$F$229,MATCH($B257,$B$206:$B$229,FALSE))),NA()),NA())</f>
        <v>#N/A</v>
      </c>
      <c r="CE257" s="56" t="e">
        <f>IF(CD65=1,IF(CD$13&lt;=COUNT($C37:$CS37),IF(INDEX($F$206:$F$229,MATCH($B257,$B$206:$B$229,FALSE))=0,NA(),INDEX(CD$14:CD$37,MATCH($B257,$B$14:$B$37,FALSE))/INDEX($F$206:$F$229,MATCH($B257,$B$206:$B$229,FALSE))),NA()),NA())</f>
        <v>#N/A</v>
      </c>
      <c r="CF257" s="56" t="e">
        <f>IF(CE65=1,IF(CE$13&lt;=COUNT($C37:$CS37),IF(INDEX($F$206:$F$229,MATCH($B257,$B$206:$B$229,FALSE))=0,NA(),INDEX(CE$14:CE$37,MATCH($B257,$B$14:$B$37,FALSE))/INDEX($F$206:$F$229,MATCH($B257,$B$206:$B$229,FALSE))),NA()),NA())</f>
        <v>#N/A</v>
      </c>
      <c r="CG257" s="56" t="e">
        <f>IF(CF65=1,IF(CF$13&lt;=COUNT($C37:$CS37),IF(INDEX($F$206:$F$229,MATCH($B257,$B$206:$B$229,FALSE))=0,NA(),INDEX(CF$14:CF$37,MATCH($B257,$B$14:$B$37,FALSE))/INDEX($F$206:$F$229,MATCH($B257,$B$206:$B$229,FALSE))),NA()),NA())</f>
        <v>#N/A</v>
      </c>
      <c r="CH257" s="56" t="e">
        <f>IF(CG65=1,IF(CG$13&lt;=COUNT($C37:$CS37),IF(INDEX($F$206:$F$229,MATCH($B257,$B$206:$B$229,FALSE))=0,NA(),INDEX(CG$14:CG$37,MATCH($B257,$B$14:$B$37,FALSE))/INDEX($F$206:$F$229,MATCH($B257,$B$206:$B$229,FALSE))),NA()),NA())</f>
        <v>#N/A</v>
      </c>
      <c r="CI257" s="56" t="e">
        <f>IF(CH65=1,IF(CH$13&lt;=COUNT($C37:$CS37),IF(INDEX($F$206:$F$229,MATCH($B257,$B$206:$B$229,FALSE))=0,NA(),INDEX(CH$14:CH$37,MATCH($B257,$B$14:$B$37,FALSE))/INDEX($F$206:$F$229,MATCH($B257,$B$206:$B$229,FALSE))),NA()),NA())</f>
        <v>#N/A</v>
      </c>
      <c r="CJ257" s="56" t="e">
        <f>IF(CI65=1,IF(CI$13&lt;=COUNT($C37:$CS37),IF(INDEX($F$206:$F$229,MATCH($B257,$B$206:$B$229,FALSE))=0,NA(),INDEX(CI$14:CI$37,MATCH($B257,$B$14:$B$37,FALSE))/INDEX($F$206:$F$229,MATCH($B257,$B$206:$B$229,FALSE))),NA()),NA())</f>
        <v>#N/A</v>
      </c>
      <c r="CK257" s="56" t="e">
        <f>IF(CJ65=1,IF(CJ$13&lt;=COUNT($C37:$CS37),IF(INDEX($F$206:$F$229,MATCH($B257,$B$206:$B$229,FALSE))=0,NA(),INDEX(CJ$14:CJ$37,MATCH($B257,$B$14:$B$37,FALSE))/INDEX($F$206:$F$229,MATCH($B257,$B$206:$B$229,FALSE))),NA()),NA())</f>
        <v>#N/A</v>
      </c>
      <c r="CL257" s="56" t="e">
        <f>IF(CK65=1,IF(CK$13&lt;=COUNT($C37:$CS37),IF(INDEX($F$206:$F$229,MATCH($B257,$B$206:$B$229,FALSE))=0,NA(),INDEX(CK$14:CK$37,MATCH($B257,$B$14:$B$37,FALSE))/INDEX($F$206:$F$229,MATCH($B257,$B$206:$B$229,FALSE))),NA()),NA())</f>
        <v>#N/A</v>
      </c>
      <c r="CM257" s="56" t="e">
        <f>IF(CL65=1,IF(CL$13&lt;=COUNT($C37:$CS37),IF(INDEX($F$206:$F$229,MATCH($B257,$B$206:$B$229,FALSE))=0,NA(),INDEX(CL$14:CL$37,MATCH($B257,$B$14:$B$37,FALSE))/INDEX($F$206:$F$229,MATCH($B257,$B$206:$B$229,FALSE))),NA()),NA())</f>
        <v>#N/A</v>
      </c>
      <c r="CN257" s="56" t="e">
        <f>IF(CM65=1,IF(CM$13&lt;=COUNT($C37:$CS37),IF(INDEX($F$206:$F$229,MATCH($B257,$B$206:$B$229,FALSE))=0,NA(),INDEX(CM$14:CM$37,MATCH($B257,$B$14:$B$37,FALSE))/INDEX($F$206:$F$229,MATCH($B257,$B$206:$B$229,FALSE))),NA()),NA())</f>
        <v>#N/A</v>
      </c>
      <c r="CO257" s="56" t="e">
        <f>IF(CN65=1,IF(CN$13&lt;=COUNT($C37:$CS37),IF(INDEX($F$206:$F$229,MATCH($B257,$B$206:$B$229,FALSE))=0,NA(),INDEX(CN$14:CN$37,MATCH($B257,$B$14:$B$37,FALSE))/INDEX($F$206:$F$229,MATCH($B257,$B$206:$B$229,FALSE))),NA()),NA())</f>
        <v>#N/A</v>
      </c>
      <c r="CP257" s="56" t="e">
        <f>IF(CO65=1,IF(CO$13&lt;=COUNT($C37:$CS37),IF(INDEX($F$206:$F$229,MATCH($B257,$B$206:$B$229,FALSE))=0,NA(),INDEX(CO$14:CO$37,MATCH($B257,$B$14:$B$37,FALSE))/INDEX($F$206:$F$229,MATCH($B257,$B$206:$B$229,FALSE))),NA()),NA())</f>
        <v>#N/A</v>
      </c>
      <c r="CQ257" s="56" t="e">
        <f>IF(CP65=1,IF(CP$13&lt;=COUNT($C37:$CS37),IF(INDEX($F$206:$F$229,MATCH($B257,$B$206:$B$229,FALSE))=0,NA(),INDEX(CP$14:CP$37,MATCH($B257,$B$14:$B$37,FALSE))/INDEX($F$206:$F$229,MATCH($B257,$B$206:$B$229,FALSE))),NA()),NA())</f>
        <v>#N/A</v>
      </c>
      <c r="CR257" s="56" t="e">
        <f>IF(CQ65=1,IF(CQ$13&lt;=COUNT($C37:$CS37),IF(INDEX($F$206:$F$229,MATCH($B257,$B$206:$B$229,FALSE))=0,NA(),INDEX(CQ$14:CQ$37,MATCH($B257,$B$14:$B$37,FALSE))/INDEX($F$206:$F$229,MATCH($B257,$B$206:$B$229,FALSE))),NA()),NA())</f>
        <v>#N/A</v>
      </c>
      <c r="CS257" s="56" t="e">
        <f>IF(CR65=1,IF(CR$13&lt;=COUNT($C37:$CS37),IF(INDEX($F$206:$F$229,MATCH($B257,$B$206:$B$229,FALSE))=0,NA(),INDEX(CR$14:CR$37,MATCH($B257,$B$14:$B$37,FALSE))/INDEX($F$206:$F$229,MATCH($B257,$B$206:$B$229,FALSE))),NA()),NA())</f>
        <v>#N/A</v>
      </c>
      <c r="CT257" s="49"/>
      <c r="CU257" s="49"/>
      <c r="CV257" s="49"/>
      <c r="CW257" s="49"/>
    </row>
    <row r="258" spans="1:101" x14ac:dyDescent="0.25">
      <c r="A258" s="97">
        <f t="shared" si="352"/>
        <v>1</v>
      </c>
      <c r="B258" s="153" t="s">
        <v>13</v>
      </c>
      <c r="C258" s="155">
        <v>0</v>
      </c>
      <c r="D258" s="57">
        <f t="shared" ref="D258:AI258" ca="1" si="361">C200</f>
        <v>0.24507096328562628</v>
      </c>
      <c r="E258" s="57">
        <f t="shared" ca="1" si="361"/>
        <v>0.60848617159943708</v>
      </c>
      <c r="F258" s="57">
        <f t="shared" ca="1" si="361"/>
        <v>1.1633644885481438</v>
      </c>
      <c r="G258" s="57">
        <f t="shared" ca="1" si="361"/>
        <v>1.2872115323431044</v>
      </c>
      <c r="H258" s="57">
        <f t="shared" ca="1" si="361"/>
        <v>1.2283588194064305</v>
      </c>
      <c r="I258" s="57">
        <f t="shared" ca="1" si="361"/>
        <v>1.0880103866928268</v>
      </c>
      <c r="J258" s="57">
        <f t="shared" ca="1" si="361"/>
        <v>1.0294418230116882</v>
      </c>
      <c r="K258" s="57">
        <f t="shared" ca="1" si="361"/>
        <v>1.0291164899546705</v>
      </c>
      <c r="L258" s="57">
        <f t="shared" ca="1" si="361"/>
        <v>1</v>
      </c>
      <c r="M258" s="57">
        <f t="shared" ca="1" si="361"/>
        <v>1</v>
      </c>
      <c r="N258" s="57">
        <f t="shared" ca="1" si="361"/>
        <v>1</v>
      </c>
      <c r="O258" s="57">
        <f t="shared" ca="1" si="361"/>
        <v>1</v>
      </c>
      <c r="P258" s="57">
        <f t="shared" ca="1" si="361"/>
        <v>1</v>
      </c>
      <c r="Q258" s="57">
        <f t="shared" ca="1" si="361"/>
        <v>1</v>
      </c>
      <c r="R258" s="57">
        <f t="shared" ca="1" si="361"/>
        <v>1</v>
      </c>
      <c r="S258" s="57">
        <f t="shared" ca="1" si="361"/>
        <v>1</v>
      </c>
      <c r="T258" s="57">
        <f t="shared" ca="1" si="361"/>
        <v>1</v>
      </c>
      <c r="U258" s="57">
        <f t="shared" ca="1" si="361"/>
        <v>1</v>
      </c>
      <c r="V258" s="57">
        <f t="shared" ca="1" si="361"/>
        <v>1</v>
      </c>
      <c r="W258" s="57">
        <f t="shared" ca="1" si="361"/>
        <v>1</v>
      </c>
      <c r="X258" s="57">
        <f t="shared" ca="1" si="361"/>
        <v>1</v>
      </c>
      <c r="Y258" s="57">
        <f t="shared" ca="1" si="361"/>
        <v>1</v>
      </c>
      <c r="Z258" s="57">
        <f t="shared" ca="1" si="361"/>
        <v>1</v>
      </c>
      <c r="AA258" s="57">
        <f t="shared" ca="1" si="361"/>
        <v>1</v>
      </c>
      <c r="AB258" s="57">
        <f t="shared" ca="1" si="361"/>
        <v>1</v>
      </c>
      <c r="AC258" s="57">
        <f t="shared" ca="1" si="361"/>
        <v>1</v>
      </c>
      <c r="AD258" s="57">
        <f t="shared" ca="1" si="361"/>
        <v>1</v>
      </c>
      <c r="AE258" s="57">
        <f t="shared" ca="1" si="361"/>
        <v>1</v>
      </c>
      <c r="AF258" s="57">
        <f t="shared" ca="1" si="361"/>
        <v>1</v>
      </c>
      <c r="AG258" s="57">
        <f t="shared" ca="1" si="361"/>
        <v>1</v>
      </c>
      <c r="AH258" s="57">
        <f t="shared" ca="1" si="361"/>
        <v>1</v>
      </c>
      <c r="AI258" s="57">
        <f t="shared" ca="1" si="361"/>
        <v>1</v>
      </c>
      <c r="AJ258" s="57">
        <f t="shared" ref="AJ258:BO258" ca="1" si="362">AI200</f>
        <v>1</v>
      </c>
      <c r="AK258" s="57">
        <f t="shared" ca="1" si="362"/>
        <v>1</v>
      </c>
      <c r="AL258" s="57">
        <f t="shared" ca="1" si="362"/>
        <v>1</v>
      </c>
      <c r="AM258" s="57">
        <f t="shared" ca="1" si="362"/>
        <v>1</v>
      </c>
      <c r="AN258" s="57">
        <f t="shared" ca="1" si="362"/>
        <v>1</v>
      </c>
      <c r="AO258" s="57">
        <f t="shared" ca="1" si="362"/>
        <v>1</v>
      </c>
      <c r="AP258" s="57">
        <f t="shared" ca="1" si="362"/>
        <v>1</v>
      </c>
      <c r="AQ258" s="57">
        <f t="shared" ca="1" si="362"/>
        <v>1</v>
      </c>
      <c r="AR258" s="57">
        <f t="shared" ca="1" si="362"/>
        <v>1</v>
      </c>
      <c r="AS258" s="57">
        <f t="shared" ca="1" si="362"/>
        <v>1</v>
      </c>
      <c r="AT258" s="57">
        <f t="shared" ca="1" si="362"/>
        <v>1</v>
      </c>
      <c r="AU258" s="57">
        <f t="shared" ca="1" si="362"/>
        <v>1</v>
      </c>
      <c r="AV258" s="57">
        <f t="shared" ca="1" si="362"/>
        <v>1</v>
      </c>
      <c r="AW258" s="57">
        <f t="shared" ca="1" si="362"/>
        <v>1</v>
      </c>
      <c r="AX258" s="57">
        <f t="shared" ca="1" si="362"/>
        <v>1</v>
      </c>
      <c r="AY258" s="57">
        <f t="shared" ca="1" si="362"/>
        <v>1</v>
      </c>
      <c r="AZ258" s="57">
        <f t="shared" ca="1" si="362"/>
        <v>1</v>
      </c>
      <c r="BA258" s="57">
        <f t="shared" ca="1" si="362"/>
        <v>1</v>
      </c>
      <c r="BB258" s="57">
        <f t="shared" ca="1" si="362"/>
        <v>1</v>
      </c>
      <c r="BC258" s="57">
        <f t="shared" ca="1" si="362"/>
        <v>1</v>
      </c>
      <c r="BD258" s="57">
        <f t="shared" ca="1" si="362"/>
        <v>1</v>
      </c>
      <c r="BE258" s="57">
        <f t="shared" ca="1" si="362"/>
        <v>1</v>
      </c>
      <c r="BF258" s="57">
        <f t="shared" ca="1" si="362"/>
        <v>1</v>
      </c>
      <c r="BG258" s="57">
        <f t="shared" ca="1" si="362"/>
        <v>1</v>
      </c>
      <c r="BH258" s="57">
        <f t="shared" ca="1" si="362"/>
        <v>1</v>
      </c>
      <c r="BI258" s="57">
        <f t="shared" ca="1" si="362"/>
        <v>1</v>
      </c>
      <c r="BJ258" s="57">
        <f t="shared" ca="1" si="362"/>
        <v>1</v>
      </c>
      <c r="BK258" s="57">
        <f t="shared" ca="1" si="362"/>
        <v>1</v>
      </c>
      <c r="BL258" s="57">
        <f t="shared" ca="1" si="362"/>
        <v>1</v>
      </c>
      <c r="BM258" s="57">
        <f t="shared" ca="1" si="362"/>
        <v>1</v>
      </c>
      <c r="BN258" s="57">
        <f t="shared" ca="1" si="362"/>
        <v>1</v>
      </c>
      <c r="BO258" s="57">
        <f t="shared" ca="1" si="362"/>
        <v>1</v>
      </c>
      <c r="BP258" s="57">
        <f t="shared" ref="BP258:CP258" ca="1" si="363">BO200</f>
        <v>1</v>
      </c>
      <c r="BQ258" s="57">
        <f t="shared" ca="1" si="363"/>
        <v>1</v>
      </c>
      <c r="BR258" s="57">
        <f t="shared" ca="1" si="363"/>
        <v>1</v>
      </c>
      <c r="BS258" s="57">
        <f t="shared" ca="1" si="363"/>
        <v>1</v>
      </c>
      <c r="BT258" s="57">
        <f t="shared" ca="1" si="363"/>
        <v>1</v>
      </c>
      <c r="BU258" s="57">
        <f t="shared" ca="1" si="363"/>
        <v>1</v>
      </c>
      <c r="BV258" s="57">
        <f t="shared" ca="1" si="363"/>
        <v>1</v>
      </c>
      <c r="BW258" s="57">
        <f t="shared" ca="1" si="363"/>
        <v>1</v>
      </c>
      <c r="BX258" s="57">
        <f t="shared" ca="1" si="363"/>
        <v>1</v>
      </c>
      <c r="BY258" s="57">
        <f t="shared" ca="1" si="363"/>
        <v>1</v>
      </c>
      <c r="BZ258" s="57">
        <f t="shared" ca="1" si="363"/>
        <v>1</v>
      </c>
      <c r="CA258" s="57">
        <f t="shared" ca="1" si="363"/>
        <v>1</v>
      </c>
      <c r="CB258" s="57">
        <f t="shared" ca="1" si="363"/>
        <v>1</v>
      </c>
      <c r="CC258" s="57">
        <f t="shared" ca="1" si="363"/>
        <v>1</v>
      </c>
      <c r="CD258" s="57">
        <f t="shared" ca="1" si="363"/>
        <v>1</v>
      </c>
      <c r="CE258" s="57">
        <f t="shared" ca="1" si="363"/>
        <v>1</v>
      </c>
      <c r="CF258" s="57">
        <f t="shared" ca="1" si="363"/>
        <v>1</v>
      </c>
      <c r="CG258" s="57">
        <f t="shared" ca="1" si="363"/>
        <v>1</v>
      </c>
      <c r="CH258" s="57">
        <f t="shared" ca="1" si="363"/>
        <v>1</v>
      </c>
      <c r="CI258" s="57">
        <f t="shared" ca="1" si="363"/>
        <v>1</v>
      </c>
      <c r="CJ258" s="57">
        <f t="shared" ca="1" si="363"/>
        <v>1</v>
      </c>
      <c r="CK258" s="57">
        <f t="shared" ca="1" si="363"/>
        <v>1</v>
      </c>
      <c r="CL258" s="57">
        <f t="shared" ca="1" si="363"/>
        <v>1</v>
      </c>
      <c r="CM258" s="57">
        <f t="shared" ca="1" si="363"/>
        <v>1</v>
      </c>
      <c r="CN258" s="57">
        <f t="shared" ca="1" si="363"/>
        <v>1</v>
      </c>
      <c r="CO258" s="57">
        <f t="shared" ca="1" si="363"/>
        <v>1</v>
      </c>
      <c r="CP258" s="57">
        <f t="shared" ca="1" si="363"/>
        <v>1</v>
      </c>
      <c r="CQ258" s="57">
        <f t="shared" ref="CQ258:CQ259" ca="1" si="364">CP200</f>
        <v>1</v>
      </c>
      <c r="CR258" s="57">
        <f t="shared" ref="CR258:CR259" ca="1" si="365">CQ200</f>
        <v>1</v>
      </c>
      <c r="CS258" s="57">
        <f t="shared" ref="CS258:CS259" ca="1" si="366">CR200</f>
        <v>1</v>
      </c>
      <c r="CT258" s="58"/>
      <c r="CU258" s="58"/>
      <c r="CV258" s="58"/>
    </row>
    <row r="259" spans="1:101" x14ac:dyDescent="0.25">
      <c r="A259" s="97">
        <v>1</v>
      </c>
      <c r="B259" s="153" t="s">
        <v>57</v>
      </c>
      <c r="C259" s="155">
        <v>0</v>
      </c>
      <c r="D259" s="152">
        <f t="shared" ref="D259:AI259" ca="1" si="367">C201</f>
        <v>0.24507096328562628</v>
      </c>
      <c r="E259" s="152">
        <f t="shared" ca="1" si="367"/>
        <v>0.60848617159943708</v>
      </c>
      <c r="F259" s="152">
        <f t="shared" ca="1" si="367"/>
        <v>1.163364488548144</v>
      </c>
      <c r="G259" s="152">
        <f t="shared" ca="1" si="367"/>
        <v>1.2872115323431044</v>
      </c>
      <c r="H259" s="152">
        <f t="shared" ca="1" si="367"/>
        <v>1.2283588194064305</v>
      </c>
      <c r="I259" s="152">
        <f t="shared" ca="1" si="367"/>
        <v>1.0880103866928268</v>
      </c>
      <c r="J259" s="152">
        <f t="shared" ca="1" si="367"/>
        <v>1.0294418230116882</v>
      </c>
      <c r="K259" s="152">
        <f t="shared" ca="1" si="367"/>
        <v>1.0291164899546705</v>
      </c>
      <c r="L259" s="152">
        <f t="shared" ca="1" si="367"/>
        <v>1</v>
      </c>
      <c r="M259" s="152">
        <f t="shared" ca="1" si="367"/>
        <v>1</v>
      </c>
      <c r="N259" s="152">
        <f t="shared" ca="1" si="367"/>
        <v>1</v>
      </c>
      <c r="O259" s="152">
        <f t="shared" ca="1" si="367"/>
        <v>1</v>
      </c>
      <c r="P259" s="152">
        <f t="shared" ca="1" si="367"/>
        <v>1</v>
      </c>
      <c r="Q259" s="152">
        <f t="shared" ca="1" si="367"/>
        <v>1</v>
      </c>
      <c r="R259" s="152">
        <f t="shared" ca="1" si="367"/>
        <v>1</v>
      </c>
      <c r="S259" s="152">
        <f t="shared" ca="1" si="367"/>
        <v>1</v>
      </c>
      <c r="T259" s="152">
        <f t="shared" ca="1" si="367"/>
        <v>1</v>
      </c>
      <c r="U259" s="152">
        <f t="shared" ca="1" si="367"/>
        <v>1</v>
      </c>
      <c r="V259" s="152">
        <f t="shared" ca="1" si="367"/>
        <v>1</v>
      </c>
      <c r="W259" s="152">
        <f t="shared" ca="1" si="367"/>
        <v>1</v>
      </c>
      <c r="X259" s="152">
        <f t="shared" ca="1" si="367"/>
        <v>1</v>
      </c>
      <c r="Y259" s="152">
        <f t="shared" ca="1" si="367"/>
        <v>1</v>
      </c>
      <c r="Z259" s="152">
        <f t="shared" ca="1" si="367"/>
        <v>1</v>
      </c>
      <c r="AA259" s="152">
        <f t="shared" ca="1" si="367"/>
        <v>1</v>
      </c>
      <c r="AB259" s="152">
        <f t="shared" ca="1" si="367"/>
        <v>1</v>
      </c>
      <c r="AC259" s="152">
        <f t="shared" ca="1" si="367"/>
        <v>1</v>
      </c>
      <c r="AD259" s="152">
        <f t="shared" ca="1" si="367"/>
        <v>1</v>
      </c>
      <c r="AE259" s="152">
        <f t="shared" ca="1" si="367"/>
        <v>1</v>
      </c>
      <c r="AF259" s="152">
        <f t="shared" ca="1" si="367"/>
        <v>1</v>
      </c>
      <c r="AG259" s="152">
        <f t="shared" ca="1" si="367"/>
        <v>1</v>
      </c>
      <c r="AH259" s="152">
        <f t="shared" ca="1" si="367"/>
        <v>1</v>
      </c>
      <c r="AI259" s="152">
        <f t="shared" ca="1" si="367"/>
        <v>1</v>
      </c>
      <c r="AJ259" s="152">
        <f t="shared" ref="AJ259:BO259" ca="1" si="368">AI201</f>
        <v>1</v>
      </c>
      <c r="AK259" s="152">
        <f t="shared" ca="1" si="368"/>
        <v>1</v>
      </c>
      <c r="AL259" s="152">
        <f t="shared" ca="1" si="368"/>
        <v>1</v>
      </c>
      <c r="AM259" s="152">
        <f t="shared" ca="1" si="368"/>
        <v>1</v>
      </c>
      <c r="AN259" s="152">
        <f t="shared" ca="1" si="368"/>
        <v>1</v>
      </c>
      <c r="AO259" s="152">
        <f t="shared" ca="1" si="368"/>
        <v>1</v>
      </c>
      <c r="AP259" s="152">
        <f t="shared" ca="1" si="368"/>
        <v>1</v>
      </c>
      <c r="AQ259" s="152">
        <f t="shared" ca="1" si="368"/>
        <v>1</v>
      </c>
      <c r="AR259" s="152">
        <f t="shared" ca="1" si="368"/>
        <v>1</v>
      </c>
      <c r="AS259" s="152">
        <f t="shared" ca="1" si="368"/>
        <v>1</v>
      </c>
      <c r="AT259" s="152">
        <f t="shared" ca="1" si="368"/>
        <v>1</v>
      </c>
      <c r="AU259" s="152">
        <f t="shared" ca="1" si="368"/>
        <v>1</v>
      </c>
      <c r="AV259" s="152">
        <f t="shared" ca="1" si="368"/>
        <v>1</v>
      </c>
      <c r="AW259" s="152">
        <f t="shared" ca="1" si="368"/>
        <v>1</v>
      </c>
      <c r="AX259" s="152">
        <f t="shared" ca="1" si="368"/>
        <v>1</v>
      </c>
      <c r="AY259" s="152">
        <f t="shared" ca="1" si="368"/>
        <v>1</v>
      </c>
      <c r="AZ259" s="152">
        <f t="shared" ca="1" si="368"/>
        <v>1</v>
      </c>
      <c r="BA259" s="152">
        <f t="shared" ca="1" si="368"/>
        <v>1</v>
      </c>
      <c r="BB259" s="152">
        <f t="shared" ca="1" si="368"/>
        <v>1</v>
      </c>
      <c r="BC259" s="152">
        <f t="shared" ca="1" si="368"/>
        <v>1</v>
      </c>
      <c r="BD259" s="152">
        <f t="shared" ca="1" si="368"/>
        <v>1</v>
      </c>
      <c r="BE259" s="152">
        <f t="shared" ca="1" si="368"/>
        <v>1</v>
      </c>
      <c r="BF259" s="152">
        <f t="shared" ca="1" si="368"/>
        <v>1</v>
      </c>
      <c r="BG259" s="152">
        <f t="shared" ca="1" si="368"/>
        <v>1</v>
      </c>
      <c r="BH259" s="152">
        <f t="shared" ca="1" si="368"/>
        <v>1</v>
      </c>
      <c r="BI259" s="152">
        <f t="shared" ca="1" si="368"/>
        <v>1</v>
      </c>
      <c r="BJ259" s="152">
        <f t="shared" ca="1" si="368"/>
        <v>1</v>
      </c>
      <c r="BK259" s="152">
        <f t="shared" ca="1" si="368"/>
        <v>1</v>
      </c>
      <c r="BL259" s="152">
        <f t="shared" ca="1" si="368"/>
        <v>1</v>
      </c>
      <c r="BM259" s="152">
        <f t="shared" ca="1" si="368"/>
        <v>1</v>
      </c>
      <c r="BN259" s="152">
        <f t="shared" ca="1" si="368"/>
        <v>1</v>
      </c>
      <c r="BO259" s="152">
        <f t="shared" ca="1" si="368"/>
        <v>1</v>
      </c>
      <c r="BP259" s="152">
        <f t="shared" ref="BP259:CP259" ca="1" si="369">BO201</f>
        <v>1</v>
      </c>
      <c r="BQ259" s="152">
        <f t="shared" ca="1" si="369"/>
        <v>1</v>
      </c>
      <c r="BR259" s="152">
        <f t="shared" ca="1" si="369"/>
        <v>1</v>
      </c>
      <c r="BS259" s="152">
        <f t="shared" ca="1" si="369"/>
        <v>1</v>
      </c>
      <c r="BT259" s="152">
        <f t="shared" ca="1" si="369"/>
        <v>1</v>
      </c>
      <c r="BU259" s="152">
        <f t="shared" ca="1" si="369"/>
        <v>1</v>
      </c>
      <c r="BV259" s="152">
        <f t="shared" ca="1" si="369"/>
        <v>1</v>
      </c>
      <c r="BW259" s="152">
        <f t="shared" ca="1" si="369"/>
        <v>1</v>
      </c>
      <c r="BX259" s="152">
        <f t="shared" ca="1" si="369"/>
        <v>1</v>
      </c>
      <c r="BY259" s="152">
        <f t="shared" ca="1" si="369"/>
        <v>1</v>
      </c>
      <c r="BZ259" s="152">
        <f t="shared" ca="1" si="369"/>
        <v>1</v>
      </c>
      <c r="CA259" s="152">
        <f t="shared" ca="1" si="369"/>
        <v>1</v>
      </c>
      <c r="CB259" s="152">
        <f t="shared" ca="1" si="369"/>
        <v>1</v>
      </c>
      <c r="CC259" s="152">
        <f t="shared" ca="1" si="369"/>
        <v>1</v>
      </c>
      <c r="CD259" s="152">
        <f t="shared" ca="1" si="369"/>
        <v>1</v>
      </c>
      <c r="CE259" s="152">
        <f t="shared" ca="1" si="369"/>
        <v>1</v>
      </c>
      <c r="CF259" s="152">
        <f t="shared" ca="1" si="369"/>
        <v>1</v>
      </c>
      <c r="CG259" s="152">
        <f t="shared" ca="1" si="369"/>
        <v>1</v>
      </c>
      <c r="CH259" s="152">
        <f t="shared" ca="1" si="369"/>
        <v>1</v>
      </c>
      <c r="CI259" s="152">
        <f t="shared" ca="1" si="369"/>
        <v>1</v>
      </c>
      <c r="CJ259" s="152">
        <f t="shared" ca="1" si="369"/>
        <v>1</v>
      </c>
      <c r="CK259" s="152">
        <f t="shared" ca="1" si="369"/>
        <v>1</v>
      </c>
      <c r="CL259" s="152">
        <f t="shared" ca="1" si="369"/>
        <v>1</v>
      </c>
      <c r="CM259" s="152">
        <f t="shared" ca="1" si="369"/>
        <v>1</v>
      </c>
      <c r="CN259" s="152">
        <f t="shared" ca="1" si="369"/>
        <v>1</v>
      </c>
      <c r="CO259" s="152">
        <f t="shared" ca="1" si="369"/>
        <v>1</v>
      </c>
      <c r="CP259" s="152">
        <f t="shared" ca="1" si="369"/>
        <v>1</v>
      </c>
      <c r="CQ259" s="152">
        <f t="shared" ca="1" si="364"/>
        <v>1</v>
      </c>
      <c r="CR259" s="152">
        <f t="shared" ca="1" si="365"/>
        <v>1</v>
      </c>
      <c r="CS259" s="152">
        <f t="shared" ca="1" si="366"/>
        <v>1</v>
      </c>
      <c r="CT259" s="58"/>
      <c r="CU259" s="58"/>
      <c r="CV259" s="58"/>
    </row>
    <row r="261" spans="1:101" x14ac:dyDescent="0.25">
      <c r="A261" s="98"/>
      <c r="B261" s="59" t="s">
        <v>63</v>
      </c>
      <c r="C261" s="144">
        <v>0</v>
      </c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</row>
    <row r="262" spans="1:101" x14ac:dyDescent="0.25">
      <c r="A262" s="98"/>
      <c r="B262" s="59" t="s">
        <v>64</v>
      </c>
      <c r="C262" s="144">
        <v>20</v>
      </c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X262" s="191"/>
      <c r="Y262" s="191"/>
      <c r="Z262" s="191"/>
      <c r="AA262" s="191"/>
    </row>
    <row r="263" spans="1:101" x14ac:dyDescent="0.25">
      <c r="A263" s="98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Y263" s="191"/>
      <c r="Z263" s="191"/>
      <c r="AA263" s="191"/>
      <c r="CT263" s="12"/>
    </row>
    <row r="264" spans="1:101" x14ac:dyDescent="0.25">
      <c r="A264" s="98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Y264" s="191"/>
      <c r="Z264" s="191"/>
      <c r="AA264" s="191"/>
    </row>
    <row r="265" spans="1:101" x14ac:dyDescent="0.25">
      <c r="A265" s="98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Y265" s="191"/>
      <c r="Z265" s="191"/>
      <c r="AA265" s="191"/>
    </row>
    <row r="266" spans="1:101" x14ac:dyDescent="0.25">
      <c r="A266" s="98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Y266" s="191"/>
      <c r="Z266" s="191"/>
      <c r="AA266" s="191"/>
    </row>
    <row r="267" spans="1:101" x14ac:dyDescent="0.25">
      <c r="A267" s="98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Y267" s="191"/>
      <c r="Z267" s="191"/>
      <c r="AA267" s="191"/>
    </row>
    <row r="268" spans="1:101" x14ac:dyDescent="0.25">
      <c r="A268" s="98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Y268" s="191"/>
      <c r="Z268" s="191"/>
      <c r="AA268" s="191"/>
    </row>
    <row r="269" spans="1:101" x14ac:dyDescent="0.25">
      <c r="A269" s="98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Y269" s="191"/>
      <c r="Z269" s="191"/>
      <c r="AA269" s="191"/>
    </row>
    <row r="270" spans="1:101" x14ac:dyDescent="0.25">
      <c r="A270" s="98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Y270" s="191"/>
      <c r="Z270" s="191"/>
      <c r="AA270" s="191"/>
    </row>
    <row r="271" spans="1:101" x14ac:dyDescent="0.25">
      <c r="A271" s="98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Y271" s="191"/>
      <c r="Z271" s="191"/>
      <c r="AA271" s="191"/>
    </row>
    <row r="272" spans="1:101" x14ac:dyDescent="0.25">
      <c r="A272" s="98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Y272" s="191"/>
      <c r="Z272" s="191"/>
      <c r="AA272" s="191"/>
    </row>
    <row r="273" spans="1:27" x14ac:dyDescent="0.25">
      <c r="A273" s="98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Y273" s="191"/>
      <c r="Z273" s="191"/>
      <c r="AA273" s="191"/>
    </row>
    <row r="274" spans="1:27" x14ac:dyDescent="0.25">
      <c r="A274" s="98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Y274" s="191"/>
      <c r="Z274" s="191"/>
      <c r="AA274" s="191"/>
    </row>
    <row r="275" spans="1:27" x14ac:dyDescent="0.25">
      <c r="A275" s="98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Y275" s="191"/>
      <c r="Z275" s="191"/>
      <c r="AA275" s="191"/>
    </row>
    <row r="276" spans="1:27" x14ac:dyDescent="0.25">
      <c r="Y276" s="191"/>
      <c r="Z276" s="191"/>
      <c r="AA276" s="191"/>
    </row>
    <row r="277" spans="1:27" x14ac:dyDescent="0.25">
      <c r="Y277" s="191"/>
      <c r="Z277" s="191"/>
      <c r="AA277" s="191"/>
    </row>
    <row r="278" spans="1:27" x14ac:dyDescent="0.25">
      <c r="Y278" s="191"/>
      <c r="Z278" s="191"/>
      <c r="AA278" s="191"/>
    </row>
    <row r="279" spans="1:27" x14ac:dyDescent="0.25">
      <c r="Y279" s="191"/>
      <c r="Z279" s="191"/>
      <c r="AA279" s="191"/>
    </row>
    <row r="280" spans="1:27" x14ac:dyDescent="0.25">
      <c r="Y280" s="191"/>
      <c r="Z280" s="191"/>
      <c r="AA280" s="191"/>
    </row>
    <row r="281" spans="1:27" x14ac:dyDescent="0.25">
      <c r="Y281" s="191"/>
      <c r="Z281" s="191"/>
      <c r="AA281" s="191"/>
    </row>
    <row r="282" spans="1:27" x14ac:dyDescent="0.25">
      <c r="Y282" s="191"/>
      <c r="Z282" s="191"/>
      <c r="AA282" s="191"/>
    </row>
    <row r="283" spans="1:27" x14ac:dyDescent="0.25">
      <c r="Y283" s="191"/>
      <c r="Z283" s="191"/>
      <c r="AA283" s="191"/>
    </row>
    <row r="284" spans="1:27" x14ac:dyDescent="0.25">
      <c r="Y284" s="191"/>
      <c r="Z284" s="191"/>
      <c r="AA284" s="191"/>
    </row>
    <row r="285" spans="1:27" x14ac:dyDescent="0.25">
      <c r="Y285" s="191"/>
      <c r="Z285" s="191"/>
      <c r="AA285" s="191"/>
    </row>
    <row r="286" spans="1:27" x14ac:dyDescent="0.25">
      <c r="Y286" s="191"/>
      <c r="Z286" s="191"/>
      <c r="AA286" s="191"/>
    </row>
    <row r="287" spans="1:27" x14ac:dyDescent="0.25">
      <c r="Y287" s="191"/>
      <c r="Z287" s="191"/>
      <c r="AA287" s="191"/>
    </row>
    <row r="304" spans="2:8" ht="15.75" thickBot="1" x14ac:dyDescent="0.3">
      <c r="B304" s="229" t="s">
        <v>75</v>
      </c>
      <c r="D304" s="191"/>
      <c r="F304" s="230" t="s">
        <v>79</v>
      </c>
      <c r="G304" s="137"/>
      <c r="H304" s="137"/>
    </row>
    <row r="305" spans="2:8" x14ac:dyDescent="0.25">
      <c r="D305" s="191"/>
    </row>
    <row r="306" spans="2:8" x14ac:dyDescent="0.25">
      <c r="B306" s="209" t="s">
        <v>42</v>
      </c>
      <c r="C306" s="207" t="s">
        <v>76</v>
      </c>
      <c r="D306" s="208" t="s">
        <v>77</v>
      </c>
      <c r="F306" s="209" t="s">
        <v>36</v>
      </c>
      <c r="G306" s="209" t="s">
        <v>76</v>
      </c>
      <c r="H306" s="209" t="s">
        <v>77</v>
      </c>
    </row>
    <row r="307" spans="2:8" x14ac:dyDescent="0.25">
      <c r="B307" s="210">
        <f t="shared" ref="B307:B330" si="370">B234</f>
        <v>1996</v>
      </c>
      <c r="C307" s="215">
        <f t="shared" ref="C307:C330" ca="1" si="371">OFFSET($C$258,0,CT42)</f>
        <v>1</v>
      </c>
      <c r="D307" s="218">
        <f t="shared" ref="D307:D329" ca="1" si="372">1/C307</f>
        <v>1</v>
      </c>
      <c r="F307" s="205">
        <v>0</v>
      </c>
      <c r="G307" s="233">
        <v>0</v>
      </c>
      <c r="H307" s="231">
        <v>1</v>
      </c>
    </row>
    <row r="308" spans="2:8" x14ac:dyDescent="0.25">
      <c r="B308" s="205">
        <f t="shared" si="370"/>
        <v>1997</v>
      </c>
      <c r="C308" s="216">
        <f t="shared" ca="1" si="371"/>
        <v>1</v>
      </c>
      <c r="D308" s="219">
        <f t="shared" ca="1" si="372"/>
        <v>1</v>
      </c>
      <c r="F308" s="205">
        <v>1</v>
      </c>
      <c r="G308" s="234">
        <f ca="1">INDEX($D$259:$CS$259,1,F308)</f>
        <v>0.24507096328562628</v>
      </c>
      <c r="H308" s="231">
        <f ca="1">1/G308</f>
        <v>4.0804507665582399</v>
      </c>
    </row>
    <row r="309" spans="2:8" x14ac:dyDescent="0.25">
      <c r="B309" s="205">
        <f t="shared" si="370"/>
        <v>1998</v>
      </c>
      <c r="C309" s="216">
        <f t="shared" ca="1" si="371"/>
        <v>1</v>
      </c>
      <c r="D309" s="219">
        <f t="shared" ca="1" si="372"/>
        <v>1</v>
      </c>
      <c r="F309" s="205">
        <f>F308+1</f>
        <v>2</v>
      </c>
      <c r="G309" s="234">
        <f t="shared" ref="G309:G372" ca="1" si="373">INDEX($D$259:$CS$259,1,F309)</f>
        <v>0.60848617159943708</v>
      </c>
      <c r="H309" s="231">
        <f t="shared" ref="H309:H372" ca="1" si="374">1/G309</f>
        <v>1.6434227212944688</v>
      </c>
    </row>
    <row r="310" spans="2:8" x14ac:dyDescent="0.25">
      <c r="B310" s="205">
        <f t="shared" si="370"/>
        <v>1999</v>
      </c>
      <c r="C310" s="216">
        <f t="shared" ca="1" si="371"/>
        <v>1</v>
      </c>
      <c r="D310" s="219">
        <f t="shared" ca="1" si="372"/>
        <v>1</v>
      </c>
      <c r="F310" s="205">
        <f t="shared" ref="F310:F325" si="375">F309+1</f>
        <v>3</v>
      </c>
      <c r="G310" s="234">
        <f t="shared" ca="1" si="373"/>
        <v>1.163364488548144</v>
      </c>
      <c r="H310" s="231">
        <f t="shared" ca="1" si="374"/>
        <v>0.85957583357901901</v>
      </c>
    </row>
    <row r="311" spans="2:8" x14ac:dyDescent="0.25">
      <c r="B311" s="205">
        <f t="shared" si="370"/>
        <v>2000</v>
      </c>
      <c r="C311" s="216">
        <f t="shared" ca="1" si="371"/>
        <v>1</v>
      </c>
      <c r="D311" s="219">
        <f t="shared" ca="1" si="372"/>
        <v>1</v>
      </c>
      <c r="F311" s="205">
        <f t="shared" si="375"/>
        <v>4</v>
      </c>
      <c r="G311" s="234">
        <f t="shared" ca="1" si="373"/>
        <v>1.2872115323431044</v>
      </c>
      <c r="H311" s="231">
        <f t="shared" ca="1" si="374"/>
        <v>0.77687308952220557</v>
      </c>
    </row>
    <row r="312" spans="2:8" x14ac:dyDescent="0.25">
      <c r="B312" s="205">
        <f t="shared" si="370"/>
        <v>2001</v>
      </c>
      <c r="C312" s="216">
        <f t="shared" ca="1" si="371"/>
        <v>1</v>
      </c>
      <c r="D312" s="219">
        <f t="shared" ca="1" si="372"/>
        <v>1</v>
      </c>
      <c r="F312" s="205">
        <f t="shared" si="375"/>
        <v>5</v>
      </c>
      <c r="G312" s="234">
        <f t="shared" ca="1" si="373"/>
        <v>1.2283588194064305</v>
      </c>
      <c r="H312" s="231">
        <f t="shared" ca="1" si="374"/>
        <v>0.81409437063611556</v>
      </c>
    </row>
    <row r="313" spans="2:8" x14ac:dyDescent="0.25">
      <c r="B313" s="205">
        <f t="shared" si="370"/>
        <v>2002</v>
      </c>
      <c r="C313" s="216">
        <f t="shared" ca="1" si="371"/>
        <v>1</v>
      </c>
      <c r="D313" s="219">
        <f t="shared" ca="1" si="372"/>
        <v>1</v>
      </c>
      <c r="F313" s="205">
        <f t="shared" si="375"/>
        <v>6</v>
      </c>
      <c r="G313" s="234">
        <f t="shared" ca="1" si="373"/>
        <v>1.0880103866928268</v>
      </c>
      <c r="H313" s="231">
        <f t="shared" ca="1" si="374"/>
        <v>0.91910887270079489</v>
      </c>
    </row>
    <row r="314" spans="2:8" x14ac:dyDescent="0.25">
      <c r="B314" s="205">
        <f t="shared" si="370"/>
        <v>2003</v>
      </c>
      <c r="C314" s="216">
        <f t="shared" ca="1" si="371"/>
        <v>1</v>
      </c>
      <c r="D314" s="219">
        <f t="shared" ca="1" si="372"/>
        <v>1</v>
      </c>
      <c r="F314" s="205">
        <f t="shared" si="375"/>
        <v>7</v>
      </c>
      <c r="G314" s="234">
        <f t="shared" ca="1" si="373"/>
        <v>1.0294418230116882</v>
      </c>
      <c r="H314" s="231">
        <f t="shared" ca="1" si="374"/>
        <v>0.97140020703107388</v>
      </c>
    </row>
    <row r="315" spans="2:8" x14ac:dyDescent="0.25">
      <c r="B315" s="205">
        <f t="shared" si="370"/>
        <v>2004</v>
      </c>
      <c r="C315" s="216">
        <f t="shared" ca="1" si="371"/>
        <v>1</v>
      </c>
      <c r="D315" s="219">
        <f t="shared" ca="1" si="372"/>
        <v>1</v>
      </c>
      <c r="F315" s="205">
        <f t="shared" si="375"/>
        <v>8</v>
      </c>
      <c r="G315" s="234">
        <f t="shared" ca="1" si="373"/>
        <v>1.0291164899546705</v>
      </c>
      <c r="H315" s="231">
        <f t="shared" ca="1" si="374"/>
        <v>0.97170729432588043</v>
      </c>
    </row>
    <row r="316" spans="2:8" x14ac:dyDescent="0.25">
      <c r="B316" s="205">
        <f t="shared" si="370"/>
        <v>2005</v>
      </c>
      <c r="C316" s="216">
        <f t="shared" ca="1" si="371"/>
        <v>1</v>
      </c>
      <c r="D316" s="219">
        <f t="shared" ca="1" si="372"/>
        <v>1</v>
      </c>
      <c r="F316" s="205">
        <f t="shared" si="375"/>
        <v>9</v>
      </c>
      <c r="G316" s="234">
        <f t="shared" ca="1" si="373"/>
        <v>1</v>
      </c>
      <c r="H316" s="231">
        <f t="shared" ca="1" si="374"/>
        <v>1</v>
      </c>
    </row>
    <row r="317" spans="2:8" x14ac:dyDescent="0.25">
      <c r="B317" s="205">
        <f t="shared" si="370"/>
        <v>2006</v>
      </c>
      <c r="C317" s="216">
        <f t="shared" ca="1" si="371"/>
        <v>1</v>
      </c>
      <c r="D317" s="219">
        <f t="shared" ca="1" si="372"/>
        <v>1</v>
      </c>
      <c r="F317" s="205">
        <f t="shared" si="375"/>
        <v>10</v>
      </c>
      <c r="G317" s="234">
        <f t="shared" ca="1" si="373"/>
        <v>1</v>
      </c>
      <c r="H317" s="231">
        <f t="shared" ca="1" si="374"/>
        <v>1</v>
      </c>
    </row>
    <row r="318" spans="2:8" x14ac:dyDescent="0.25">
      <c r="B318" s="205">
        <f t="shared" si="370"/>
        <v>2007</v>
      </c>
      <c r="C318" s="216">
        <f t="shared" ca="1" si="371"/>
        <v>1</v>
      </c>
      <c r="D318" s="219">
        <f t="shared" ca="1" si="372"/>
        <v>1</v>
      </c>
      <c r="F318" s="205">
        <f t="shared" si="375"/>
        <v>11</v>
      </c>
      <c r="G318" s="234">
        <f t="shared" ca="1" si="373"/>
        <v>1</v>
      </c>
      <c r="H318" s="231">
        <f t="shared" ca="1" si="374"/>
        <v>1</v>
      </c>
    </row>
    <row r="319" spans="2:8" x14ac:dyDescent="0.25">
      <c r="B319" s="205">
        <f t="shared" si="370"/>
        <v>2008</v>
      </c>
      <c r="C319" s="216">
        <f t="shared" ca="1" si="371"/>
        <v>1</v>
      </c>
      <c r="D319" s="219">
        <f t="shared" ca="1" si="372"/>
        <v>1</v>
      </c>
      <c r="F319" s="205">
        <f t="shared" si="375"/>
        <v>12</v>
      </c>
      <c r="G319" s="234">
        <f t="shared" ca="1" si="373"/>
        <v>1</v>
      </c>
      <c r="H319" s="231">
        <f t="shared" ca="1" si="374"/>
        <v>1</v>
      </c>
    </row>
    <row r="320" spans="2:8" x14ac:dyDescent="0.25">
      <c r="B320" s="205">
        <f t="shared" si="370"/>
        <v>2009</v>
      </c>
      <c r="C320" s="216">
        <f t="shared" ca="1" si="371"/>
        <v>1</v>
      </c>
      <c r="D320" s="219">
        <f t="shared" ca="1" si="372"/>
        <v>1</v>
      </c>
      <c r="F320" s="205">
        <f t="shared" si="375"/>
        <v>13</v>
      </c>
      <c r="G320" s="234">
        <f t="shared" ca="1" si="373"/>
        <v>1</v>
      </c>
      <c r="H320" s="231">
        <f t="shared" ca="1" si="374"/>
        <v>1</v>
      </c>
    </row>
    <row r="321" spans="2:8" x14ac:dyDescent="0.25">
      <c r="B321" s="205">
        <f t="shared" si="370"/>
        <v>2010</v>
      </c>
      <c r="C321" s="216">
        <f t="shared" ca="1" si="371"/>
        <v>1</v>
      </c>
      <c r="D321" s="219">
        <f t="shared" ca="1" si="372"/>
        <v>1</v>
      </c>
      <c r="F321" s="205">
        <f t="shared" si="375"/>
        <v>14</v>
      </c>
      <c r="G321" s="234">
        <f t="shared" ca="1" si="373"/>
        <v>1</v>
      </c>
      <c r="H321" s="231">
        <f t="shared" ca="1" si="374"/>
        <v>1</v>
      </c>
    </row>
    <row r="322" spans="2:8" x14ac:dyDescent="0.25">
      <c r="B322" s="205">
        <f t="shared" si="370"/>
        <v>2011</v>
      </c>
      <c r="C322" s="216">
        <f t="shared" ca="1" si="371"/>
        <v>1</v>
      </c>
      <c r="D322" s="219">
        <f t="shared" ca="1" si="372"/>
        <v>1</v>
      </c>
      <c r="F322" s="205">
        <f t="shared" si="375"/>
        <v>15</v>
      </c>
      <c r="G322" s="234">
        <f t="shared" ca="1" si="373"/>
        <v>1</v>
      </c>
      <c r="H322" s="231">
        <f t="shared" ca="1" si="374"/>
        <v>1</v>
      </c>
    </row>
    <row r="323" spans="2:8" x14ac:dyDescent="0.25">
      <c r="B323" s="205">
        <f t="shared" si="370"/>
        <v>2012</v>
      </c>
      <c r="C323" s="216">
        <f t="shared" ca="1" si="371"/>
        <v>1.0291164899546705</v>
      </c>
      <c r="D323" s="219">
        <f t="shared" ca="1" si="372"/>
        <v>0.97170729432588043</v>
      </c>
      <c r="F323" s="205">
        <f t="shared" si="375"/>
        <v>16</v>
      </c>
      <c r="G323" s="234">
        <f t="shared" ca="1" si="373"/>
        <v>1</v>
      </c>
      <c r="H323" s="231">
        <f t="shared" ca="1" si="374"/>
        <v>1</v>
      </c>
    </row>
    <row r="324" spans="2:8" x14ac:dyDescent="0.25">
      <c r="B324" s="205">
        <f t="shared" si="370"/>
        <v>2013</v>
      </c>
      <c r="C324" s="216">
        <f t="shared" ca="1" si="371"/>
        <v>1.0294418230116882</v>
      </c>
      <c r="D324" s="219">
        <f t="shared" ca="1" si="372"/>
        <v>0.97140020703107388</v>
      </c>
      <c r="F324" s="205">
        <f t="shared" si="375"/>
        <v>17</v>
      </c>
      <c r="G324" s="234">
        <f t="shared" ca="1" si="373"/>
        <v>1</v>
      </c>
      <c r="H324" s="231">
        <f t="shared" ca="1" si="374"/>
        <v>1</v>
      </c>
    </row>
    <row r="325" spans="2:8" x14ac:dyDescent="0.25">
      <c r="B325" s="205">
        <f t="shared" si="370"/>
        <v>2014</v>
      </c>
      <c r="C325" s="216">
        <f t="shared" ca="1" si="371"/>
        <v>1.0880103866928268</v>
      </c>
      <c r="D325" s="219">
        <f t="shared" ca="1" si="372"/>
        <v>0.91910887270079489</v>
      </c>
      <c r="F325" s="205">
        <f t="shared" si="375"/>
        <v>18</v>
      </c>
      <c r="G325" s="234">
        <f t="shared" ca="1" si="373"/>
        <v>1</v>
      </c>
      <c r="H325" s="231">
        <f t="shared" ca="1" si="374"/>
        <v>1</v>
      </c>
    </row>
    <row r="326" spans="2:8" x14ac:dyDescent="0.25">
      <c r="B326" s="205">
        <f t="shared" si="370"/>
        <v>2015</v>
      </c>
      <c r="C326" s="216">
        <f t="shared" ca="1" si="371"/>
        <v>1.2283588194064305</v>
      </c>
      <c r="D326" s="219">
        <f t="shared" ca="1" si="372"/>
        <v>0.81409437063611556</v>
      </c>
      <c r="F326" s="205">
        <f>F325+1</f>
        <v>19</v>
      </c>
      <c r="G326" s="234">
        <f t="shared" ca="1" si="373"/>
        <v>1</v>
      </c>
      <c r="H326" s="231">
        <f t="shared" ca="1" si="374"/>
        <v>1</v>
      </c>
    </row>
    <row r="327" spans="2:8" x14ac:dyDescent="0.25">
      <c r="B327" s="205">
        <f t="shared" si="370"/>
        <v>2016</v>
      </c>
      <c r="C327" s="216">
        <f t="shared" ca="1" si="371"/>
        <v>1.2872115323431044</v>
      </c>
      <c r="D327" s="219">
        <f t="shared" ca="1" si="372"/>
        <v>0.77687308952220557</v>
      </c>
      <c r="F327" s="205">
        <f t="shared" ref="F327:F386" si="376">F326+1</f>
        <v>20</v>
      </c>
      <c r="G327" s="234">
        <f t="shared" ca="1" si="373"/>
        <v>1</v>
      </c>
      <c r="H327" s="231">
        <f t="shared" ca="1" si="374"/>
        <v>1</v>
      </c>
    </row>
    <row r="328" spans="2:8" x14ac:dyDescent="0.25">
      <c r="B328" s="205">
        <f t="shared" si="370"/>
        <v>2017</v>
      </c>
      <c r="C328" s="216">
        <f t="shared" ca="1" si="371"/>
        <v>1.1633644885481438</v>
      </c>
      <c r="D328" s="219">
        <f t="shared" ca="1" si="372"/>
        <v>0.85957583357901912</v>
      </c>
      <c r="F328" s="205">
        <f t="shared" si="376"/>
        <v>21</v>
      </c>
      <c r="G328" s="234">
        <f t="shared" ca="1" si="373"/>
        <v>1</v>
      </c>
      <c r="H328" s="231">
        <f t="shared" ca="1" si="374"/>
        <v>1</v>
      </c>
    </row>
    <row r="329" spans="2:8" x14ac:dyDescent="0.25">
      <c r="B329" s="205">
        <f t="shared" si="370"/>
        <v>2018</v>
      </c>
      <c r="C329" s="216">
        <f t="shared" ca="1" si="371"/>
        <v>0.60848617159943708</v>
      </c>
      <c r="D329" s="220">
        <f t="shared" ca="1" si="372"/>
        <v>1.6434227212944688</v>
      </c>
      <c r="F329" s="205">
        <f t="shared" si="376"/>
        <v>22</v>
      </c>
      <c r="G329" s="234">
        <f t="shared" ca="1" si="373"/>
        <v>1</v>
      </c>
      <c r="H329" s="231">
        <f t="shared" ca="1" si="374"/>
        <v>1</v>
      </c>
    </row>
    <row r="330" spans="2:8" x14ac:dyDescent="0.25">
      <c r="B330" s="206">
        <f t="shared" si="370"/>
        <v>2019</v>
      </c>
      <c r="C330" s="217">
        <f t="shared" ca="1" si="371"/>
        <v>0.24507096328562628</v>
      </c>
      <c r="D330" s="221">
        <f ca="1">1/C330</f>
        <v>4.0804507665582399</v>
      </c>
      <c r="F330" s="205">
        <f t="shared" si="376"/>
        <v>23</v>
      </c>
      <c r="G330" s="234">
        <f t="shared" ca="1" si="373"/>
        <v>1</v>
      </c>
      <c r="H330" s="231">
        <f t="shared" ca="1" si="374"/>
        <v>1</v>
      </c>
    </row>
    <row r="331" spans="2:8" x14ac:dyDescent="0.25">
      <c r="F331" s="205">
        <f t="shared" si="376"/>
        <v>24</v>
      </c>
      <c r="G331" s="234">
        <f t="shared" ca="1" si="373"/>
        <v>1</v>
      </c>
      <c r="H331" s="231">
        <f t="shared" ca="1" si="374"/>
        <v>1</v>
      </c>
    </row>
    <row r="332" spans="2:8" x14ac:dyDescent="0.25">
      <c r="F332" s="205">
        <f t="shared" si="376"/>
        <v>25</v>
      </c>
      <c r="G332" s="234">
        <f t="shared" ca="1" si="373"/>
        <v>1</v>
      </c>
      <c r="H332" s="231">
        <f t="shared" ca="1" si="374"/>
        <v>1</v>
      </c>
    </row>
    <row r="333" spans="2:8" x14ac:dyDescent="0.25">
      <c r="F333" s="205">
        <f t="shared" si="376"/>
        <v>26</v>
      </c>
      <c r="G333" s="234">
        <f t="shared" ca="1" si="373"/>
        <v>1</v>
      </c>
      <c r="H333" s="231">
        <f t="shared" ca="1" si="374"/>
        <v>1</v>
      </c>
    </row>
    <row r="334" spans="2:8" x14ac:dyDescent="0.25">
      <c r="F334" s="205">
        <f t="shared" si="376"/>
        <v>27</v>
      </c>
      <c r="G334" s="234">
        <f t="shared" ca="1" si="373"/>
        <v>1</v>
      </c>
      <c r="H334" s="231">
        <f t="shared" ca="1" si="374"/>
        <v>1</v>
      </c>
    </row>
    <row r="335" spans="2:8" x14ac:dyDescent="0.25">
      <c r="F335" s="205">
        <f t="shared" si="376"/>
        <v>28</v>
      </c>
      <c r="G335" s="234">
        <f t="shared" ca="1" si="373"/>
        <v>1</v>
      </c>
      <c r="H335" s="231">
        <f t="shared" ca="1" si="374"/>
        <v>1</v>
      </c>
    </row>
    <row r="336" spans="2:8" x14ac:dyDescent="0.25">
      <c r="F336" s="205">
        <f t="shared" si="376"/>
        <v>29</v>
      </c>
      <c r="G336" s="234">
        <f t="shared" ca="1" si="373"/>
        <v>1</v>
      </c>
      <c r="H336" s="231">
        <f t="shared" ca="1" si="374"/>
        <v>1</v>
      </c>
    </row>
    <row r="337" spans="6:8" x14ac:dyDescent="0.25">
      <c r="F337" s="205">
        <f t="shared" si="376"/>
        <v>30</v>
      </c>
      <c r="G337" s="234">
        <f t="shared" ca="1" si="373"/>
        <v>1</v>
      </c>
      <c r="H337" s="231">
        <f t="shared" ca="1" si="374"/>
        <v>1</v>
      </c>
    </row>
    <row r="338" spans="6:8" x14ac:dyDescent="0.25">
      <c r="F338" s="205">
        <f t="shared" si="376"/>
        <v>31</v>
      </c>
      <c r="G338" s="234">
        <f t="shared" ca="1" si="373"/>
        <v>1</v>
      </c>
      <c r="H338" s="231">
        <f t="shared" ca="1" si="374"/>
        <v>1</v>
      </c>
    </row>
    <row r="339" spans="6:8" x14ac:dyDescent="0.25">
      <c r="F339" s="205">
        <f t="shared" si="376"/>
        <v>32</v>
      </c>
      <c r="G339" s="234">
        <f t="shared" ca="1" si="373"/>
        <v>1</v>
      </c>
      <c r="H339" s="231">
        <f t="shared" ca="1" si="374"/>
        <v>1</v>
      </c>
    </row>
    <row r="340" spans="6:8" x14ac:dyDescent="0.25">
      <c r="F340" s="205">
        <f t="shared" si="376"/>
        <v>33</v>
      </c>
      <c r="G340" s="234">
        <f t="shared" ca="1" si="373"/>
        <v>1</v>
      </c>
      <c r="H340" s="231">
        <f t="shared" ca="1" si="374"/>
        <v>1</v>
      </c>
    </row>
    <row r="341" spans="6:8" x14ac:dyDescent="0.25">
      <c r="F341" s="205">
        <f t="shared" si="376"/>
        <v>34</v>
      </c>
      <c r="G341" s="234">
        <f t="shared" ca="1" si="373"/>
        <v>1</v>
      </c>
      <c r="H341" s="231">
        <f t="shared" ca="1" si="374"/>
        <v>1</v>
      </c>
    </row>
    <row r="342" spans="6:8" x14ac:dyDescent="0.25">
      <c r="F342" s="205">
        <f t="shared" si="376"/>
        <v>35</v>
      </c>
      <c r="G342" s="234">
        <f t="shared" ca="1" si="373"/>
        <v>1</v>
      </c>
      <c r="H342" s="231">
        <f t="shared" ca="1" si="374"/>
        <v>1</v>
      </c>
    </row>
    <row r="343" spans="6:8" x14ac:dyDescent="0.25">
      <c r="F343" s="205">
        <f t="shared" si="376"/>
        <v>36</v>
      </c>
      <c r="G343" s="234">
        <f t="shared" ca="1" si="373"/>
        <v>1</v>
      </c>
      <c r="H343" s="231">
        <f t="shared" ca="1" si="374"/>
        <v>1</v>
      </c>
    </row>
    <row r="344" spans="6:8" x14ac:dyDescent="0.25">
      <c r="F344" s="205">
        <f t="shared" si="376"/>
        <v>37</v>
      </c>
      <c r="G344" s="234">
        <f t="shared" ca="1" si="373"/>
        <v>1</v>
      </c>
      <c r="H344" s="231">
        <f t="shared" ca="1" si="374"/>
        <v>1</v>
      </c>
    </row>
    <row r="345" spans="6:8" x14ac:dyDescent="0.25">
      <c r="F345" s="205">
        <f t="shared" si="376"/>
        <v>38</v>
      </c>
      <c r="G345" s="234">
        <f t="shared" ca="1" si="373"/>
        <v>1</v>
      </c>
      <c r="H345" s="231">
        <f t="shared" ca="1" si="374"/>
        <v>1</v>
      </c>
    </row>
    <row r="346" spans="6:8" x14ac:dyDescent="0.25">
      <c r="F346" s="205">
        <f t="shared" si="376"/>
        <v>39</v>
      </c>
      <c r="G346" s="234">
        <f t="shared" ca="1" si="373"/>
        <v>1</v>
      </c>
      <c r="H346" s="231">
        <f t="shared" ca="1" si="374"/>
        <v>1</v>
      </c>
    </row>
    <row r="347" spans="6:8" x14ac:dyDescent="0.25">
      <c r="F347" s="205">
        <f t="shared" si="376"/>
        <v>40</v>
      </c>
      <c r="G347" s="234">
        <f t="shared" ca="1" si="373"/>
        <v>1</v>
      </c>
      <c r="H347" s="231">
        <f t="shared" ca="1" si="374"/>
        <v>1</v>
      </c>
    </row>
    <row r="348" spans="6:8" x14ac:dyDescent="0.25">
      <c r="F348" s="205">
        <f t="shared" si="376"/>
        <v>41</v>
      </c>
      <c r="G348" s="234">
        <f t="shared" ca="1" si="373"/>
        <v>1</v>
      </c>
      <c r="H348" s="231">
        <f t="shared" ca="1" si="374"/>
        <v>1</v>
      </c>
    </row>
    <row r="349" spans="6:8" x14ac:dyDescent="0.25">
      <c r="F349" s="205">
        <f t="shared" si="376"/>
        <v>42</v>
      </c>
      <c r="G349" s="234">
        <f t="shared" ca="1" si="373"/>
        <v>1</v>
      </c>
      <c r="H349" s="231">
        <f t="shared" ca="1" si="374"/>
        <v>1</v>
      </c>
    </row>
    <row r="350" spans="6:8" x14ac:dyDescent="0.25">
      <c r="F350" s="205">
        <f t="shared" si="376"/>
        <v>43</v>
      </c>
      <c r="G350" s="234">
        <f t="shared" ca="1" si="373"/>
        <v>1</v>
      </c>
      <c r="H350" s="231">
        <f t="shared" ca="1" si="374"/>
        <v>1</v>
      </c>
    </row>
    <row r="351" spans="6:8" x14ac:dyDescent="0.25">
      <c r="F351" s="205">
        <f t="shared" si="376"/>
        <v>44</v>
      </c>
      <c r="G351" s="234">
        <f t="shared" ca="1" si="373"/>
        <v>1</v>
      </c>
      <c r="H351" s="231">
        <f t="shared" ca="1" si="374"/>
        <v>1</v>
      </c>
    </row>
    <row r="352" spans="6:8" x14ac:dyDescent="0.25">
      <c r="F352" s="205">
        <f t="shared" si="376"/>
        <v>45</v>
      </c>
      <c r="G352" s="234">
        <f t="shared" ca="1" si="373"/>
        <v>1</v>
      </c>
      <c r="H352" s="231">
        <f t="shared" ca="1" si="374"/>
        <v>1</v>
      </c>
    </row>
    <row r="353" spans="6:8" x14ac:dyDescent="0.25">
      <c r="F353" s="205">
        <f t="shared" si="376"/>
        <v>46</v>
      </c>
      <c r="G353" s="234">
        <f t="shared" ca="1" si="373"/>
        <v>1</v>
      </c>
      <c r="H353" s="231">
        <f t="shared" ca="1" si="374"/>
        <v>1</v>
      </c>
    </row>
    <row r="354" spans="6:8" x14ac:dyDescent="0.25">
      <c r="F354" s="205">
        <f t="shared" si="376"/>
        <v>47</v>
      </c>
      <c r="G354" s="234">
        <f t="shared" ca="1" si="373"/>
        <v>1</v>
      </c>
      <c r="H354" s="231">
        <f t="shared" ca="1" si="374"/>
        <v>1</v>
      </c>
    </row>
    <row r="355" spans="6:8" x14ac:dyDescent="0.25">
      <c r="F355" s="205">
        <f t="shared" si="376"/>
        <v>48</v>
      </c>
      <c r="G355" s="234">
        <f t="shared" ca="1" si="373"/>
        <v>1</v>
      </c>
      <c r="H355" s="231">
        <f t="shared" ca="1" si="374"/>
        <v>1</v>
      </c>
    </row>
    <row r="356" spans="6:8" x14ac:dyDescent="0.25">
      <c r="F356" s="205">
        <f t="shared" si="376"/>
        <v>49</v>
      </c>
      <c r="G356" s="234">
        <f t="shared" ca="1" si="373"/>
        <v>1</v>
      </c>
      <c r="H356" s="231">
        <f t="shared" ca="1" si="374"/>
        <v>1</v>
      </c>
    </row>
    <row r="357" spans="6:8" x14ac:dyDescent="0.25">
      <c r="F357" s="205">
        <f t="shared" si="376"/>
        <v>50</v>
      </c>
      <c r="G357" s="234">
        <f t="shared" ca="1" si="373"/>
        <v>1</v>
      </c>
      <c r="H357" s="231">
        <f t="shared" ca="1" si="374"/>
        <v>1</v>
      </c>
    </row>
    <row r="358" spans="6:8" x14ac:dyDescent="0.25">
      <c r="F358" s="205">
        <f t="shared" si="376"/>
        <v>51</v>
      </c>
      <c r="G358" s="234">
        <f t="shared" ca="1" si="373"/>
        <v>1</v>
      </c>
      <c r="H358" s="231">
        <f t="shared" ca="1" si="374"/>
        <v>1</v>
      </c>
    </row>
    <row r="359" spans="6:8" x14ac:dyDescent="0.25">
      <c r="F359" s="205">
        <f t="shared" si="376"/>
        <v>52</v>
      </c>
      <c r="G359" s="234">
        <f t="shared" ca="1" si="373"/>
        <v>1</v>
      </c>
      <c r="H359" s="231">
        <f t="shared" ca="1" si="374"/>
        <v>1</v>
      </c>
    </row>
    <row r="360" spans="6:8" x14ac:dyDescent="0.25">
      <c r="F360" s="205">
        <f t="shared" si="376"/>
        <v>53</v>
      </c>
      <c r="G360" s="234">
        <f t="shared" ca="1" si="373"/>
        <v>1</v>
      </c>
      <c r="H360" s="231">
        <f t="shared" ca="1" si="374"/>
        <v>1</v>
      </c>
    </row>
    <row r="361" spans="6:8" x14ac:dyDescent="0.25">
      <c r="F361" s="205">
        <f t="shared" si="376"/>
        <v>54</v>
      </c>
      <c r="G361" s="234">
        <f t="shared" ca="1" si="373"/>
        <v>1</v>
      </c>
      <c r="H361" s="231">
        <f t="shared" ca="1" si="374"/>
        <v>1</v>
      </c>
    </row>
    <row r="362" spans="6:8" x14ac:dyDescent="0.25">
      <c r="F362" s="205">
        <f t="shared" si="376"/>
        <v>55</v>
      </c>
      <c r="G362" s="234">
        <f t="shared" ca="1" si="373"/>
        <v>1</v>
      </c>
      <c r="H362" s="231">
        <f t="shared" ca="1" si="374"/>
        <v>1</v>
      </c>
    </row>
    <row r="363" spans="6:8" x14ac:dyDescent="0.25">
      <c r="F363" s="205">
        <f t="shared" si="376"/>
        <v>56</v>
      </c>
      <c r="G363" s="234">
        <f t="shared" ca="1" si="373"/>
        <v>1</v>
      </c>
      <c r="H363" s="231">
        <f t="shared" ca="1" si="374"/>
        <v>1</v>
      </c>
    </row>
    <row r="364" spans="6:8" x14ac:dyDescent="0.25">
      <c r="F364" s="205">
        <f t="shared" si="376"/>
        <v>57</v>
      </c>
      <c r="G364" s="234">
        <f t="shared" ca="1" si="373"/>
        <v>1</v>
      </c>
      <c r="H364" s="231">
        <f t="shared" ca="1" si="374"/>
        <v>1</v>
      </c>
    </row>
    <row r="365" spans="6:8" x14ac:dyDescent="0.25">
      <c r="F365" s="205">
        <f t="shared" si="376"/>
        <v>58</v>
      </c>
      <c r="G365" s="234">
        <f t="shared" ca="1" si="373"/>
        <v>1</v>
      </c>
      <c r="H365" s="231">
        <f t="shared" ca="1" si="374"/>
        <v>1</v>
      </c>
    </row>
    <row r="366" spans="6:8" x14ac:dyDescent="0.25">
      <c r="F366" s="205">
        <f t="shared" si="376"/>
        <v>59</v>
      </c>
      <c r="G366" s="234">
        <f t="shared" ca="1" si="373"/>
        <v>1</v>
      </c>
      <c r="H366" s="231">
        <f t="shared" ca="1" si="374"/>
        <v>1</v>
      </c>
    </row>
    <row r="367" spans="6:8" x14ac:dyDescent="0.25">
      <c r="F367" s="205">
        <f t="shared" si="376"/>
        <v>60</v>
      </c>
      <c r="G367" s="234">
        <f t="shared" ca="1" si="373"/>
        <v>1</v>
      </c>
      <c r="H367" s="231">
        <f t="shared" ca="1" si="374"/>
        <v>1</v>
      </c>
    </row>
    <row r="368" spans="6:8" x14ac:dyDescent="0.25">
      <c r="F368" s="205">
        <f t="shared" si="376"/>
        <v>61</v>
      </c>
      <c r="G368" s="234">
        <f t="shared" ca="1" si="373"/>
        <v>1</v>
      </c>
      <c r="H368" s="231">
        <f t="shared" ca="1" si="374"/>
        <v>1</v>
      </c>
    </row>
    <row r="369" spans="6:8" x14ac:dyDescent="0.25">
      <c r="F369" s="205">
        <f t="shared" si="376"/>
        <v>62</v>
      </c>
      <c r="G369" s="234">
        <f t="shared" ca="1" si="373"/>
        <v>1</v>
      </c>
      <c r="H369" s="231">
        <f t="shared" ca="1" si="374"/>
        <v>1</v>
      </c>
    </row>
    <row r="370" spans="6:8" x14ac:dyDescent="0.25">
      <c r="F370" s="205">
        <f t="shared" si="376"/>
        <v>63</v>
      </c>
      <c r="G370" s="234">
        <f t="shared" ca="1" si="373"/>
        <v>1</v>
      </c>
      <c r="H370" s="231">
        <f t="shared" ca="1" si="374"/>
        <v>1</v>
      </c>
    </row>
    <row r="371" spans="6:8" x14ac:dyDescent="0.25">
      <c r="F371" s="205">
        <f t="shared" si="376"/>
        <v>64</v>
      </c>
      <c r="G371" s="234">
        <f t="shared" ca="1" si="373"/>
        <v>1</v>
      </c>
      <c r="H371" s="231">
        <f t="shared" ca="1" si="374"/>
        <v>1</v>
      </c>
    </row>
    <row r="372" spans="6:8" x14ac:dyDescent="0.25">
      <c r="F372" s="205">
        <f t="shared" si="376"/>
        <v>65</v>
      </c>
      <c r="G372" s="234">
        <f t="shared" ca="1" si="373"/>
        <v>1</v>
      </c>
      <c r="H372" s="231">
        <f t="shared" ca="1" si="374"/>
        <v>1</v>
      </c>
    </row>
    <row r="373" spans="6:8" x14ac:dyDescent="0.25">
      <c r="F373" s="205">
        <f t="shared" si="376"/>
        <v>66</v>
      </c>
      <c r="G373" s="234">
        <f t="shared" ref="G373:G387" ca="1" si="377">INDEX($D$259:$CS$259,1,F373)</f>
        <v>1</v>
      </c>
      <c r="H373" s="231">
        <f t="shared" ref="H373:H387" ca="1" si="378">1/G373</f>
        <v>1</v>
      </c>
    </row>
    <row r="374" spans="6:8" x14ac:dyDescent="0.25">
      <c r="F374" s="205">
        <f t="shared" si="376"/>
        <v>67</v>
      </c>
      <c r="G374" s="234">
        <f t="shared" ca="1" si="377"/>
        <v>1</v>
      </c>
      <c r="H374" s="231">
        <f t="shared" ca="1" si="378"/>
        <v>1</v>
      </c>
    </row>
    <row r="375" spans="6:8" x14ac:dyDescent="0.25">
      <c r="F375" s="205">
        <f t="shared" si="376"/>
        <v>68</v>
      </c>
      <c r="G375" s="234">
        <f t="shared" ca="1" si="377"/>
        <v>1</v>
      </c>
      <c r="H375" s="231">
        <f t="shared" ca="1" si="378"/>
        <v>1</v>
      </c>
    </row>
    <row r="376" spans="6:8" x14ac:dyDescent="0.25">
      <c r="F376" s="205">
        <f t="shared" si="376"/>
        <v>69</v>
      </c>
      <c r="G376" s="234">
        <f t="shared" ca="1" si="377"/>
        <v>1</v>
      </c>
      <c r="H376" s="231">
        <f t="shared" ca="1" si="378"/>
        <v>1</v>
      </c>
    </row>
    <row r="377" spans="6:8" x14ac:dyDescent="0.25">
      <c r="F377" s="205">
        <f>F376+1</f>
        <v>70</v>
      </c>
      <c r="G377" s="234">
        <f t="shared" ca="1" si="377"/>
        <v>1</v>
      </c>
      <c r="H377" s="231">
        <f t="shared" ca="1" si="378"/>
        <v>1</v>
      </c>
    </row>
    <row r="378" spans="6:8" x14ac:dyDescent="0.25">
      <c r="F378" s="205">
        <f t="shared" si="376"/>
        <v>71</v>
      </c>
      <c r="G378" s="234">
        <f t="shared" ca="1" si="377"/>
        <v>1</v>
      </c>
      <c r="H378" s="231">
        <f t="shared" ca="1" si="378"/>
        <v>1</v>
      </c>
    </row>
    <row r="379" spans="6:8" x14ac:dyDescent="0.25">
      <c r="F379" s="205">
        <f t="shared" si="376"/>
        <v>72</v>
      </c>
      <c r="G379" s="234">
        <f t="shared" ca="1" si="377"/>
        <v>1</v>
      </c>
      <c r="H379" s="231">
        <f t="shared" ca="1" si="378"/>
        <v>1</v>
      </c>
    </row>
    <row r="380" spans="6:8" x14ac:dyDescent="0.25">
      <c r="F380" s="205">
        <f t="shared" si="376"/>
        <v>73</v>
      </c>
      <c r="G380" s="234">
        <f t="shared" ca="1" si="377"/>
        <v>1</v>
      </c>
      <c r="H380" s="231">
        <f t="shared" ca="1" si="378"/>
        <v>1</v>
      </c>
    </row>
    <row r="381" spans="6:8" x14ac:dyDescent="0.25">
      <c r="F381" s="205">
        <f t="shared" si="376"/>
        <v>74</v>
      </c>
      <c r="G381" s="234">
        <f t="shared" ca="1" si="377"/>
        <v>1</v>
      </c>
      <c r="H381" s="231">
        <f t="shared" ca="1" si="378"/>
        <v>1</v>
      </c>
    </row>
    <row r="382" spans="6:8" x14ac:dyDescent="0.25">
      <c r="F382" s="205">
        <f t="shared" si="376"/>
        <v>75</v>
      </c>
      <c r="G382" s="234">
        <f t="shared" ca="1" si="377"/>
        <v>1</v>
      </c>
      <c r="H382" s="231">
        <f t="shared" ca="1" si="378"/>
        <v>1</v>
      </c>
    </row>
    <row r="383" spans="6:8" x14ac:dyDescent="0.25">
      <c r="F383" s="205">
        <f t="shared" si="376"/>
        <v>76</v>
      </c>
      <c r="G383" s="234">
        <f t="shared" ca="1" si="377"/>
        <v>1</v>
      </c>
      <c r="H383" s="231">
        <f t="shared" ca="1" si="378"/>
        <v>1</v>
      </c>
    </row>
    <row r="384" spans="6:8" x14ac:dyDescent="0.25">
      <c r="F384" s="205">
        <f t="shared" si="376"/>
        <v>77</v>
      </c>
      <c r="G384" s="234">
        <f t="shared" ca="1" si="377"/>
        <v>1</v>
      </c>
      <c r="H384" s="231">
        <f t="shared" ca="1" si="378"/>
        <v>1</v>
      </c>
    </row>
    <row r="385" spans="6:8" x14ac:dyDescent="0.25">
      <c r="F385" s="205">
        <f t="shared" si="376"/>
        <v>78</v>
      </c>
      <c r="G385" s="234">
        <f t="shared" ca="1" si="377"/>
        <v>1</v>
      </c>
      <c r="H385" s="231">
        <f t="shared" ca="1" si="378"/>
        <v>1</v>
      </c>
    </row>
    <row r="386" spans="6:8" x14ac:dyDescent="0.25">
      <c r="F386" s="205">
        <f t="shared" si="376"/>
        <v>79</v>
      </c>
      <c r="G386" s="234">
        <f t="shared" ca="1" si="377"/>
        <v>1</v>
      </c>
      <c r="H386" s="231">
        <f t="shared" ca="1" si="378"/>
        <v>1</v>
      </c>
    </row>
    <row r="387" spans="6:8" x14ac:dyDescent="0.25">
      <c r="F387" s="206">
        <f>F386+1</f>
        <v>80</v>
      </c>
      <c r="G387" s="235">
        <f t="shared" ca="1" si="377"/>
        <v>1</v>
      </c>
      <c r="H387" s="232">
        <f t="shared" ca="1" si="378"/>
        <v>1</v>
      </c>
    </row>
  </sheetData>
  <mergeCells count="2">
    <mergeCell ref="B8:C8"/>
    <mergeCell ref="B9:C9"/>
  </mergeCells>
  <conditionalFormatting sqref="H206:H229">
    <cfRule type="expression" dxfId="176" priority="34" stopIfTrue="1">
      <formula>$I206="Other"</formula>
    </cfRule>
  </conditionalFormatting>
  <conditionalFormatting sqref="F206:F229">
    <cfRule type="expression" dxfId="175" priority="35" stopIfTrue="1">
      <formula>$I206="CL"</formula>
    </cfRule>
  </conditionalFormatting>
  <conditionalFormatting sqref="J206:J229 G206:G229">
    <cfRule type="expression" dxfId="174" priority="36" stopIfTrue="1">
      <formula>$I206="BF"</formula>
    </cfRule>
  </conditionalFormatting>
  <conditionalFormatting sqref="C263:M273 D234:CV257">
    <cfRule type="expression" dxfId="173" priority="41" stopIfTrue="1">
      <formula>ISNA(C234)</formula>
    </cfRule>
  </conditionalFormatting>
  <conditionalFormatting sqref="D150:CS173">
    <cfRule type="expression" dxfId="172" priority="42" stopIfTrue="1">
      <formula>AND(D150&lt;&gt;"",D150=0)</formula>
    </cfRule>
  </conditionalFormatting>
  <conditionalFormatting sqref="G10:G11">
    <cfRule type="cellIs" dxfId="171" priority="32" operator="equal">
      <formula>"CHECK DATA!"</formula>
    </cfRule>
  </conditionalFormatting>
  <conditionalFormatting sqref="C14:CS37">
    <cfRule type="expression" dxfId="170" priority="525">
      <formula>IF(C42=0,TRUE,FALSE)</formula>
    </cfRule>
  </conditionalFormatting>
  <conditionalFormatting sqref="D96:CS119">
    <cfRule type="expression" dxfId="169" priority="9">
      <formula>IF(D42=0,TRUE,FALSE)</formula>
    </cfRule>
  </conditionalFormatting>
  <conditionalFormatting sqref="D177:CS180 D182:CS184">
    <cfRule type="expression" dxfId="168" priority="2134" stopIfTrue="1">
      <formula>D177=#REF!</formula>
    </cfRule>
    <cfRule type="expression" dxfId="167" priority="2135" stopIfTrue="1">
      <formula>IF(ISERROR(D177),1,FALSE)</formula>
    </cfRule>
  </conditionalFormatting>
  <conditionalFormatting sqref="D181:D184 E181:BJ181 E182:O182">
    <cfRule type="expression" dxfId="166" priority="2138" stopIfTrue="1">
      <formula>D181=#REF!</formula>
    </cfRule>
    <cfRule type="expression" dxfId="165" priority="2139" stopIfTrue="1">
      <formula>IF(ISERROR(D181),1,FALSE)</formula>
    </cfRule>
  </conditionalFormatting>
  <conditionalFormatting sqref="AF183:AF184">
    <cfRule type="expression" dxfId="164" priority="2140" stopIfTrue="1">
      <formula>AF183=#REF!</formula>
    </cfRule>
    <cfRule type="expression" dxfId="163" priority="2141" stopIfTrue="1">
      <formula>IF(ISERROR(AF183),1,FALSE)</formula>
    </cfRule>
  </conditionalFormatting>
  <conditionalFormatting sqref="X183:X184">
    <cfRule type="expression" dxfId="162" priority="2144" stopIfTrue="1">
      <formula>X183=#REF!</formula>
    </cfRule>
    <cfRule type="expression" dxfId="161" priority="2145" stopIfTrue="1">
      <formula>IF(ISERROR(X183),1,FALSE)</formula>
    </cfRule>
  </conditionalFormatting>
  <conditionalFormatting sqref="E182:CR184 BK181:CR181 CS181:CS184">
    <cfRule type="expression" dxfId="160" priority="2150" stopIfTrue="1">
      <formula>E181=#REF!</formula>
    </cfRule>
    <cfRule type="expression" dxfId="159" priority="2151" stopIfTrue="1">
      <formula>IF(ISERROR(E181),1,FALSE)</formula>
    </cfRule>
  </conditionalFormatting>
  <conditionalFormatting sqref="BK181:CS181">
    <cfRule type="expression" dxfId="158" priority="2152" stopIfTrue="1">
      <formula>BK181=#REF!</formula>
    </cfRule>
    <cfRule type="expression" dxfId="157" priority="2153" stopIfTrue="1">
      <formula>IF(ISERROR(BK181),1,FALSE)</formula>
    </cfRule>
  </conditionalFormatting>
  <conditionalFormatting sqref="AC183:AD184">
    <cfRule type="expression" dxfId="156" priority="2154" stopIfTrue="1">
      <formula>AC183=#REF!</formula>
    </cfRule>
    <cfRule type="expression" dxfId="155" priority="2155" stopIfTrue="1">
      <formula>IF(ISERROR(AC183),1,FALSE)</formula>
    </cfRule>
  </conditionalFormatting>
  <conditionalFormatting sqref="AB183:AB184">
    <cfRule type="expression" dxfId="154" priority="2160" stopIfTrue="1">
      <formula>AB183=#REF!</formula>
    </cfRule>
    <cfRule type="expression" dxfId="153" priority="2161" stopIfTrue="1">
      <formula>IF(ISERROR(AB183),1,FALSE)</formula>
    </cfRule>
  </conditionalFormatting>
  <conditionalFormatting sqref="AA183:AA184">
    <cfRule type="expression" dxfId="152" priority="2166" stopIfTrue="1">
      <formula>AA183=#REF!</formula>
    </cfRule>
    <cfRule type="expression" dxfId="151" priority="2167" stopIfTrue="1">
      <formula>IF(ISERROR(AA183),1,FALSE)</formula>
    </cfRule>
  </conditionalFormatting>
  <conditionalFormatting sqref="Z183:Z184">
    <cfRule type="expression" dxfId="150" priority="2172" stopIfTrue="1">
      <formula>Z183=#REF!</formula>
    </cfRule>
    <cfRule type="expression" dxfId="149" priority="2173" stopIfTrue="1">
      <formula>IF(ISERROR(Z183),1,FALSE)</formula>
    </cfRule>
  </conditionalFormatting>
  <conditionalFormatting sqref="Y183:Y184">
    <cfRule type="expression" dxfId="148" priority="2178" stopIfTrue="1">
      <formula>Y183=#REF!</formula>
    </cfRule>
    <cfRule type="expression" dxfId="147" priority="2179" stopIfTrue="1">
      <formula>IF(ISERROR(Y183),1,FALSE)</formula>
    </cfRule>
  </conditionalFormatting>
  <conditionalFormatting sqref="AK183:AK184">
    <cfRule type="expression" dxfId="146" priority="2188" stopIfTrue="1">
      <formula>AK183=#REF!</formula>
    </cfRule>
    <cfRule type="expression" dxfId="145" priority="2189" stopIfTrue="1">
      <formula>IF(ISERROR(AK183),1,FALSE)</formula>
    </cfRule>
  </conditionalFormatting>
  <conditionalFormatting sqref="AI183:CS184 BK181:CS181">
    <cfRule type="expression" dxfId="144" priority="2194" stopIfTrue="1">
      <formula>AI181=#REF!</formula>
    </cfRule>
    <cfRule type="expression" dxfId="143" priority="2195" stopIfTrue="1">
      <formula>IF(ISERROR(AI181),1,FALSE)</formula>
    </cfRule>
  </conditionalFormatting>
  <conditionalFormatting sqref="AH183:AH184">
    <cfRule type="expression" dxfId="142" priority="2200" stopIfTrue="1">
      <formula>AH183=#REF!</formula>
    </cfRule>
    <cfRule type="expression" dxfId="141" priority="2201" stopIfTrue="1">
      <formula>IF(ISERROR(AH183),1,FALSE)</formula>
    </cfRule>
  </conditionalFormatting>
  <conditionalFormatting sqref="AG183:CS184 BK181:CS181">
    <cfRule type="expression" dxfId="140" priority="2204" stopIfTrue="1">
      <formula>AG181=#REF!</formula>
    </cfRule>
    <cfRule type="expression" dxfId="139" priority="2205" stopIfTrue="1">
      <formula>IF(ISERROR(AG181),1,FALSE)</formula>
    </cfRule>
  </conditionalFormatting>
  <conditionalFormatting sqref="BK181:CS181">
    <cfRule type="expression" dxfId="138" priority="2218" stopIfTrue="1">
      <formula>BK181=#REF!</formula>
    </cfRule>
    <cfRule type="expression" dxfId="137" priority="2219" stopIfTrue="1">
      <formula>IF(ISERROR(BK181),1,FALSE)</formula>
    </cfRule>
  </conditionalFormatting>
  <conditionalFormatting sqref="AE183:AE184">
    <cfRule type="expression" dxfId="136" priority="2224" stopIfTrue="1">
      <formula>AE183=#REF!</formula>
    </cfRule>
    <cfRule type="expression" dxfId="135" priority="2225" stopIfTrue="1">
      <formula>IF(ISERROR(AE183),1,FALSE)</formula>
    </cfRule>
  </conditionalFormatting>
  <conditionalFormatting sqref="CU187:CV194">
    <cfRule type="expression" dxfId="134" priority="2235" stopIfTrue="1">
      <formula>AND(ISERROR(#REF!),$A187=CU$197)</formula>
    </cfRule>
    <cfRule type="expression" dxfId="133" priority="2236" stopIfTrue="1">
      <formula>$A187=CU$197</formula>
    </cfRule>
    <cfRule type="expression" dxfId="132" priority="2237" stopIfTrue="1">
      <formula>ISERROR(#REF!)</formula>
    </cfRule>
  </conditionalFormatting>
  <conditionalFormatting sqref="D69:CS92">
    <cfRule type="expression" dxfId="131" priority="7">
      <formula>IF(D96=1,TRUE,FALSE)</formula>
    </cfRule>
  </conditionalFormatting>
  <conditionalFormatting sqref="CU69:CV92">
    <cfRule type="expression" dxfId="130" priority="2259">
      <formula>AND(CU69&lt;&gt;"",#REF!=0)</formula>
    </cfRule>
  </conditionalFormatting>
  <conditionalFormatting sqref="D123:CS146">
    <cfRule type="expression" dxfId="129" priority="8">
      <formula>IF(D42=0,TRUE,FALSE)</formula>
    </cfRule>
  </conditionalFormatting>
  <conditionalFormatting sqref="D69:CS92">
    <cfRule type="expression" dxfId="128" priority="2258">
      <formula>IF(D42=0,TRUE,FALSE)</formula>
    </cfRule>
  </conditionalFormatting>
  <conditionalFormatting sqref="D187:CS194">
    <cfRule type="expression" dxfId="127" priority="2266" stopIfTrue="1">
      <formula>AND(ISERROR(D177),$A187=D$197)</formula>
    </cfRule>
    <cfRule type="expression" dxfId="126" priority="2267" stopIfTrue="1">
      <formula>$A187=D$197</formula>
    </cfRule>
    <cfRule type="expression" dxfId="125" priority="2268" stopIfTrue="1">
      <formula>ISERROR(D177)</formula>
    </cfRule>
  </conditionalFormatting>
  <conditionalFormatting sqref="CS187:CS194">
    <cfRule type="expression" dxfId="124" priority="2269" stopIfTrue="1">
      <formula>AND(ISERROR(CR177),$A187=CS$197)</formula>
    </cfRule>
    <cfRule type="expression" dxfId="123" priority="2270" stopIfTrue="1">
      <formula>$A187=CS$197</formula>
    </cfRule>
    <cfRule type="expression" dxfId="122" priority="2271" stopIfTrue="1">
      <formula>ISERROR(CR177)</formula>
    </cfRule>
  </conditionalFormatting>
  <conditionalFormatting sqref="D234:CS257">
    <cfRule type="expression" dxfId="121" priority="6">
      <formula>IF(C42=0,TRUE,FALSE)</formula>
    </cfRule>
  </conditionalFormatting>
  <conditionalFormatting sqref="D5">
    <cfRule type="expression" dxfId="120" priority="2272">
      <formula>IF($X$5="Bespoke",TRUE,FALSE)</formula>
    </cfRule>
  </conditionalFormatting>
  <conditionalFormatting sqref="CV14:CV37">
    <cfRule type="expression" dxfId="119" priority="2">
      <formula>IF(CV14&gt;0,TRUE,FALSE)</formula>
    </cfRule>
  </conditionalFormatting>
  <conditionalFormatting sqref="CV14:CV37">
    <cfRule type="expression" dxfId="118" priority="1">
      <formula>IF(CV14&lt;0,TRUE,FALSE)</formula>
    </cfRule>
  </conditionalFormatting>
  <dataValidations disablePrompts="1" count="4">
    <dataValidation type="list" allowBlank="1" showInputMessage="1" showErrorMessage="1" sqref="I206:I229" xr:uid="{220A4B76-0FA3-4A76-99EA-1985F9E8E461}">
      <formula1>"CL,BF,Other"</formula1>
    </dataValidation>
    <dataValidation type="list" allowBlank="1" showInputMessage="1" showErrorMessage="1" sqref="D197:CV197" xr:uid="{DB90791C-6B38-4DBD-AB30-329625D91118}">
      <formula1>"1,2,3,4,5,6,7,8,9"</formula1>
    </dataValidation>
    <dataValidation type="list" allowBlank="1" showInputMessage="1" showErrorMessage="1" sqref="D4" xr:uid="{BE92B52B-237F-43E7-AD25-2528AA74522E}">
      <formula1>List_DevPeriod</formula1>
    </dataValidation>
    <dataValidation type="list" allowBlank="1" showInputMessage="1" showErrorMessage="1" sqref="D6" xr:uid="{1C6F75C3-32CA-4C82-85DB-29F1608E7591}">
      <formula1>List_Period</formula1>
    </dataValidation>
  </dataValidations>
  <hyperlinks>
    <hyperlink ref="CW38" r:id="rId1" xr:uid="{F9922BAA-6C88-415E-A372-C28A7C2ABFBA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24981-AC7E-4DC5-8F26-FB1E064E0898}">
  <sheetPr codeName="Sheet4"/>
  <dimension ref="A1:CY387"/>
  <sheetViews>
    <sheetView showGridLines="0" topLeftCell="A300" zoomScale="70" zoomScaleNormal="70" workbookViewId="0">
      <selection activeCell="G308" sqref="G308:G327"/>
    </sheetView>
  </sheetViews>
  <sheetFormatPr defaultColWidth="9.140625" defaultRowHeight="15" x14ac:dyDescent="0.25"/>
  <cols>
    <col min="1" max="1" width="6.28515625" style="97" customWidth="1"/>
    <col min="2" max="2" width="12.140625" style="11" customWidth="1"/>
    <col min="3" max="97" width="12.28515625" style="11" customWidth="1"/>
    <col min="98" max="101" width="15.5703125" style="11" customWidth="1"/>
    <col min="102" max="102" width="7.85546875" style="11" customWidth="1"/>
    <col min="103" max="103" width="10.28515625" style="11" customWidth="1"/>
    <col min="104" max="16384" width="9.140625" style="11"/>
  </cols>
  <sheetData>
    <row r="1" spans="1:102" ht="23.25" x14ac:dyDescent="0.35">
      <c r="A1" s="180" t="s">
        <v>78</v>
      </c>
    </row>
    <row r="2" spans="1:102" ht="15" customHeight="1" x14ac:dyDescent="0.25">
      <c r="A2" s="92"/>
      <c r="B2" s="194" t="s">
        <v>58</v>
      </c>
      <c r="C2" s="5"/>
      <c r="D2" s="5"/>
      <c r="E2" s="5"/>
      <c r="M2" s="176" t="s">
        <v>52</v>
      </c>
      <c r="N2"/>
    </row>
    <row r="3" spans="1:102" ht="15" customHeight="1" x14ac:dyDescent="0.25">
      <c r="A3" s="93"/>
      <c r="B3" s="5"/>
      <c r="C3" s="5"/>
      <c r="D3" s="5"/>
      <c r="E3" s="5"/>
      <c r="F3" s="13"/>
      <c r="G3" s="15"/>
      <c r="H3" s="13"/>
      <c r="I3" s="13"/>
      <c r="J3" s="13"/>
      <c r="K3" s="13"/>
      <c r="L3" s="13"/>
      <c r="M3" t="s">
        <v>47</v>
      </c>
      <c r="N3" s="177">
        <f>(D9-D8)*InputTrianglesCount!$E$4+D6</f>
        <v>10</v>
      </c>
      <c r="S3" s="13"/>
      <c r="V3" s="13"/>
      <c r="W3" s="192"/>
      <c r="X3" s="8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</row>
    <row r="4" spans="1:102" ht="15" customHeight="1" x14ac:dyDescent="0.25">
      <c r="A4" s="93"/>
      <c r="B4" s="5"/>
      <c r="C4" s="228" t="s">
        <v>38</v>
      </c>
      <c r="D4" s="195" t="s">
        <v>34</v>
      </c>
      <c r="E4" s="196">
        <f>INDEX(Mappings!$E$4:$E$7,MATCH(D4,List_DevPeriod,0))</f>
        <v>1</v>
      </c>
      <c r="F4" s="13"/>
      <c r="G4" s="13"/>
      <c r="H4" s="13"/>
      <c r="I4" s="13"/>
      <c r="J4" s="13"/>
      <c r="K4" s="13"/>
      <c r="L4" s="13"/>
      <c r="M4" t="s">
        <v>49</v>
      </c>
      <c r="N4" t="str">
        <f>IF(AND(D4&lt;&gt;"",D6&lt;&gt;"",D8&lt;&gt;"",D9&lt;&gt;""), "Format","Wait for Inputs")</f>
        <v>Format</v>
      </c>
      <c r="S4" s="13"/>
      <c r="T4" s="13"/>
      <c r="U4" s="13"/>
      <c r="V4" s="13"/>
      <c r="W4" s="193"/>
      <c r="X4" s="8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</row>
    <row r="5" spans="1:102" ht="15" customHeight="1" x14ac:dyDescent="0.25">
      <c r="A5" s="93"/>
      <c r="B5" s="5"/>
      <c r="C5" s="179" t="s">
        <v>39</v>
      </c>
      <c r="D5" s="5"/>
      <c r="E5" s="5"/>
      <c r="F5" s="13"/>
      <c r="G5" s="13"/>
      <c r="H5" s="13"/>
      <c r="I5" s="13"/>
      <c r="J5" s="13"/>
      <c r="K5" s="13"/>
      <c r="L5" s="13"/>
      <c r="S5" s="13"/>
      <c r="T5" s="13"/>
      <c r="U5" s="13"/>
      <c r="V5" s="9"/>
      <c r="W5" s="101"/>
      <c r="X5" s="8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CS5" s="18"/>
      <c r="CT5" s="18"/>
      <c r="CU5" s="18"/>
      <c r="CV5" s="18"/>
    </row>
    <row r="6" spans="1:102" ht="15" customHeight="1" x14ac:dyDescent="0.25">
      <c r="A6" s="93"/>
      <c r="B6" s="5"/>
      <c r="C6" s="228" t="s">
        <v>40</v>
      </c>
      <c r="D6" s="195">
        <v>1</v>
      </c>
      <c r="E6" s="5"/>
      <c r="F6" s="13"/>
      <c r="G6" s="13"/>
      <c r="H6" s="13"/>
      <c r="I6" s="13"/>
      <c r="J6" s="13"/>
      <c r="K6" s="13"/>
      <c r="L6" s="13"/>
      <c r="S6" s="13"/>
      <c r="T6" s="13"/>
      <c r="U6" s="13"/>
      <c r="V6" s="9"/>
      <c r="W6" s="33"/>
      <c r="X6" s="3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CS6" s="18"/>
      <c r="CT6" s="18"/>
      <c r="CU6" s="18"/>
      <c r="CV6" s="18"/>
    </row>
    <row r="7" spans="1:102" ht="15" customHeight="1" x14ac:dyDescent="0.25">
      <c r="A7" s="93"/>
      <c r="B7" s="5"/>
      <c r="C7" s="228"/>
      <c r="D7" s="5"/>
      <c r="E7" s="5"/>
      <c r="F7" s="13"/>
      <c r="G7" s="13"/>
      <c r="H7" s="19" t="s">
        <v>62</v>
      </c>
      <c r="I7" s="13"/>
      <c r="J7" s="13"/>
      <c r="K7" s="13"/>
      <c r="L7" s="13"/>
      <c r="S7" s="13"/>
      <c r="T7" s="13"/>
      <c r="U7" s="13"/>
      <c r="V7" s="9"/>
      <c r="W7" s="33"/>
      <c r="X7" s="3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CS7" s="18"/>
      <c r="CT7" s="18"/>
      <c r="CU7" s="18"/>
      <c r="CV7" s="18"/>
    </row>
    <row r="8" spans="1:102" ht="15" customHeight="1" x14ac:dyDescent="0.25">
      <c r="A8" s="93"/>
      <c r="B8" s="236" t="s">
        <v>48</v>
      </c>
      <c r="C8" s="236"/>
      <c r="D8" s="197">
        <v>2010</v>
      </c>
      <c r="E8" s="5"/>
      <c r="F8" s="13"/>
      <c r="G8" s="13"/>
      <c r="H8" s="13"/>
      <c r="I8" s="13"/>
      <c r="J8" s="13"/>
      <c r="K8" s="13"/>
      <c r="L8" s="13"/>
      <c r="S8" s="13"/>
      <c r="T8" s="13"/>
      <c r="U8" s="13"/>
      <c r="V8" s="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CS8" s="18"/>
      <c r="CT8" s="18"/>
      <c r="CU8" s="18"/>
      <c r="CV8" s="18"/>
    </row>
    <row r="9" spans="1:102" ht="15" customHeight="1" x14ac:dyDescent="0.25">
      <c r="A9" s="93"/>
      <c r="B9" s="236" t="s">
        <v>41</v>
      </c>
      <c r="C9" s="236"/>
      <c r="D9" s="197">
        <v>2019</v>
      </c>
      <c r="E9" s="5"/>
      <c r="F9" s="13"/>
      <c r="G9" s="13"/>
      <c r="H9" s="13"/>
      <c r="I9" s="13"/>
      <c r="J9" s="13"/>
      <c r="K9" s="13"/>
      <c r="L9" s="13"/>
      <c r="S9" s="13"/>
      <c r="T9" s="13"/>
      <c r="U9" s="13"/>
      <c r="V9" s="9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CS9" s="18"/>
      <c r="CT9" s="18"/>
      <c r="CU9" s="18"/>
      <c r="CV9" s="18"/>
    </row>
    <row r="10" spans="1:102" ht="15" customHeight="1" x14ac:dyDescent="0.25">
      <c r="A10" s="93"/>
      <c r="B10" s="5"/>
      <c r="C10" s="5"/>
      <c r="D10" s="5"/>
      <c r="E10" s="5"/>
      <c r="G10" s="17"/>
      <c r="H10" s="1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9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CS10" s="18"/>
      <c r="CT10" s="18"/>
      <c r="CU10" s="18"/>
      <c r="CV10" s="18"/>
    </row>
    <row r="11" spans="1:102" ht="18.75" x14ac:dyDescent="0.3">
      <c r="A11" s="73"/>
      <c r="B11" s="181" t="s">
        <v>0</v>
      </c>
      <c r="C11" s="72"/>
      <c r="D11" s="73"/>
      <c r="E11" s="74"/>
      <c r="F11" s="72"/>
      <c r="G11" s="75"/>
      <c r="H11" s="76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7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8"/>
      <c r="CT11" s="78"/>
      <c r="CU11" s="78"/>
      <c r="CV11" s="78"/>
      <c r="CW11" s="72"/>
    </row>
    <row r="12" spans="1:102" ht="12.75" customHeight="1" x14ac:dyDescent="0.25">
      <c r="A12" s="94"/>
      <c r="C12" s="99">
        <f>IF(InputTrianglesCount!C13&lt;=InputTrianglesCount!$N$3,1,0)</f>
        <v>1</v>
      </c>
      <c r="D12" s="99">
        <f>IF(InputTrianglesCount!D13&lt;=InputTrianglesCount!$N$3,1,0)</f>
        <v>1</v>
      </c>
      <c r="E12" s="99">
        <f>IF(InputTrianglesCount!E13&lt;=InputTrianglesCount!$N$3,1,0)</f>
        <v>1</v>
      </c>
      <c r="F12" s="99">
        <f>IF(InputTrianglesCount!F13&lt;=InputTrianglesCount!$N$3,1,0)</f>
        <v>1</v>
      </c>
      <c r="G12" s="99">
        <f>IF(InputTrianglesCount!G13&lt;=InputTrianglesCount!$N$3,1,0)</f>
        <v>1</v>
      </c>
      <c r="H12" s="99">
        <f>IF(InputTrianglesCount!H13&lt;=InputTrianglesCount!$N$3,1,0)</f>
        <v>1</v>
      </c>
      <c r="I12" s="99">
        <f>IF(InputTrianglesCount!I13&lt;=InputTrianglesCount!$N$3,1,0)</f>
        <v>1</v>
      </c>
      <c r="J12" s="99">
        <f>IF(InputTrianglesCount!J13&lt;=InputTrianglesCount!$N$3,1,0)</f>
        <v>1</v>
      </c>
      <c r="K12" s="99">
        <f>IF(InputTrianglesCount!K13&lt;=InputTrianglesCount!$N$3,1,0)</f>
        <v>1</v>
      </c>
      <c r="L12" s="99">
        <f>IF(InputTrianglesCount!L13&lt;=InputTrianglesCount!$N$3,1,0)</f>
        <v>1</v>
      </c>
      <c r="M12" s="99">
        <f>IF(InputTrianglesCount!M13&lt;=InputTrianglesCount!$N$3,1,0)</f>
        <v>0</v>
      </c>
      <c r="N12" s="99">
        <f>IF(InputTrianglesCount!N13&lt;=InputTrianglesCount!$N$3,1,0)</f>
        <v>0</v>
      </c>
      <c r="O12" s="99">
        <f>IF(InputTrianglesCount!O13&lt;=InputTrianglesCount!$N$3,1,0)</f>
        <v>0</v>
      </c>
      <c r="P12" s="99">
        <f>IF(InputTrianglesCount!P13&lt;=InputTrianglesCount!$N$3,1,0)</f>
        <v>0</v>
      </c>
      <c r="Q12" s="99">
        <f>IF(InputTrianglesCount!Q13&lt;=InputTrianglesCount!$N$3,1,0)</f>
        <v>0</v>
      </c>
      <c r="R12" s="99">
        <f>IF(InputTrianglesCount!R13&lt;=InputTrianglesCount!$N$3,1,0)</f>
        <v>0</v>
      </c>
      <c r="S12" s="99">
        <f>IF(InputTrianglesCount!S13&lt;=InputTrianglesCount!$N$3,1,0)</f>
        <v>0</v>
      </c>
      <c r="T12" s="99">
        <f>IF(InputTrianglesCount!T13&lt;=InputTrianglesCount!$N$3,1,0)</f>
        <v>0</v>
      </c>
      <c r="U12" s="99">
        <f>IF(InputTrianglesCount!U13&lt;=InputTrianglesCount!$N$3,1,0)</f>
        <v>0</v>
      </c>
      <c r="V12" s="99">
        <f>IF(InputTrianglesCount!V13&lt;=InputTrianglesCount!$N$3,1,0)</f>
        <v>0</v>
      </c>
      <c r="W12" s="99">
        <f>IF(InputTrianglesCount!W13&lt;=InputTrianglesCount!$N$3,1,0)</f>
        <v>0</v>
      </c>
      <c r="X12" s="99">
        <f>IF(InputTrianglesCount!X13&lt;=InputTrianglesCount!$N$3,1,0)</f>
        <v>0</v>
      </c>
      <c r="Y12" s="99">
        <f>IF(InputTrianglesCount!Y13&lt;=InputTrianglesCount!$N$3,1,0)</f>
        <v>0</v>
      </c>
      <c r="Z12" s="99">
        <f>IF(InputTrianglesCount!Z13&lt;=InputTrianglesCount!$N$3,1,0)</f>
        <v>0</v>
      </c>
      <c r="AA12" s="99">
        <f>IF(InputTrianglesCount!AA13&lt;=InputTrianglesCount!$N$3,1,0)</f>
        <v>0</v>
      </c>
      <c r="AB12" s="99">
        <f>IF(InputTrianglesCount!AB13&lt;=InputTrianglesCount!$N$3,1,0)</f>
        <v>0</v>
      </c>
      <c r="AC12" s="99">
        <f>IF(InputTrianglesCount!AC13&lt;=InputTrianglesCount!$N$3,1,0)</f>
        <v>0</v>
      </c>
      <c r="AD12" s="99">
        <f>IF(InputTrianglesCount!AD13&lt;=InputTrianglesCount!$N$3,1,0)</f>
        <v>0</v>
      </c>
      <c r="AE12" s="99">
        <f>IF(InputTrianglesCount!AE13&lt;=InputTrianglesCount!$N$3,1,0)</f>
        <v>0</v>
      </c>
      <c r="AF12" s="99">
        <f>IF(InputTrianglesCount!AF13&lt;=InputTrianglesCount!$N$3,1,0)</f>
        <v>0</v>
      </c>
      <c r="AG12" s="99">
        <f>IF(InputTrianglesCount!AG13&lt;=InputTrianglesCount!$N$3,1,0)</f>
        <v>0</v>
      </c>
      <c r="AH12" s="99">
        <f>IF(InputTrianglesCount!AH13&lt;=InputTrianglesCount!$N$3,1,0)</f>
        <v>0</v>
      </c>
      <c r="AI12" s="99">
        <f>IF(InputTrianglesCount!AI13&lt;=InputTrianglesCount!$N$3,1,0)</f>
        <v>0</v>
      </c>
      <c r="AJ12" s="99">
        <f>IF(InputTrianglesCount!AJ13&lt;=InputTrianglesCount!$N$3,1,0)</f>
        <v>0</v>
      </c>
      <c r="AK12" s="99">
        <f>IF(InputTrianglesCount!AK13&lt;=InputTrianglesCount!$N$3,1,0)</f>
        <v>0</v>
      </c>
      <c r="AL12" s="99">
        <f>IF(InputTrianglesCount!AL13&lt;=InputTrianglesCount!$N$3,1,0)</f>
        <v>0</v>
      </c>
      <c r="AM12" s="99">
        <f>IF(InputTrianglesCount!AM13&lt;=InputTrianglesCount!$N$3,1,0)</f>
        <v>0</v>
      </c>
      <c r="AN12" s="99">
        <f>IF(InputTrianglesCount!AN13&lt;=InputTrianglesCount!$N$3,1,0)</f>
        <v>0</v>
      </c>
      <c r="AO12" s="99">
        <f>IF(InputTrianglesCount!AO13&lt;=InputTrianglesCount!$N$3,1,0)</f>
        <v>0</v>
      </c>
      <c r="AP12" s="13">
        <f>IF(InputTrianglesCount!AP13&lt;=InputTrianglesCount!$N$3,1,0)</f>
        <v>0</v>
      </c>
      <c r="AQ12" s="13">
        <f>IF(InputTrianglesCount!AQ13&lt;=InputTrianglesCount!$N$3,1,0)</f>
        <v>0</v>
      </c>
      <c r="AR12" s="13">
        <f>IF(InputTrianglesCount!AR13&lt;=InputTrianglesCount!$N$3,1,0)</f>
        <v>0</v>
      </c>
      <c r="AS12" s="13">
        <f>IF(InputTrianglesCount!AS13&lt;=InputTrianglesCount!$N$3,1,0)</f>
        <v>0</v>
      </c>
      <c r="AT12" s="13">
        <f>IF(InputTrianglesCount!AT13&lt;=InputTrianglesCount!$N$3,1,0)</f>
        <v>0</v>
      </c>
      <c r="AU12" s="13">
        <f>IF(InputTrianglesCount!AU13&lt;=InputTrianglesCount!$N$3,1,0)</f>
        <v>0</v>
      </c>
      <c r="AV12" s="13">
        <f>IF(InputTrianglesCount!AV13&lt;=InputTrianglesCount!$N$3,1,0)</f>
        <v>0</v>
      </c>
      <c r="AW12" s="13">
        <f>IF(InputTrianglesCount!AW13&lt;=InputTrianglesCount!$N$3,1,0)</f>
        <v>0</v>
      </c>
      <c r="AX12" s="13">
        <f>IF(InputTrianglesCount!AX13&lt;=InputTrianglesCount!$N$3,1,0)</f>
        <v>0</v>
      </c>
      <c r="AY12" s="13">
        <f>IF(InputTrianglesCount!AY13&lt;=InputTrianglesCount!$N$3,1,0)</f>
        <v>0</v>
      </c>
      <c r="AZ12" s="13">
        <f>IF(InputTrianglesCount!AZ13&lt;=InputTrianglesCount!$N$3,1,0)</f>
        <v>0</v>
      </c>
      <c r="BA12" s="13">
        <f>IF(InputTrianglesCount!BA13&lt;=InputTrianglesCount!$N$3,1,0)</f>
        <v>0</v>
      </c>
      <c r="BB12" s="13">
        <f>IF(InputTrianglesCount!BB13&lt;=InputTrianglesCount!$N$3,1,0)</f>
        <v>0</v>
      </c>
      <c r="BC12" s="13">
        <f>IF(InputTrianglesCount!BC13&lt;=InputTrianglesCount!$N$3,1,0)</f>
        <v>0</v>
      </c>
      <c r="BD12" s="13">
        <f>IF(InputTrianglesCount!BD13&lt;=InputTrianglesCount!$N$3,1,0)</f>
        <v>0</v>
      </c>
      <c r="BE12" s="13">
        <f>IF(InputTrianglesCount!BE13&lt;=InputTrianglesCount!$N$3,1,0)</f>
        <v>0</v>
      </c>
      <c r="BF12" s="13">
        <f>IF(InputTrianglesCount!BF13&lt;=InputTrianglesCount!$N$3,1,0)</f>
        <v>0</v>
      </c>
      <c r="BG12" s="13">
        <f>IF(InputTrianglesCount!BG13&lt;=InputTrianglesCount!$N$3,1,0)</f>
        <v>0</v>
      </c>
      <c r="BH12" s="13">
        <f>IF(InputTrianglesCount!BH13&lt;=InputTrianglesCount!$N$3,1,0)</f>
        <v>0</v>
      </c>
      <c r="BI12" s="13">
        <f>IF(InputTrianglesCount!BI13&lt;=InputTrianglesCount!$N$3,1,0)</f>
        <v>0</v>
      </c>
      <c r="BJ12" s="13">
        <f>IF(InputTrianglesCount!BJ13&lt;=InputTrianglesCount!$N$3,1,0)</f>
        <v>0</v>
      </c>
      <c r="BK12" s="13">
        <f>IF(InputTrianglesCount!BK13&lt;=InputTrianglesCount!$N$3,1,0)</f>
        <v>0</v>
      </c>
      <c r="BL12" s="13">
        <f>IF(InputTrianglesCount!BL13&lt;=InputTrianglesCount!$N$3,1,0)</f>
        <v>0</v>
      </c>
      <c r="BM12" s="13">
        <f>IF(InputTrianglesCount!BM13&lt;=InputTrianglesCount!$N$3,1,0)</f>
        <v>0</v>
      </c>
      <c r="BN12" s="13">
        <f>IF(InputTrianglesCount!BN13&lt;=InputTrianglesCount!$N$3,1,0)</f>
        <v>0</v>
      </c>
      <c r="BO12" s="13">
        <f>IF(InputTrianglesCount!BO13&lt;=InputTrianglesCount!$N$3,1,0)</f>
        <v>0</v>
      </c>
      <c r="BP12" s="13">
        <f>IF(InputTrianglesCount!BP13&lt;=InputTrianglesCount!$N$3,1,0)</f>
        <v>0</v>
      </c>
      <c r="BQ12" s="13">
        <f>IF(InputTrianglesCount!BQ13&lt;=InputTrianglesCount!$N$3,1,0)</f>
        <v>0</v>
      </c>
      <c r="BR12" s="13">
        <f>IF(InputTrianglesCount!BR13&lt;=InputTrianglesCount!$N$3,1,0)</f>
        <v>0</v>
      </c>
      <c r="BS12" s="13">
        <f>IF(InputTrianglesCount!BS13&lt;=InputTrianglesCount!$N$3,1,0)</f>
        <v>0</v>
      </c>
      <c r="BT12" s="13">
        <f>IF(InputTrianglesCount!BT13&lt;=InputTrianglesCount!$N$3,1,0)</f>
        <v>0</v>
      </c>
      <c r="BU12" s="13">
        <f>IF(InputTrianglesCount!BU13&lt;=InputTrianglesCount!$N$3,1,0)</f>
        <v>0</v>
      </c>
      <c r="BV12" s="13">
        <f>IF(InputTrianglesCount!BV13&lt;=InputTrianglesCount!$N$3,1,0)</f>
        <v>0</v>
      </c>
      <c r="BW12" s="13">
        <f>IF(InputTrianglesCount!BW13&lt;=InputTrianglesCount!$N$3,1,0)</f>
        <v>0</v>
      </c>
      <c r="BX12" s="13">
        <f>IF(InputTrianglesCount!BX13&lt;=InputTrianglesCount!$N$3,1,0)</f>
        <v>0</v>
      </c>
      <c r="BY12" s="13">
        <f>IF(InputTrianglesCount!BY13&lt;=InputTrianglesCount!$N$3,1,0)</f>
        <v>0</v>
      </c>
      <c r="BZ12" s="13">
        <f>IF(InputTrianglesCount!BZ13&lt;=InputTrianglesCount!$N$3,1,0)</f>
        <v>0</v>
      </c>
      <c r="CA12" s="13">
        <f>IF(InputTrianglesCount!CA13&lt;=InputTrianglesCount!$N$3,1,0)</f>
        <v>0</v>
      </c>
      <c r="CB12" s="13">
        <f>IF(InputTrianglesCount!CB13&lt;=InputTrianglesCount!$N$3,1,0)</f>
        <v>0</v>
      </c>
      <c r="CC12" s="13">
        <f>IF(InputTrianglesCount!CC13&lt;=InputTrianglesCount!$N$3,1,0)</f>
        <v>0</v>
      </c>
      <c r="CD12" s="13">
        <f>IF(InputTrianglesCount!CD13&lt;=InputTrianglesCount!$N$3,1,0)</f>
        <v>0</v>
      </c>
      <c r="CE12" s="13">
        <f>IF(InputTrianglesCount!CE13&lt;=InputTrianglesCount!$N$3,1,0)</f>
        <v>0</v>
      </c>
      <c r="CF12" s="13">
        <f>IF(InputTrianglesCount!CF13&lt;=InputTrianglesCount!$N$3,1,0)</f>
        <v>0</v>
      </c>
      <c r="CG12" s="13">
        <f>IF(InputTrianglesCount!CG13&lt;=InputTrianglesCount!$N$3,1,0)</f>
        <v>0</v>
      </c>
      <c r="CH12" s="13">
        <f>IF(InputTrianglesCount!CH13&lt;=InputTrianglesCount!$N$3,1,0)</f>
        <v>0</v>
      </c>
      <c r="CI12" s="13">
        <f>IF(InputTrianglesCount!CI13&lt;=InputTrianglesCount!$N$3,1,0)</f>
        <v>0</v>
      </c>
      <c r="CJ12" s="13">
        <f>IF(InputTrianglesCount!CJ13&lt;=InputTrianglesCount!$N$3,1,0)</f>
        <v>0</v>
      </c>
      <c r="CK12" s="13">
        <f>IF(InputTrianglesCount!CK13&lt;=InputTrianglesCount!$N$3,1,0)</f>
        <v>0</v>
      </c>
      <c r="CL12" s="13">
        <f>IF(InputTrianglesCount!CL13&lt;=InputTrianglesCount!$N$3,1,0)</f>
        <v>0</v>
      </c>
      <c r="CM12" s="13">
        <f>IF(InputTrianglesCount!CM13&lt;=InputTrianglesCount!$N$3,1,0)</f>
        <v>0</v>
      </c>
      <c r="CN12" s="13">
        <f>IF(InputTrianglesCount!CN13&lt;=InputTrianglesCount!$N$3,1,0)</f>
        <v>0</v>
      </c>
      <c r="CO12" s="13">
        <f>IF(InputTrianglesCount!CO13&lt;=InputTrianglesCount!$N$3,1,0)</f>
        <v>0</v>
      </c>
      <c r="CP12" s="13">
        <f>IF(InputTrianglesCount!CP13&lt;=InputTrianglesCount!$N$3,1,0)</f>
        <v>0</v>
      </c>
      <c r="CQ12" s="13">
        <f>IF(InputTrianglesCount!CQ13&lt;=InputTrianglesCount!$N$3,1,0)</f>
        <v>0</v>
      </c>
      <c r="CR12" s="13">
        <f>IF(InputTrianglesCount!CR13&lt;=InputTrianglesCount!$N$3,1,0)</f>
        <v>0</v>
      </c>
      <c r="CS12" s="13">
        <f>IF(InputTrianglesCount!CS13&lt;=InputTrianglesCount!$N$3,1,0)</f>
        <v>0</v>
      </c>
      <c r="CU12" s="20">
        <v>1</v>
      </c>
      <c r="CV12" s="12"/>
    </row>
    <row r="13" spans="1:102" ht="45" x14ac:dyDescent="0.25">
      <c r="A13" s="95"/>
      <c r="B13" s="21" t="s">
        <v>42</v>
      </c>
      <c r="C13" s="22">
        <v>1</v>
      </c>
      <c r="D13" s="23">
        <f t="shared" ref="D13:AN13" si="0">C13+1</f>
        <v>2</v>
      </c>
      <c r="E13" s="23">
        <f t="shared" si="0"/>
        <v>3</v>
      </c>
      <c r="F13" s="23">
        <f t="shared" si="0"/>
        <v>4</v>
      </c>
      <c r="G13" s="23">
        <f t="shared" si="0"/>
        <v>5</v>
      </c>
      <c r="H13" s="23">
        <f t="shared" si="0"/>
        <v>6</v>
      </c>
      <c r="I13" s="23">
        <f t="shared" si="0"/>
        <v>7</v>
      </c>
      <c r="J13" s="23">
        <f t="shared" si="0"/>
        <v>8</v>
      </c>
      <c r="K13" s="23">
        <f t="shared" si="0"/>
        <v>9</v>
      </c>
      <c r="L13" s="23">
        <f t="shared" si="0"/>
        <v>10</v>
      </c>
      <c r="M13" s="23">
        <f t="shared" si="0"/>
        <v>11</v>
      </c>
      <c r="N13" s="23">
        <f t="shared" si="0"/>
        <v>12</v>
      </c>
      <c r="O13" s="23">
        <f t="shared" si="0"/>
        <v>13</v>
      </c>
      <c r="P13" s="23">
        <f t="shared" si="0"/>
        <v>14</v>
      </c>
      <c r="Q13" s="23">
        <f t="shared" si="0"/>
        <v>15</v>
      </c>
      <c r="R13" s="23">
        <f t="shared" si="0"/>
        <v>16</v>
      </c>
      <c r="S13" s="23">
        <f t="shared" si="0"/>
        <v>17</v>
      </c>
      <c r="T13" s="23">
        <f t="shared" si="0"/>
        <v>18</v>
      </c>
      <c r="U13" s="23">
        <f t="shared" si="0"/>
        <v>19</v>
      </c>
      <c r="V13" s="23">
        <f t="shared" si="0"/>
        <v>20</v>
      </c>
      <c r="W13" s="23">
        <f t="shared" si="0"/>
        <v>21</v>
      </c>
      <c r="X13" s="23">
        <f t="shared" si="0"/>
        <v>22</v>
      </c>
      <c r="Y13" s="23">
        <f t="shared" si="0"/>
        <v>23</v>
      </c>
      <c r="Z13" s="23">
        <f t="shared" si="0"/>
        <v>24</v>
      </c>
      <c r="AA13" s="23">
        <f t="shared" si="0"/>
        <v>25</v>
      </c>
      <c r="AB13" s="23">
        <f t="shared" si="0"/>
        <v>26</v>
      </c>
      <c r="AC13" s="23">
        <f t="shared" si="0"/>
        <v>27</v>
      </c>
      <c r="AD13" s="23">
        <f t="shared" si="0"/>
        <v>28</v>
      </c>
      <c r="AE13" s="23">
        <f t="shared" si="0"/>
        <v>29</v>
      </c>
      <c r="AF13" s="23">
        <f t="shared" si="0"/>
        <v>30</v>
      </c>
      <c r="AG13" s="23">
        <f t="shared" si="0"/>
        <v>31</v>
      </c>
      <c r="AH13" s="23">
        <f t="shared" si="0"/>
        <v>32</v>
      </c>
      <c r="AI13" s="23">
        <f t="shared" si="0"/>
        <v>33</v>
      </c>
      <c r="AJ13" s="23">
        <f t="shared" si="0"/>
        <v>34</v>
      </c>
      <c r="AK13" s="23">
        <f t="shared" si="0"/>
        <v>35</v>
      </c>
      <c r="AL13" s="23">
        <f t="shared" si="0"/>
        <v>36</v>
      </c>
      <c r="AM13" s="23">
        <f t="shared" si="0"/>
        <v>37</v>
      </c>
      <c r="AN13" s="23">
        <f t="shared" si="0"/>
        <v>38</v>
      </c>
      <c r="AO13" s="23">
        <v>39</v>
      </c>
      <c r="AP13" s="23">
        <v>40</v>
      </c>
      <c r="AQ13" s="23">
        <v>41</v>
      </c>
      <c r="AR13" s="23">
        <v>42</v>
      </c>
      <c r="AS13" s="23">
        <v>43</v>
      </c>
      <c r="AT13" s="23">
        <v>44</v>
      </c>
      <c r="AU13" s="23">
        <v>45</v>
      </c>
      <c r="AV13" s="23">
        <v>46</v>
      </c>
      <c r="AW13" s="23">
        <v>47</v>
      </c>
      <c r="AX13" s="23">
        <v>48</v>
      </c>
      <c r="AY13" s="23">
        <v>49</v>
      </c>
      <c r="AZ13" s="23">
        <v>50</v>
      </c>
      <c r="BA13" s="23">
        <v>51</v>
      </c>
      <c r="BB13" s="23">
        <v>52</v>
      </c>
      <c r="BC13" s="23">
        <v>53</v>
      </c>
      <c r="BD13" s="23">
        <v>54</v>
      </c>
      <c r="BE13" s="23">
        <v>55</v>
      </c>
      <c r="BF13" s="23">
        <v>56</v>
      </c>
      <c r="BG13" s="23">
        <v>57</v>
      </c>
      <c r="BH13" s="23">
        <v>58</v>
      </c>
      <c r="BI13" s="23">
        <v>59</v>
      </c>
      <c r="BJ13" s="23">
        <v>60</v>
      </c>
      <c r="BK13" s="23">
        <v>61</v>
      </c>
      <c r="BL13" s="23">
        <v>62</v>
      </c>
      <c r="BM13" s="23">
        <v>63</v>
      </c>
      <c r="BN13" s="23">
        <v>64</v>
      </c>
      <c r="BO13" s="23">
        <v>65</v>
      </c>
      <c r="BP13" s="23">
        <v>66</v>
      </c>
      <c r="BQ13" s="23">
        <v>67</v>
      </c>
      <c r="BR13" s="23">
        <v>68</v>
      </c>
      <c r="BS13" s="23">
        <v>69</v>
      </c>
      <c r="BT13" s="23">
        <v>70</v>
      </c>
      <c r="BU13" s="23">
        <v>71</v>
      </c>
      <c r="BV13" s="23">
        <v>72</v>
      </c>
      <c r="BW13" s="23">
        <v>73</v>
      </c>
      <c r="BX13" s="23">
        <v>74</v>
      </c>
      <c r="BY13" s="23">
        <v>75</v>
      </c>
      <c r="BZ13" s="23">
        <v>76</v>
      </c>
      <c r="CA13" s="23">
        <v>77</v>
      </c>
      <c r="CB13" s="23">
        <v>78</v>
      </c>
      <c r="CC13" s="23">
        <v>79</v>
      </c>
      <c r="CD13" s="23">
        <v>80</v>
      </c>
      <c r="CE13" s="23">
        <v>81</v>
      </c>
      <c r="CF13" s="23">
        <v>82</v>
      </c>
      <c r="CG13" s="23">
        <v>83</v>
      </c>
      <c r="CH13" s="23">
        <v>84</v>
      </c>
      <c r="CI13" s="23">
        <v>85</v>
      </c>
      <c r="CJ13" s="23">
        <v>86</v>
      </c>
      <c r="CK13" s="23">
        <v>87</v>
      </c>
      <c r="CL13" s="23">
        <v>88</v>
      </c>
      <c r="CM13" s="23">
        <v>89</v>
      </c>
      <c r="CN13" s="23">
        <v>90</v>
      </c>
      <c r="CO13" s="23">
        <v>91</v>
      </c>
      <c r="CP13" s="23">
        <v>92</v>
      </c>
      <c r="CQ13" s="23">
        <f>CP13+1</f>
        <v>93</v>
      </c>
      <c r="CR13" s="23">
        <f t="shared" ref="CR13:CS13" si="1">CQ13+1</f>
        <v>94</v>
      </c>
      <c r="CS13" s="60">
        <f t="shared" si="1"/>
        <v>95</v>
      </c>
      <c r="CT13" s="222" t="s">
        <v>44</v>
      </c>
      <c r="CU13" s="223" t="str">
        <f>"Current Position Triangle less " &amp; CU12</f>
        <v>Current Position Triangle less 1</v>
      </c>
      <c r="CV13" s="223" t="s">
        <v>60</v>
      </c>
      <c r="CW13" s="21" t="s">
        <v>59</v>
      </c>
      <c r="CX13" s="64" t="s">
        <v>45</v>
      </c>
    </row>
    <row r="14" spans="1:102" hidden="1" x14ac:dyDescent="0.25">
      <c r="A14" s="96">
        <f>IF(InputTrianglesCount!B14&gt;=$D$8,1,0)</f>
        <v>0</v>
      </c>
      <c r="B14" s="7">
        <f t="shared" ref="B14:B34" si="2">B15-1</f>
        <v>1996</v>
      </c>
      <c r="C14" s="66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2" t="str">
        <f ca="1">IF(CX14=0,"",OFFSET(B14,0,$D$6+ ($D$9-B14)*InputTrianglesCount!$E$4))</f>
        <v/>
      </c>
      <c r="CU14" s="30" t="str">
        <f ca="1">IF(CX14=0,"",OFFSET(B14,0,$D$6+ ($D$9-B14)*InputTrianglesCount!$E$4-CU$12))</f>
        <v/>
      </c>
      <c r="CV14" s="185" t="str">
        <f t="shared" ref="CV14:CV29" ca="1" si="3">IF(CT14="","",CT14-CU14)</f>
        <v/>
      </c>
      <c r="CW14" s="32" t="str" cm="1">
        <f t="array" ref="CW14">IF(CX14=0,"",LOOKUP(2,1/(ISNUMBER(C14:CS14)),C14:CS14))</f>
        <v/>
      </c>
      <c r="CX14" s="64">
        <f>IF(COUNTBLANK(C14:CS14)=CS$13,0,1)</f>
        <v>0</v>
      </c>
    </row>
    <row r="15" spans="1:102" hidden="1" x14ac:dyDescent="0.25">
      <c r="A15" s="96">
        <f>IF(InputTrianglesCount!B15&gt;=$D$8,1,0)</f>
        <v>0</v>
      </c>
      <c r="B15" s="29">
        <f t="shared" si="2"/>
        <v>1997</v>
      </c>
      <c r="C15" s="68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2" t="str">
        <f ca="1">IF(CX15=0,"",OFFSET(B15,0,$D$6+ ($D$9-B15)*InputTrianglesCount!$E$4))</f>
        <v/>
      </c>
      <c r="CU15" s="30" t="str">
        <f ca="1">IF(CX15=0,"",OFFSET(B15,0,$D$6+ ($D$9-B15)*InputTrianglesCount!$E$4-CU$12))</f>
        <v/>
      </c>
      <c r="CV15" s="185" t="str">
        <f t="shared" ca="1" si="3"/>
        <v/>
      </c>
      <c r="CW15" s="32" t="str" cm="1">
        <f t="array" ref="CW15">IF(CX15=0,"",LOOKUP(2,1/(ISNUMBER(C15:CS15)),C15:CS15))</f>
        <v/>
      </c>
      <c r="CX15" s="64">
        <f t="shared" ref="CX15:CX37" si="4">IF(COUNTBLANK(C15:CS15)=CS$13,0,1)</f>
        <v>0</v>
      </c>
    </row>
    <row r="16" spans="1:102" hidden="1" x14ac:dyDescent="0.25">
      <c r="A16" s="96">
        <f>IF(InputTrianglesCount!B16&gt;=$D$8,1,0)</f>
        <v>0</v>
      </c>
      <c r="B16" s="29">
        <f t="shared" si="2"/>
        <v>1998</v>
      </c>
      <c r="C16" s="68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2" t="str">
        <f ca="1">IF(CX16=0,"",OFFSET(B16,0,$D$6+ ($D$9-B16)*InputTrianglesCount!$E$4))</f>
        <v/>
      </c>
      <c r="CU16" s="30" t="str">
        <f ca="1">IF(CX16=0,"",OFFSET(B16,0,$D$6+ ($D$9-B16)*InputTrianglesCount!$E$4-CU$12))</f>
        <v/>
      </c>
      <c r="CV16" s="185" t="str">
        <f t="shared" ca="1" si="3"/>
        <v/>
      </c>
      <c r="CW16" s="32" t="str" cm="1">
        <f t="array" ref="CW16">IF(CX16=0,"",LOOKUP(2,1/(ISNUMBER(C16:CS16)),C16:CS16))</f>
        <v/>
      </c>
      <c r="CX16" s="64">
        <f t="shared" si="4"/>
        <v>0</v>
      </c>
    </row>
    <row r="17" spans="1:102" hidden="1" x14ac:dyDescent="0.25">
      <c r="A17" s="96">
        <f>IF(InputTrianglesCount!B17&gt;=$D$8,1,0)</f>
        <v>0</v>
      </c>
      <c r="B17" s="29">
        <f t="shared" si="2"/>
        <v>1999</v>
      </c>
      <c r="C17" s="68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2" t="str">
        <f ca="1">IF(CX17=0,"",OFFSET(B17,0,$D$6+ ($D$9-B17)*InputTrianglesCount!$E$4))</f>
        <v/>
      </c>
      <c r="CU17" s="30" t="str">
        <f ca="1">IF(CX17=0,"",OFFSET(B17,0,$D$6+ ($D$9-B17)*InputTrianglesCount!$E$4-CU$12))</f>
        <v/>
      </c>
      <c r="CV17" s="185" t="str">
        <f t="shared" ca="1" si="3"/>
        <v/>
      </c>
      <c r="CW17" s="32" t="str" cm="1">
        <f t="array" ref="CW17">IF(CX17=0,"",LOOKUP(2,1/(ISNUMBER(C17:CS17)),C17:CS17))</f>
        <v/>
      </c>
      <c r="CX17" s="64">
        <f t="shared" si="4"/>
        <v>0</v>
      </c>
    </row>
    <row r="18" spans="1:102" x14ac:dyDescent="0.25">
      <c r="A18" s="96">
        <f>IF(InputTrianglesCount!B18&gt;=$D$8,1,0)</f>
        <v>0</v>
      </c>
      <c r="B18" s="29">
        <f t="shared" si="2"/>
        <v>2000</v>
      </c>
      <c r="C18" s="68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2" t="str">
        <f ca="1">IF(CX18=0,"",OFFSET(B18,0,$D$6+ ($D$9-B18)*InputTrianglesCount!$E$4))</f>
        <v/>
      </c>
      <c r="CU18" s="30" t="str">
        <f ca="1">IF(CX18=0,"",OFFSET(B18,0,$D$6+ ($D$9-B18)*InputTrianglesCount!$E$4-CU$12))</f>
        <v/>
      </c>
      <c r="CV18" s="185" t="str">
        <f t="shared" ca="1" si="3"/>
        <v/>
      </c>
      <c r="CW18" s="32" t="str" cm="1">
        <f t="array" ref="CW18">IF(CX18=0,"",LOOKUP(2,1/(ISNUMBER(C18:CS18)),C18:CS18))</f>
        <v/>
      </c>
      <c r="CX18" s="64">
        <f t="shared" si="4"/>
        <v>0</v>
      </c>
    </row>
    <row r="19" spans="1:102" x14ac:dyDescent="0.25">
      <c r="A19" s="96">
        <f>IF(InputTrianglesCount!B19&gt;=$D$8,1,0)</f>
        <v>0</v>
      </c>
      <c r="B19" s="29">
        <f t="shared" si="2"/>
        <v>2001</v>
      </c>
      <c r="C19" s="68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2" t="str">
        <f ca="1">IF(CX19=0,"",OFFSET(B19,0,$D$6+ ($D$9-B19)*InputTrianglesCount!$E$4))</f>
        <v/>
      </c>
      <c r="CU19" s="30" t="str">
        <f ca="1">IF(CX19=0,"",OFFSET(B19,0,$D$6+ ($D$9-B19)*InputTrianglesCount!$E$4-CU$12))</f>
        <v/>
      </c>
      <c r="CV19" s="185" t="str">
        <f t="shared" ca="1" si="3"/>
        <v/>
      </c>
      <c r="CW19" s="32" t="str" cm="1">
        <f t="array" ref="CW19">IF(CX19=0,"",LOOKUP(2,1/(ISNUMBER(C19:CS19)),C19:CS19))</f>
        <v/>
      </c>
      <c r="CX19" s="64">
        <f t="shared" si="4"/>
        <v>0</v>
      </c>
    </row>
    <row r="20" spans="1:102" x14ac:dyDescent="0.25">
      <c r="A20" s="96">
        <f>IF(InputTrianglesCount!B20&gt;=$D$8,1,0)</f>
        <v>0</v>
      </c>
      <c r="B20" s="29">
        <f t="shared" si="2"/>
        <v>2002</v>
      </c>
      <c r="C20" s="68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2" t="str">
        <f ca="1">IF(CX20=0,"",OFFSET(B20,0,$D$6+ ($D$9-B20)*InputTrianglesCount!$E$4))</f>
        <v/>
      </c>
      <c r="CU20" s="30" t="str">
        <f ca="1">IF(CX20=0,"",OFFSET(B20,0,$D$6+ ($D$9-B20)*InputTrianglesCount!$E$4-CU$12))</f>
        <v/>
      </c>
      <c r="CV20" s="185" t="str">
        <f t="shared" ca="1" si="3"/>
        <v/>
      </c>
      <c r="CW20" s="32" t="str" cm="1">
        <f t="array" ref="CW20">IF(CX20=0,"",LOOKUP(2,1/(ISNUMBER(C20:CS20)),C20:CS20))</f>
        <v/>
      </c>
      <c r="CX20" s="64">
        <f t="shared" si="4"/>
        <v>0</v>
      </c>
    </row>
    <row r="21" spans="1:102" x14ac:dyDescent="0.25">
      <c r="A21" s="96">
        <f>IF(InputTrianglesCount!B21&gt;=$D$8,1,0)</f>
        <v>0</v>
      </c>
      <c r="B21" s="29">
        <f t="shared" si="2"/>
        <v>2003</v>
      </c>
      <c r="C21" s="68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2" t="str">
        <f ca="1">IF(CX21=0,"",OFFSET(B21,0,$D$6+ ($D$9-B21)*InputTrianglesCount!$E$4))</f>
        <v/>
      </c>
      <c r="CU21" s="30" t="str">
        <f ca="1">IF(CX21=0,"",OFFSET(B21,0,$D$6+ ($D$9-B21)*InputTrianglesCount!$E$4-CU$12))</f>
        <v/>
      </c>
      <c r="CV21" s="185" t="str">
        <f t="shared" ca="1" si="3"/>
        <v/>
      </c>
      <c r="CW21" s="32" t="str" cm="1">
        <f t="array" ref="CW21">IF(CX21=0,"",LOOKUP(2,1/(ISNUMBER(C21:CS21)),C21:CS21))</f>
        <v/>
      </c>
      <c r="CX21" s="64">
        <f t="shared" si="4"/>
        <v>0</v>
      </c>
    </row>
    <row r="22" spans="1:102" x14ac:dyDescent="0.25">
      <c r="A22" s="96">
        <f>IF(InputTrianglesCount!B22&gt;=$D$8,1,0)</f>
        <v>0</v>
      </c>
      <c r="B22" s="29">
        <f t="shared" si="2"/>
        <v>2004</v>
      </c>
      <c r="C22" s="68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2" t="str">
        <f ca="1">IF(CX22=0,"",OFFSET(B22,0,$D$6+ ($D$9-B22)*InputTrianglesCount!$E$4))</f>
        <v/>
      </c>
      <c r="CU22" s="30" t="str">
        <f ca="1">IF(CX22=0,"",OFFSET(B22,0,$D$6+ ($D$9-B22)*InputTrianglesCount!$E$4-CU$12))</f>
        <v/>
      </c>
      <c r="CV22" s="185" t="str">
        <f t="shared" ca="1" si="3"/>
        <v/>
      </c>
      <c r="CW22" s="32" t="str" cm="1">
        <f t="array" ref="CW22">IF(CX22=0,"",LOOKUP(2,1/(ISNUMBER(C22:CS22)),C22:CS22))</f>
        <v/>
      </c>
      <c r="CX22" s="64">
        <f t="shared" si="4"/>
        <v>0</v>
      </c>
    </row>
    <row r="23" spans="1:102" x14ac:dyDescent="0.25">
      <c r="A23" s="96">
        <f>IF(InputTrianglesCount!B23&gt;=$D$8,1,0)</f>
        <v>0</v>
      </c>
      <c r="B23" s="29">
        <f t="shared" si="2"/>
        <v>2005</v>
      </c>
      <c r="C23" s="68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2" t="str">
        <f ca="1">IF(CX23=0,"",OFFSET(B23,0,$D$6+ ($D$9-B23)*InputTrianglesCount!$E$4))</f>
        <v/>
      </c>
      <c r="CU23" s="30" t="str">
        <f ca="1">IF(CX23=0,"",OFFSET(B23,0,$D$6+ ($D$9-B23)*InputTrianglesCount!$E$4-CU$12))</f>
        <v/>
      </c>
      <c r="CV23" s="185" t="str">
        <f t="shared" ca="1" si="3"/>
        <v/>
      </c>
      <c r="CW23" s="32" t="str" cm="1">
        <f t="array" ref="CW23">IF(CX23=0,"",LOOKUP(2,1/(ISNUMBER(C23:CS23)),C23:CS23))</f>
        <v/>
      </c>
      <c r="CX23" s="64">
        <f t="shared" si="4"/>
        <v>0</v>
      </c>
    </row>
    <row r="24" spans="1:102" x14ac:dyDescent="0.25">
      <c r="A24" s="96">
        <f>IF(InputTrianglesCount!B24&gt;=$D$8,1,0)</f>
        <v>0</v>
      </c>
      <c r="B24" s="29">
        <f t="shared" si="2"/>
        <v>2006</v>
      </c>
      <c r="C24" s="68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2" t="str">
        <f ca="1">IF(CX24=0,"",OFFSET(B24,0,$D$6+ ($D$9-B24)*InputTrianglesCount!$E$4))</f>
        <v/>
      </c>
      <c r="CU24" s="30" t="str">
        <f ca="1">IF(CX24=0,"",OFFSET(B24,0,$D$6+ ($D$9-B24)*InputTrianglesCount!$E$4-CU$12))</f>
        <v/>
      </c>
      <c r="CV24" s="185" t="str">
        <f t="shared" ca="1" si="3"/>
        <v/>
      </c>
      <c r="CW24" s="32" t="str" cm="1">
        <f t="array" ref="CW24">IF(CX24=0,"",LOOKUP(2,1/(ISNUMBER(C24:CS24)),C24:CS24))</f>
        <v/>
      </c>
      <c r="CX24" s="64">
        <f t="shared" si="4"/>
        <v>0</v>
      </c>
    </row>
    <row r="25" spans="1:102" x14ac:dyDescent="0.25">
      <c r="A25" s="96">
        <f>IF(InputTrianglesCount!B25&gt;=$D$8,1,0)</f>
        <v>0</v>
      </c>
      <c r="B25" s="29">
        <f t="shared" si="2"/>
        <v>2007</v>
      </c>
      <c r="C25" s="68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2" t="str">
        <f ca="1">IF(CX25=0,"",OFFSET(B25,0,$D$6+ ($D$9-B25)*InputTrianglesCount!$E$4))</f>
        <v/>
      </c>
      <c r="CU25" s="30" t="str">
        <f ca="1">IF(CX25=0,"",OFFSET(B25,0,$D$6+ ($D$9-B25)*InputTrianglesCount!$E$4-CU$12))</f>
        <v/>
      </c>
      <c r="CV25" s="185" t="str">
        <f t="shared" ca="1" si="3"/>
        <v/>
      </c>
      <c r="CW25" s="32" t="str" cm="1">
        <f t="array" ref="CW25">IF(CX25=0,"",LOOKUP(2,1/(ISNUMBER(C25:CS25)),C25:CS25))</f>
        <v/>
      </c>
      <c r="CX25" s="64">
        <f t="shared" si="4"/>
        <v>0</v>
      </c>
    </row>
    <row r="26" spans="1:102" x14ac:dyDescent="0.25">
      <c r="A26" s="96">
        <f>IF(InputTrianglesCount!B26&gt;=$D$8,1,0)</f>
        <v>0</v>
      </c>
      <c r="B26" s="29">
        <f t="shared" si="2"/>
        <v>2008</v>
      </c>
      <c r="C26" s="68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2" t="str">
        <f ca="1">IF(CX26=0,"",OFFSET(B26,0,$D$6+ ($D$9-B26)*InputTrianglesCount!$E$4))</f>
        <v/>
      </c>
      <c r="CU26" s="30" t="str">
        <f ca="1">IF(CX26=0,"",OFFSET(B26,0,$D$6+ ($D$9-B26)*InputTrianglesCount!$E$4-CU$12))</f>
        <v/>
      </c>
      <c r="CV26" s="185" t="str">
        <f t="shared" ca="1" si="3"/>
        <v/>
      </c>
      <c r="CW26" s="32" t="str" cm="1">
        <f t="array" ref="CW26">IF(CX26=0,"",LOOKUP(2,1/(ISNUMBER(C26:CS26)),C26:CS26))</f>
        <v/>
      </c>
      <c r="CX26" s="64">
        <f t="shared" si="4"/>
        <v>0</v>
      </c>
    </row>
    <row r="27" spans="1:102" x14ac:dyDescent="0.25">
      <c r="A27" s="96">
        <f>IF(InputTrianglesCount!B27&gt;=$D$8,1,0)</f>
        <v>0</v>
      </c>
      <c r="B27" s="29">
        <f t="shared" si="2"/>
        <v>2009</v>
      </c>
      <c r="C27" s="68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  <c r="CP27" s="69"/>
      <c r="CQ27" s="69"/>
      <c r="CR27" s="69"/>
      <c r="CS27" s="69"/>
      <c r="CT27" s="62" t="str">
        <f ca="1">IF(CX27=0,"",OFFSET(B27,0,$D$6+ ($D$9-B27)*InputTrianglesCount!$E$4))</f>
        <v/>
      </c>
      <c r="CU27" s="30" t="str">
        <f ca="1">IF(CX27=0,"",OFFSET(B27,0,$D$6+ ($D$9-B27)*InputTrianglesCount!$E$4-CU$12))</f>
        <v/>
      </c>
      <c r="CV27" s="185" t="str">
        <f t="shared" ca="1" si="3"/>
        <v/>
      </c>
      <c r="CW27" s="32" t="str" cm="1">
        <f t="array" ref="CW27">IF(CX27=0,"",LOOKUP(2,1/(ISNUMBER(C27:CS27)),C27:CS27))</f>
        <v/>
      </c>
      <c r="CX27" s="64">
        <f t="shared" si="4"/>
        <v>0</v>
      </c>
    </row>
    <row r="28" spans="1:102" x14ac:dyDescent="0.25">
      <c r="A28" s="96">
        <f>IF(InputTrianglesCount!B28&gt;=$D$8,1,0)</f>
        <v>1</v>
      </c>
      <c r="B28" s="29">
        <f t="shared" si="2"/>
        <v>2010</v>
      </c>
      <c r="C28" s="68">
        <v>1</v>
      </c>
      <c r="D28" s="69">
        <v>4</v>
      </c>
      <c r="E28" s="69">
        <v>6</v>
      </c>
      <c r="F28" s="69">
        <v>6</v>
      </c>
      <c r="G28" s="69">
        <v>6</v>
      </c>
      <c r="H28" s="69">
        <v>6</v>
      </c>
      <c r="I28" s="69">
        <v>6</v>
      </c>
      <c r="J28" s="69">
        <v>6</v>
      </c>
      <c r="K28" s="69">
        <v>6</v>
      </c>
      <c r="L28" s="69">
        <v>6</v>
      </c>
      <c r="M28" s="69"/>
      <c r="N28" s="198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2">
        <f ca="1">IF(CX28=0,"",OFFSET(B28,0,$D$6+ ($D$9-B28)*InputTrianglesCount!$E$4))</f>
        <v>6</v>
      </c>
      <c r="CU28" s="30">
        <f ca="1">IF(CX28=0,"",OFFSET(B28,0,$D$6+ ($D$9-B28)*InputTrianglesCount!$E$4-CU$12))</f>
        <v>6</v>
      </c>
      <c r="CV28" s="185">
        <f t="shared" ca="1" si="3"/>
        <v>0</v>
      </c>
      <c r="CW28" s="32" cm="1">
        <f t="array" ref="CW28">IF(CX28=0,"",LOOKUP(2,1/(ISNUMBER(C28:CS28)),C28:CS28))</f>
        <v>6</v>
      </c>
      <c r="CX28" s="64">
        <f t="shared" si="4"/>
        <v>1</v>
      </c>
    </row>
    <row r="29" spans="1:102" x14ac:dyDescent="0.25">
      <c r="A29" s="96">
        <f>IF(InputTrianglesCount!B29&gt;=$D$8,1,0)</f>
        <v>1</v>
      </c>
      <c r="B29" s="29">
        <f t="shared" si="2"/>
        <v>2011</v>
      </c>
      <c r="C29" s="68">
        <v>2</v>
      </c>
      <c r="D29" s="69">
        <v>5</v>
      </c>
      <c r="E29" s="69">
        <v>5</v>
      </c>
      <c r="F29" s="69">
        <v>5</v>
      </c>
      <c r="G29" s="69">
        <v>5</v>
      </c>
      <c r="H29" s="69">
        <v>5</v>
      </c>
      <c r="I29" s="69">
        <v>5</v>
      </c>
      <c r="J29" s="69">
        <v>5</v>
      </c>
      <c r="K29" s="69">
        <v>5</v>
      </c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/>
      <c r="BR29" s="69"/>
      <c r="BS29" s="69"/>
      <c r="BT29" s="69"/>
      <c r="BU29" s="69"/>
      <c r="BV29" s="69"/>
      <c r="BW29" s="69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9"/>
      <c r="CM29" s="69"/>
      <c r="CN29" s="69"/>
      <c r="CO29" s="69"/>
      <c r="CP29" s="69"/>
      <c r="CQ29" s="69"/>
      <c r="CR29" s="69"/>
      <c r="CS29" s="69"/>
      <c r="CT29" s="62">
        <f ca="1">IF(CX29=0,"",OFFSET(B29,0,$D$6+ ($D$9-B29)*InputTrianglesCount!$E$4))</f>
        <v>5</v>
      </c>
      <c r="CU29" s="30">
        <f ca="1">IF(CX29=0,"",OFFSET(B29,0,$D$6+ ($D$9-B29)*InputTrianglesCount!$E$4-CU$12))</f>
        <v>5</v>
      </c>
      <c r="CV29" s="185">
        <f t="shared" ca="1" si="3"/>
        <v>0</v>
      </c>
      <c r="CW29" s="32" cm="1">
        <f t="array" ref="CW29">IF(CX29=0,"",LOOKUP(2,1/(ISNUMBER(C29:CS29)),C29:CS29))</f>
        <v>5</v>
      </c>
      <c r="CX29" s="64">
        <f t="shared" si="4"/>
        <v>1</v>
      </c>
    </row>
    <row r="30" spans="1:102" x14ac:dyDescent="0.25">
      <c r="A30" s="96">
        <f>IF(InputTrianglesCount!B30&gt;=$D$8,1,0)</f>
        <v>1</v>
      </c>
      <c r="B30" s="29">
        <f t="shared" si="2"/>
        <v>2012</v>
      </c>
      <c r="C30" s="68">
        <v>2</v>
      </c>
      <c r="D30" s="69">
        <v>3</v>
      </c>
      <c r="E30" s="69">
        <v>3</v>
      </c>
      <c r="F30" s="69">
        <v>3</v>
      </c>
      <c r="G30" s="69">
        <v>3</v>
      </c>
      <c r="H30" s="69">
        <v>3</v>
      </c>
      <c r="I30" s="69">
        <v>3</v>
      </c>
      <c r="J30" s="69">
        <v>3</v>
      </c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/>
      <c r="CS30" s="69"/>
      <c r="CT30" s="62">
        <f ca="1">IF(CX30=0,"",OFFSET(B30,0,$D$6+ ($D$9-B30)*InputTrianglesCount!$E$4))</f>
        <v>3</v>
      </c>
      <c r="CU30" s="30">
        <f ca="1">IF(CX30=0,"",OFFSET(B30,0,$D$6+ ($D$9-B30)*InputTrianglesCount!$E$4-CU$12))</f>
        <v>3</v>
      </c>
      <c r="CV30" s="185">
        <f ca="1">IF(CT30="","",CT30-CU30)</f>
        <v>0</v>
      </c>
      <c r="CW30" s="32" cm="1">
        <f t="array" ref="CW30">IF(CX30=0,"",LOOKUP(2,1/(ISNUMBER(C30:CS30)),C30:CS30))</f>
        <v>3</v>
      </c>
      <c r="CX30" s="64">
        <f t="shared" si="4"/>
        <v>1</v>
      </c>
    </row>
    <row r="31" spans="1:102" x14ac:dyDescent="0.25">
      <c r="A31" s="96">
        <f>IF(InputTrianglesCount!B31&gt;=$D$8,1,0)</f>
        <v>1</v>
      </c>
      <c r="B31" s="29">
        <f t="shared" si="2"/>
        <v>2013</v>
      </c>
      <c r="C31" s="68">
        <v>0</v>
      </c>
      <c r="D31" s="69">
        <v>0</v>
      </c>
      <c r="E31" s="69">
        <v>0</v>
      </c>
      <c r="F31" s="69">
        <v>0</v>
      </c>
      <c r="G31" s="69">
        <v>0</v>
      </c>
      <c r="H31" s="69">
        <v>0</v>
      </c>
      <c r="I31" s="69">
        <v>0</v>
      </c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2">
        <f ca="1">IF(CX31=0,"",OFFSET(B31,0,$D$6+ ($D$9-B31)*InputTrianglesCount!$E$4))</f>
        <v>0</v>
      </c>
      <c r="CU31" s="30">
        <f ca="1">IF(CX31=0,"",OFFSET(B31,0,$D$6+ ($D$9-B31)*InputTrianglesCount!$E$4-CU$12))</f>
        <v>0</v>
      </c>
      <c r="CV31" s="185">
        <f t="shared" ref="CV31:CV37" ca="1" si="5">IF(CT31="","",CT31-CU31)</f>
        <v>0</v>
      </c>
      <c r="CW31" s="32" cm="1">
        <f t="array" ref="CW31">IF(CX31=0,"",LOOKUP(2,1/(ISNUMBER(C31:CS31)),C31:CS31))</f>
        <v>0</v>
      </c>
      <c r="CX31" s="64">
        <f t="shared" si="4"/>
        <v>1</v>
      </c>
    </row>
    <row r="32" spans="1:102" x14ac:dyDescent="0.25">
      <c r="A32" s="96">
        <f>IF(InputTrianglesCount!B32&gt;=$D$8,1,0)</f>
        <v>1</v>
      </c>
      <c r="B32" s="29">
        <f t="shared" si="2"/>
        <v>2014</v>
      </c>
      <c r="C32" s="68">
        <v>1</v>
      </c>
      <c r="D32" s="69">
        <v>1</v>
      </c>
      <c r="E32" s="69">
        <v>1</v>
      </c>
      <c r="F32" s="69">
        <v>1</v>
      </c>
      <c r="G32" s="69">
        <v>1</v>
      </c>
      <c r="H32" s="69">
        <v>1</v>
      </c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2">
        <f ca="1">IF(CX32=0,"",OFFSET(B32,0,$D$6+ ($D$9-B32)*InputTrianglesCount!$E$4))</f>
        <v>1</v>
      </c>
      <c r="CU32" s="30">
        <f ca="1">IF(CX32=0,"",OFFSET(B32,0,$D$6+ ($D$9-B32)*InputTrianglesCount!$E$4-CU$12))</f>
        <v>1</v>
      </c>
      <c r="CV32" s="185">
        <f t="shared" ca="1" si="5"/>
        <v>0</v>
      </c>
      <c r="CW32" s="32" cm="1">
        <f t="array" ref="CW32">IF(CX32=0,"",LOOKUP(2,1/(ISNUMBER(C32:CS32)),C32:CS32))</f>
        <v>1</v>
      </c>
      <c r="CX32" s="64">
        <f t="shared" si="4"/>
        <v>1</v>
      </c>
    </row>
    <row r="33" spans="1:102" x14ac:dyDescent="0.25">
      <c r="A33" s="96">
        <f>IF(InputTrianglesCount!B33&gt;=$D$8,1,0)</f>
        <v>1</v>
      </c>
      <c r="B33" s="29">
        <f t="shared" si="2"/>
        <v>2015</v>
      </c>
      <c r="C33" s="68">
        <v>0</v>
      </c>
      <c r="D33" s="69">
        <v>0</v>
      </c>
      <c r="E33" s="69">
        <v>0</v>
      </c>
      <c r="F33" s="69">
        <v>0</v>
      </c>
      <c r="G33" s="69">
        <v>0</v>
      </c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2">
        <f ca="1">IF(CX33=0,"",OFFSET(B33,0,$D$6+ ($D$9-B33)*InputTrianglesCount!$E$4))</f>
        <v>0</v>
      </c>
      <c r="CU33" s="30">
        <f ca="1">IF(CX33=0,"",OFFSET(B33,0,$D$6+ ($D$9-B33)*InputTrianglesCount!$E$4-CU$12))</f>
        <v>0</v>
      </c>
      <c r="CV33" s="185">
        <f t="shared" ca="1" si="5"/>
        <v>0</v>
      </c>
      <c r="CW33" s="32" cm="1">
        <f t="array" ref="CW33">IF(CX33=0,"",LOOKUP(2,1/(ISNUMBER(C33:CS33)),C33:CS33))</f>
        <v>0</v>
      </c>
      <c r="CX33" s="64">
        <f t="shared" si="4"/>
        <v>1</v>
      </c>
    </row>
    <row r="34" spans="1:102" x14ac:dyDescent="0.25">
      <c r="A34" s="96">
        <f>IF(InputTrianglesCount!B34&gt;=$D$8,1,0)</f>
        <v>1</v>
      </c>
      <c r="B34" s="29">
        <f t="shared" si="2"/>
        <v>2016</v>
      </c>
      <c r="C34" s="68">
        <v>1</v>
      </c>
      <c r="D34" s="69">
        <v>2</v>
      </c>
      <c r="E34" s="69">
        <v>2</v>
      </c>
      <c r="F34" s="69">
        <v>2</v>
      </c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BN34" s="69"/>
      <c r="BO34" s="69"/>
      <c r="BP34" s="69"/>
      <c r="BQ34" s="69"/>
      <c r="BR34" s="69"/>
      <c r="BS34" s="69"/>
      <c r="BT34" s="69"/>
      <c r="BU34" s="69"/>
      <c r="BV34" s="69"/>
      <c r="BW34" s="69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9"/>
      <c r="CM34" s="69"/>
      <c r="CN34" s="69"/>
      <c r="CO34" s="69"/>
      <c r="CP34" s="69"/>
      <c r="CQ34" s="69"/>
      <c r="CR34" s="69"/>
      <c r="CS34" s="69"/>
      <c r="CT34" s="62">
        <f ca="1">IF(CX34=0,"",OFFSET(B34,0,$D$6+ ($D$9-B34)*InputTrianglesCount!$E$4))</f>
        <v>2</v>
      </c>
      <c r="CU34" s="30">
        <f ca="1">IF(CX34=0,"",OFFSET(B34,0,$D$6+ ($D$9-B34)*InputTrianglesCount!$E$4-CU$12))</f>
        <v>2</v>
      </c>
      <c r="CV34" s="185">
        <f t="shared" ca="1" si="5"/>
        <v>0</v>
      </c>
      <c r="CW34" s="32" cm="1">
        <f t="array" ref="CW34">IF(CX34=0,"",LOOKUP(2,1/(ISNUMBER(C34:CS34)),C34:CS34))</f>
        <v>2</v>
      </c>
      <c r="CX34" s="64">
        <f t="shared" si="4"/>
        <v>1</v>
      </c>
    </row>
    <row r="35" spans="1:102" x14ac:dyDescent="0.25">
      <c r="A35" s="96">
        <f>IF(InputTrianglesCount!B35&gt;=$D$8,1,0)</f>
        <v>1</v>
      </c>
      <c r="B35" s="29">
        <f>B36-1</f>
        <v>2017</v>
      </c>
      <c r="C35" s="68">
        <v>1</v>
      </c>
      <c r="D35" s="69">
        <v>1</v>
      </c>
      <c r="E35" s="69">
        <v>1</v>
      </c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BN35" s="69"/>
      <c r="BO35" s="69"/>
      <c r="BP35" s="69"/>
      <c r="BQ35" s="69"/>
      <c r="BR35" s="69"/>
      <c r="BS35" s="69"/>
      <c r="BT35" s="69"/>
      <c r="BU35" s="69"/>
      <c r="BV35" s="69"/>
      <c r="BW35" s="69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9"/>
      <c r="CM35" s="69"/>
      <c r="CN35" s="69"/>
      <c r="CO35" s="69"/>
      <c r="CP35" s="69"/>
      <c r="CQ35" s="69"/>
      <c r="CR35" s="69"/>
      <c r="CS35" s="69"/>
      <c r="CT35" s="62">
        <f ca="1">IF(CX35=0,"",OFFSET(B35,0,$D$6+ ($D$9-B35)*InputTrianglesCount!$E$4))</f>
        <v>1</v>
      </c>
      <c r="CU35" s="30">
        <f ca="1">IF(CX35=0,"",OFFSET(B35,0,$D$6+ ($D$9-B35)*InputTrianglesCount!$E$4-CU$12))</f>
        <v>1</v>
      </c>
      <c r="CV35" s="185">
        <f t="shared" ca="1" si="5"/>
        <v>0</v>
      </c>
      <c r="CW35" s="32" cm="1">
        <f t="array" ref="CW35">IF(CX35=0,"",LOOKUP(2,1/(ISNUMBER(C35:CS35)),C35:CS35))</f>
        <v>1</v>
      </c>
      <c r="CX35" s="64">
        <f t="shared" si="4"/>
        <v>1</v>
      </c>
    </row>
    <row r="36" spans="1:102" x14ac:dyDescent="0.25">
      <c r="A36" s="96">
        <f>IF(InputTrianglesCount!B36&gt;=$D$8,1,0)</f>
        <v>1</v>
      </c>
      <c r="B36" s="29">
        <f>B37-1</f>
        <v>2018</v>
      </c>
      <c r="C36" s="68">
        <v>1</v>
      </c>
      <c r="D36" s="69">
        <v>1</v>
      </c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BN36" s="69"/>
      <c r="BO36" s="69"/>
      <c r="BP36" s="69"/>
      <c r="BQ36" s="69"/>
      <c r="BR36" s="69"/>
      <c r="BS36" s="69"/>
      <c r="BT36" s="69"/>
      <c r="BU36" s="69"/>
      <c r="BV36" s="69"/>
      <c r="BW36" s="69"/>
      <c r="BX36" s="69"/>
      <c r="BY36" s="69"/>
      <c r="BZ36" s="69"/>
      <c r="CA36" s="69"/>
      <c r="CB36" s="69"/>
      <c r="CC36" s="69"/>
      <c r="CD36" s="69"/>
      <c r="CE36" s="69"/>
      <c r="CF36" s="69"/>
      <c r="CG36" s="69"/>
      <c r="CH36" s="69"/>
      <c r="CI36" s="69"/>
      <c r="CJ36" s="69"/>
      <c r="CK36" s="69"/>
      <c r="CL36" s="69"/>
      <c r="CM36" s="69"/>
      <c r="CN36" s="69"/>
      <c r="CO36" s="69"/>
      <c r="CP36" s="69"/>
      <c r="CQ36" s="69"/>
      <c r="CR36" s="69"/>
      <c r="CS36" s="69"/>
      <c r="CT36" s="62">
        <f ca="1">IF(CX36=0,"",OFFSET(B36,0,$D$6+ ($D$9-B36)*InputTrianglesCount!$E$4))</f>
        <v>1</v>
      </c>
      <c r="CU36" s="30">
        <f ca="1">IF(CX36=0,"",OFFSET(B36,0,$D$6+ ($D$9-B36)*InputTrianglesCount!$E$4-CU$12))</f>
        <v>1</v>
      </c>
      <c r="CV36" s="185">
        <f t="shared" ca="1" si="5"/>
        <v>0</v>
      </c>
      <c r="CW36" s="32" cm="1">
        <f t="array" ref="CW36">IF(CX36=0,"",LOOKUP(2,1/(ISNUMBER(C36:CS36)),C36:CS36))</f>
        <v>1</v>
      </c>
      <c r="CX36" s="64">
        <f t="shared" si="4"/>
        <v>1</v>
      </c>
    </row>
    <row r="37" spans="1:102" x14ac:dyDescent="0.25">
      <c r="A37" s="96">
        <f>IF(InputTrianglesCount!B37&gt;=$D$8,1,0)</f>
        <v>1</v>
      </c>
      <c r="B37" s="34">
        <f>InputTrianglesCount!D9</f>
        <v>2019</v>
      </c>
      <c r="C37" s="70">
        <v>0</v>
      </c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/>
      <c r="BI37" s="71"/>
      <c r="BJ37" s="71"/>
      <c r="BK37" s="71"/>
      <c r="BL37" s="71"/>
      <c r="BM37" s="71"/>
      <c r="BN37" s="71"/>
      <c r="BO37" s="71"/>
      <c r="BP37" s="71"/>
      <c r="BQ37" s="71"/>
      <c r="BR37" s="71"/>
      <c r="BS37" s="71"/>
      <c r="BT37" s="71"/>
      <c r="BU37" s="71"/>
      <c r="BV37" s="71"/>
      <c r="BW37" s="71"/>
      <c r="BX37" s="71"/>
      <c r="BY37" s="71"/>
      <c r="BZ37" s="71"/>
      <c r="CA37" s="71"/>
      <c r="CB37" s="71"/>
      <c r="CC37" s="71"/>
      <c r="CD37" s="71"/>
      <c r="CE37" s="71"/>
      <c r="CF37" s="71"/>
      <c r="CG37" s="71"/>
      <c r="CH37" s="71"/>
      <c r="CI37" s="71"/>
      <c r="CJ37" s="71"/>
      <c r="CK37" s="71"/>
      <c r="CL37" s="71"/>
      <c r="CM37" s="71"/>
      <c r="CN37" s="71"/>
      <c r="CO37" s="71"/>
      <c r="CP37" s="71"/>
      <c r="CQ37" s="71"/>
      <c r="CR37" s="71"/>
      <c r="CS37" s="71"/>
      <c r="CT37" s="63">
        <f ca="1">IF(CX37=0,"",OFFSET(B37,0,$D$6+ ($D$9-B37)*InputTrianglesCount!$E$4))</f>
        <v>0</v>
      </c>
      <c r="CU37" s="35">
        <f ca="1">IF(CX37=0,"",OFFSET(B37,0,$D$6+ ($D$9-B37)*InputTrianglesCount!$E$4-CU$12))</f>
        <v>2019</v>
      </c>
      <c r="CV37" s="186">
        <f t="shared" ca="1" si="5"/>
        <v>-2019</v>
      </c>
      <c r="CW37" s="37" cm="1">
        <f t="array" ref="CW37">IF(CX37=0,"",LOOKUP(2,1/(ISNUMBER(C37:CS37)),C37:CS37))</f>
        <v>0</v>
      </c>
      <c r="CX37" s="64">
        <f t="shared" si="4"/>
        <v>1</v>
      </c>
    </row>
    <row r="38" spans="1:102" x14ac:dyDescent="0.25">
      <c r="A38" s="97">
        <v>1</v>
      </c>
      <c r="C38" s="13"/>
      <c r="D38" s="13"/>
      <c r="E38" s="28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0" t="s">
        <v>43</v>
      </c>
    </row>
    <row r="39" spans="1:102" hidden="1" x14ac:dyDescent="0.25">
      <c r="A39" s="97">
        <v>0</v>
      </c>
      <c r="B39" s="81" t="s">
        <v>46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13"/>
      <c r="CV39" s="13"/>
    </row>
    <row r="40" spans="1:102" hidden="1" x14ac:dyDescent="0.25">
      <c r="A40" s="97">
        <v>0</v>
      </c>
      <c r="CU40" s="13"/>
      <c r="CV40" s="13"/>
    </row>
    <row r="41" spans="1:102" hidden="1" x14ac:dyDescent="0.25">
      <c r="A41" s="97">
        <v>0</v>
      </c>
      <c r="B41" s="21" t="s">
        <v>42</v>
      </c>
      <c r="C41" s="22">
        <v>1</v>
      </c>
      <c r="D41" s="23">
        <f t="shared" ref="D41:AN41" si="6">C41+1</f>
        <v>2</v>
      </c>
      <c r="E41" s="23">
        <f t="shared" si="6"/>
        <v>3</v>
      </c>
      <c r="F41" s="23">
        <f t="shared" si="6"/>
        <v>4</v>
      </c>
      <c r="G41" s="23">
        <f t="shared" si="6"/>
        <v>5</v>
      </c>
      <c r="H41" s="23">
        <f t="shared" si="6"/>
        <v>6</v>
      </c>
      <c r="I41" s="23">
        <f t="shared" si="6"/>
        <v>7</v>
      </c>
      <c r="J41" s="23">
        <f t="shared" si="6"/>
        <v>8</v>
      </c>
      <c r="K41" s="23">
        <f t="shared" si="6"/>
        <v>9</v>
      </c>
      <c r="L41" s="23">
        <f t="shared" si="6"/>
        <v>10</v>
      </c>
      <c r="M41" s="23">
        <f t="shared" si="6"/>
        <v>11</v>
      </c>
      <c r="N41" s="23">
        <f t="shared" si="6"/>
        <v>12</v>
      </c>
      <c r="O41" s="23">
        <f t="shared" si="6"/>
        <v>13</v>
      </c>
      <c r="P41" s="23">
        <f t="shared" si="6"/>
        <v>14</v>
      </c>
      <c r="Q41" s="23">
        <f t="shared" si="6"/>
        <v>15</v>
      </c>
      <c r="R41" s="23">
        <f t="shared" si="6"/>
        <v>16</v>
      </c>
      <c r="S41" s="23">
        <f t="shared" si="6"/>
        <v>17</v>
      </c>
      <c r="T41" s="23">
        <f t="shared" si="6"/>
        <v>18</v>
      </c>
      <c r="U41" s="23">
        <f t="shared" si="6"/>
        <v>19</v>
      </c>
      <c r="V41" s="23">
        <f t="shared" si="6"/>
        <v>20</v>
      </c>
      <c r="W41" s="23">
        <f t="shared" si="6"/>
        <v>21</v>
      </c>
      <c r="X41" s="23">
        <f t="shared" si="6"/>
        <v>22</v>
      </c>
      <c r="Y41" s="23">
        <f t="shared" si="6"/>
        <v>23</v>
      </c>
      <c r="Z41" s="23">
        <f t="shared" si="6"/>
        <v>24</v>
      </c>
      <c r="AA41" s="23">
        <f t="shared" si="6"/>
        <v>25</v>
      </c>
      <c r="AB41" s="23">
        <f t="shared" si="6"/>
        <v>26</v>
      </c>
      <c r="AC41" s="23">
        <f t="shared" si="6"/>
        <v>27</v>
      </c>
      <c r="AD41" s="23">
        <f t="shared" si="6"/>
        <v>28</v>
      </c>
      <c r="AE41" s="23">
        <f t="shared" si="6"/>
        <v>29</v>
      </c>
      <c r="AF41" s="23">
        <f t="shared" si="6"/>
        <v>30</v>
      </c>
      <c r="AG41" s="23">
        <f t="shared" si="6"/>
        <v>31</v>
      </c>
      <c r="AH41" s="23">
        <f t="shared" si="6"/>
        <v>32</v>
      </c>
      <c r="AI41" s="23">
        <f t="shared" si="6"/>
        <v>33</v>
      </c>
      <c r="AJ41" s="23">
        <f t="shared" si="6"/>
        <v>34</v>
      </c>
      <c r="AK41" s="23">
        <f t="shared" si="6"/>
        <v>35</v>
      </c>
      <c r="AL41" s="23">
        <f t="shared" si="6"/>
        <v>36</v>
      </c>
      <c r="AM41" s="23">
        <f t="shared" si="6"/>
        <v>37</v>
      </c>
      <c r="AN41" s="23">
        <f t="shared" si="6"/>
        <v>38</v>
      </c>
      <c r="AO41" s="23">
        <v>39</v>
      </c>
      <c r="AP41" s="23">
        <v>40</v>
      </c>
      <c r="AQ41" s="23">
        <v>41</v>
      </c>
      <c r="AR41" s="23">
        <v>42</v>
      </c>
      <c r="AS41" s="23">
        <v>43</v>
      </c>
      <c r="AT41" s="23">
        <v>44</v>
      </c>
      <c r="AU41" s="23">
        <v>45</v>
      </c>
      <c r="AV41" s="23">
        <v>46</v>
      </c>
      <c r="AW41" s="23">
        <v>47</v>
      </c>
      <c r="AX41" s="23">
        <v>48</v>
      </c>
      <c r="AY41" s="23">
        <v>49</v>
      </c>
      <c r="AZ41" s="23">
        <v>50</v>
      </c>
      <c r="BA41" s="23">
        <v>51</v>
      </c>
      <c r="BB41" s="23">
        <v>52</v>
      </c>
      <c r="BC41" s="23">
        <v>53</v>
      </c>
      <c r="BD41" s="23">
        <v>54</v>
      </c>
      <c r="BE41" s="23">
        <v>55</v>
      </c>
      <c r="BF41" s="23">
        <v>56</v>
      </c>
      <c r="BG41" s="23">
        <v>57</v>
      </c>
      <c r="BH41" s="23">
        <v>58</v>
      </c>
      <c r="BI41" s="23">
        <v>59</v>
      </c>
      <c r="BJ41" s="23">
        <v>60</v>
      </c>
      <c r="BK41" s="23">
        <v>61</v>
      </c>
      <c r="BL41" s="23">
        <v>62</v>
      </c>
      <c r="BM41" s="23">
        <v>63</v>
      </c>
      <c r="BN41" s="23">
        <v>64</v>
      </c>
      <c r="BO41" s="23">
        <v>65</v>
      </c>
      <c r="BP41" s="23">
        <v>66</v>
      </c>
      <c r="BQ41" s="23">
        <v>67</v>
      </c>
      <c r="BR41" s="23">
        <v>68</v>
      </c>
      <c r="BS41" s="23">
        <v>69</v>
      </c>
      <c r="BT41" s="23">
        <v>70</v>
      </c>
      <c r="BU41" s="23">
        <v>71</v>
      </c>
      <c r="BV41" s="23">
        <v>72</v>
      </c>
      <c r="BW41" s="23">
        <v>73</v>
      </c>
      <c r="BX41" s="23">
        <v>74</v>
      </c>
      <c r="BY41" s="23">
        <v>75</v>
      </c>
      <c r="BZ41" s="23">
        <v>76</v>
      </c>
      <c r="CA41" s="23">
        <v>77</v>
      </c>
      <c r="CB41" s="23">
        <v>78</v>
      </c>
      <c r="CC41" s="23">
        <v>79</v>
      </c>
      <c r="CD41" s="23">
        <v>80</v>
      </c>
      <c r="CE41" s="23">
        <v>81</v>
      </c>
      <c r="CF41" s="23">
        <v>82</v>
      </c>
      <c r="CG41" s="23">
        <v>83</v>
      </c>
      <c r="CH41" s="23">
        <v>84</v>
      </c>
      <c r="CI41" s="23">
        <v>85</v>
      </c>
      <c r="CJ41" s="23">
        <v>86</v>
      </c>
      <c r="CK41" s="23">
        <v>87</v>
      </c>
      <c r="CL41" s="23">
        <v>88</v>
      </c>
      <c r="CM41" s="23">
        <v>89</v>
      </c>
      <c r="CN41" s="23">
        <v>90</v>
      </c>
      <c r="CO41" s="23">
        <v>91</v>
      </c>
      <c r="CP41" s="23">
        <v>92</v>
      </c>
      <c r="CQ41" s="23">
        <f>CP41+1</f>
        <v>93</v>
      </c>
      <c r="CR41" s="23">
        <f>CQ41+1</f>
        <v>94</v>
      </c>
      <c r="CS41" s="23">
        <f>CR41+1</f>
        <v>95</v>
      </c>
      <c r="CT41" s="22" t="s">
        <v>47</v>
      </c>
    </row>
    <row r="42" spans="1:102" hidden="1" x14ac:dyDescent="0.25">
      <c r="A42" s="97">
        <v>0</v>
      </c>
      <c r="B42" s="7">
        <f t="shared" ref="B42:B62" si="7">B43-1</f>
        <v>1996</v>
      </c>
      <c r="C42" s="26">
        <f>IF(AND($B42&gt;=InputTrianglesCount!$D$8,$CT42&gt;=C$41),1,0)</f>
        <v>0</v>
      </c>
      <c r="D42" s="27">
        <f>IF(AND($B42&gt;=InputTrianglesCount!$D$8,$CT42&gt;=D$41),1,0)</f>
        <v>0</v>
      </c>
      <c r="E42" s="27">
        <f>IF(AND($B42&gt;=InputTrianglesCount!$D$8,$CT42&gt;=E$41),1,0)</f>
        <v>0</v>
      </c>
      <c r="F42" s="27">
        <f>IF(AND($B42&gt;=InputTrianglesCount!$D$8,$CT42&gt;=F$41),1,0)</f>
        <v>0</v>
      </c>
      <c r="G42" s="27">
        <f>IF(AND($B42&gt;=InputTrianglesCount!$D$8,$CT42&gt;=G$41),1,0)</f>
        <v>0</v>
      </c>
      <c r="H42" s="27">
        <f>IF(AND($B42&gt;=InputTrianglesCount!$D$8,$CT42&gt;=H$41),1,0)</f>
        <v>0</v>
      </c>
      <c r="I42" s="27">
        <f>IF(AND($B42&gt;=InputTrianglesCount!$D$8,$CT42&gt;=I$41),1,0)</f>
        <v>0</v>
      </c>
      <c r="J42" s="27">
        <f>IF(AND($B42&gt;=InputTrianglesCount!$D$8,$CT42&gt;=J$41),1,0)</f>
        <v>0</v>
      </c>
      <c r="K42" s="27">
        <f>IF(AND($B42&gt;=InputTrianglesCount!$D$8,$CT42&gt;=K$41),1,0)</f>
        <v>0</v>
      </c>
      <c r="L42" s="27">
        <f>IF(AND($B42&gt;=InputTrianglesCount!$D$8,$CT42&gt;=L$41),1,0)</f>
        <v>0</v>
      </c>
      <c r="M42" s="27">
        <f>IF(AND($B42&gt;=InputTrianglesCount!$D$8,$CT42&gt;=M$41),1,0)</f>
        <v>0</v>
      </c>
      <c r="N42" s="27">
        <f>IF(AND($B42&gt;=InputTrianglesCount!$D$8,$CT42&gt;=N$41),1,0)</f>
        <v>0</v>
      </c>
      <c r="O42" s="27">
        <f>IF(AND($B42&gt;=InputTrianglesCount!$D$8,$CT42&gt;=O$41),1,0)</f>
        <v>0</v>
      </c>
      <c r="P42" s="27">
        <f>IF(AND($B42&gt;=InputTrianglesCount!$D$8,$CT42&gt;=P$41),1,0)</f>
        <v>0</v>
      </c>
      <c r="Q42" s="27">
        <f>IF(AND($B42&gt;=InputTrianglesCount!$D$8,$CT42&gt;=Q$41),1,0)</f>
        <v>0</v>
      </c>
      <c r="R42" s="27">
        <f>IF(AND($B42&gt;=InputTrianglesCount!$D$8,$CT42&gt;=R$41),1,0)</f>
        <v>0</v>
      </c>
      <c r="S42" s="27">
        <f>IF(AND($B42&gt;=InputTrianglesCount!$D$8,$CT42&gt;=S$41),1,0)</f>
        <v>0</v>
      </c>
      <c r="T42" s="27">
        <f>IF(AND($B42&gt;=InputTrianglesCount!$D$8,$CT42&gt;=T$41),1,0)</f>
        <v>0</v>
      </c>
      <c r="U42" s="27">
        <f>IF(AND($B42&gt;=InputTrianglesCount!$D$8,$CT42&gt;=U$41),1,0)</f>
        <v>0</v>
      </c>
      <c r="V42" s="27">
        <f>IF(AND($B42&gt;=InputTrianglesCount!$D$8,$CT42&gt;=V$41),1,0)</f>
        <v>0</v>
      </c>
      <c r="W42" s="27">
        <f>IF(AND($B42&gt;=InputTrianglesCount!$D$8,$CT42&gt;=W$41),1,0)</f>
        <v>0</v>
      </c>
      <c r="X42" s="27">
        <f>IF(AND($B42&gt;=InputTrianglesCount!$D$8,$CT42&gt;=X$41),1,0)</f>
        <v>0</v>
      </c>
      <c r="Y42" s="27">
        <f>IF(AND($B42&gt;=InputTrianglesCount!$D$8,$CT42&gt;=Y$41),1,0)</f>
        <v>0</v>
      </c>
      <c r="Z42" s="27">
        <f>IF(AND($B42&gt;=InputTrianglesCount!$D$8,$CT42&gt;=Z$41),1,0)</f>
        <v>0</v>
      </c>
      <c r="AA42" s="27">
        <f>IF(AND($B42&gt;=InputTrianglesCount!$D$8,$CT42&gt;=AA$41),1,0)</f>
        <v>0</v>
      </c>
      <c r="AB42" s="27">
        <f>IF(AND($B42&gt;=InputTrianglesCount!$D$8,$CT42&gt;=AB$41),1,0)</f>
        <v>0</v>
      </c>
      <c r="AC42" s="27">
        <f>IF(AND($B42&gt;=InputTrianglesCount!$D$8,$CT42&gt;=AC$41),1,0)</f>
        <v>0</v>
      </c>
      <c r="AD42" s="27">
        <f>IF(AND($B42&gt;=InputTrianglesCount!$D$8,$CT42&gt;=AD$41),1,0)</f>
        <v>0</v>
      </c>
      <c r="AE42" s="27">
        <f>IF(AND($B42&gt;=InputTrianglesCount!$D$8,$CT42&gt;=AE$41),1,0)</f>
        <v>0</v>
      </c>
      <c r="AF42" s="27">
        <f>IF(AND($B42&gt;=InputTrianglesCount!$D$8,$CT42&gt;=AF$41),1,0)</f>
        <v>0</v>
      </c>
      <c r="AG42" s="27">
        <f>IF(AND($B42&gt;=InputTrianglesCount!$D$8,$CT42&gt;=AG$41),1,0)</f>
        <v>0</v>
      </c>
      <c r="AH42" s="27">
        <f>IF(AND($B42&gt;=InputTrianglesCount!$D$8,$CT42&gt;=AH$41),1,0)</f>
        <v>0</v>
      </c>
      <c r="AI42" s="27">
        <f>IF(AND($B42&gt;=InputTrianglesCount!$D$8,$CT42&gt;=AI$41),1,0)</f>
        <v>0</v>
      </c>
      <c r="AJ42" s="27">
        <f>IF(AND($B42&gt;=InputTrianglesCount!$D$8,$CT42&gt;=AJ$41),1,0)</f>
        <v>0</v>
      </c>
      <c r="AK42" s="27">
        <f>IF(AND($B42&gt;=InputTrianglesCount!$D$8,$CT42&gt;=AK$41),1,0)</f>
        <v>0</v>
      </c>
      <c r="AL42" s="27">
        <f>IF(AND($B42&gt;=InputTrianglesCount!$D$8,$CT42&gt;=AL$41),1,0)</f>
        <v>0</v>
      </c>
      <c r="AM42" s="27">
        <f>IF(AND($B42&gt;=InputTrianglesCount!$D$8,$CT42&gt;=AM$41),1,0)</f>
        <v>0</v>
      </c>
      <c r="AN42" s="27">
        <f>IF(AND($B42&gt;=InputTrianglesCount!$D$8,$CT42&gt;=AN$41),1,0)</f>
        <v>0</v>
      </c>
      <c r="AO42" s="27">
        <f>IF(AND($B42&gt;=InputTrianglesCount!$D$8,$CT42&gt;=AO$41),1,0)</f>
        <v>0</v>
      </c>
      <c r="AP42" s="27">
        <f>IF(AND($B42&gt;=InputTrianglesCount!$D$8,$CT42&gt;=AP$41),1,0)</f>
        <v>0</v>
      </c>
      <c r="AQ42" s="27">
        <f>IF(AND($B42&gt;=InputTrianglesCount!$D$8,$CT42&gt;=AQ$41),1,0)</f>
        <v>0</v>
      </c>
      <c r="AR42" s="27">
        <f>IF(AND($B42&gt;=InputTrianglesCount!$D$8,$CT42&gt;=AR$41),1,0)</f>
        <v>0</v>
      </c>
      <c r="AS42" s="27">
        <f>IF(AND($B42&gt;=InputTrianglesCount!$D$8,$CT42&gt;=AS$41),1,0)</f>
        <v>0</v>
      </c>
      <c r="AT42" s="27">
        <f>IF(AND($B42&gt;=InputTrianglesCount!$D$8,$CT42&gt;=AT$41),1,0)</f>
        <v>0</v>
      </c>
      <c r="AU42" s="27">
        <f>IF(AND($B42&gt;=InputTrianglesCount!$D$8,$CT42&gt;=AU$41),1,0)</f>
        <v>0</v>
      </c>
      <c r="AV42" s="27">
        <f>IF(AND($B42&gt;=InputTrianglesCount!$D$8,$CT42&gt;=AV$41),1,0)</f>
        <v>0</v>
      </c>
      <c r="AW42" s="27">
        <f>IF(AND($B42&gt;=InputTrianglesCount!$D$8,$CT42&gt;=AW$41),1,0)</f>
        <v>0</v>
      </c>
      <c r="AX42" s="27">
        <f>IF(AND($B42&gt;=InputTrianglesCount!$D$8,$CT42&gt;=AX$41),1,0)</f>
        <v>0</v>
      </c>
      <c r="AY42" s="27">
        <f>IF(AND($B42&gt;=InputTrianglesCount!$D$8,$CT42&gt;=AY$41),1,0)</f>
        <v>0</v>
      </c>
      <c r="AZ42" s="27">
        <f>IF(AND($B42&gt;=InputTrianglesCount!$D$8,$CT42&gt;=AZ$41),1,0)</f>
        <v>0</v>
      </c>
      <c r="BA42" s="27">
        <f>IF(AND($B42&gt;=InputTrianglesCount!$D$8,$CT42&gt;=BA$41),1,0)</f>
        <v>0</v>
      </c>
      <c r="BB42" s="27">
        <f>IF(AND($B42&gt;=InputTrianglesCount!$D$8,$CT42&gt;=BB$41),1,0)</f>
        <v>0</v>
      </c>
      <c r="BC42" s="27">
        <f>IF(AND($B42&gt;=InputTrianglesCount!$D$8,$CT42&gt;=BC$41),1,0)</f>
        <v>0</v>
      </c>
      <c r="BD42" s="27">
        <f>IF(AND($B42&gt;=InputTrianglesCount!$D$8,$CT42&gt;=BD$41),1,0)</f>
        <v>0</v>
      </c>
      <c r="BE42" s="27">
        <f>IF(AND($B42&gt;=InputTrianglesCount!$D$8,$CT42&gt;=BE$41),1,0)</f>
        <v>0</v>
      </c>
      <c r="BF42" s="27">
        <f>IF(AND($B42&gt;=InputTrianglesCount!$D$8,$CT42&gt;=BF$41),1,0)</f>
        <v>0</v>
      </c>
      <c r="BG42" s="27">
        <f>IF(AND($B42&gt;=InputTrianglesCount!$D$8,$CT42&gt;=BG$41),1,0)</f>
        <v>0</v>
      </c>
      <c r="BH42" s="27">
        <f>IF(AND($B42&gt;=InputTrianglesCount!$D$8,$CT42&gt;=BH$41),1,0)</f>
        <v>0</v>
      </c>
      <c r="BI42" s="27">
        <f>IF(AND($B42&gt;=InputTrianglesCount!$D$8,$CT42&gt;=BI$41),1,0)</f>
        <v>0</v>
      </c>
      <c r="BJ42" s="27">
        <f>IF(AND($B42&gt;=InputTrianglesCount!$D$8,$CT42&gt;=BJ$41),1,0)</f>
        <v>0</v>
      </c>
      <c r="BK42" s="27">
        <f>IF(AND($B42&gt;=InputTrianglesCount!$D$8,$CT42&gt;=BK$41),1,0)</f>
        <v>0</v>
      </c>
      <c r="BL42" s="27">
        <f>IF(AND($B42&gt;=InputTrianglesCount!$D$8,$CT42&gt;=BL$41),1,0)</f>
        <v>0</v>
      </c>
      <c r="BM42" s="27">
        <f>IF(AND($B42&gt;=InputTrianglesCount!$D$8,$CT42&gt;=BM$41),1,0)</f>
        <v>0</v>
      </c>
      <c r="BN42" s="27">
        <f>IF(AND($B42&gt;=InputTrianglesCount!$D$8,$CT42&gt;=BN$41),1,0)</f>
        <v>0</v>
      </c>
      <c r="BO42" s="27">
        <f>IF(AND($B42&gt;=InputTrianglesCount!$D$8,$CT42&gt;=BO$41),1,0)</f>
        <v>0</v>
      </c>
      <c r="BP42" s="27">
        <f>IF(AND($B42&gt;=InputTrianglesCount!$D$8,$CT42&gt;=BP$41),1,0)</f>
        <v>0</v>
      </c>
      <c r="BQ42" s="27">
        <f>IF(AND($B42&gt;=InputTrianglesCount!$D$8,$CT42&gt;=BQ$41),1,0)</f>
        <v>0</v>
      </c>
      <c r="BR42" s="27">
        <f>IF(AND($B42&gt;=InputTrianglesCount!$D$8,$CT42&gt;=BR$41),1,0)</f>
        <v>0</v>
      </c>
      <c r="BS42" s="27">
        <f>IF(AND($B42&gt;=InputTrianglesCount!$D$8,$CT42&gt;=BS$41),1,0)</f>
        <v>0</v>
      </c>
      <c r="BT42" s="27">
        <f>IF(AND($B42&gt;=InputTrianglesCount!$D$8,$CT42&gt;=BT$41),1,0)</f>
        <v>0</v>
      </c>
      <c r="BU42" s="27">
        <f>IF(AND($B42&gt;=InputTrianglesCount!$D$8,$CT42&gt;=BU$41),1,0)</f>
        <v>0</v>
      </c>
      <c r="BV42" s="27">
        <f>IF(AND($B42&gt;=InputTrianglesCount!$D$8,$CT42&gt;=BV$41),1,0)</f>
        <v>0</v>
      </c>
      <c r="BW42" s="27">
        <f>IF(AND($B42&gt;=InputTrianglesCount!$D$8,$CT42&gt;=BW$41),1,0)</f>
        <v>0</v>
      </c>
      <c r="BX42" s="27">
        <f>IF(AND($B42&gt;=InputTrianglesCount!$D$8,$CT42&gt;=BX$41),1,0)</f>
        <v>0</v>
      </c>
      <c r="BY42" s="27">
        <f>IF(AND($B42&gt;=InputTrianglesCount!$D$8,$CT42&gt;=BY$41),1,0)</f>
        <v>0</v>
      </c>
      <c r="BZ42" s="27">
        <f>IF(AND($B42&gt;=InputTrianglesCount!$D$8,$CT42&gt;=BZ$41),1,0)</f>
        <v>0</v>
      </c>
      <c r="CA42" s="27">
        <f>IF(AND($B42&gt;=InputTrianglesCount!$D$8,$CT42&gt;=CA$41),1,0)</f>
        <v>0</v>
      </c>
      <c r="CB42" s="27">
        <f>IF(AND($B42&gt;=InputTrianglesCount!$D$8,$CT42&gt;=CB$41),1,0)</f>
        <v>0</v>
      </c>
      <c r="CC42" s="27">
        <f>IF(AND($B42&gt;=InputTrianglesCount!$D$8,$CT42&gt;=CC$41),1,0)</f>
        <v>0</v>
      </c>
      <c r="CD42" s="27">
        <f>IF(AND($B42&gt;=InputTrianglesCount!$D$8,$CT42&gt;=CD$41),1,0)</f>
        <v>0</v>
      </c>
      <c r="CE42" s="27">
        <f>IF(AND($B42&gt;=InputTrianglesCount!$D$8,$CT42&gt;=CE$41),1,0)</f>
        <v>0</v>
      </c>
      <c r="CF42" s="27">
        <f>IF(AND($B42&gt;=InputTrianglesCount!$D$8,$CT42&gt;=CF$41),1,0)</f>
        <v>0</v>
      </c>
      <c r="CG42" s="27">
        <f>IF(AND($B42&gt;=InputTrianglesCount!$D$8,$CT42&gt;=CG$41),1,0)</f>
        <v>0</v>
      </c>
      <c r="CH42" s="27">
        <f>IF(AND($B42&gt;=InputTrianglesCount!$D$8,$CT42&gt;=CH$41),1,0)</f>
        <v>0</v>
      </c>
      <c r="CI42" s="27">
        <f>IF(AND($B42&gt;=InputTrianglesCount!$D$8,$CT42&gt;=CI$41),1,0)</f>
        <v>0</v>
      </c>
      <c r="CJ42" s="27">
        <f>IF(AND($B42&gt;=InputTrianglesCount!$D$8,$CT42&gt;=CJ$41),1,0)</f>
        <v>0</v>
      </c>
      <c r="CK42" s="27">
        <f>IF(AND($B42&gt;=InputTrianglesCount!$D$8,$CT42&gt;=CK$41),1,0)</f>
        <v>0</v>
      </c>
      <c r="CL42" s="27">
        <f>IF(AND($B42&gt;=InputTrianglesCount!$D$8,$CT42&gt;=CL$41),1,0)</f>
        <v>0</v>
      </c>
      <c r="CM42" s="27">
        <f>IF(AND($B42&gt;=InputTrianglesCount!$D$8,$CT42&gt;=CM$41),1,0)</f>
        <v>0</v>
      </c>
      <c r="CN42" s="27">
        <f>IF(AND($B42&gt;=InputTrianglesCount!$D$8,$CT42&gt;=CN$41),1,0)</f>
        <v>0</v>
      </c>
      <c r="CO42" s="27">
        <f>IF(AND($B42&gt;=InputTrianglesCount!$D$8,$CT42&gt;=CO$41),1,0)</f>
        <v>0</v>
      </c>
      <c r="CP42" s="27">
        <f>IF(AND($B42&gt;=InputTrianglesCount!$D$8,$CT42&gt;=CP$41),1,0)</f>
        <v>0</v>
      </c>
      <c r="CQ42" s="27">
        <f>IF(AND($B42&gt;=InputTrianglesCount!$D$8,$CT42&gt;=CQ$41),1,0)</f>
        <v>0</v>
      </c>
      <c r="CR42" s="27">
        <f>IF(AND($B42&gt;=InputTrianglesCount!$D$8,$CT42&gt;=CR$41),1,0)</f>
        <v>0</v>
      </c>
      <c r="CS42" s="61">
        <f>IF(AND($B42&gt;=InputTrianglesCount!$D$8,$CT42&gt;=CS$41),1,0)</f>
        <v>0</v>
      </c>
      <c r="CT42" s="79">
        <f>($D$9-InputTrianglesCount!$B42)*InputTrianglesCount!$E$4+$D$6</f>
        <v>24</v>
      </c>
    </row>
    <row r="43" spans="1:102" hidden="1" x14ac:dyDescent="0.25">
      <c r="A43" s="97">
        <v>0</v>
      </c>
      <c r="B43" s="29">
        <f t="shared" si="7"/>
        <v>1997</v>
      </c>
      <c r="C43" s="30">
        <f>IF(AND($B43&gt;=InputTrianglesCount!$D$8,$CT43&gt;=C$41),1,0)</f>
        <v>0</v>
      </c>
      <c r="D43" s="33">
        <f>IF(AND($B43&gt;=InputTrianglesCount!$D$8,$CT43&gt;=D$41),1,0)</f>
        <v>0</v>
      </c>
      <c r="E43" s="33">
        <f>IF(AND($B43&gt;=InputTrianglesCount!$D$8,$CT43&gt;=E$41),1,0)</f>
        <v>0</v>
      </c>
      <c r="F43" s="33">
        <f>IF(AND($B43&gt;=InputTrianglesCount!$D$8,$CT43&gt;=F$41),1,0)</f>
        <v>0</v>
      </c>
      <c r="G43" s="33">
        <f>IF(AND($B43&gt;=InputTrianglesCount!$D$8,$CT43&gt;=G$41),1,0)</f>
        <v>0</v>
      </c>
      <c r="H43" s="33">
        <f>IF(AND($B43&gt;=InputTrianglesCount!$D$8,$CT43&gt;=H$41),1,0)</f>
        <v>0</v>
      </c>
      <c r="I43" s="33">
        <f>IF(AND($B43&gt;=InputTrianglesCount!$D$8,$CT43&gt;=I$41),1,0)</f>
        <v>0</v>
      </c>
      <c r="J43" s="33">
        <f>IF(AND($B43&gt;=InputTrianglesCount!$D$8,$CT43&gt;=J$41),1,0)</f>
        <v>0</v>
      </c>
      <c r="K43" s="33">
        <f>IF(AND($B43&gt;=InputTrianglesCount!$D$8,$CT43&gt;=K$41),1,0)</f>
        <v>0</v>
      </c>
      <c r="L43" s="33">
        <f>IF(AND($B43&gt;=InputTrianglesCount!$D$8,$CT43&gt;=L$41),1,0)</f>
        <v>0</v>
      </c>
      <c r="M43" s="33">
        <f>IF(AND($B43&gt;=InputTrianglesCount!$D$8,$CT43&gt;=M$41),1,0)</f>
        <v>0</v>
      </c>
      <c r="N43" s="33">
        <f>IF(AND($B43&gt;=InputTrianglesCount!$D$8,$CT43&gt;=N$41),1,0)</f>
        <v>0</v>
      </c>
      <c r="O43" s="33">
        <f>IF(AND($B43&gt;=InputTrianglesCount!$D$8,$CT43&gt;=O$41),1,0)</f>
        <v>0</v>
      </c>
      <c r="P43" s="33">
        <f>IF(AND($B43&gt;=InputTrianglesCount!$D$8,$CT43&gt;=P$41),1,0)</f>
        <v>0</v>
      </c>
      <c r="Q43" s="33">
        <f>IF(AND($B43&gt;=InputTrianglesCount!$D$8,$CT43&gt;=Q$41),1,0)</f>
        <v>0</v>
      </c>
      <c r="R43" s="33">
        <f>IF(AND($B43&gt;=InputTrianglesCount!$D$8,$CT43&gt;=R$41),1,0)</f>
        <v>0</v>
      </c>
      <c r="S43" s="33">
        <f>IF(AND($B43&gt;=InputTrianglesCount!$D$8,$CT43&gt;=S$41),1,0)</f>
        <v>0</v>
      </c>
      <c r="T43" s="33">
        <f>IF(AND($B43&gt;=InputTrianglesCount!$D$8,$CT43&gt;=T$41),1,0)</f>
        <v>0</v>
      </c>
      <c r="U43" s="33">
        <f>IF(AND($B43&gt;=InputTrianglesCount!$D$8,$CT43&gt;=U$41),1,0)</f>
        <v>0</v>
      </c>
      <c r="V43" s="33">
        <f>IF(AND($B43&gt;=InputTrianglesCount!$D$8,$CT43&gt;=V$41),1,0)</f>
        <v>0</v>
      </c>
      <c r="W43" s="33">
        <f>IF(AND($B43&gt;=InputTrianglesCount!$D$8,$CT43&gt;=W$41),1,0)</f>
        <v>0</v>
      </c>
      <c r="X43" s="33">
        <f>IF(AND($B43&gt;=InputTrianglesCount!$D$8,$CT43&gt;=X$41),1,0)</f>
        <v>0</v>
      </c>
      <c r="Y43" s="33">
        <f>IF(AND($B43&gt;=InputTrianglesCount!$D$8,$CT43&gt;=Y$41),1,0)</f>
        <v>0</v>
      </c>
      <c r="Z43" s="33">
        <f>IF(AND($B43&gt;=InputTrianglesCount!$D$8,$CT43&gt;=Z$41),1,0)</f>
        <v>0</v>
      </c>
      <c r="AA43" s="33">
        <f>IF(AND($B43&gt;=InputTrianglesCount!$D$8,$CT43&gt;=AA$41),1,0)</f>
        <v>0</v>
      </c>
      <c r="AB43" s="33">
        <f>IF(AND($B43&gt;=InputTrianglesCount!$D$8,$CT43&gt;=AB$41),1,0)</f>
        <v>0</v>
      </c>
      <c r="AC43" s="33">
        <f>IF(AND($B43&gt;=InputTrianglesCount!$D$8,$CT43&gt;=AC$41),1,0)</f>
        <v>0</v>
      </c>
      <c r="AD43" s="33">
        <f>IF(AND($B43&gt;=InputTrianglesCount!$D$8,$CT43&gt;=AD$41),1,0)</f>
        <v>0</v>
      </c>
      <c r="AE43" s="33">
        <f>IF(AND($B43&gt;=InputTrianglesCount!$D$8,$CT43&gt;=AE$41),1,0)</f>
        <v>0</v>
      </c>
      <c r="AF43" s="33">
        <f>IF(AND($B43&gt;=InputTrianglesCount!$D$8,$CT43&gt;=AF$41),1,0)</f>
        <v>0</v>
      </c>
      <c r="AG43" s="33">
        <f>IF(AND($B43&gt;=InputTrianglesCount!$D$8,$CT43&gt;=AG$41),1,0)</f>
        <v>0</v>
      </c>
      <c r="AH43" s="33">
        <f>IF(AND($B43&gt;=InputTrianglesCount!$D$8,$CT43&gt;=AH$41),1,0)</f>
        <v>0</v>
      </c>
      <c r="AI43" s="33">
        <f>IF(AND($B43&gt;=InputTrianglesCount!$D$8,$CT43&gt;=AI$41),1,0)</f>
        <v>0</v>
      </c>
      <c r="AJ43" s="33">
        <f>IF(AND($B43&gt;=InputTrianglesCount!$D$8,$CT43&gt;=AJ$41),1,0)</f>
        <v>0</v>
      </c>
      <c r="AK43" s="33">
        <f>IF(AND($B43&gt;=InputTrianglesCount!$D$8,$CT43&gt;=AK$41),1,0)</f>
        <v>0</v>
      </c>
      <c r="AL43" s="33">
        <f>IF(AND($B43&gt;=InputTrianglesCount!$D$8,$CT43&gt;=AL$41),1,0)</f>
        <v>0</v>
      </c>
      <c r="AM43" s="33">
        <f>IF(AND($B43&gt;=InputTrianglesCount!$D$8,$CT43&gt;=AM$41),1,0)</f>
        <v>0</v>
      </c>
      <c r="AN43" s="33">
        <f>IF(AND($B43&gt;=InputTrianglesCount!$D$8,$CT43&gt;=AN$41),1,0)</f>
        <v>0</v>
      </c>
      <c r="AO43" s="33">
        <f>IF(AND($B43&gt;=InputTrianglesCount!$D$8,$CT43&gt;=AO$41),1,0)</f>
        <v>0</v>
      </c>
      <c r="AP43" s="33">
        <f>IF(AND($B43&gt;=InputTrianglesCount!$D$8,$CT43&gt;=AP$41),1,0)</f>
        <v>0</v>
      </c>
      <c r="AQ43" s="33">
        <f>IF(AND($B43&gt;=InputTrianglesCount!$D$8,$CT43&gt;=AQ$41),1,0)</f>
        <v>0</v>
      </c>
      <c r="AR43" s="33">
        <f>IF(AND($B43&gt;=InputTrianglesCount!$D$8,$CT43&gt;=AR$41),1,0)</f>
        <v>0</v>
      </c>
      <c r="AS43" s="33">
        <f>IF(AND($B43&gt;=InputTrianglesCount!$D$8,$CT43&gt;=AS$41),1,0)</f>
        <v>0</v>
      </c>
      <c r="AT43" s="33">
        <f>IF(AND($B43&gt;=InputTrianglesCount!$D$8,$CT43&gt;=AT$41),1,0)</f>
        <v>0</v>
      </c>
      <c r="AU43" s="33">
        <f>IF(AND($B43&gt;=InputTrianglesCount!$D$8,$CT43&gt;=AU$41),1,0)</f>
        <v>0</v>
      </c>
      <c r="AV43" s="33">
        <f>IF(AND($B43&gt;=InputTrianglesCount!$D$8,$CT43&gt;=AV$41),1,0)</f>
        <v>0</v>
      </c>
      <c r="AW43" s="33">
        <f>IF(AND($B43&gt;=InputTrianglesCount!$D$8,$CT43&gt;=AW$41),1,0)</f>
        <v>0</v>
      </c>
      <c r="AX43" s="33">
        <f>IF(AND($B43&gt;=InputTrianglesCount!$D$8,$CT43&gt;=AX$41),1,0)</f>
        <v>0</v>
      </c>
      <c r="AY43" s="33">
        <f>IF(AND($B43&gt;=InputTrianglesCount!$D$8,$CT43&gt;=AY$41),1,0)</f>
        <v>0</v>
      </c>
      <c r="AZ43" s="33">
        <f>IF(AND($B43&gt;=InputTrianglesCount!$D$8,$CT43&gt;=AZ$41),1,0)</f>
        <v>0</v>
      </c>
      <c r="BA43" s="33">
        <f>IF(AND($B43&gt;=InputTrianglesCount!$D$8,$CT43&gt;=BA$41),1,0)</f>
        <v>0</v>
      </c>
      <c r="BB43" s="33">
        <f>IF(AND($B43&gt;=InputTrianglesCount!$D$8,$CT43&gt;=BB$41),1,0)</f>
        <v>0</v>
      </c>
      <c r="BC43" s="33">
        <f>IF(AND($B43&gt;=InputTrianglesCount!$D$8,$CT43&gt;=BC$41),1,0)</f>
        <v>0</v>
      </c>
      <c r="BD43" s="33">
        <f>IF(AND($B43&gt;=InputTrianglesCount!$D$8,$CT43&gt;=BD$41),1,0)</f>
        <v>0</v>
      </c>
      <c r="BE43" s="33">
        <f>IF(AND($B43&gt;=InputTrianglesCount!$D$8,$CT43&gt;=BE$41),1,0)</f>
        <v>0</v>
      </c>
      <c r="BF43" s="33">
        <f>IF(AND($B43&gt;=InputTrianglesCount!$D$8,$CT43&gt;=BF$41),1,0)</f>
        <v>0</v>
      </c>
      <c r="BG43" s="33">
        <f>IF(AND($B43&gt;=InputTrianglesCount!$D$8,$CT43&gt;=BG$41),1,0)</f>
        <v>0</v>
      </c>
      <c r="BH43" s="33">
        <f>IF(AND($B43&gt;=InputTrianglesCount!$D$8,$CT43&gt;=BH$41),1,0)</f>
        <v>0</v>
      </c>
      <c r="BI43" s="33">
        <f>IF(AND($B43&gt;=InputTrianglesCount!$D$8,$CT43&gt;=BI$41),1,0)</f>
        <v>0</v>
      </c>
      <c r="BJ43" s="33">
        <f>IF(AND($B43&gt;=InputTrianglesCount!$D$8,$CT43&gt;=BJ$41),1,0)</f>
        <v>0</v>
      </c>
      <c r="BK43" s="33">
        <f>IF(AND($B43&gt;=InputTrianglesCount!$D$8,$CT43&gt;=BK$41),1,0)</f>
        <v>0</v>
      </c>
      <c r="BL43" s="33">
        <f>IF(AND($B43&gt;=InputTrianglesCount!$D$8,$CT43&gt;=BL$41),1,0)</f>
        <v>0</v>
      </c>
      <c r="BM43" s="33">
        <f>IF(AND($B43&gt;=InputTrianglesCount!$D$8,$CT43&gt;=BM$41),1,0)</f>
        <v>0</v>
      </c>
      <c r="BN43" s="33">
        <f>IF(AND($B43&gt;=InputTrianglesCount!$D$8,$CT43&gt;=BN$41),1,0)</f>
        <v>0</v>
      </c>
      <c r="BO43" s="33">
        <f>IF(AND($B43&gt;=InputTrianglesCount!$D$8,$CT43&gt;=BO$41),1,0)</f>
        <v>0</v>
      </c>
      <c r="BP43" s="33">
        <f>IF(AND($B43&gt;=InputTrianglesCount!$D$8,$CT43&gt;=BP$41),1,0)</f>
        <v>0</v>
      </c>
      <c r="BQ43" s="33">
        <f>IF(AND($B43&gt;=InputTrianglesCount!$D$8,$CT43&gt;=BQ$41),1,0)</f>
        <v>0</v>
      </c>
      <c r="BR43" s="33">
        <f>IF(AND($B43&gt;=InputTrianglesCount!$D$8,$CT43&gt;=BR$41),1,0)</f>
        <v>0</v>
      </c>
      <c r="BS43" s="33">
        <f>IF(AND($B43&gt;=InputTrianglesCount!$D$8,$CT43&gt;=BS$41),1,0)</f>
        <v>0</v>
      </c>
      <c r="BT43" s="33">
        <f>IF(AND($B43&gt;=InputTrianglesCount!$D$8,$CT43&gt;=BT$41),1,0)</f>
        <v>0</v>
      </c>
      <c r="BU43" s="33">
        <f>IF(AND($B43&gt;=InputTrianglesCount!$D$8,$CT43&gt;=BU$41),1,0)</f>
        <v>0</v>
      </c>
      <c r="BV43" s="33">
        <f>IF(AND($B43&gt;=InputTrianglesCount!$D$8,$CT43&gt;=BV$41),1,0)</f>
        <v>0</v>
      </c>
      <c r="BW43" s="33">
        <f>IF(AND($B43&gt;=InputTrianglesCount!$D$8,$CT43&gt;=BW$41),1,0)</f>
        <v>0</v>
      </c>
      <c r="BX43" s="33">
        <f>IF(AND($B43&gt;=InputTrianglesCount!$D$8,$CT43&gt;=BX$41),1,0)</f>
        <v>0</v>
      </c>
      <c r="BY43" s="33">
        <f>IF(AND($B43&gt;=InputTrianglesCount!$D$8,$CT43&gt;=BY$41),1,0)</f>
        <v>0</v>
      </c>
      <c r="BZ43" s="33">
        <f>IF(AND($B43&gt;=InputTrianglesCount!$D$8,$CT43&gt;=BZ$41),1,0)</f>
        <v>0</v>
      </c>
      <c r="CA43" s="33">
        <f>IF(AND($B43&gt;=InputTrianglesCount!$D$8,$CT43&gt;=CA$41),1,0)</f>
        <v>0</v>
      </c>
      <c r="CB43" s="33">
        <f>IF(AND($B43&gt;=InputTrianglesCount!$D$8,$CT43&gt;=CB$41),1,0)</f>
        <v>0</v>
      </c>
      <c r="CC43" s="33">
        <f>IF(AND($B43&gt;=InputTrianglesCount!$D$8,$CT43&gt;=CC$41),1,0)</f>
        <v>0</v>
      </c>
      <c r="CD43" s="33">
        <f>IF(AND($B43&gt;=InputTrianglesCount!$D$8,$CT43&gt;=CD$41),1,0)</f>
        <v>0</v>
      </c>
      <c r="CE43" s="33">
        <f>IF(AND($B43&gt;=InputTrianglesCount!$D$8,$CT43&gt;=CE$41),1,0)</f>
        <v>0</v>
      </c>
      <c r="CF43" s="33">
        <f>IF(AND($B43&gt;=InputTrianglesCount!$D$8,$CT43&gt;=CF$41),1,0)</f>
        <v>0</v>
      </c>
      <c r="CG43" s="33">
        <f>IF(AND($B43&gt;=InputTrianglesCount!$D$8,$CT43&gt;=CG$41),1,0)</f>
        <v>0</v>
      </c>
      <c r="CH43" s="33">
        <f>IF(AND($B43&gt;=InputTrianglesCount!$D$8,$CT43&gt;=CH$41),1,0)</f>
        <v>0</v>
      </c>
      <c r="CI43" s="33">
        <f>IF(AND($B43&gt;=InputTrianglesCount!$D$8,$CT43&gt;=CI$41),1,0)</f>
        <v>0</v>
      </c>
      <c r="CJ43" s="33">
        <f>IF(AND($B43&gt;=InputTrianglesCount!$D$8,$CT43&gt;=CJ$41),1,0)</f>
        <v>0</v>
      </c>
      <c r="CK43" s="33">
        <f>IF(AND($B43&gt;=InputTrianglesCount!$D$8,$CT43&gt;=CK$41),1,0)</f>
        <v>0</v>
      </c>
      <c r="CL43" s="33">
        <f>IF(AND($B43&gt;=InputTrianglesCount!$D$8,$CT43&gt;=CL$41),1,0)</f>
        <v>0</v>
      </c>
      <c r="CM43" s="33">
        <f>IF(AND($B43&gt;=InputTrianglesCount!$D$8,$CT43&gt;=CM$41),1,0)</f>
        <v>0</v>
      </c>
      <c r="CN43" s="33">
        <f>IF(AND($B43&gt;=InputTrianglesCount!$D$8,$CT43&gt;=CN$41),1,0)</f>
        <v>0</v>
      </c>
      <c r="CO43" s="33">
        <f>IF(AND($B43&gt;=InputTrianglesCount!$D$8,$CT43&gt;=CO$41),1,0)</f>
        <v>0</v>
      </c>
      <c r="CP43" s="33">
        <f>IF(AND($B43&gt;=InputTrianglesCount!$D$8,$CT43&gt;=CP$41),1,0)</f>
        <v>0</v>
      </c>
      <c r="CQ43" s="33">
        <f>IF(AND($B43&gt;=InputTrianglesCount!$D$8,$CT43&gt;=CQ$41),1,0)</f>
        <v>0</v>
      </c>
      <c r="CR43" s="33">
        <f>IF(AND($B43&gt;=InputTrianglesCount!$D$8,$CT43&gt;=CR$41),1,0)</f>
        <v>0</v>
      </c>
      <c r="CS43" s="32">
        <f>IF(AND($B43&gt;=InputTrianglesCount!$D$8,$CT43&gt;=CS$41),1,0)</f>
        <v>0</v>
      </c>
      <c r="CT43" s="31">
        <f>($D$9-InputTrianglesCount!$B43)*InputTrianglesCount!$E$4+$D$6</f>
        <v>23</v>
      </c>
    </row>
    <row r="44" spans="1:102" hidden="1" x14ac:dyDescent="0.25">
      <c r="A44" s="97">
        <v>0</v>
      </c>
      <c r="B44" s="29">
        <f t="shared" si="7"/>
        <v>1998</v>
      </c>
      <c r="C44" s="30">
        <f>IF(AND($B44&gt;=InputTrianglesCount!$D$8,$CT44&gt;=C$41),1,0)</f>
        <v>0</v>
      </c>
      <c r="D44" s="33">
        <f>IF(AND($B44&gt;=InputTrianglesCount!$D$8,$CT44&gt;=D$41),1,0)</f>
        <v>0</v>
      </c>
      <c r="E44" s="33">
        <f>IF(AND($B44&gt;=InputTrianglesCount!$D$8,$CT44&gt;=E$41),1,0)</f>
        <v>0</v>
      </c>
      <c r="F44" s="33">
        <f>IF(AND($B44&gt;=InputTrianglesCount!$D$8,$CT44&gt;=F$41),1,0)</f>
        <v>0</v>
      </c>
      <c r="G44" s="33">
        <f>IF(AND($B44&gt;=InputTrianglesCount!$D$8,$CT44&gt;=G$41),1,0)</f>
        <v>0</v>
      </c>
      <c r="H44" s="33">
        <f>IF(AND($B44&gt;=InputTrianglesCount!$D$8,$CT44&gt;=H$41),1,0)</f>
        <v>0</v>
      </c>
      <c r="I44" s="33">
        <f>IF(AND($B44&gt;=InputTrianglesCount!$D$8,$CT44&gt;=I$41),1,0)</f>
        <v>0</v>
      </c>
      <c r="J44" s="33">
        <f>IF(AND($B44&gt;=InputTrianglesCount!$D$8,$CT44&gt;=J$41),1,0)</f>
        <v>0</v>
      </c>
      <c r="K44" s="33">
        <f>IF(AND($B44&gt;=InputTrianglesCount!$D$8,$CT44&gt;=K$41),1,0)</f>
        <v>0</v>
      </c>
      <c r="L44" s="33">
        <f>IF(AND($B44&gt;=InputTrianglesCount!$D$8,$CT44&gt;=L$41),1,0)</f>
        <v>0</v>
      </c>
      <c r="M44" s="33">
        <f>IF(AND($B44&gt;=InputTrianglesCount!$D$8,$CT44&gt;=M$41),1,0)</f>
        <v>0</v>
      </c>
      <c r="N44" s="33">
        <f>IF(AND($B44&gt;=InputTrianglesCount!$D$8,$CT44&gt;=N$41),1,0)</f>
        <v>0</v>
      </c>
      <c r="O44" s="33">
        <f>IF(AND($B44&gt;=InputTrianglesCount!$D$8,$CT44&gt;=O$41),1,0)</f>
        <v>0</v>
      </c>
      <c r="P44" s="33">
        <f>IF(AND($B44&gt;=InputTrianglesCount!$D$8,$CT44&gt;=P$41),1,0)</f>
        <v>0</v>
      </c>
      <c r="Q44" s="33">
        <f>IF(AND($B44&gt;=InputTrianglesCount!$D$8,$CT44&gt;=Q$41),1,0)</f>
        <v>0</v>
      </c>
      <c r="R44" s="33">
        <f>IF(AND($B44&gt;=InputTrianglesCount!$D$8,$CT44&gt;=R$41),1,0)</f>
        <v>0</v>
      </c>
      <c r="S44" s="33">
        <f>IF(AND($B44&gt;=InputTrianglesCount!$D$8,$CT44&gt;=S$41),1,0)</f>
        <v>0</v>
      </c>
      <c r="T44" s="33">
        <f>IF(AND($B44&gt;=InputTrianglesCount!$D$8,$CT44&gt;=T$41),1,0)</f>
        <v>0</v>
      </c>
      <c r="U44" s="33">
        <f>IF(AND($B44&gt;=InputTrianglesCount!$D$8,$CT44&gt;=U$41),1,0)</f>
        <v>0</v>
      </c>
      <c r="V44" s="33">
        <f>IF(AND($B44&gt;=InputTrianglesCount!$D$8,$CT44&gt;=V$41),1,0)</f>
        <v>0</v>
      </c>
      <c r="W44" s="33">
        <f>IF(AND($B44&gt;=InputTrianglesCount!$D$8,$CT44&gt;=W$41),1,0)</f>
        <v>0</v>
      </c>
      <c r="X44" s="33">
        <f>IF(AND($B44&gt;=InputTrianglesCount!$D$8,$CT44&gt;=X$41),1,0)</f>
        <v>0</v>
      </c>
      <c r="Y44" s="33">
        <f>IF(AND($B44&gt;=InputTrianglesCount!$D$8,$CT44&gt;=Y$41),1,0)</f>
        <v>0</v>
      </c>
      <c r="Z44" s="33">
        <f>IF(AND($B44&gt;=InputTrianglesCount!$D$8,$CT44&gt;=Z$41),1,0)</f>
        <v>0</v>
      </c>
      <c r="AA44" s="33">
        <f>IF(AND($B44&gt;=InputTrianglesCount!$D$8,$CT44&gt;=AA$41),1,0)</f>
        <v>0</v>
      </c>
      <c r="AB44" s="33">
        <f>IF(AND($B44&gt;=InputTrianglesCount!$D$8,$CT44&gt;=AB$41),1,0)</f>
        <v>0</v>
      </c>
      <c r="AC44" s="33">
        <f>IF(AND($B44&gt;=InputTrianglesCount!$D$8,$CT44&gt;=AC$41),1,0)</f>
        <v>0</v>
      </c>
      <c r="AD44" s="33">
        <f>IF(AND($B44&gt;=InputTrianglesCount!$D$8,$CT44&gt;=AD$41),1,0)</f>
        <v>0</v>
      </c>
      <c r="AE44" s="33">
        <f>IF(AND($B44&gt;=InputTrianglesCount!$D$8,$CT44&gt;=AE$41),1,0)</f>
        <v>0</v>
      </c>
      <c r="AF44" s="33">
        <f>IF(AND($B44&gt;=InputTrianglesCount!$D$8,$CT44&gt;=AF$41),1,0)</f>
        <v>0</v>
      </c>
      <c r="AG44" s="33">
        <f>IF(AND($B44&gt;=InputTrianglesCount!$D$8,$CT44&gt;=AG$41),1,0)</f>
        <v>0</v>
      </c>
      <c r="AH44" s="33">
        <f>IF(AND($B44&gt;=InputTrianglesCount!$D$8,$CT44&gt;=AH$41),1,0)</f>
        <v>0</v>
      </c>
      <c r="AI44" s="33">
        <f>IF(AND($B44&gt;=InputTrianglesCount!$D$8,$CT44&gt;=AI$41),1,0)</f>
        <v>0</v>
      </c>
      <c r="AJ44" s="33">
        <f>IF(AND($B44&gt;=InputTrianglesCount!$D$8,$CT44&gt;=AJ$41),1,0)</f>
        <v>0</v>
      </c>
      <c r="AK44" s="33">
        <f>IF(AND($B44&gt;=InputTrianglesCount!$D$8,$CT44&gt;=AK$41),1,0)</f>
        <v>0</v>
      </c>
      <c r="AL44" s="33">
        <f>IF(AND($B44&gt;=InputTrianglesCount!$D$8,$CT44&gt;=AL$41),1,0)</f>
        <v>0</v>
      </c>
      <c r="AM44" s="33">
        <f>IF(AND($B44&gt;=InputTrianglesCount!$D$8,$CT44&gt;=AM$41),1,0)</f>
        <v>0</v>
      </c>
      <c r="AN44" s="33">
        <f>IF(AND($B44&gt;=InputTrianglesCount!$D$8,$CT44&gt;=AN$41),1,0)</f>
        <v>0</v>
      </c>
      <c r="AO44" s="33">
        <f>IF(AND($B44&gt;=InputTrianglesCount!$D$8,$CT44&gt;=AO$41),1,0)</f>
        <v>0</v>
      </c>
      <c r="AP44" s="33">
        <f>IF(AND($B44&gt;=InputTrianglesCount!$D$8,$CT44&gt;=AP$41),1,0)</f>
        <v>0</v>
      </c>
      <c r="AQ44" s="33">
        <f>IF(AND($B44&gt;=InputTrianglesCount!$D$8,$CT44&gt;=AQ$41),1,0)</f>
        <v>0</v>
      </c>
      <c r="AR44" s="33">
        <f>IF(AND($B44&gt;=InputTrianglesCount!$D$8,$CT44&gt;=AR$41),1,0)</f>
        <v>0</v>
      </c>
      <c r="AS44" s="33">
        <f>IF(AND($B44&gt;=InputTrianglesCount!$D$8,$CT44&gt;=AS$41),1,0)</f>
        <v>0</v>
      </c>
      <c r="AT44" s="33">
        <f>IF(AND($B44&gt;=InputTrianglesCount!$D$8,$CT44&gt;=AT$41),1,0)</f>
        <v>0</v>
      </c>
      <c r="AU44" s="33">
        <f>IF(AND($B44&gt;=InputTrianglesCount!$D$8,$CT44&gt;=AU$41),1,0)</f>
        <v>0</v>
      </c>
      <c r="AV44" s="33">
        <f>IF(AND($B44&gt;=InputTrianglesCount!$D$8,$CT44&gt;=AV$41),1,0)</f>
        <v>0</v>
      </c>
      <c r="AW44" s="33">
        <f>IF(AND($B44&gt;=InputTrianglesCount!$D$8,$CT44&gt;=AW$41),1,0)</f>
        <v>0</v>
      </c>
      <c r="AX44" s="33">
        <f>IF(AND($B44&gt;=InputTrianglesCount!$D$8,$CT44&gt;=AX$41),1,0)</f>
        <v>0</v>
      </c>
      <c r="AY44" s="33">
        <f>IF(AND($B44&gt;=InputTrianglesCount!$D$8,$CT44&gt;=AY$41),1,0)</f>
        <v>0</v>
      </c>
      <c r="AZ44" s="33">
        <f>IF(AND($B44&gt;=InputTrianglesCount!$D$8,$CT44&gt;=AZ$41),1,0)</f>
        <v>0</v>
      </c>
      <c r="BA44" s="33">
        <f>IF(AND($B44&gt;=InputTrianglesCount!$D$8,$CT44&gt;=BA$41),1,0)</f>
        <v>0</v>
      </c>
      <c r="BB44" s="33">
        <f>IF(AND($B44&gt;=InputTrianglesCount!$D$8,$CT44&gt;=BB$41),1,0)</f>
        <v>0</v>
      </c>
      <c r="BC44" s="33">
        <f>IF(AND($B44&gt;=InputTrianglesCount!$D$8,$CT44&gt;=BC$41),1,0)</f>
        <v>0</v>
      </c>
      <c r="BD44" s="33">
        <f>IF(AND($B44&gt;=InputTrianglesCount!$D$8,$CT44&gt;=BD$41),1,0)</f>
        <v>0</v>
      </c>
      <c r="BE44" s="33">
        <f>IF(AND($B44&gt;=InputTrianglesCount!$D$8,$CT44&gt;=BE$41),1,0)</f>
        <v>0</v>
      </c>
      <c r="BF44" s="33">
        <f>IF(AND($B44&gt;=InputTrianglesCount!$D$8,$CT44&gt;=BF$41),1,0)</f>
        <v>0</v>
      </c>
      <c r="BG44" s="33">
        <f>IF(AND($B44&gt;=InputTrianglesCount!$D$8,$CT44&gt;=BG$41),1,0)</f>
        <v>0</v>
      </c>
      <c r="BH44" s="33">
        <f>IF(AND($B44&gt;=InputTrianglesCount!$D$8,$CT44&gt;=BH$41),1,0)</f>
        <v>0</v>
      </c>
      <c r="BI44" s="33">
        <f>IF(AND($B44&gt;=InputTrianglesCount!$D$8,$CT44&gt;=BI$41),1,0)</f>
        <v>0</v>
      </c>
      <c r="BJ44" s="33">
        <f>IF(AND($B44&gt;=InputTrianglesCount!$D$8,$CT44&gt;=BJ$41),1,0)</f>
        <v>0</v>
      </c>
      <c r="BK44" s="33">
        <f>IF(AND($B44&gt;=InputTrianglesCount!$D$8,$CT44&gt;=BK$41),1,0)</f>
        <v>0</v>
      </c>
      <c r="BL44" s="33">
        <f>IF(AND($B44&gt;=InputTrianglesCount!$D$8,$CT44&gt;=BL$41),1,0)</f>
        <v>0</v>
      </c>
      <c r="BM44" s="33">
        <f>IF(AND($B44&gt;=InputTrianglesCount!$D$8,$CT44&gt;=BM$41),1,0)</f>
        <v>0</v>
      </c>
      <c r="BN44" s="33">
        <f>IF(AND($B44&gt;=InputTrianglesCount!$D$8,$CT44&gt;=BN$41),1,0)</f>
        <v>0</v>
      </c>
      <c r="BO44" s="33">
        <f>IF(AND($B44&gt;=InputTrianglesCount!$D$8,$CT44&gt;=BO$41),1,0)</f>
        <v>0</v>
      </c>
      <c r="BP44" s="33">
        <f>IF(AND($B44&gt;=InputTrianglesCount!$D$8,$CT44&gt;=BP$41),1,0)</f>
        <v>0</v>
      </c>
      <c r="BQ44" s="33">
        <f>IF(AND($B44&gt;=InputTrianglesCount!$D$8,$CT44&gt;=BQ$41),1,0)</f>
        <v>0</v>
      </c>
      <c r="BR44" s="33">
        <f>IF(AND($B44&gt;=InputTrianglesCount!$D$8,$CT44&gt;=BR$41),1,0)</f>
        <v>0</v>
      </c>
      <c r="BS44" s="33">
        <f>IF(AND($B44&gt;=InputTrianglesCount!$D$8,$CT44&gt;=BS$41),1,0)</f>
        <v>0</v>
      </c>
      <c r="BT44" s="33">
        <f>IF(AND($B44&gt;=InputTrianglesCount!$D$8,$CT44&gt;=BT$41),1,0)</f>
        <v>0</v>
      </c>
      <c r="BU44" s="33">
        <f>IF(AND($B44&gt;=InputTrianglesCount!$D$8,$CT44&gt;=BU$41),1,0)</f>
        <v>0</v>
      </c>
      <c r="BV44" s="33">
        <f>IF(AND($B44&gt;=InputTrianglesCount!$D$8,$CT44&gt;=BV$41),1,0)</f>
        <v>0</v>
      </c>
      <c r="BW44" s="33">
        <f>IF(AND($B44&gt;=InputTrianglesCount!$D$8,$CT44&gt;=BW$41),1,0)</f>
        <v>0</v>
      </c>
      <c r="BX44" s="33">
        <f>IF(AND($B44&gt;=InputTrianglesCount!$D$8,$CT44&gt;=BX$41),1,0)</f>
        <v>0</v>
      </c>
      <c r="BY44" s="33">
        <f>IF(AND($B44&gt;=InputTrianglesCount!$D$8,$CT44&gt;=BY$41),1,0)</f>
        <v>0</v>
      </c>
      <c r="BZ44" s="33">
        <f>IF(AND($B44&gt;=InputTrianglesCount!$D$8,$CT44&gt;=BZ$41),1,0)</f>
        <v>0</v>
      </c>
      <c r="CA44" s="33">
        <f>IF(AND($B44&gt;=InputTrianglesCount!$D$8,$CT44&gt;=CA$41),1,0)</f>
        <v>0</v>
      </c>
      <c r="CB44" s="33">
        <f>IF(AND($B44&gt;=InputTrianglesCount!$D$8,$CT44&gt;=CB$41),1,0)</f>
        <v>0</v>
      </c>
      <c r="CC44" s="33">
        <f>IF(AND($B44&gt;=InputTrianglesCount!$D$8,$CT44&gt;=CC$41),1,0)</f>
        <v>0</v>
      </c>
      <c r="CD44" s="33">
        <f>IF(AND($B44&gt;=InputTrianglesCount!$D$8,$CT44&gt;=CD$41),1,0)</f>
        <v>0</v>
      </c>
      <c r="CE44" s="33">
        <f>IF(AND($B44&gt;=InputTrianglesCount!$D$8,$CT44&gt;=CE$41),1,0)</f>
        <v>0</v>
      </c>
      <c r="CF44" s="33">
        <f>IF(AND($B44&gt;=InputTrianglesCount!$D$8,$CT44&gt;=CF$41),1,0)</f>
        <v>0</v>
      </c>
      <c r="CG44" s="33">
        <f>IF(AND($B44&gt;=InputTrianglesCount!$D$8,$CT44&gt;=CG$41),1,0)</f>
        <v>0</v>
      </c>
      <c r="CH44" s="33">
        <f>IF(AND($B44&gt;=InputTrianglesCount!$D$8,$CT44&gt;=CH$41),1,0)</f>
        <v>0</v>
      </c>
      <c r="CI44" s="33">
        <f>IF(AND($B44&gt;=InputTrianglesCount!$D$8,$CT44&gt;=CI$41),1,0)</f>
        <v>0</v>
      </c>
      <c r="CJ44" s="33">
        <f>IF(AND($B44&gt;=InputTrianglesCount!$D$8,$CT44&gt;=CJ$41),1,0)</f>
        <v>0</v>
      </c>
      <c r="CK44" s="33">
        <f>IF(AND($B44&gt;=InputTrianglesCount!$D$8,$CT44&gt;=CK$41),1,0)</f>
        <v>0</v>
      </c>
      <c r="CL44" s="33">
        <f>IF(AND($B44&gt;=InputTrianglesCount!$D$8,$CT44&gt;=CL$41),1,0)</f>
        <v>0</v>
      </c>
      <c r="CM44" s="33">
        <f>IF(AND($B44&gt;=InputTrianglesCount!$D$8,$CT44&gt;=CM$41),1,0)</f>
        <v>0</v>
      </c>
      <c r="CN44" s="33">
        <f>IF(AND($B44&gt;=InputTrianglesCount!$D$8,$CT44&gt;=CN$41),1,0)</f>
        <v>0</v>
      </c>
      <c r="CO44" s="33">
        <f>IF(AND($B44&gt;=InputTrianglesCount!$D$8,$CT44&gt;=CO$41),1,0)</f>
        <v>0</v>
      </c>
      <c r="CP44" s="33">
        <f>IF(AND($B44&gt;=InputTrianglesCount!$D$8,$CT44&gt;=CP$41),1,0)</f>
        <v>0</v>
      </c>
      <c r="CQ44" s="33">
        <f>IF(AND($B44&gt;=InputTrianglesCount!$D$8,$CT44&gt;=CQ$41),1,0)</f>
        <v>0</v>
      </c>
      <c r="CR44" s="33">
        <f>IF(AND($B44&gt;=InputTrianglesCount!$D$8,$CT44&gt;=CR$41),1,0)</f>
        <v>0</v>
      </c>
      <c r="CS44" s="32">
        <f>IF(AND($B44&gt;=InputTrianglesCount!$D$8,$CT44&gt;=CS$41),1,0)</f>
        <v>0</v>
      </c>
      <c r="CT44" s="31">
        <f>($D$9-InputTrianglesCount!$B44)*InputTrianglesCount!$E$4+$D$6</f>
        <v>22</v>
      </c>
    </row>
    <row r="45" spans="1:102" hidden="1" x14ac:dyDescent="0.25">
      <c r="A45" s="97">
        <v>0</v>
      </c>
      <c r="B45" s="29">
        <f t="shared" si="7"/>
        <v>1999</v>
      </c>
      <c r="C45" s="30">
        <f>IF(AND($B45&gt;=InputTrianglesCount!$D$8,$CT45&gt;=C$41),1,0)</f>
        <v>0</v>
      </c>
      <c r="D45" s="33">
        <f>IF(AND($B45&gt;=InputTrianglesCount!$D$8,$CT45&gt;=D$41),1,0)</f>
        <v>0</v>
      </c>
      <c r="E45" s="33">
        <f>IF(AND($B45&gt;=InputTrianglesCount!$D$8,$CT45&gt;=E$41),1,0)</f>
        <v>0</v>
      </c>
      <c r="F45" s="33">
        <f>IF(AND($B45&gt;=InputTrianglesCount!$D$8,$CT45&gt;=F$41),1,0)</f>
        <v>0</v>
      </c>
      <c r="G45" s="33">
        <f>IF(AND($B45&gt;=InputTrianglesCount!$D$8,$CT45&gt;=G$41),1,0)</f>
        <v>0</v>
      </c>
      <c r="H45" s="33">
        <f>IF(AND($B45&gt;=InputTrianglesCount!$D$8,$CT45&gt;=H$41),1,0)</f>
        <v>0</v>
      </c>
      <c r="I45" s="33">
        <f>IF(AND($B45&gt;=InputTrianglesCount!$D$8,$CT45&gt;=I$41),1,0)</f>
        <v>0</v>
      </c>
      <c r="J45" s="33">
        <f>IF(AND($B45&gt;=InputTrianglesCount!$D$8,$CT45&gt;=J$41),1,0)</f>
        <v>0</v>
      </c>
      <c r="K45" s="33">
        <f>IF(AND($B45&gt;=InputTrianglesCount!$D$8,$CT45&gt;=K$41),1,0)</f>
        <v>0</v>
      </c>
      <c r="L45" s="33">
        <f>IF(AND($B45&gt;=InputTrianglesCount!$D$8,$CT45&gt;=L$41),1,0)</f>
        <v>0</v>
      </c>
      <c r="M45" s="33">
        <f>IF(AND($B45&gt;=InputTrianglesCount!$D$8,$CT45&gt;=M$41),1,0)</f>
        <v>0</v>
      </c>
      <c r="N45" s="33">
        <f>IF(AND($B45&gt;=InputTrianglesCount!$D$8,$CT45&gt;=N$41),1,0)</f>
        <v>0</v>
      </c>
      <c r="O45" s="33">
        <f>IF(AND($B45&gt;=InputTrianglesCount!$D$8,$CT45&gt;=O$41),1,0)</f>
        <v>0</v>
      </c>
      <c r="P45" s="33">
        <f>IF(AND($B45&gt;=InputTrianglesCount!$D$8,$CT45&gt;=P$41),1,0)</f>
        <v>0</v>
      </c>
      <c r="Q45" s="33">
        <f>IF(AND($B45&gt;=InputTrianglesCount!$D$8,$CT45&gt;=Q$41),1,0)</f>
        <v>0</v>
      </c>
      <c r="R45" s="33">
        <f>IF(AND($B45&gt;=InputTrianglesCount!$D$8,$CT45&gt;=R$41),1,0)</f>
        <v>0</v>
      </c>
      <c r="S45" s="33">
        <f>IF(AND($B45&gt;=InputTrianglesCount!$D$8,$CT45&gt;=S$41),1,0)</f>
        <v>0</v>
      </c>
      <c r="T45" s="33">
        <f>IF(AND($B45&gt;=InputTrianglesCount!$D$8,$CT45&gt;=T$41),1,0)</f>
        <v>0</v>
      </c>
      <c r="U45" s="33">
        <f>IF(AND($B45&gt;=InputTrianglesCount!$D$8,$CT45&gt;=U$41),1,0)</f>
        <v>0</v>
      </c>
      <c r="V45" s="33">
        <f>IF(AND($B45&gt;=InputTrianglesCount!$D$8,$CT45&gt;=V$41),1,0)</f>
        <v>0</v>
      </c>
      <c r="W45" s="33">
        <f>IF(AND($B45&gt;=InputTrianglesCount!$D$8,$CT45&gt;=W$41),1,0)</f>
        <v>0</v>
      </c>
      <c r="X45" s="33">
        <f>IF(AND($B45&gt;=InputTrianglesCount!$D$8,$CT45&gt;=X$41),1,0)</f>
        <v>0</v>
      </c>
      <c r="Y45" s="33">
        <f>IF(AND($B45&gt;=InputTrianglesCount!$D$8,$CT45&gt;=Y$41),1,0)</f>
        <v>0</v>
      </c>
      <c r="Z45" s="33">
        <f>IF(AND($B45&gt;=InputTrianglesCount!$D$8,$CT45&gt;=Z$41),1,0)</f>
        <v>0</v>
      </c>
      <c r="AA45" s="33">
        <f>IF(AND($B45&gt;=InputTrianglesCount!$D$8,$CT45&gt;=AA$41),1,0)</f>
        <v>0</v>
      </c>
      <c r="AB45" s="33">
        <f>IF(AND($B45&gt;=InputTrianglesCount!$D$8,$CT45&gt;=AB$41),1,0)</f>
        <v>0</v>
      </c>
      <c r="AC45" s="33">
        <f>IF(AND($B45&gt;=InputTrianglesCount!$D$8,$CT45&gt;=AC$41),1,0)</f>
        <v>0</v>
      </c>
      <c r="AD45" s="33">
        <f>IF(AND($B45&gt;=InputTrianglesCount!$D$8,$CT45&gt;=AD$41),1,0)</f>
        <v>0</v>
      </c>
      <c r="AE45" s="33">
        <f>IF(AND($B45&gt;=InputTrianglesCount!$D$8,$CT45&gt;=AE$41),1,0)</f>
        <v>0</v>
      </c>
      <c r="AF45" s="33">
        <f>IF(AND($B45&gt;=InputTrianglesCount!$D$8,$CT45&gt;=AF$41),1,0)</f>
        <v>0</v>
      </c>
      <c r="AG45" s="33">
        <f>IF(AND($B45&gt;=InputTrianglesCount!$D$8,$CT45&gt;=AG$41),1,0)</f>
        <v>0</v>
      </c>
      <c r="AH45" s="33">
        <f>IF(AND($B45&gt;=InputTrianglesCount!$D$8,$CT45&gt;=AH$41),1,0)</f>
        <v>0</v>
      </c>
      <c r="AI45" s="33">
        <f>IF(AND($B45&gt;=InputTrianglesCount!$D$8,$CT45&gt;=AI$41),1,0)</f>
        <v>0</v>
      </c>
      <c r="AJ45" s="33">
        <f>IF(AND($B45&gt;=InputTrianglesCount!$D$8,$CT45&gt;=AJ$41),1,0)</f>
        <v>0</v>
      </c>
      <c r="AK45" s="33">
        <f>IF(AND($B45&gt;=InputTrianglesCount!$D$8,$CT45&gt;=AK$41),1,0)</f>
        <v>0</v>
      </c>
      <c r="AL45" s="33">
        <f>IF(AND($B45&gt;=InputTrianglesCount!$D$8,$CT45&gt;=AL$41),1,0)</f>
        <v>0</v>
      </c>
      <c r="AM45" s="33">
        <f>IF(AND($B45&gt;=InputTrianglesCount!$D$8,$CT45&gt;=AM$41),1,0)</f>
        <v>0</v>
      </c>
      <c r="AN45" s="33">
        <f>IF(AND($B45&gt;=InputTrianglesCount!$D$8,$CT45&gt;=AN$41),1,0)</f>
        <v>0</v>
      </c>
      <c r="AO45" s="33">
        <f>IF(AND($B45&gt;=InputTrianglesCount!$D$8,$CT45&gt;=AO$41),1,0)</f>
        <v>0</v>
      </c>
      <c r="AP45" s="33">
        <f>IF(AND($B45&gt;=InputTrianglesCount!$D$8,$CT45&gt;=AP$41),1,0)</f>
        <v>0</v>
      </c>
      <c r="AQ45" s="33">
        <f>IF(AND($B45&gt;=InputTrianglesCount!$D$8,$CT45&gt;=AQ$41),1,0)</f>
        <v>0</v>
      </c>
      <c r="AR45" s="33">
        <f>IF(AND($B45&gt;=InputTrianglesCount!$D$8,$CT45&gt;=AR$41),1,0)</f>
        <v>0</v>
      </c>
      <c r="AS45" s="33">
        <f>IF(AND($B45&gt;=InputTrianglesCount!$D$8,$CT45&gt;=AS$41),1,0)</f>
        <v>0</v>
      </c>
      <c r="AT45" s="33">
        <f>IF(AND($B45&gt;=InputTrianglesCount!$D$8,$CT45&gt;=AT$41),1,0)</f>
        <v>0</v>
      </c>
      <c r="AU45" s="33">
        <f>IF(AND($B45&gt;=InputTrianglesCount!$D$8,$CT45&gt;=AU$41),1,0)</f>
        <v>0</v>
      </c>
      <c r="AV45" s="33">
        <f>IF(AND($B45&gt;=InputTrianglesCount!$D$8,$CT45&gt;=AV$41),1,0)</f>
        <v>0</v>
      </c>
      <c r="AW45" s="33">
        <f>IF(AND($B45&gt;=InputTrianglesCount!$D$8,$CT45&gt;=AW$41),1,0)</f>
        <v>0</v>
      </c>
      <c r="AX45" s="33">
        <f>IF(AND($B45&gt;=InputTrianglesCount!$D$8,$CT45&gt;=AX$41),1,0)</f>
        <v>0</v>
      </c>
      <c r="AY45" s="33">
        <f>IF(AND($B45&gt;=InputTrianglesCount!$D$8,$CT45&gt;=AY$41),1,0)</f>
        <v>0</v>
      </c>
      <c r="AZ45" s="33">
        <f>IF(AND($B45&gt;=InputTrianglesCount!$D$8,$CT45&gt;=AZ$41),1,0)</f>
        <v>0</v>
      </c>
      <c r="BA45" s="33">
        <f>IF(AND($B45&gt;=InputTrianglesCount!$D$8,$CT45&gt;=BA$41),1,0)</f>
        <v>0</v>
      </c>
      <c r="BB45" s="33">
        <f>IF(AND($B45&gt;=InputTrianglesCount!$D$8,$CT45&gt;=BB$41),1,0)</f>
        <v>0</v>
      </c>
      <c r="BC45" s="33">
        <f>IF(AND($B45&gt;=InputTrianglesCount!$D$8,$CT45&gt;=BC$41),1,0)</f>
        <v>0</v>
      </c>
      <c r="BD45" s="33">
        <f>IF(AND($B45&gt;=InputTrianglesCount!$D$8,$CT45&gt;=BD$41),1,0)</f>
        <v>0</v>
      </c>
      <c r="BE45" s="33">
        <f>IF(AND($B45&gt;=InputTrianglesCount!$D$8,$CT45&gt;=BE$41),1,0)</f>
        <v>0</v>
      </c>
      <c r="BF45" s="33">
        <f>IF(AND($B45&gt;=InputTrianglesCount!$D$8,$CT45&gt;=BF$41),1,0)</f>
        <v>0</v>
      </c>
      <c r="BG45" s="33">
        <f>IF(AND($B45&gt;=InputTrianglesCount!$D$8,$CT45&gt;=BG$41),1,0)</f>
        <v>0</v>
      </c>
      <c r="BH45" s="33">
        <f>IF(AND($B45&gt;=InputTrianglesCount!$D$8,$CT45&gt;=BH$41),1,0)</f>
        <v>0</v>
      </c>
      <c r="BI45" s="33">
        <f>IF(AND($B45&gt;=InputTrianglesCount!$D$8,$CT45&gt;=BI$41),1,0)</f>
        <v>0</v>
      </c>
      <c r="BJ45" s="33">
        <f>IF(AND($B45&gt;=InputTrianglesCount!$D$8,$CT45&gt;=BJ$41),1,0)</f>
        <v>0</v>
      </c>
      <c r="BK45" s="33">
        <f>IF(AND($B45&gt;=InputTrianglesCount!$D$8,$CT45&gt;=BK$41),1,0)</f>
        <v>0</v>
      </c>
      <c r="BL45" s="33">
        <f>IF(AND($B45&gt;=InputTrianglesCount!$D$8,$CT45&gt;=BL$41),1,0)</f>
        <v>0</v>
      </c>
      <c r="BM45" s="33">
        <f>IF(AND($B45&gt;=InputTrianglesCount!$D$8,$CT45&gt;=BM$41),1,0)</f>
        <v>0</v>
      </c>
      <c r="BN45" s="33">
        <f>IF(AND($B45&gt;=InputTrianglesCount!$D$8,$CT45&gt;=BN$41),1,0)</f>
        <v>0</v>
      </c>
      <c r="BO45" s="33">
        <f>IF(AND($B45&gt;=InputTrianglesCount!$D$8,$CT45&gt;=BO$41),1,0)</f>
        <v>0</v>
      </c>
      <c r="BP45" s="33">
        <f>IF(AND($B45&gt;=InputTrianglesCount!$D$8,$CT45&gt;=BP$41),1,0)</f>
        <v>0</v>
      </c>
      <c r="BQ45" s="33">
        <f>IF(AND($B45&gt;=InputTrianglesCount!$D$8,$CT45&gt;=BQ$41),1,0)</f>
        <v>0</v>
      </c>
      <c r="BR45" s="33">
        <f>IF(AND($B45&gt;=InputTrianglesCount!$D$8,$CT45&gt;=BR$41),1,0)</f>
        <v>0</v>
      </c>
      <c r="BS45" s="33">
        <f>IF(AND($B45&gt;=InputTrianglesCount!$D$8,$CT45&gt;=BS$41),1,0)</f>
        <v>0</v>
      </c>
      <c r="BT45" s="33">
        <f>IF(AND($B45&gt;=InputTrianglesCount!$D$8,$CT45&gt;=BT$41),1,0)</f>
        <v>0</v>
      </c>
      <c r="BU45" s="33">
        <f>IF(AND($B45&gt;=InputTrianglesCount!$D$8,$CT45&gt;=BU$41),1,0)</f>
        <v>0</v>
      </c>
      <c r="BV45" s="33">
        <f>IF(AND($B45&gt;=InputTrianglesCount!$D$8,$CT45&gt;=BV$41),1,0)</f>
        <v>0</v>
      </c>
      <c r="BW45" s="33">
        <f>IF(AND($B45&gt;=InputTrianglesCount!$D$8,$CT45&gt;=BW$41),1,0)</f>
        <v>0</v>
      </c>
      <c r="BX45" s="33">
        <f>IF(AND($B45&gt;=InputTrianglesCount!$D$8,$CT45&gt;=BX$41),1,0)</f>
        <v>0</v>
      </c>
      <c r="BY45" s="33">
        <f>IF(AND($B45&gt;=InputTrianglesCount!$D$8,$CT45&gt;=BY$41),1,0)</f>
        <v>0</v>
      </c>
      <c r="BZ45" s="33">
        <f>IF(AND($B45&gt;=InputTrianglesCount!$D$8,$CT45&gt;=BZ$41),1,0)</f>
        <v>0</v>
      </c>
      <c r="CA45" s="33">
        <f>IF(AND($B45&gt;=InputTrianglesCount!$D$8,$CT45&gt;=CA$41),1,0)</f>
        <v>0</v>
      </c>
      <c r="CB45" s="33">
        <f>IF(AND($B45&gt;=InputTrianglesCount!$D$8,$CT45&gt;=CB$41),1,0)</f>
        <v>0</v>
      </c>
      <c r="CC45" s="33">
        <f>IF(AND($B45&gt;=InputTrianglesCount!$D$8,$CT45&gt;=CC$41),1,0)</f>
        <v>0</v>
      </c>
      <c r="CD45" s="33">
        <f>IF(AND($B45&gt;=InputTrianglesCount!$D$8,$CT45&gt;=CD$41),1,0)</f>
        <v>0</v>
      </c>
      <c r="CE45" s="33">
        <f>IF(AND($B45&gt;=InputTrianglesCount!$D$8,$CT45&gt;=CE$41),1,0)</f>
        <v>0</v>
      </c>
      <c r="CF45" s="33">
        <f>IF(AND($B45&gt;=InputTrianglesCount!$D$8,$CT45&gt;=CF$41),1,0)</f>
        <v>0</v>
      </c>
      <c r="CG45" s="33">
        <f>IF(AND($B45&gt;=InputTrianglesCount!$D$8,$CT45&gt;=CG$41),1,0)</f>
        <v>0</v>
      </c>
      <c r="CH45" s="33">
        <f>IF(AND($B45&gt;=InputTrianglesCount!$D$8,$CT45&gt;=CH$41),1,0)</f>
        <v>0</v>
      </c>
      <c r="CI45" s="33">
        <f>IF(AND($B45&gt;=InputTrianglesCount!$D$8,$CT45&gt;=CI$41),1,0)</f>
        <v>0</v>
      </c>
      <c r="CJ45" s="33">
        <f>IF(AND($B45&gt;=InputTrianglesCount!$D$8,$CT45&gt;=CJ$41),1,0)</f>
        <v>0</v>
      </c>
      <c r="CK45" s="33">
        <f>IF(AND($B45&gt;=InputTrianglesCount!$D$8,$CT45&gt;=CK$41),1,0)</f>
        <v>0</v>
      </c>
      <c r="CL45" s="33">
        <f>IF(AND($B45&gt;=InputTrianglesCount!$D$8,$CT45&gt;=CL$41),1,0)</f>
        <v>0</v>
      </c>
      <c r="CM45" s="33">
        <f>IF(AND($B45&gt;=InputTrianglesCount!$D$8,$CT45&gt;=CM$41),1,0)</f>
        <v>0</v>
      </c>
      <c r="CN45" s="33">
        <f>IF(AND($B45&gt;=InputTrianglesCount!$D$8,$CT45&gt;=CN$41),1,0)</f>
        <v>0</v>
      </c>
      <c r="CO45" s="33">
        <f>IF(AND($B45&gt;=InputTrianglesCount!$D$8,$CT45&gt;=CO$41),1,0)</f>
        <v>0</v>
      </c>
      <c r="CP45" s="33">
        <f>IF(AND($B45&gt;=InputTrianglesCount!$D$8,$CT45&gt;=CP$41),1,0)</f>
        <v>0</v>
      </c>
      <c r="CQ45" s="33">
        <f>IF(AND($B45&gt;=InputTrianglesCount!$D$8,$CT45&gt;=CQ$41),1,0)</f>
        <v>0</v>
      </c>
      <c r="CR45" s="33">
        <f>IF(AND($B45&gt;=InputTrianglesCount!$D$8,$CT45&gt;=CR$41),1,0)</f>
        <v>0</v>
      </c>
      <c r="CS45" s="32">
        <f>IF(AND($B45&gt;=InputTrianglesCount!$D$8,$CT45&gt;=CS$41),1,0)</f>
        <v>0</v>
      </c>
      <c r="CT45" s="31">
        <f>($D$9-InputTrianglesCount!$B45)*InputTrianglesCount!$E$4+$D$6</f>
        <v>21</v>
      </c>
    </row>
    <row r="46" spans="1:102" hidden="1" x14ac:dyDescent="0.25">
      <c r="A46" s="97">
        <v>0</v>
      </c>
      <c r="B46" s="29">
        <f t="shared" si="7"/>
        <v>2000</v>
      </c>
      <c r="C46" s="30">
        <f>IF(AND($B46&gt;=InputTrianglesCount!$D$8,$CT46&gt;=C$41),1,0)</f>
        <v>0</v>
      </c>
      <c r="D46" s="33">
        <f>IF(AND($B46&gt;=InputTrianglesCount!$D$8,$CT46&gt;=D$41),1,0)</f>
        <v>0</v>
      </c>
      <c r="E46" s="33">
        <f>IF(AND($B46&gt;=InputTrianglesCount!$D$8,$CT46&gt;=E$41),1,0)</f>
        <v>0</v>
      </c>
      <c r="F46" s="33">
        <f>IF(AND($B46&gt;=InputTrianglesCount!$D$8,$CT46&gt;=F$41),1,0)</f>
        <v>0</v>
      </c>
      <c r="G46" s="33">
        <f>IF(AND($B46&gt;=InputTrianglesCount!$D$8,$CT46&gt;=G$41),1,0)</f>
        <v>0</v>
      </c>
      <c r="H46" s="33">
        <f>IF(AND($B46&gt;=InputTrianglesCount!$D$8,$CT46&gt;=H$41),1,0)</f>
        <v>0</v>
      </c>
      <c r="I46" s="33">
        <f>IF(AND($B46&gt;=InputTrianglesCount!$D$8,$CT46&gt;=I$41),1,0)</f>
        <v>0</v>
      </c>
      <c r="J46" s="33">
        <f>IF(AND($B46&gt;=InputTrianglesCount!$D$8,$CT46&gt;=J$41),1,0)</f>
        <v>0</v>
      </c>
      <c r="K46" s="33">
        <f>IF(AND($B46&gt;=InputTrianglesCount!$D$8,$CT46&gt;=K$41),1,0)</f>
        <v>0</v>
      </c>
      <c r="L46" s="33">
        <f>IF(AND($B46&gt;=InputTrianglesCount!$D$8,$CT46&gt;=L$41),1,0)</f>
        <v>0</v>
      </c>
      <c r="M46" s="33">
        <f>IF(AND($B46&gt;=InputTrianglesCount!$D$8,$CT46&gt;=M$41),1,0)</f>
        <v>0</v>
      </c>
      <c r="N46" s="33">
        <f>IF(AND($B46&gt;=InputTrianglesCount!$D$8,$CT46&gt;=N$41),1,0)</f>
        <v>0</v>
      </c>
      <c r="O46" s="33">
        <f>IF(AND($B46&gt;=InputTrianglesCount!$D$8,$CT46&gt;=O$41),1,0)</f>
        <v>0</v>
      </c>
      <c r="P46" s="33">
        <f>IF(AND($B46&gt;=InputTrianglesCount!$D$8,$CT46&gt;=P$41),1,0)</f>
        <v>0</v>
      </c>
      <c r="Q46" s="33">
        <f>IF(AND($B46&gt;=InputTrianglesCount!$D$8,$CT46&gt;=Q$41),1,0)</f>
        <v>0</v>
      </c>
      <c r="R46" s="33">
        <f>IF(AND($B46&gt;=InputTrianglesCount!$D$8,$CT46&gt;=R$41),1,0)</f>
        <v>0</v>
      </c>
      <c r="S46" s="33">
        <f>IF(AND($B46&gt;=InputTrianglesCount!$D$8,$CT46&gt;=S$41),1,0)</f>
        <v>0</v>
      </c>
      <c r="T46" s="33">
        <f>IF(AND($B46&gt;=InputTrianglesCount!$D$8,$CT46&gt;=T$41),1,0)</f>
        <v>0</v>
      </c>
      <c r="U46" s="33">
        <f>IF(AND($B46&gt;=InputTrianglesCount!$D$8,$CT46&gt;=U$41),1,0)</f>
        <v>0</v>
      </c>
      <c r="V46" s="33">
        <f>IF(AND($B46&gt;=InputTrianglesCount!$D$8,$CT46&gt;=V$41),1,0)</f>
        <v>0</v>
      </c>
      <c r="W46" s="33">
        <f>IF(AND($B46&gt;=InputTrianglesCount!$D$8,$CT46&gt;=W$41),1,0)</f>
        <v>0</v>
      </c>
      <c r="X46" s="33">
        <f>IF(AND($B46&gt;=InputTrianglesCount!$D$8,$CT46&gt;=X$41),1,0)</f>
        <v>0</v>
      </c>
      <c r="Y46" s="33">
        <f>IF(AND($B46&gt;=InputTrianglesCount!$D$8,$CT46&gt;=Y$41),1,0)</f>
        <v>0</v>
      </c>
      <c r="Z46" s="33">
        <f>IF(AND($B46&gt;=InputTrianglesCount!$D$8,$CT46&gt;=Z$41),1,0)</f>
        <v>0</v>
      </c>
      <c r="AA46" s="33">
        <f>IF(AND($B46&gt;=InputTrianglesCount!$D$8,$CT46&gt;=AA$41),1,0)</f>
        <v>0</v>
      </c>
      <c r="AB46" s="33">
        <f>IF(AND($B46&gt;=InputTrianglesCount!$D$8,$CT46&gt;=AB$41),1,0)</f>
        <v>0</v>
      </c>
      <c r="AC46" s="33">
        <f>IF(AND($B46&gt;=InputTrianglesCount!$D$8,$CT46&gt;=AC$41),1,0)</f>
        <v>0</v>
      </c>
      <c r="AD46" s="33">
        <f>IF(AND($B46&gt;=InputTrianglesCount!$D$8,$CT46&gt;=AD$41),1,0)</f>
        <v>0</v>
      </c>
      <c r="AE46" s="33">
        <f>IF(AND($B46&gt;=InputTrianglesCount!$D$8,$CT46&gt;=AE$41),1,0)</f>
        <v>0</v>
      </c>
      <c r="AF46" s="33">
        <f>IF(AND($B46&gt;=InputTrianglesCount!$D$8,$CT46&gt;=AF$41),1,0)</f>
        <v>0</v>
      </c>
      <c r="AG46" s="33">
        <f>IF(AND($B46&gt;=InputTrianglesCount!$D$8,$CT46&gt;=AG$41),1,0)</f>
        <v>0</v>
      </c>
      <c r="AH46" s="33">
        <f>IF(AND($B46&gt;=InputTrianglesCount!$D$8,$CT46&gt;=AH$41),1,0)</f>
        <v>0</v>
      </c>
      <c r="AI46" s="33">
        <f>IF(AND($B46&gt;=InputTrianglesCount!$D$8,$CT46&gt;=AI$41),1,0)</f>
        <v>0</v>
      </c>
      <c r="AJ46" s="33">
        <f>IF(AND($B46&gt;=InputTrianglesCount!$D$8,$CT46&gt;=AJ$41),1,0)</f>
        <v>0</v>
      </c>
      <c r="AK46" s="33">
        <f>IF(AND($B46&gt;=InputTrianglesCount!$D$8,$CT46&gt;=AK$41),1,0)</f>
        <v>0</v>
      </c>
      <c r="AL46" s="33">
        <f>IF(AND($B46&gt;=InputTrianglesCount!$D$8,$CT46&gt;=AL$41),1,0)</f>
        <v>0</v>
      </c>
      <c r="AM46" s="33">
        <f>IF(AND($B46&gt;=InputTrianglesCount!$D$8,$CT46&gt;=AM$41),1,0)</f>
        <v>0</v>
      </c>
      <c r="AN46" s="33">
        <f>IF(AND($B46&gt;=InputTrianglesCount!$D$8,$CT46&gt;=AN$41),1,0)</f>
        <v>0</v>
      </c>
      <c r="AO46" s="33">
        <f>IF(AND($B46&gt;=InputTrianglesCount!$D$8,$CT46&gt;=AO$41),1,0)</f>
        <v>0</v>
      </c>
      <c r="AP46" s="33">
        <f>IF(AND($B46&gt;=InputTrianglesCount!$D$8,$CT46&gt;=AP$41),1,0)</f>
        <v>0</v>
      </c>
      <c r="AQ46" s="33">
        <f>IF(AND($B46&gt;=InputTrianglesCount!$D$8,$CT46&gt;=AQ$41),1,0)</f>
        <v>0</v>
      </c>
      <c r="AR46" s="33">
        <f>IF(AND($B46&gt;=InputTrianglesCount!$D$8,$CT46&gt;=AR$41),1,0)</f>
        <v>0</v>
      </c>
      <c r="AS46" s="33">
        <f>IF(AND($B46&gt;=InputTrianglesCount!$D$8,$CT46&gt;=AS$41),1,0)</f>
        <v>0</v>
      </c>
      <c r="AT46" s="33">
        <f>IF(AND($B46&gt;=InputTrianglesCount!$D$8,$CT46&gt;=AT$41),1,0)</f>
        <v>0</v>
      </c>
      <c r="AU46" s="33">
        <f>IF(AND($B46&gt;=InputTrianglesCount!$D$8,$CT46&gt;=AU$41),1,0)</f>
        <v>0</v>
      </c>
      <c r="AV46" s="33">
        <f>IF(AND($B46&gt;=InputTrianglesCount!$D$8,$CT46&gt;=AV$41),1,0)</f>
        <v>0</v>
      </c>
      <c r="AW46" s="33">
        <f>IF(AND($B46&gt;=InputTrianglesCount!$D$8,$CT46&gt;=AW$41),1,0)</f>
        <v>0</v>
      </c>
      <c r="AX46" s="33">
        <f>IF(AND($B46&gt;=InputTrianglesCount!$D$8,$CT46&gt;=AX$41),1,0)</f>
        <v>0</v>
      </c>
      <c r="AY46" s="33">
        <f>IF(AND($B46&gt;=InputTrianglesCount!$D$8,$CT46&gt;=AY$41),1,0)</f>
        <v>0</v>
      </c>
      <c r="AZ46" s="33">
        <f>IF(AND($B46&gt;=InputTrianglesCount!$D$8,$CT46&gt;=AZ$41),1,0)</f>
        <v>0</v>
      </c>
      <c r="BA46" s="33">
        <f>IF(AND($B46&gt;=InputTrianglesCount!$D$8,$CT46&gt;=BA$41),1,0)</f>
        <v>0</v>
      </c>
      <c r="BB46" s="33">
        <f>IF(AND($B46&gt;=InputTrianglesCount!$D$8,$CT46&gt;=BB$41),1,0)</f>
        <v>0</v>
      </c>
      <c r="BC46" s="33">
        <f>IF(AND($B46&gt;=InputTrianglesCount!$D$8,$CT46&gt;=BC$41),1,0)</f>
        <v>0</v>
      </c>
      <c r="BD46" s="33">
        <f>IF(AND($B46&gt;=InputTrianglesCount!$D$8,$CT46&gt;=BD$41),1,0)</f>
        <v>0</v>
      </c>
      <c r="BE46" s="33">
        <f>IF(AND($B46&gt;=InputTrianglesCount!$D$8,$CT46&gt;=BE$41),1,0)</f>
        <v>0</v>
      </c>
      <c r="BF46" s="33">
        <f>IF(AND($B46&gt;=InputTrianglesCount!$D$8,$CT46&gt;=BF$41),1,0)</f>
        <v>0</v>
      </c>
      <c r="BG46" s="33">
        <f>IF(AND($B46&gt;=InputTrianglesCount!$D$8,$CT46&gt;=BG$41),1,0)</f>
        <v>0</v>
      </c>
      <c r="BH46" s="33">
        <f>IF(AND($B46&gt;=InputTrianglesCount!$D$8,$CT46&gt;=BH$41),1,0)</f>
        <v>0</v>
      </c>
      <c r="BI46" s="33">
        <f>IF(AND($B46&gt;=InputTrianglesCount!$D$8,$CT46&gt;=BI$41),1,0)</f>
        <v>0</v>
      </c>
      <c r="BJ46" s="33">
        <f>IF(AND($B46&gt;=InputTrianglesCount!$D$8,$CT46&gt;=BJ$41),1,0)</f>
        <v>0</v>
      </c>
      <c r="BK46" s="33">
        <f>IF(AND($B46&gt;=InputTrianglesCount!$D$8,$CT46&gt;=BK$41),1,0)</f>
        <v>0</v>
      </c>
      <c r="BL46" s="33">
        <f>IF(AND($B46&gt;=InputTrianglesCount!$D$8,$CT46&gt;=BL$41),1,0)</f>
        <v>0</v>
      </c>
      <c r="BM46" s="33">
        <f>IF(AND($B46&gt;=InputTrianglesCount!$D$8,$CT46&gt;=BM$41),1,0)</f>
        <v>0</v>
      </c>
      <c r="BN46" s="33">
        <f>IF(AND($B46&gt;=InputTrianglesCount!$D$8,$CT46&gt;=BN$41),1,0)</f>
        <v>0</v>
      </c>
      <c r="BO46" s="33">
        <f>IF(AND($B46&gt;=InputTrianglesCount!$D$8,$CT46&gt;=BO$41),1,0)</f>
        <v>0</v>
      </c>
      <c r="BP46" s="33">
        <f>IF(AND($B46&gt;=InputTrianglesCount!$D$8,$CT46&gt;=BP$41),1,0)</f>
        <v>0</v>
      </c>
      <c r="BQ46" s="33">
        <f>IF(AND($B46&gt;=InputTrianglesCount!$D$8,$CT46&gt;=BQ$41),1,0)</f>
        <v>0</v>
      </c>
      <c r="BR46" s="33">
        <f>IF(AND($B46&gt;=InputTrianglesCount!$D$8,$CT46&gt;=BR$41),1,0)</f>
        <v>0</v>
      </c>
      <c r="BS46" s="33">
        <f>IF(AND($B46&gt;=InputTrianglesCount!$D$8,$CT46&gt;=BS$41),1,0)</f>
        <v>0</v>
      </c>
      <c r="BT46" s="33">
        <f>IF(AND($B46&gt;=InputTrianglesCount!$D$8,$CT46&gt;=BT$41),1,0)</f>
        <v>0</v>
      </c>
      <c r="BU46" s="33">
        <f>IF(AND($B46&gt;=InputTrianglesCount!$D$8,$CT46&gt;=BU$41),1,0)</f>
        <v>0</v>
      </c>
      <c r="BV46" s="33">
        <f>IF(AND($B46&gt;=InputTrianglesCount!$D$8,$CT46&gt;=BV$41),1,0)</f>
        <v>0</v>
      </c>
      <c r="BW46" s="33">
        <f>IF(AND($B46&gt;=InputTrianglesCount!$D$8,$CT46&gt;=BW$41),1,0)</f>
        <v>0</v>
      </c>
      <c r="BX46" s="33">
        <f>IF(AND($B46&gt;=InputTrianglesCount!$D$8,$CT46&gt;=BX$41),1,0)</f>
        <v>0</v>
      </c>
      <c r="BY46" s="33">
        <f>IF(AND($B46&gt;=InputTrianglesCount!$D$8,$CT46&gt;=BY$41),1,0)</f>
        <v>0</v>
      </c>
      <c r="BZ46" s="33">
        <f>IF(AND($B46&gt;=InputTrianglesCount!$D$8,$CT46&gt;=BZ$41),1,0)</f>
        <v>0</v>
      </c>
      <c r="CA46" s="33">
        <f>IF(AND($B46&gt;=InputTrianglesCount!$D$8,$CT46&gt;=CA$41),1,0)</f>
        <v>0</v>
      </c>
      <c r="CB46" s="33">
        <f>IF(AND($B46&gt;=InputTrianglesCount!$D$8,$CT46&gt;=CB$41),1,0)</f>
        <v>0</v>
      </c>
      <c r="CC46" s="33">
        <f>IF(AND($B46&gt;=InputTrianglesCount!$D$8,$CT46&gt;=CC$41),1,0)</f>
        <v>0</v>
      </c>
      <c r="CD46" s="33">
        <f>IF(AND($B46&gt;=InputTrianglesCount!$D$8,$CT46&gt;=CD$41),1,0)</f>
        <v>0</v>
      </c>
      <c r="CE46" s="33">
        <f>IF(AND($B46&gt;=InputTrianglesCount!$D$8,$CT46&gt;=CE$41),1,0)</f>
        <v>0</v>
      </c>
      <c r="CF46" s="33">
        <f>IF(AND($B46&gt;=InputTrianglesCount!$D$8,$CT46&gt;=CF$41),1,0)</f>
        <v>0</v>
      </c>
      <c r="CG46" s="33">
        <f>IF(AND($B46&gt;=InputTrianglesCount!$D$8,$CT46&gt;=CG$41),1,0)</f>
        <v>0</v>
      </c>
      <c r="CH46" s="33">
        <f>IF(AND($B46&gt;=InputTrianglesCount!$D$8,$CT46&gt;=CH$41),1,0)</f>
        <v>0</v>
      </c>
      <c r="CI46" s="33">
        <f>IF(AND($B46&gt;=InputTrianglesCount!$D$8,$CT46&gt;=CI$41),1,0)</f>
        <v>0</v>
      </c>
      <c r="CJ46" s="33">
        <f>IF(AND($B46&gt;=InputTrianglesCount!$D$8,$CT46&gt;=CJ$41),1,0)</f>
        <v>0</v>
      </c>
      <c r="CK46" s="33">
        <f>IF(AND($B46&gt;=InputTrianglesCount!$D$8,$CT46&gt;=CK$41),1,0)</f>
        <v>0</v>
      </c>
      <c r="CL46" s="33">
        <f>IF(AND($B46&gt;=InputTrianglesCount!$D$8,$CT46&gt;=CL$41),1,0)</f>
        <v>0</v>
      </c>
      <c r="CM46" s="33">
        <f>IF(AND($B46&gt;=InputTrianglesCount!$D$8,$CT46&gt;=CM$41),1,0)</f>
        <v>0</v>
      </c>
      <c r="CN46" s="33">
        <f>IF(AND($B46&gt;=InputTrianglesCount!$D$8,$CT46&gt;=CN$41),1,0)</f>
        <v>0</v>
      </c>
      <c r="CO46" s="33">
        <f>IF(AND($B46&gt;=InputTrianglesCount!$D$8,$CT46&gt;=CO$41),1,0)</f>
        <v>0</v>
      </c>
      <c r="CP46" s="33">
        <f>IF(AND($B46&gt;=InputTrianglesCount!$D$8,$CT46&gt;=CP$41),1,0)</f>
        <v>0</v>
      </c>
      <c r="CQ46" s="33">
        <f>IF(AND($B46&gt;=InputTrianglesCount!$D$8,$CT46&gt;=CQ$41),1,0)</f>
        <v>0</v>
      </c>
      <c r="CR46" s="33">
        <f>IF(AND($B46&gt;=InputTrianglesCount!$D$8,$CT46&gt;=CR$41),1,0)</f>
        <v>0</v>
      </c>
      <c r="CS46" s="32">
        <f>IF(AND($B46&gt;=InputTrianglesCount!$D$8,$CT46&gt;=CS$41),1,0)</f>
        <v>0</v>
      </c>
      <c r="CT46" s="31">
        <f>($D$9-InputTrianglesCount!$B46)*InputTrianglesCount!$E$4+$D$6</f>
        <v>20</v>
      </c>
    </row>
    <row r="47" spans="1:102" hidden="1" x14ac:dyDescent="0.25">
      <c r="A47" s="97">
        <v>0</v>
      </c>
      <c r="B47" s="29">
        <f t="shared" si="7"/>
        <v>2001</v>
      </c>
      <c r="C47" s="30">
        <f>IF(AND($B47&gt;=InputTrianglesCount!$D$8,$CT47&gt;=C$41),1,0)</f>
        <v>0</v>
      </c>
      <c r="D47" s="33">
        <f>IF(AND($B47&gt;=InputTrianglesCount!$D$8,$CT47&gt;=D$41),1,0)</f>
        <v>0</v>
      </c>
      <c r="E47" s="33">
        <f>IF(AND($B47&gt;=InputTrianglesCount!$D$8,$CT47&gt;=E$41),1,0)</f>
        <v>0</v>
      </c>
      <c r="F47" s="33">
        <f>IF(AND($B47&gt;=InputTrianglesCount!$D$8,$CT47&gt;=F$41),1,0)</f>
        <v>0</v>
      </c>
      <c r="G47" s="33">
        <f>IF(AND($B47&gt;=InputTrianglesCount!$D$8,$CT47&gt;=G$41),1,0)</f>
        <v>0</v>
      </c>
      <c r="H47" s="33">
        <f>IF(AND($B47&gt;=InputTrianglesCount!$D$8,$CT47&gt;=H$41),1,0)</f>
        <v>0</v>
      </c>
      <c r="I47" s="33">
        <f>IF(AND($B47&gt;=InputTrianglesCount!$D$8,$CT47&gt;=I$41),1,0)</f>
        <v>0</v>
      </c>
      <c r="J47" s="33">
        <f>IF(AND($B47&gt;=InputTrianglesCount!$D$8,$CT47&gt;=J$41),1,0)</f>
        <v>0</v>
      </c>
      <c r="K47" s="33">
        <f>IF(AND($B47&gt;=InputTrianglesCount!$D$8,$CT47&gt;=K$41),1,0)</f>
        <v>0</v>
      </c>
      <c r="L47" s="33">
        <f>IF(AND($B47&gt;=InputTrianglesCount!$D$8,$CT47&gt;=L$41),1,0)</f>
        <v>0</v>
      </c>
      <c r="M47" s="33">
        <f>IF(AND($B47&gt;=InputTrianglesCount!$D$8,$CT47&gt;=M$41),1,0)</f>
        <v>0</v>
      </c>
      <c r="N47" s="33">
        <f>IF(AND($B47&gt;=InputTrianglesCount!$D$8,$CT47&gt;=N$41),1,0)</f>
        <v>0</v>
      </c>
      <c r="O47" s="33">
        <f>IF(AND($B47&gt;=InputTrianglesCount!$D$8,$CT47&gt;=O$41),1,0)</f>
        <v>0</v>
      </c>
      <c r="P47" s="33">
        <f>IF(AND($B47&gt;=InputTrianglesCount!$D$8,$CT47&gt;=P$41),1,0)</f>
        <v>0</v>
      </c>
      <c r="Q47" s="33">
        <f>IF(AND($B47&gt;=InputTrianglesCount!$D$8,$CT47&gt;=Q$41),1,0)</f>
        <v>0</v>
      </c>
      <c r="R47" s="33">
        <f>IF(AND($B47&gt;=InputTrianglesCount!$D$8,$CT47&gt;=R$41),1,0)</f>
        <v>0</v>
      </c>
      <c r="S47" s="33">
        <f>IF(AND($B47&gt;=InputTrianglesCount!$D$8,$CT47&gt;=S$41),1,0)</f>
        <v>0</v>
      </c>
      <c r="T47" s="33">
        <f>IF(AND($B47&gt;=InputTrianglesCount!$D$8,$CT47&gt;=T$41),1,0)</f>
        <v>0</v>
      </c>
      <c r="U47" s="33">
        <f>IF(AND($B47&gt;=InputTrianglesCount!$D$8,$CT47&gt;=U$41),1,0)</f>
        <v>0</v>
      </c>
      <c r="V47" s="33">
        <f>IF(AND($B47&gt;=InputTrianglesCount!$D$8,$CT47&gt;=V$41),1,0)</f>
        <v>0</v>
      </c>
      <c r="W47" s="33">
        <f>IF(AND($B47&gt;=InputTrianglesCount!$D$8,$CT47&gt;=W$41),1,0)</f>
        <v>0</v>
      </c>
      <c r="X47" s="33">
        <f>IF(AND($B47&gt;=InputTrianglesCount!$D$8,$CT47&gt;=X$41),1,0)</f>
        <v>0</v>
      </c>
      <c r="Y47" s="33">
        <f>IF(AND($B47&gt;=InputTrianglesCount!$D$8,$CT47&gt;=Y$41),1,0)</f>
        <v>0</v>
      </c>
      <c r="Z47" s="33">
        <f>IF(AND($B47&gt;=InputTrianglesCount!$D$8,$CT47&gt;=Z$41),1,0)</f>
        <v>0</v>
      </c>
      <c r="AA47" s="33">
        <f>IF(AND($B47&gt;=InputTrianglesCount!$D$8,$CT47&gt;=AA$41),1,0)</f>
        <v>0</v>
      </c>
      <c r="AB47" s="33">
        <f>IF(AND($B47&gt;=InputTrianglesCount!$D$8,$CT47&gt;=AB$41),1,0)</f>
        <v>0</v>
      </c>
      <c r="AC47" s="33">
        <f>IF(AND($B47&gt;=InputTrianglesCount!$D$8,$CT47&gt;=AC$41),1,0)</f>
        <v>0</v>
      </c>
      <c r="AD47" s="33">
        <f>IF(AND($B47&gt;=InputTrianglesCount!$D$8,$CT47&gt;=AD$41),1,0)</f>
        <v>0</v>
      </c>
      <c r="AE47" s="33">
        <f>IF(AND($B47&gt;=InputTrianglesCount!$D$8,$CT47&gt;=AE$41),1,0)</f>
        <v>0</v>
      </c>
      <c r="AF47" s="33">
        <f>IF(AND($B47&gt;=InputTrianglesCount!$D$8,$CT47&gt;=AF$41),1,0)</f>
        <v>0</v>
      </c>
      <c r="AG47" s="33">
        <f>IF(AND($B47&gt;=InputTrianglesCount!$D$8,$CT47&gt;=AG$41),1,0)</f>
        <v>0</v>
      </c>
      <c r="AH47" s="33">
        <f>IF(AND($B47&gt;=InputTrianglesCount!$D$8,$CT47&gt;=AH$41),1,0)</f>
        <v>0</v>
      </c>
      <c r="AI47" s="33">
        <f>IF(AND($B47&gt;=InputTrianglesCount!$D$8,$CT47&gt;=AI$41),1,0)</f>
        <v>0</v>
      </c>
      <c r="AJ47" s="33">
        <f>IF(AND($B47&gt;=InputTrianglesCount!$D$8,$CT47&gt;=AJ$41),1,0)</f>
        <v>0</v>
      </c>
      <c r="AK47" s="33">
        <f>IF(AND($B47&gt;=InputTrianglesCount!$D$8,$CT47&gt;=AK$41),1,0)</f>
        <v>0</v>
      </c>
      <c r="AL47" s="33">
        <f>IF(AND($B47&gt;=InputTrianglesCount!$D$8,$CT47&gt;=AL$41),1,0)</f>
        <v>0</v>
      </c>
      <c r="AM47" s="33">
        <f>IF(AND($B47&gt;=InputTrianglesCount!$D$8,$CT47&gt;=AM$41),1,0)</f>
        <v>0</v>
      </c>
      <c r="AN47" s="33">
        <f>IF(AND($B47&gt;=InputTrianglesCount!$D$8,$CT47&gt;=AN$41),1,0)</f>
        <v>0</v>
      </c>
      <c r="AO47" s="33">
        <f>IF(AND($B47&gt;=InputTrianglesCount!$D$8,$CT47&gt;=AO$41),1,0)</f>
        <v>0</v>
      </c>
      <c r="AP47" s="33">
        <f>IF(AND($B47&gt;=InputTrianglesCount!$D$8,$CT47&gt;=AP$41),1,0)</f>
        <v>0</v>
      </c>
      <c r="AQ47" s="33">
        <f>IF(AND($B47&gt;=InputTrianglesCount!$D$8,$CT47&gt;=AQ$41),1,0)</f>
        <v>0</v>
      </c>
      <c r="AR47" s="33">
        <f>IF(AND($B47&gt;=InputTrianglesCount!$D$8,$CT47&gt;=AR$41),1,0)</f>
        <v>0</v>
      </c>
      <c r="AS47" s="33">
        <f>IF(AND($B47&gt;=InputTrianglesCount!$D$8,$CT47&gt;=AS$41),1,0)</f>
        <v>0</v>
      </c>
      <c r="AT47" s="33">
        <f>IF(AND($B47&gt;=InputTrianglesCount!$D$8,$CT47&gt;=AT$41),1,0)</f>
        <v>0</v>
      </c>
      <c r="AU47" s="33">
        <f>IF(AND($B47&gt;=InputTrianglesCount!$D$8,$CT47&gt;=AU$41),1,0)</f>
        <v>0</v>
      </c>
      <c r="AV47" s="33">
        <f>IF(AND($B47&gt;=InputTrianglesCount!$D$8,$CT47&gt;=AV$41),1,0)</f>
        <v>0</v>
      </c>
      <c r="AW47" s="33">
        <f>IF(AND($B47&gt;=InputTrianglesCount!$D$8,$CT47&gt;=AW$41),1,0)</f>
        <v>0</v>
      </c>
      <c r="AX47" s="33">
        <f>IF(AND($B47&gt;=InputTrianglesCount!$D$8,$CT47&gt;=AX$41),1,0)</f>
        <v>0</v>
      </c>
      <c r="AY47" s="33">
        <f>IF(AND($B47&gt;=InputTrianglesCount!$D$8,$CT47&gt;=AY$41),1,0)</f>
        <v>0</v>
      </c>
      <c r="AZ47" s="33">
        <f>IF(AND($B47&gt;=InputTrianglesCount!$D$8,$CT47&gt;=AZ$41),1,0)</f>
        <v>0</v>
      </c>
      <c r="BA47" s="33">
        <f>IF(AND($B47&gt;=InputTrianglesCount!$D$8,$CT47&gt;=BA$41),1,0)</f>
        <v>0</v>
      </c>
      <c r="BB47" s="33">
        <f>IF(AND($B47&gt;=InputTrianglesCount!$D$8,$CT47&gt;=BB$41),1,0)</f>
        <v>0</v>
      </c>
      <c r="BC47" s="33">
        <f>IF(AND($B47&gt;=InputTrianglesCount!$D$8,$CT47&gt;=BC$41),1,0)</f>
        <v>0</v>
      </c>
      <c r="BD47" s="33">
        <f>IF(AND($B47&gt;=InputTrianglesCount!$D$8,$CT47&gt;=BD$41),1,0)</f>
        <v>0</v>
      </c>
      <c r="BE47" s="33">
        <f>IF(AND($B47&gt;=InputTrianglesCount!$D$8,$CT47&gt;=BE$41),1,0)</f>
        <v>0</v>
      </c>
      <c r="BF47" s="33">
        <f>IF(AND($B47&gt;=InputTrianglesCount!$D$8,$CT47&gt;=BF$41),1,0)</f>
        <v>0</v>
      </c>
      <c r="BG47" s="33">
        <f>IF(AND($B47&gt;=InputTrianglesCount!$D$8,$CT47&gt;=BG$41),1,0)</f>
        <v>0</v>
      </c>
      <c r="BH47" s="33">
        <f>IF(AND($B47&gt;=InputTrianglesCount!$D$8,$CT47&gt;=BH$41),1,0)</f>
        <v>0</v>
      </c>
      <c r="BI47" s="33">
        <f>IF(AND($B47&gt;=InputTrianglesCount!$D$8,$CT47&gt;=BI$41),1,0)</f>
        <v>0</v>
      </c>
      <c r="BJ47" s="33">
        <f>IF(AND($B47&gt;=InputTrianglesCount!$D$8,$CT47&gt;=BJ$41),1,0)</f>
        <v>0</v>
      </c>
      <c r="BK47" s="33">
        <f>IF(AND($B47&gt;=InputTrianglesCount!$D$8,$CT47&gt;=BK$41),1,0)</f>
        <v>0</v>
      </c>
      <c r="BL47" s="33">
        <f>IF(AND($B47&gt;=InputTrianglesCount!$D$8,$CT47&gt;=BL$41),1,0)</f>
        <v>0</v>
      </c>
      <c r="BM47" s="33">
        <f>IF(AND($B47&gt;=InputTrianglesCount!$D$8,$CT47&gt;=BM$41),1,0)</f>
        <v>0</v>
      </c>
      <c r="BN47" s="33">
        <f>IF(AND($B47&gt;=InputTrianglesCount!$D$8,$CT47&gt;=BN$41),1,0)</f>
        <v>0</v>
      </c>
      <c r="BO47" s="33">
        <f>IF(AND($B47&gt;=InputTrianglesCount!$D$8,$CT47&gt;=BO$41),1,0)</f>
        <v>0</v>
      </c>
      <c r="BP47" s="33">
        <f>IF(AND($B47&gt;=InputTrianglesCount!$D$8,$CT47&gt;=BP$41),1,0)</f>
        <v>0</v>
      </c>
      <c r="BQ47" s="33">
        <f>IF(AND($B47&gt;=InputTrianglesCount!$D$8,$CT47&gt;=BQ$41),1,0)</f>
        <v>0</v>
      </c>
      <c r="BR47" s="33">
        <f>IF(AND($B47&gt;=InputTrianglesCount!$D$8,$CT47&gt;=BR$41),1,0)</f>
        <v>0</v>
      </c>
      <c r="BS47" s="33">
        <f>IF(AND($B47&gt;=InputTrianglesCount!$D$8,$CT47&gt;=BS$41),1,0)</f>
        <v>0</v>
      </c>
      <c r="BT47" s="33">
        <f>IF(AND($B47&gt;=InputTrianglesCount!$D$8,$CT47&gt;=BT$41),1,0)</f>
        <v>0</v>
      </c>
      <c r="BU47" s="33">
        <f>IF(AND($B47&gt;=InputTrianglesCount!$D$8,$CT47&gt;=BU$41),1,0)</f>
        <v>0</v>
      </c>
      <c r="BV47" s="33">
        <f>IF(AND($B47&gt;=InputTrianglesCount!$D$8,$CT47&gt;=BV$41),1,0)</f>
        <v>0</v>
      </c>
      <c r="BW47" s="33">
        <f>IF(AND($B47&gt;=InputTrianglesCount!$D$8,$CT47&gt;=BW$41),1,0)</f>
        <v>0</v>
      </c>
      <c r="BX47" s="33">
        <f>IF(AND($B47&gt;=InputTrianglesCount!$D$8,$CT47&gt;=BX$41),1,0)</f>
        <v>0</v>
      </c>
      <c r="BY47" s="33">
        <f>IF(AND($B47&gt;=InputTrianglesCount!$D$8,$CT47&gt;=BY$41),1,0)</f>
        <v>0</v>
      </c>
      <c r="BZ47" s="33">
        <f>IF(AND($B47&gt;=InputTrianglesCount!$D$8,$CT47&gt;=BZ$41),1,0)</f>
        <v>0</v>
      </c>
      <c r="CA47" s="33">
        <f>IF(AND($B47&gt;=InputTrianglesCount!$D$8,$CT47&gt;=CA$41),1,0)</f>
        <v>0</v>
      </c>
      <c r="CB47" s="33">
        <f>IF(AND($B47&gt;=InputTrianglesCount!$D$8,$CT47&gt;=CB$41),1,0)</f>
        <v>0</v>
      </c>
      <c r="CC47" s="33">
        <f>IF(AND($B47&gt;=InputTrianglesCount!$D$8,$CT47&gt;=CC$41),1,0)</f>
        <v>0</v>
      </c>
      <c r="CD47" s="33">
        <f>IF(AND($B47&gt;=InputTrianglesCount!$D$8,$CT47&gt;=CD$41),1,0)</f>
        <v>0</v>
      </c>
      <c r="CE47" s="33">
        <f>IF(AND($B47&gt;=InputTrianglesCount!$D$8,$CT47&gt;=CE$41),1,0)</f>
        <v>0</v>
      </c>
      <c r="CF47" s="33">
        <f>IF(AND($B47&gt;=InputTrianglesCount!$D$8,$CT47&gt;=CF$41),1,0)</f>
        <v>0</v>
      </c>
      <c r="CG47" s="33">
        <f>IF(AND($B47&gt;=InputTrianglesCount!$D$8,$CT47&gt;=CG$41),1,0)</f>
        <v>0</v>
      </c>
      <c r="CH47" s="33">
        <f>IF(AND($B47&gt;=InputTrianglesCount!$D$8,$CT47&gt;=CH$41),1,0)</f>
        <v>0</v>
      </c>
      <c r="CI47" s="33">
        <f>IF(AND($B47&gt;=InputTrianglesCount!$D$8,$CT47&gt;=CI$41),1,0)</f>
        <v>0</v>
      </c>
      <c r="CJ47" s="33">
        <f>IF(AND($B47&gt;=InputTrianglesCount!$D$8,$CT47&gt;=CJ$41),1,0)</f>
        <v>0</v>
      </c>
      <c r="CK47" s="33">
        <f>IF(AND($B47&gt;=InputTrianglesCount!$D$8,$CT47&gt;=CK$41),1,0)</f>
        <v>0</v>
      </c>
      <c r="CL47" s="33">
        <f>IF(AND($B47&gt;=InputTrianglesCount!$D$8,$CT47&gt;=CL$41),1,0)</f>
        <v>0</v>
      </c>
      <c r="CM47" s="33">
        <f>IF(AND($B47&gt;=InputTrianglesCount!$D$8,$CT47&gt;=CM$41),1,0)</f>
        <v>0</v>
      </c>
      <c r="CN47" s="33">
        <f>IF(AND($B47&gt;=InputTrianglesCount!$D$8,$CT47&gt;=CN$41),1,0)</f>
        <v>0</v>
      </c>
      <c r="CO47" s="33">
        <f>IF(AND($B47&gt;=InputTrianglesCount!$D$8,$CT47&gt;=CO$41),1,0)</f>
        <v>0</v>
      </c>
      <c r="CP47" s="33">
        <f>IF(AND($B47&gt;=InputTrianglesCount!$D$8,$CT47&gt;=CP$41),1,0)</f>
        <v>0</v>
      </c>
      <c r="CQ47" s="33">
        <f>IF(AND($B47&gt;=InputTrianglesCount!$D$8,$CT47&gt;=CQ$41),1,0)</f>
        <v>0</v>
      </c>
      <c r="CR47" s="33">
        <f>IF(AND($B47&gt;=InputTrianglesCount!$D$8,$CT47&gt;=CR$41),1,0)</f>
        <v>0</v>
      </c>
      <c r="CS47" s="32">
        <f>IF(AND($B47&gt;=InputTrianglesCount!$D$8,$CT47&gt;=CS$41),1,0)</f>
        <v>0</v>
      </c>
      <c r="CT47" s="31">
        <f>($D$9-InputTrianglesCount!$B47)*InputTrianglesCount!$E$4+$D$6</f>
        <v>19</v>
      </c>
    </row>
    <row r="48" spans="1:102" hidden="1" x14ac:dyDescent="0.25">
      <c r="A48" s="97">
        <v>0</v>
      </c>
      <c r="B48" s="29">
        <f t="shared" si="7"/>
        <v>2002</v>
      </c>
      <c r="C48" s="30">
        <f>IF(AND($B48&gt;=InputTrianglesCount!$D$8,$CT48&gt;=C$41),1,0)</f>
        <v>0</v>
      </c>
      <c r="D48" s="33">
        <f>IF(AND($B48&gt;=InputTrianglesCount!$D$8,$CT48&gt;=D$41),1,0)</f>
        <v>0</v>
      </c>
      <c r="E48" s="33">
        <f>IF(AND($B48&gt;=InputTrianglesCount!$D$8,$CT48&gt;=E$41),1,0)</f>
        <v>0</v>
      </c>
      <c r="F48" s="33">
        <f>IF(AND($B48&gt;=InputTrianglesCount!$D$8,$CT48&gt;=F$41),1,0)</f>
        <v>0</v>
      </c>
      <c r="G48" s="33">
        <f>IF(AND($B48&gt;=InputTrianglesCount!$D$8,$CT48&gt;=G$41),1,0)</f>
        <v>0</v>
      </c>
      <c r="H48" s="33">
        <f>IF(AND($B48&gt;=InputTrianglesCount!$D$8,$CT48&gt;=H$41),1,0)</f>
        <v>0</v>
      </c>
      <c r="I48" s="33">
        <f>IF(AND($B48&gt;=InputTrianglesCount!$D$8,$CT48&gt;=I$41),1,0)</f>
        <v>0</v>
      </c>
      <c r="J48" s="33">
        <f>IF(AND($B48&gt;=InputTrianglesCount!$D$8,$CT48&gt;=J$41),1,0)</f>
        <v>0</v>
      </c>
      <c r="K48" s="33">
        <f>IF(AND($B48&gt;=InputTrianglesCount!$D$8,$CT48&gt;=K$41),1,0)</f>
        <v>0</v>
      </c>
      <c r="L48" s="33">
        <f>IF(AND($B48&gt;=InputTrianglesCount!$D$8,$CT48&gt;=L$41),1,0)</f>
        <v>0</v>
      </c>
      <c r="M48" s="33">
        <f>IF(AND($B48&gt;=InputTrianglesCount!$D$8,$CT48&gt;=M$41),1,0)</f>
        <v>0</v>
      </c>
      <c r="N48" s="33">
        <f>IF(AND($B48&gt;=InputTrianglesCount!$D$8,$CT48&gt;=N$41),1,0)</f>
        <v>0</v>
      </c>
      <c r="O48" s="33">
        <f>IF(AND($B48&gt;=InputTrianglesCount!$D$8,$CT48&gt;=O$41),1,0)</f>
        <v>0</v>
      </c>
      <c r="P48" s="33">
        <f>IF(AND($B48&gt;=InputTrianglesCount!$D$8,$CT48&gt;=P$41),1,0)</f>
        <v>0</v>
      </c>
      <c r="Q48" s="33">
        <f>IF(AND($B48&gt;=InputTrianglesCount!$D$8,$CT48&gt;=Q$41),1,0)</f>
        <v>0</v>
      </c>
      <c r="R48" s="33">
        <f>IF(AND($B48&gt;=InputTrianglesCount!$D$8,$CT48&gt;=R$41),1,0)</f>
        <v>0</v>
      </c>
      <c r="S48" s="33">
        <f>IF(AND($B48&gt;=InputTrianglesCount!$D$8,$CT48&gt;=S$41),1,0)</f>
        <v>0</v>
      </c>
      <c r="T48" s="33">
        <f>IF(AND($B48&gt;=InputTrianglesCount!$D$8,$CT48&gt;=T$41),1,0)</f>
        <v>0</v>
      </c>
      <c r="U48" s="33">
        <f>IF(AND($B48&gt;=InputTrianglesCount!$D$8,$CT48&gt;=U$41),1,0)</f>
        <v>0</v>
      </c>
      <c r="V48" s="33">
        <f>IF(AND($B48&gt;=InputTrianglesCount!$D$8,$CT48&gt;=V$41),1,0)</f>
        <v>0</v>
      </c>
      <c r="W48" s="33">
        <f>IF(AND($B48&gt;=InputTrianglesCount!$D$8,$CT48&gt;=W$41),1,0)</f>
        <v>0</v>
      </c>
      <c r="X48" s="33">
        <f>IF(AND($B48&gt;=InputTrianglesCount!$D$8,$CT48&gt;=X$41),1,0)</f>
        <v>0</v>
      </c>
      <c r="Y48" s="33">
        <f>IF(AND($B48&gt;=InputTrianglesCount!$D$8,$CT48&gt;=Y$41),1,0)</f>
        <v>0</v>
      </c>
      <c r="Z48" s="33">
        <f>IF(AND($B48&gt;=InputTrianglesCount!$D$8,$CT48&gt;=Z$41),1,0)</f>
        <v>0</v>
      </c>
      <c r="AA48" s="33">
        <f>IF(AND($B48&gt;=InputTrianglesCount!$D$8,$CT48&gt;=AA$41),1,0)</f>
        <v>0</v>
      </c>
      <c r="AB48" s="33">
        <f>IF(AND($B48&gt;=InputTrianglesCount!$D$8,$CT48&gt;=AB$41),1,0)</f>
        <v>0</v>
      </c>
      <c r="AC48" s="33">
        <f>IF(AND($B48&gt;=InputTrianglesCount!$D$8,$CT48&gt;=AC$41),1,0)</f>
        <v>0</v>
      </c>
      <c r="AD48" s="33">
        <f>IF(AND($B48&gt;=InputTrianglesCount!$D$8,$CT48&gt;=AD$41),1,0)</f>
        <v>0</v>
      </c>
      <c r="AE48" s="33">
        <f>IF(AND($B48&gt;=InputTrianglesCount!$D$8,$CT48&gt;=AE$41),1,0)</f>
        <v>0</v>
      </c>
      <c r="AF48" s="33">
        <f>IF(AND($B48&gt;=InputTrianglesCount!$D$8,$CT48&gt;=AF$41),1,0)</f>
        <v>0</v>
      </c>
      <c r="AG48" s="33">
        <f>IF(AND($B48&gt;=InputTrianglesCount!$D$8,$CT48&gt;=AG$41),1,0)</f>
        <v>0</v>
      </c>
      <c r="AH48" s="33">
        <f>IF(AND($B48&gt;=InputTrianglesCount!$D$8,$CT48&gt;=AH$41),1,0)</f>
        <v>0</v>
      </c>
      <c r="AI48" s="33">
        <f>IF(AND($B48&gt;=InputTrianglesCount!$D$8,$CT48&gt;=AI$41),1,0)</f>
        <v>0</v>
      </c>
      <c r="AJ48" s="33">
        <f>IF(AND($B48&gt;=InputTrianglesCount!$D$8,$CT48&gt;=AJ$41),1,0)</f>
        <v>0</v>
      </c>
      <c r="AK48" s="33">
        <f>IF(AND($B48&gt;=InputTrianglesCount!$D$8,$CT48&gt;=AK$41),1,0)</f>
        <v>0</v>
      </c>
      <c r="AL48" s="33">
        <f>IF(AND($B48&gt;=InputTrianglesCount!$D$8,$CT48&gt;=AL$41),1,0)</f>
        <v>0</v>
      </c>
      <c r="AM48" s="33">
        <f>IF(AND($B48&gt;=InputTrianglesCount!$D$8,$CT48&gt;=AM$41),1,0)</f>
        <v>0</v>
      </c>
      <c r="AN48" s="33">
        <f>IF(AND($B48&gt;=InputTrianglesCount!$D$8,$CT48&gt;=AN$41),1,0)</f>
        <v>0</v>
      </c>
      <c r="AO48" s="33">
        <f>IF(AND($B48&gt;=InputTrianglesCount!$D$8,$CT48&gt;=AO$41),1,0)</f>
        <v>0</v>
      </c>
      <c r="AP48" s="33">
        <f>IF(AND($B48&gt;=InputTrianglesCount!$D$8,$CT48&gt;=AP$41),1,0)</f>
        <v>0</v>
      </c>
      <c r="AQ48" s="33">
        <f>IF(AND($B48&gt;=InputTrianglesCount!$D$8,$CT48&gt;=AQ$41),1,0)</f>
        <v>0</v>
      </c>
      <c r="AR48" s="33">
        <f>IF(AND($B48&gt;=InputTrianglesCount!$D$8,$CT48&gt;=AR$41),1,0)</f>
        <v>0</v>
      </c>
      <c r="AS48" s="33">
        <f>IF(AND($B48&gt;=InputTrianglesCount!$D$8,$CT48&gt;=AS$41),1,0)</f>
        <v>0</v>
      </c>
      <c r="AT48" s="33">
        <f>IF(AND($B48&gt;=InputTrianglesCount!$D$8,$CT48&gt;=AT$41),1,0)</f>
        <v>0</v>
      </c>
      <c r="AU48" s="33">
        <f>IF(AND($B48&gt;=InputTrianglesCount!$D$8,$CT48&gt;=AU$41),1,0)</f>
        <v>0</v>
      </c>
      <c r="AV48" s="33">
        <f>IF(AND($B48&gt;=InputTrianglesCount!$D$8,$CT48&gt;=AV$41),1,0)</f>
        <v>0</v>
      </c>
      <c r="AW48" s="33">
        <f>IF(AND($B48&gt;=InputTrianglesCount!$D$8,$CT48&gt;=AW$41),1,0)</f>
        <v>0</v>
      </c>
      <c r="AX48" s="33">
        <f>IF(AND($B48&gt;=InputTrianglesCount!$D$8,$CT48&gt;=AX$41),1,0)</f>
        <v>0</v>
      </c>
      <c r="AY48" s="33">
        <f>IF(AND($B48&gt;=InputTrianglesCount!$D$8,$CT48&gt;=AY$41),1,0)</f>
        <v>0</v>
      </c>
      <c r="AZ48" s="33">
        <f>IF(AND($B48&gt;=InputTrianglesCount!$D$8,$CT48&gt;=AZ$41),1,0)</f>
        <v>0</v>
      </c>
      <c r="BA48" s="33">
        <f>IF(AND($B48&gt;=InputTrianglesCount!$D$8,$CT48&gt;=BA$41),1,0)</f>
        <v>0</v>
      </c>
      <c r="BB48" s="33">
        <f>IF(AND($B48&gt;=InputTrianglesCount!$D$8,$CT48&gt;=BB$41),1,0)</f>
        <v>0</v>
      </c>
      <c r="BC48" s="33">
        <f>IF(AND($B48&gt;=InputTrianglesCount!$D$8,$CT48&gt;=BC$41),1,0)</f>
        <v>0</v>
      </c>
      <c r="BD48" s="33">
        <f>IF(AND($B48&gt;=InputTrianglesCount!$D$8,$CT48&gt;=BD$41),1,0)</f>
        <v>0</v>
      </c>
      <c r="BE48" s="33">
        <f>IF(AND($B48&gt;=InputTrianglesCount!$D$8,$CT48&gt;=BE$41),1,0)</f>
        <v>0</v>
      </c>
      <c r="BF48" s="33">
        <f>IF(AND($B48&gt;=InputTrianglesCount!$D$8,$CT48&gt;=BF$41),1,0)</f>
        <v>0</v>
      </c>
      <c r="BG48" s="33">
        <f>IF(AND($B48&gt;=InputTrianglesCount!$D$8,$CT48&gt;=BG$41),1,0)</f>
        <v>0</v>
      </c>
      <c r="BH48" s="33">
        <f>IF(AND($B48&gt;=InputTrianglesCount!$D$8,$CT48&gt;=BH$41),1,0)</f>
        <v>0</v>
      </c>
      <c r="BI48" s="33">
        <f>IF(AND($B48&gt;=InputTrianglesCount!$D$8,$CT48&gt;=BI$41),1,0)</f>
        <v>0</v>
      </c>
      <c r="BJ48" s="33">
        <f>IF(AND($B48&gt;=InputTrianglesCount!$D$8,$CT48&gt;=BJ$41),1,0)</f>
        <v>0</v>
      </c>
      <c r="BK48" s="33">
        <f>IF(AND($B48&gt;=InputTrianglesCount!$D$8,$CT48&gt;=BK$41),1,0)</f>
        <v>0</v>
      </c>
      <c r="BL48" s="33">
        <f>IF(AND($B48&gt;=InputTrianglesCount!$D$8,$CT48&gt;=BL$41),1,0)</f>
        <v>0</v>
      </c>
      <c r="BM48" s="33">
        <f>IF(AND($B48&gt;=InputTrianglesCount!$D$8,$CT48&gt;=BM$41),1,0)</f>
        <v>0</v>
      </c>
      <c r="BN48" s="33">
        <f>IF(AND($B48&gt;=InputTrianglesCount!$D$8,$CT48&gt;=BN$41),1,0)</f>
        <v>0</v>
      </c>
      <c r="BO48" s="33">
        <f>IF(AND($B48&gt;=InputTrianglesCount!$D$8,$CT48&gt;=BO$41),1,0)</f>
        <v>0</v>
      </c>
      <c r="BP48" s="33">
        <f>IF(AND($B48&gt;=InputTrianglesCount!$D$8,$CT48&gt;=BP$41),1,0)</f>
        <v>0</v>
      </c>
      <c r="BQ48" s="33">
        <f>IF(AND($B48&gt;=InputTrianglesCount!$D$8,$CT48&gt;=BQ$41),1,0)</f>
        <v>0</v>
      </c>
      <c r="BR48" s="33">
        <f>IF(AND($B48&gt;=InputTrianglesCount!$D$8,$CT48&gt;=BR$41),1,0)</f>
        <v>0</v>
      </c>
      <c r="BS48" s="33">
        <f>IF(AND($B48&gt;=InputTrianglesCount!$D$8,$CT48&gt;=BS$41),1,0)</f>
        <v>0</v>
      </c>
      <c r="BT48" s="33">
        <f>IF(AND($B48&gt;=InputTrianglesCount!$D$8,$CT48&gt;=BT$41),1,0)</f>
        <v>0</v>
      </c>
      <c r="BU48" s="33">
        <f>IF(AND($B48&gt;=InputTrianglesCount!$D$8,$CT48&gt;=BU$41),1,0)</f>
        <v>0</v>
      </c>
      <c r="BV48" s="33">
        <f>IF(AND($B48&gt;=InputTrianglesCount!$D$8,$CT48&gt;=BV$41),1,0)</f>
        <v>0</v>
      </c>
      <c r="BW48" s="33">
        <f>IF(AND($B48&gt;=InputTrianglesCount!$D$8,$CT48&gt;=BW$41),1,0)</f>
        <v>0</v>
      </c>
      <c r="BX48" s="33">
        <f>IF(AND($B48&gt;=InputTrianglesCount!$D$8,$CT48&gt;=BX$41),1,0)</f>
        <v>0</v>
      </c>
      <c r="BY48" s="33">
        <f>IF(AND($B48&gt;=InputTrianglesCount!$D$8,$CT48&gt;=BY$41),1,0)</f>
        <v>0</v>
      </c>
      <c r="BZ48" s="33">
        <f>IF(AND($B48&gt;=InputTrianglesCount!$D$8,$CT48&gt;=BZ$41),1,0)</f>
        <v>0</v>
      </c>
      <c r="CA48" s="33">
        <f>IF(AND($B48&gt;=InputTrianglesCount!$D$8,$CT48&gt;=CA$41),1,0)</f>
        <v>0</v>
      </c>
      <c r="CB48" s="33">
        <f>IF(AND($B48&gt;=InputTrianglesCount!$D$8,$CT48&gt;=CB$41),1,0)</f>
        <v>0</v>
      </c>
      <c r="CC48" s="33">
        <f>IF(AND($B48&gt;=InputTrianglesCount!$D$8,$CT48&gt;=CC$41),1,0)</f>
        <v>0</v>
      </c>
      <c r="CD48" s="33">
        <f>IF(AND($B48&gt;=InputTrianglesCount!$D$8,$CT48&gt;=CD$41),1,0)</f>
        <v>0</v>
      </c>
      <c r="CE48" s="33">
        <f>IF(AND($B48&gt;=InputTrianglesCount!$D$8,$CT48&gt;=CE$41),1,0)</f>
        <v>0</v>
      </c>
      <c r="CF48" s="33">
        <f>IF(AND($B48&gt;=InputTrianglesCount!$D$8,$CT48&gt;=CF$41),1,0)</f>
        <v>0</v>
      </c>
      <c r="CG48" s="33">
        <f>IF(AND($B48&gt;=InputTrianglesCount!$D$8,$CT48&gt;=CG$41),1,0)</f>
        <v>0</v>
      </c>
      <c r="CH48" s="33">
        <f>IF(AND($B48&gt;=InputTrianglesCount!$D$8,$CT48&gt;=CH$41),1,0)</f>
        <v>0</v>
      </c>
      <c r="CI48" s="33">
        <f>IF(AND($B48&gt;=InputTrianglesCount!$D$8,$CT48&gt;=CI$41),1,0)</f>
        <v>0</v>
      </c>
      <c r="CJ48" s="33">
        <f>IF(AND($B48&gt;=InputTrianglesCount!$D$8,$CT48&gt;=CJ$41),1,0)</f>
        <v>0</v>
      </c>
      <c r="CK48" s="33">
        <f>IF(AND($B48&gt;=InputTrianglesCount!$D$8,$CT48&gt;=CK$41),1,0)</f>
        <v>0</v>
      </c>
      <c r="CL48" s="33">
        <f>IF(AND($B48&gt;=InputTrianglesCount!$D$8,$CT48&gt;=CL$41),1,0)</f>
        <v>0</v>
      </c>
      <c r="CM48" s="33">
        <f>IF(AND($B48&gt;=InputTrianglesCount!$D$8,$CT48&gt;=CM$41),1,0)</f>
        <v>0</v>
      </c>
      <c r="CN48" s="33">
        <f>IF(AND($B48&gt;=InputTrianglesCount!$D$8,$CT48&gt;=CN$41),1,0)</f>
        <v>0</v>
      </c>
      <c r="CO48" s="33">
        <f>IF(AND($B48&gt;=InputTrianglesCount!$D$8,$CT48&gt;=CO$41),1,0)</f>
        <v>0</v>
      </c>
      <c r="CP48" s="33">
        <f>IF(AND($B48&gt;=InputTrianglesCount!$D$8,$CT48&gt;=CP$41),1,0)</f>
        <v>0</v>
      </c>
      <c r="CQ48" s="33">
        <f>IF(AND($B48&gt;=InputTrianglesCount!$D$8,$CT48&gt;=CQ$41),1,0)</f>
        <v>0</v>
      </c>
      <c r="CR48" s="33">
        <f>IF(AND($B48&gt;=InputTrianglesCount!$D$8,$CT48&gt;=CR$41),1,0)</f>
        <v>0</v>
      </c>
      <c r="CS48" s="32">
        <f>IF(AND($B48&gt;=InputTrianglesCount!$D$8,$CT48&gt;=CS$41),1,0)</f>
        <v>0</v>
      </c>
      <c r="CT48" s="31">
        <f>($D$9-InputTrianglesCount!$B48)*InputTrianglesCount!$E$4+$D$6</f>
        <v>18</v>
      </c>
    </row>
    <row r="49" spans="1:98" hidden="1" x14ac:dyDescent="0.25">
      <c r="A49" s="97">
        <v>0</v>
      </c>
      <c r="B49" s="29">
        <f t="shared" si="7"/>
        <v>2003</v>
      </c>
      <c r="C49" s="30">
        <f>IF(AND($B49&gt;=InputTrianglesCount!$D$8,$CT49&gt;=C$41),1,0)</f>
        <v>0</v>
      </c>
      <c r="D49" s="33">
        <f>IF(AND($B49&gt;=InputTrianglesCount!$D$8,$CT49&gt;=D$41),1,0)</f>
        <v>0</v>
      </c>
      <c r="E49" s="33">
        <f>IF(AND($B49&gt;=InputTrianglesCount!$D$8,$CT49&gt;=E$41),1,0)</f>
        <v>0</v>
      </c>
      <c r="F49" s="33">
        <f>IF(AND($B49&gt;=InputTrianglesCount!$D$8,$CT49&gt;=F$41),1,0)</f>
        <v>0</v>
      </c>
      <c r="G49" s="33">
        <f>IF(AND($B49&gt;=InputTrianglesCount!$D$8,$CT49&gt;=G$41),1,0)</f>
        <v>0</v>
      </c>
      <c r="H49" s="33">
        <f>IF(AND($B49&gt;=InputTrianglesCount!$D$8,$CT49&gt;=H$41),1,0)</f>
        <v>0</v>
      </c>
      <c r="I49" s="33">
        <f>IF(AND($B49&gt;=InputTrianglesCount!$D$8,$CT49&gt;=I$41),1,0)</f>
        <v>0</v>
      </c>
      <c r="J49" s="33">
        <f>IF(AND($B49&gt;=InputTrianglesCount!$D$8,$CT49&gt;=J$41),1,0)</f>
        <v>0</v>
      </c>
      <c r="K49" s="33">
        <f>IF(AND($B49&gt;=InputTrianglesCount!$D$8,$CT49&gt;=K$41),1,0)</f>
        <v>0</v>
      </c>
      <c r="L49" s="33">
        <f>IF(AND($B49&gt;=InputTrianglesCount!$D$8,$CT49&gt;=L$41),1,0)</f>
        <v>0</v>
      </c>
      <c r="M49" s="33">
        <f>IF(AND($B49&gt;=InputTrianglesCount!$D$8,$CT49&gt;=M$41),1,0)</f>
        <v>0</v>
      </c>
      <c r="N49" s="33">
        <f>IF(AND($B49&gt;=InputTrianglesCount!$D$8,$CT49&gt;=N$41),1,0)</f>
        <v>0</v>
      </c>
      <c r="O49" s="33">
        <f>IF(AND($B49&gt;=InputTrianglesCount!$D$8,$CT49&gt;=O$41),1,0)</f>
        <v>0</v>
      </c>
      <c r="P49" s="33">
        <f>IF(AND($B49&gt;=InputTrianglesCount!$D$8,$CT49&gt;=P$41),1,0)</f>
        <v>0</v>
      </c>
      <c r="Q49" s="33">
        <f>IF(AND($B49&gt;=InputTrianglesCount!$D$8,$CT49&gt;=Q$41),1,0)</f>
        <v>0</v>
      </c>
      <c r="R49" s="33">
        <f>IF(AND($B49&gt;=InputTrianglesCount!$D$8,$CT49&gt;=R$41),1,0)</f>
        <v>0</v>
      </c>
      <c r="S49" s="33">
        <f>IF(AND($B49&gt;=InputTrianglesCount!$D$8,$CT49&gt;=S$41),1,0)</f>
        <v>0</v>
      </c>
      <c r="T49" s="33">
        <f>IF(AND($B49&gt;=InputTrianglesCount!$D$8,$CT49&gt;=T$41),1,0)</f>
        <v>0</v>
      </c>
      <c r="U49" s="33">
        <f>IF(AND($B49&gt;=InputTrianglesCount!$D$8,$CT49&gt;=U$41),1,0)</f>
        <v>0</v>
      </c>
      <c r="V49" s="33">
        <f>IF(AND($B49&gt;=InputTrianglesCount!$D$8,$CT49&gt;=V$41),1,0)</f>
        <v>0</v>
      </c>
      <c r="W49" s="33">
        <f>IF(AND($B49&gt;=InputTrianglesCount!$D$8,$CT49&gt;=W$41),1,0)</f>
        <v>0</v>
      </c>
      <c r="X49" s="33">
        <f>IF(AND($B49&gt;=InputTrianglesCount!$D$8,$CT49&gt;=X$41),1,0)</f>
        <v>0</v>
      </c>
      <c r="Y49" s="33">
        <f>IF(AND($B49&gt;=InputTrianglesCount!$D$8,$CT49&gt;=Y$41),1,0)</f>
        <v>0</v>
      </c>
      <c r="Z49" s="33">
        <f>IF(AND($B49&gt;=InputTrianglesCount!$D$8,$CT49&gt;=Z$41),1,0)</f>
        <v>0</v>
      </c>
      <c r="AA49" s="33">
        <f>IF(AND($B49&gt;=InputTrianglesCount!$D$8,$CT49&gt;=AA$41),1,0)</f>
        <v>0</v>
      </c>
      <c r="AB49" s="33">
        <f>IF(AND($B49&gt;=InputTrianglesCount!$D$8,$CT49&gt;=AB$41),1,0)</f>
        <v>0</v>
      </c>
      <c r="AC49" s="33">
        <f>IF(AND($B49&gt;=InputTrianglesCount!$D$8,$CT49&gt;=AC$41),1,0)</f>
        <v>0</v>
      </c>
      <c r="AD49" s="33">
        <f>IF(AND($B49&gt;=InputTrianglesCount!$D$8,$CT49&gt;=AD$41),1,0)</f>
        <v>0</v>
      </c>
      <c r="AE49" s="33">
        <f>IF(AND($B49&gt;=InputTrianglesCount!$D$8,$CT49&gt;=AE$41),1,0)</f>
        <v>0</v>
      </c>
      <c r="AF49" s="33">
        <f>IF(AND($B49&gt;=InputTrianglesCount!$D$8,$CT49&gt;=AF$41),1,0)</f>
        <v>0</v>
      </c>
      <c r="AG49" s="33">
        <f>IF(AND($B49&gt;=InputTrianglesCount!$D$8,$CT49&gt;=AG$41),1,0)</f>
        <v>0</v>
      </c>
      <c r="AH49" s="33">
        <f>IF(AND($B49&gt;=InputTrianglesCount!$D$8,$CT49&gt;=AH$41),1,0)</f>
        <v>0</v>
      </c>
      <c r="AI49" s="33">
        <f>IF(AND($B49&gt;=InputTrianglesCount!$D$8,$CT49&gt;=AI$41),1,0)</f>
        <v>0</v>
      </c>
      <c r="AJ49" s="33">
        <f>IF(AND($B49&gt;=InputTrianglesCount!$D$8,$CT49&gt;=AJ$41),1,0)</f>
        <v>0</v>
      </c>
      <c r="AK49" s="33">
        <f>IF(AND($B49&gt;=InputTrianglesCount!$D$8,$CT49&gt;=AK$41),1,0)</f>
        <v>0</v>
      </c>
      <c r="AL49" s="33">
        <f>IF(AND($B49&gt;=InputTrianglesCount!$D$8,$CT49&gt;=AL$41),1,0)</f>
        <v>0</v>
      </c>
      <c r="AM49" s="33">
        <f>IF(AND($B49&gt;=InputTrianglesCount!$D$8,$CT49&gt;=AM$41),1,0)</f>
        <v>0</v>
      </c>
      <c r="AN49" s="33">
        <f>IF(AND($B49&gt;=InputTrianglesCount!$D$8,$CT49&gt;=AN$41),1,0)</f>
        <v>0</v>
      </c>
      <c r="AO49" s="33">
        <f>IF(AND($B49&gt;=InputTrianglesCount!$D$8,$CT49&gt;=AO$41),1,0)</f>
        <v>0</v>
      </c>
      <c r="AP49" s="33">
        <f>IF(AND($B49&gt;=InputTrianglesCount!$D$8,$CT49&gt;=AP$41),1,0)</f>
        <v>0</v>
      </c>
      <c r="AQ49" s="33">
        <f>IF(AND($B49&gt;=InputTrianglesCount!$D$8,$CT49&gt;=AQ$41),1,0)</f>
        <v>0</v>
      </c>
      <c r="AR49" s="33">
        <f>IF(AND($B49&gt;=InputTrianglesCount!$D$8,$CT49&gt;=AR$41),1,0)</f>
        <v>0</v>
      </c>
      <c r="AS49" s="33">
        <f>IF(AND($B49&gt;=InputTrianglesCount!$D$8,$CT49&gt;=AS$41),1,0)</f>
        <v>0</v>
      </c>
      <c r="AT49" s="33">
        <f>IF(AND($B49&gt;=InputTrianglesCount!$D$8,$CT49&gt;=AT$41),1,0)</f>
        <v>0</v>
      </c>
      <c r="AU49" s="33">
        <f>IF(AND($B49&gt;=InputTrianglesCount!$D$8,$CT49&gt;=AU$41),1,0)</f>
        <v>0</v>
      </c>
      <c r="AV49" s="33">
        <f>IF(AND($B49&gt;=InputTrianglesCount!$D$8,$CT49&gt;=AV$41),1,0)</f>
        <v>0</v>
      </c>
      <c r="AW49" s="33">
        <f>IF(AND($B49&gt;=InputTrianglesCount!$D$8,$CT49&gt;=AW$41),1,0)</f>
        <v>0</v>
      </c>
      <c r="AX49" s="33">
        <f>IF(AND($B49&gt;=InputTrianglesCount!$D$8,$CT49&gt;=AX$41),1,0)</f>
        <v>0</v>
      </c>
      <c r="AY49" s="33">
        <f>IF(AND($B49&gt;=InputTrianglesCount!$D$8,$CT49&gt;=AY$41),1,0)</f>
        <v>0</v>
      </c>
      <c r="AZ49" s="33">
        <f>IF(AND($B49&gt;=InputTrianglesCount!$D$8,$CT49&gt;=AZ$41),1,0)</f>
        <v>0</v>
      </c>
      <c r="BA49" s="33">
        <f>IF(AND($B49&gt;=InputTrianglesCount!$D$8,$CT49&gt;=BA$41),1,0)</f>
        <v>0</v>
      </c>
      <c r="BB49" s="33">
        <f>IF(AND($B49&gt;=InputTrianglesCount!$D$8,$CT49&gt;=BB$41),1,0)</f>
        <v>0</v>
      </c>
      <c r="BC49" s="33">
        <f>IF(AND($B49&gt;=InputTrianglesCount!$D$8,$CT49&gt;=BC$41),1,0)</f>
        <v>0</v>
      </c>
      <c r="BD49" s="33">
        <f>IF(AND($B49&gt;=InputTrianglesCount!$D$8,$CT49&gt;=BD$41),1,0)</f>
        <v>0</v>
      </c>
      <c r="BE49" s="33">
        <f>IF(AND($B49&gt;=InputTrianglesCount!$D$8,$CT49&gt;=BE$41),1,0)</f>
        <v>0</v>
      </c>
      <c r="BF49" s="33">
        <f>IF(AND($B49&gt;=InputTrianglesCount!$D$8,$CT49&gt;=BF$41),1,0)</f>
        <v>0</v>
      </c>
      <c r="BG49" s="33">
        <f>IF(AND($B49&gt;=InputTrianglesCount!$D$8,$CT49&gt;=BG$41),1,0)</f>
        <v>0</v>
      </c>
      <c r="BH49" s="33">
        <f>IF(AND($B49&gt;=InputTrianglesCount!$D$8,$CT49&gt;=BH$41),1,0)</f>
        <v>0</v>
      </c>
      <c r="BI49" s="33">
        <f>IF(AND($B49&gt;=InputTrianglesCount!$D$8,$CT49&gt;=BI$41),1,0)</f>
        <v>0</v>
      </c>
      <c r="BJ49" s="33">
        <f>IF(AND($B49&gt;=InputTrianglesCount!$D$8,$CT49&gt;=BJ$41),1,0)</f>
        <v>0</v>
      </c>
      <c r="BK49" s="33">
        <f>IF(AND($B49&gt;=InputTrianglesCount!$D$8,$CT49&gt;=BK$41),1,0)</f>
        <v>0</v>
      </c>
      <c r="BL49" s="33">
        <f>IF(AND($B49&gt;=InputTrianglesCount!$D$8,$CT49&gt;=BL$41),1,0)</f>
        <v>0</v>
      </c>
      <c r="BM49" s="33">
        <f>IF(AND($B49&gt;=InputTrianglesCount!$D$8,$CT49&gt;=BM$41),1,0)</f>
        <v>0</v>
      </c>
      <c r="BN49" s="33">
        <f>IF(AND($B49&gt;=InputTrianglesCount!$D$8,$CT49&gt;=BN$41),1,0)</f>
        <v>0</v>
      </c>
      <c r="BO49" s="33">
        <f>IF(AND($B49&gt;=InputTrianglesCount!$D$8,$CT49&gt;=BO$41),1,0)</f>
        <v>0</v>
      </c>
      <c r="BP49" s="33">
        <f>IF(AND($B49&gt;=InputTrianglesCount!$D$8,$CT49&gt;=BP$41),1,0)</f>
        <v>0</v>
      </c>
      <c r="BQ49" s="33">
        <f>IF(AND($B49&gt;=InputTrianglesCount!$D$8,$CT49&gt;=BQ$41),1,0)</f>
        <v>0</v>
      </c>
      <c r="BR49" s="33">
        <f>IF(AND($B49&gt;=InputTrianglesCount!$D$8,$CT49&gt;=BR$41),1,0)</f>
        <v>0</v>
      </c>
      <c r="BS49" s="33">
        <f>IF(AND($B49&gt;=InputTrianglesCount!$D$8,$CT49&gt;=BS$41),1,0)</f>
        <v>0</v>
      </c>
      <c r="BT49" s="33">
        <f>IF(AND($B49&gt;=InputTrianglesCount!$D$8,$CT49&gt;=BT$41),1,0)</f>
        <v>0</v>
      </c>
      <c r="BU49" s="33">
        <f>IF(AND($B49&gt;=InputTrianglesCount!$D$8,$CT49&gt;=BU$41),1,0)</f>
        <v>0</v>
      </c>
      <c r="BV49" s="33">
        <f>IF(AND($B49&gt;=InputTrianglesCount!$D$8,$CT49&gt;=BV$41),1,0)</f>
        <v>0</v>
      </c>
      <c r="BW49" s="33">
        <f>IF(AND($B49&gt;=InputTrianglesCount!$D$8,$CT49&gt;=BW$41),1,0)</f>
        <v>0</v>
      </c>
      <c r="BX49" s="33">
        <f>IF(AND($B49&gt;=InputTrianglesCount!$D$8,$CT49&gt;=BX$41),1,0)</f>
        <v>0</v>
      </c>
      <c r="BY49" s="33">
        <f>IF(AND($B49&gt;=InputTrianglesCount!$D$8,$CT49&gt;=BY$41),1,0)</f>
        <v>0</v>
      </c>
      <c r="BZ49" s="33">
        <f>IF(AND($B49&gt;=InputTrianglesCount!$D$8,$CT49&gt;=BZ$41),1,0)</f>
        <v>0</v>
      </c>
      <c r="CA49" s="33">
        <f>IF(AND($B49&gt;=InputTrianglesCount!$D$8,$CT49&gt;=CA$41),1,0)</f>
        <v>0</v>
      </c>
      <c r="CB49" s="33">
        <f>IF(AND($B49&gt;=InputTrianglesCount!$D$8,$CT49&gt;=CB$41),1,0)</f>
        <v>0</v>
      </c>
      <c r="CC49" s="33">
        <f>IF(AND($B49&gt;=InputTrianglesCount!$D$8,$CT49&gt;=CC$41),1,0)</f>
        <v>0</v>
      </c>
      <c r="CD49" s="33">
        <f>IF(AND($B49&gt;=InputTrianglesCount!$D$8,$CT49&gt;=CD$41),1,0)</f>
        <v>0</v>
      </c>
      <c r="CE49" s="33">
        <f>IF(AND($B49&gt;=InputTrianglesCount!$D$8,$CT49&gt;=CE$41),1,0)</f>
        <v>0</v>
      </c>
      <c r="CF49" s="33">
        <f>IF(AND($B49&gt;=InputTrianglesCount!$D$8,$CT49&gt;=CF$41),1,0)</f>
        <v>0</v>
      </c>
      <c r="CG49" s="33">
        <f>IF(AND($B49&gt;=InputTrianglesCount!$D$8,$CT49&gt;=CG$41),1,0)</f>
        <v>0</v>
      </c>
      <c r="CH49" s="33">
        <f>IF(AND($B49&gt;=InputTrianglesCount!$D$8,$CT49&gt;=CH$41),1,0)</f>
        <v>0</v>
      </c>
      <c r="CI49" s="33">
        <f>IF(AND($B49&gt;=InputTrianglesCount!$D$8,$CT49&gt;=CI$41),1,0)</f>
        <v>0</v>
      </c>
      <c r="CJ49" s="33">
        <f>IF(AND($B49&gt;=InputTrianglesCount!$D$8,$CT49&gt;=CJ$41),1,0)</f>
        <v>0</v>
      </c>
      <c r="CK49" s="33">
        <f>IF(AND($B49&gt;=InputTrianglesCount!$D$8,$CT49&gt;=CK$41),1,0)</f>
        <v>0</v>
      </c>
      <c r="CL49" s="33">
        <f>IF(AND($B49&gt;=InputTrianglesCount!$D$8,$CT49&gt;=CL$41),1,0)</f>
        <v>0</v>
      </c>
      <c r="CM49" s="33">
        <f>IF(AND($B49&gt;=InputTrianglesCount!$D$8,$CT49&gt;=CM$41),1,0)</f>
        <v>0</v>
      </c>
      <c r="CN49" s="33">
        <f>IF(AND($B49&gt;=InputTrianglesCount!$D$8,$CT49&gt;=CN$41),1,0)</f>
        <v>0</v>
      </c>
      <c r="CO49" s="33">
        <f>IF(AND($B49&gt;=InputTrianglesCount!$D$8,$CT49&gt;=CO$41),1,0)</f>
        <v>0</v>
      </c>
      <c r="CP49" s="33">
        <f>IF(AND($B49&gt;=InputTrianglesCount!$D$8,$CT49&gt;=CP$41),1,0)</f>
        <v>0</v>
      </c>
      <c r="CQ49" s="33">
        <f>IF(AND($B49&gt;=InputTrianglesCount!$D$8,$CT49&gt;=CQ$41),1,0)</f>
        <v>0</v>
      </c>
      <c r="CR49" s="33">
        <f>IF(AND($B49&gt;=InputTrianglesCount!$D$8,$CT49&gt;=CR$41),1,0)</f>
        <v>0</v>
      </c>
      <c r="CS49" s="32">
        <f>IF(AND($B49&gt;=InputTrianglesCount!$D$8,$CT49&gt;=CS$41),1,0)</f>
        <v>0</v>
      </c>
      <c r="CT49" s="31">
        <f>($D$9-InputTrianglesCount!$B49)*InputTrianglesCount!$E$4+$D$6</f>
        <v>17</v>
      </c>
    </row>
    <row r="50" spans="1:98" hidden="1" x14ac:dyDescent="0.25">
      <c r="A50" s="97">
        <v>0</v>
      </c>
      <c r="B50" s="29">
        <f t="shared" si="7"/>
        <v>2004</v>
      </c>
      <c r="C50" s="30">
        <f>IF(AND($B50&gt;=InputTrianglesCount!$D$8,$CT50&gt;=C$41),1,0)</f>
        <v>0</v>
      </c>
      <c r="D50" s="33">
        <f>IF(AND($B50&gt;=InputTrianglesCount!$D$8,$CT50&gt;=D$41),1,0)</f>
        <v>0</v>
      </c>
      <c r="E50" s="33">
        <f>IF(AND($B50&gt;=InputTrianglesCount!$D$8,$CT50&gt;=E$41),1,0)</f>
        <v>0</v>
      </c>
      <c r="F50" s="33">
        <f>IF(AND($B50&gt;=InputTrianglesCount!$D$8,$CT50&gt;=F$41),1,0)</f>
        <v>0</v>
      </c>
      <c r="G50" s="33">
        <f>IF(AND($B50&gt;=InputTrianglesCount!$D$8,$CT50&gt;=G$41),1,0)</f>
        <v>0</v>
      </c>
      <c r="H50" s="33">
        <f>IF(AND($B50&gt;=InputTrianglesCount!$D$8,$CT50&gt;=H$41),1,0)</f>
        <v>0</v>
      </c>
      <c r="I50" s="33">
        <f>IF(AND($B50&gt;=InputTrianglesCount!$D$8,$CT50&gt;=I$41),1,0)</f>
        <v>0</v>
      </c>
      <c r="J50" s="33">
        <f>IF(AND($B50&gt;=InputTrianglesCount!$D$8,$CT50&gt;=J$41),1,0)</f>
        <v>0</v>
      </c>
      <c r="K50" s="33">
        <f>IF(AND($B50&gt;=InputTrianglesCount!$D$8,$CT50&gt;=K$41),1,0)</f>
        <v>0</v>
      </c>
      <c r="L50" s="33">
        <f>IF(AND($B50&gt;=InputTrianglesCount!$D$8,$CT50&gt;=L$41),1,0)</f>
        <v>0</v>
      </c>
      <c r="M50" s="33">
        <f>IF(AND($B50&gt;=InputTrianglesCount!$D$8,$CT50&gt;=M$41),1,0)</f>
        <v>0</v>
      </c>
      <c r="N50" s="33">
        <f>IF(AND($B50&gt;=InputTrianglesCount!$D$8,$CT50&gt;=N$41),1,0)</f>
        <v>0</v>
      </c>
      <c r="O50" s="33">
        <f>IF(AND($B50&gt;=InputTrianglesCount!$D$8,$CT50&gt;=O$41),1,0)</f>
        <v>0</v>
      </c>
      <c r="P50" s="33">
        <f>IF(AND($B50&gt;=InputTrianglesCount!$D$8,$CT50&gt;=P$41),1,0)</f>
        <v>0</v>
      </c>
      <c r="Q50" s="33">
        <f>IF(AND($B50&gt;=InputTrianglesCount!$D$8,$CT50&gt;=Q$41),1,0)</f>
        <v>0</v>
      </c>
      <c r="R50" s="33">
        <f>IF(AND($B50&gt;=InputTrianglesCount!$D$8,$CT50&gt;=R$41),1,0)</f>
        <v>0</v>
      </c>
      <c r="S50" s="33">
        <f>IF(AND($B50&gt;=InputTrianglesCount!$D$8,$CT50&gt;=S$41),1,0)</f>
        <v>0</v>
      </c>
      <c r="T50" s="33">
        <f>IF(AND($B50&gt;=InputTrianglesCount!$D$8,$CT50&gt;=T$41),1,0)</f>
        <v>0</v>
      </c>
      <c r="U50" s="33">
        <f>IF(AND($B50&gt;=InputTrianglesCount!$D$8,$CT50&gt;=U$41),1,0)</f>
        <v>0</v>
      </c>
      <c r="V50" s="33">
        <f>IF(AND($B50&gt;=InputTrianglesCount!$D$8,$CT50&gt;=V$41),1,0)</f>
        <v>0</v>
      </c>
      <c r="W50" s="33">
        <f>IF(AND($B50&gt;=InputTrianglesCount!$D$8,$CT50&gt;=W$41),1,0)</f>
        <v>0</v>
      </c>
      <c r="X50" s="33">
        <f>IF(AND($B50&gt;=InputTrianglesCount!$D$8,$CT50&gt;=X$41),1,0)</f>
        <v>0</v>
      </c>
      <c r="Y50" s="33">
        <f>IF(AND($B50&gt;=InputTrianglesCount!$D$8,$CT50&gt;=Y$41),1,0)</f>
        <v>0</v>
      </c>
      <c r="Z50" s="33">
        <f>IF(AND($B50&gt;=InputTrianglesCount!$D$8,$CT50&gt;=Z$41),1,0)</f>
        <v>0</v>
      </c>
      <c r="AA50" s="33">
        <f>IF(AND($B50&gt;=InputTrianglesCount!$D$8,$CT50&gt;=AA$41),1,0)</f>
        <v>0</v>
      </c>
      <c r="AB50" s="33">
        <f>IF(AND($B50&gt;=InputTrianglesCount!$D$8,$CT50&gt;=AB$41),1,0)</f>
        <v>0</v>
      </c>
      <c r="AC50" s="33">
        <f>IF(AND($B50&gt;=InputTrianglesCount!$D$8,$CT50&gt;=AC$41),1,0)</f>
        <v>0</v>
      </c>
      <c r="AD50" s="33">
        <f>IF(AND($B50&gt;=InputTrianglesCount!$D$8,$CT50&gt;=AD$41),1,0)</f>
        <v>0</v>
      </c>
      <c r="AE50" s="33">
        <f>IF(AND($B50&gt;=InputTrianglesCount!$D$8,$CT50&gt;=AE$41),1,0)</f>
        <v>0</v>
      </c>
      <c r="AF50" s="33">
        <f>IF(AND($B50&gt;=InputTrianglesCount!$D$8,$CT50&gt;=AF$41),1,0)</f>
        <v>0</v>
      </c>
      <c r="AG50" s="33">
        <f>IF(AND($B50&gt;=InputTrianglesCount!$D$8,$CT50&gt;=AG$41),1,0)</f>
        <v>0</v>
      </c>
      <c r="AH50" s="33">
        <f>IF(AND($B50&gt;=InputTrianglesCount!$D$8,$CT50&gt;=AH$41),1,0)</f>
        <v>0</v>
      </c>
      <c r="AI50" s="33">
        <f>IF(AND($B50&gt;=InputTrianglesCount!$D$8,$CT50&gt;=AI$41),1,0)</f>
        <v>0</v>
      </c>
      <c r="AJ50" s="33">
        <f>IF(AND($B50&gt;=InputTrianglesCount!$D$8,$CT50&gt;=AJ$41),1,0)</f>
        <v>0</v>
      </c>
      <c r="AK50" s="33">
        <f>IF(AND($B50&gt;=InputTrianglesCount!$D$8,$CT50&gt;=AK$41),1,0)</f>
        <v>0</v>
      </c>
      <c r="AL50" s="33">
        <f>IF(AND($B50&gt;=InputTrianglesCount!$D$8,$CT50&gt;=AL$41),1,0)</f>
        <v>0</v>
      </c>
      <c r="AM50" s="33">
        <f>IF(AND($B50&gt;=InputTrianglesCount!$D$8,$CT50&gt;=AM$41),1,0)</f>
        <v>0</v>
      </c>
      <c r="AN50" s="33">
        <f>IF(AND($B50&gt;=InputTrianglesCount!$D$8,$CT50&gt;=AN$41),1,0)</f>
        <v>0</v>
      </c>
      <c r="AO50" s="33">
        <f>IF(AND($B50&gt;=InputTrianglesCount!$D$8,$CT50&gt;=AO$41),1,0)</f>
        <v>0</v>
      </c>
      <c r="AP50" s="33">
        <f>IF(AND($B50&gt;=InputTrianglesCount!$D$8,$CT50&gt;=AP$41),1,0)</f>
        <v>0</v>
      </c>
      <c r="AQ50" s="33">
        <f>IF(AND($B50&gt;=InputTrianglesCount!$D$8,$CT50&gt;=AQ$41),1,0)</f>
        <v>0</v>
      </c>
      <c r="AR50" s="33">
        <f>IF(AND($B50&gt;=InputTrianglesCount!$D$8,$CT50&gt;=AR$41),1,0)</f>
        <v>0</v>
      </c>
      <c r="AS50" s="33">
        <f>IF(AND($B50&gt;=InputTrianglesCount!$D$8,$CT50&gt;=AS$41),1,0)</f>
        <v>0</v>
      </c>
      <c r="AT50" s="33">
        <f>IF(AND($B50&gt;=InputTrianglesCount!$D$8,$CT50&gt;=AT$41),1,0)</f>
        <v>0</v>
      </c>
      <c r="AU50" s="33">
        <f>IF(AND($B50&gt;=InputTrianglesCount!$D$8,$CT50&gt;=AU$41),1,0)</f>
        <v>0</v>
      </c>
      <c r="AV50" s="33">
        <f>IF(AND($B50&gt;=InputTrianglesCount!$D$8,$CT50&gt;=AV$41),1,0)</f>
        <v>0</v>
      </c>
      <c r="AW50" s="33">
        <f>IF(AND($B50&gt;=InputTrianglesCount!$D$8,$CT50&gt;=AW$41),1,0)</f>
        <v>0</v>
      </c>
      <c r="AX50" s="33">
        <f>IF(AND($B50&gt;=InputTrianglesCount!$D$8,$CT50&gt;=AX$41),1,0)</f>
        <v>0</v>
      </c>
      <c r="AY50" s="33">
        <f>IF(AND($B50&gt;=InputTrianglesCount!$D$8,$CT50&gt;=AY$41),1,0)</f>
        <v>0</v>
      </c>
      <c r="AZ50" s="33">
        <f>IF(AND($B50&gt;=InputTrianglesCount!$D$8,$CT50&gt;=AZ$41),1,0)</f>
        <v>0</v>
      </c>
      <c r="BA50" s="33">
        <f>IF(AND($B50&gt;=InputTrianglesCount!$D$8,$CT50&gt;=BA$41),1,0)</f>
        <v>0</v>
      </c>
      <c r="BB50" s="33">
        <f>IF(AND($B50&gt;=InputTrianglesCount!$D$8,$CT50&gt;=BB$41),1,0)</f>
        <v>0</v>
      </c>
      <c r="BC50" s="33">
        <f>IF(AND($B50&gt;=InputTrianglesCount!$D$8,$CT50&gt;=BC$41),1,0)</f>
        <v>0</v>
      </c>
      <c r="BD50" s="33">
        <f>IF(AND($B50&gt;=InputTrianglesCount!$D$8,$CT50&gt;=BD$41),1,0)</f>
        <v>0</v>
      </c>
      <c r="BE50" s="33">
        <f>IF(AND($B50&gt;=InputTrianglesCount!$D$8,$CT50&gt;=BE$41),1,0)</f>
        <v>0</v>
      </c>
      <c r="BF50" s="33">
        <f>IF(AND($B50&gt;=InputTrianglesCount!$D$8,$CT50&gt;=BF$41),1,0)</f>
        <v>0</v>
      </c>
      <c r="BG50" s="33">
        <f>IF(AND($B50&gt;=InputTrianglesCount!$D$8,$CT50&gt;=BG$41),1,0)</f>
        <v>0</v>
      </c>
      <c r="BH50" s="33">
        <f>IF(AND($B50&gt;=InputTrianglesCount!$D$8,$CT50&gt;=BH$41),1,0)</f>
        <v>0</v>
      </c>
      <c r="BI50" s="33">
        <f>IF(AND($B50&gt;=InputTrianglesCount!$D$8,$CT50&gt;=BI$41),1,0)</f>
        <v>0</v>
      </c>
      <c r="BJ50" s="33">
        <f>IF(AND($B50&gt;=InputTrianglesCount!$D$8,$CT50&gt;=BJ$41),1,0)</f>
        <v>0</v>
      </c>
      <c r="BK50" s="33">
        <f>IF(AND($B50&gt;=InputTrianglesCount!$D$8,$CT50&gt;=BK$41),1,0)</f>
        <v>0</v>
      </c>
      <c r="BL50" s="33">
        <f>IF(AND($B50&gt;=InputTrianglesCount!$D$8,$CT50&gt;=BL$41),1,0)</f>
        <v>0</v>
      </c>
      <c r="BM50" s="33">
        <f>IF(AND($B50&gt;=InputTrianglesCount!$D$8,$CT50&gt;=BM$41),1,0)</f>
        <v>0</v>
      </c>
      <c r="BN50" s="33">
        <f>IF(AND($B50&gt;=InputTrianglesCount!$D$8,$CT50&gt;=BN$41),1,0)</f>
        <v>0</v>
      </c>
      <c r="BO50" s="33">
        <f>IF(AND($B50&gt;=InputTrianglesCount!$D$8,$CT50&gt;=BO$41),1,0)</f>
        <v>0</v>
      </c>
      <c r="BP50" s="33">
        <f>IF(AND($B50&gt;=InputTrianglesCount!$D$8,$CT50&gt;=BP$41),1,0)</f>
        <v>0</v>
      </c>
      <c r="BQ50" s="33">
        <f>IF(AND($B50&gt;=InputTrianglesCount!$D$8,$CT50&gt;=BQ$41),1,0)</f>
        <v>0</v>
      </c>
      <c r="BR50" s="33">
        <f>IF(AND($B50&gt;=InputTrianglesCount!$D$8,$CT50&gt;=BR$41),1,0)</f>
        <v>0</v>
      </c>
      <c r="BS50" s="33">
        <f>IF(AND($B50&gt;=InputTrianglesCount!$D$8,$CT50&gt;=BS$41),1,0)</f>
        <v>0</v>
      </c>
      <c r="BT50" s="33">
        <f>IF(AND($B50&gt;=InputTrianglesCount!$D$8,$CT50&gt;=BT$41),1,0)</f>
        <v>0</v>
      </c>
      <c r="BU50" s="33">
        <f>IF(AND($B50&gt;=InputTrianglesCount!$D$8,$CT50&gt;=BU$41),1,0)</f>
        <v>0</v>
      </c>
      <c r="BV50" s="33">
        <f>IF(AND($B50&gt;=InputTrianglesCount!$D$8,$CT50&gt;=BV$41),1,0)</f>
        <v>0</v>
      </c>
      <c r="BW50" s="33">
        <f>IF(AND($B50&gt;=InputTrianglesCount!$D$8,$CT50&gt;=BW$41),1,0)</f>
        <v>0</v>
      </c>
      <c r="BX50" s="33">
        <f>IF(AND($B50&gt;=InputTrianglesCount!$D$8,$CT50&gt;=BX$41),1,0)</f>
        <v>0</v>
      </c>
      <c r="BY50" s="33">
        <f>IF(AND($B50&gt;=InputTrianglesCount!$D$8,$CT50&gt;=BY$41),1,0)</f>
        <v>0</v>
      </c>
      <c r="BZ50" s="33">
        <f>IF(AND($B50&gt;=InputTrianglesCount!$D$8,$CT50&gt;=BZ$41),1,0)</f>
        <v>0</v>
      </c>
      <c r="CA50" s="33">
        <f>IF(AND($B50&gt;=InputTrianglesCount!$D$8,$CT50&gt;=CA$41),1,0)</f>
        <v>0</v>
      </c>
      <c r="CB50" s="33">
        <f>IF(AND($B50&gt;=InputTrianglesCount!$D$8,$CT50&gt;=CB$41),1,0)</f>
        <v>0</v>
      </c>
      <c r="CC50" s="33">
        <f>IF(AND($B50&gt;=InputTrianglesCount!$D$8,$CT50&gt;=CC$41),1,0)</f>
        <v>0</v>
      </c>
      <c r="CD50" s="33">
        <f>IF(AND($B50&gt;=InputTrianglesCount!$D$8,$CT50&gt;=CD$41),1,0)</f>
        <v>0</v>
      </c>
      <c r="CE50" s="33">
        <f>IF(AND($B50&gt;=InputTrianglesCount!$D$8,$CT50&gt;=CE$41),1,0)</f>
        <v>0</v>
      </c>
      <c r="CF50" s="33">
        <f>IF(AND($B50&gt;=InputTrianglesCount!$D$8,$CT50&gt;=CF$41),1,0)</f>
        <v>0</v>
      </c>
      <c r="CG50" s="33">
        <f>IF(AND($B50&gt;=InputTrianglesCount!$D$8,$CT50&gt;=CG$41),1,0)</f>
        <v>0</v>
      </c>
      <c r="CH50" s="33">
        <f>IF(AND($B50&gt;=InputTrianglesCount!$D$8,$CT50&gt;=CH$41),1,0)</f>
        <v>0</v>
      </c>
      <c r="CI50" s="33">
        <f>IF(AND($B50&gt;=InputTrianglesCount!$D$8,$CT50&gt;=CI$41),1,0)</f>
        <v>0</v>
      </c>
      <c r="CJ50" s="33">
        <f>IF(AND($B50&gt;=InputTrianglesCount!$D$8,$CT50&gt;=CJ$41),1,0)</f>
        <v>0</v>
      </c>
      <c r="CK50" s="33">
        <f>IF(AND($B50&gt;=InputTrianglesCount!$D$8,$CT50&gt;=CK$41),1,0)</f>
        <v>0</v>
      </c>
      <c r="CL50" s="33">
        <f>IF(AND($B50&gt;=InputTrianglesCount!$D$8,$CT50&gt;=CL$41),1,0)</f>
        <v>0</v>
      </c>
      <c r="CM50" s="33">
        <f>IF(AND($B50&gt;=InputTrianglesCount!$D$8,$CT50&gt;=CM$41),1,0)</f>
        <v>0</v>
      </c>
      <c r="CN50" s="33">
        <f>IF(AND($B50&gt;=InputTrianglesCount!$D$8,$CT50&gt;=CN$41),1,0)</f>
        <v>0</v>
      </c>
      <c r="CO50" s="33">
        <f>IF(AND($B50&gt;=InputTrianglesCount!$D$8,$CT50&gt;=CO$41),1,0)</f>
        <v>0</v>
      </c>
      <c r="CP50" s="33">
        <f>IF(AND($B50&gt;=InputTrianglesCount!$D$8,$CT50&gt;=CP$41),1,0)</f>
        <v>0</v>
      </c>
      <c r="CQ50" s="33">
        <f>IF(AND($B50&gt;=InputTrianglesCount!$D$8,$CT50&gt;=CQ$41),1,0)</f>
        <v>0</v>
      </c>
      <c r="CR50" s="33">
        <f>IF(AND($B50&gt;=InputTrianglesCount!$D$8,$CT50&gt;=CR$41),1,0)</f>
        <v>0</v>
      </c>
      <c r="CS50" s="32">
        <f>IF(AND($B50&gt;=InputTrianglesCount!$D$8,$CT50&gt;=CS$41),1,0)</f>
        <v>0</v>
      </c>
      <c r="CT50" s="31">
        <f>($D$9-InputTrianglesCount!$B50)*InputTrianglesCount!$E$4+$D$6</f>
        <v>16</v>
      </c>
    </row>
    <row r="51" spans="1:98" hidden="1" x14ac:dyDescent="0.25">
      <c r="A51" s="97">
        <v>0</v>
      </c>
      <c r="B51" s="29">
        <f t="shared" si="7"/>
        <v>2005</v>
      </c>
      <c r="C51" s="30">
        <f>IF(AND($B51&gt;=InputTrianglesCount!$D$8,$CT51&gt;=C$41),1,0)</f>
        <v>0</v>
      </c>
      <c r="D51" s="33">
        <f>IF(AND($B51&gt;=InputTrianglesCount!$D$8,$CT51&gt;=D$41),1,0)</f>
        <v>0</v>
      </c>
      <c r="E51" s="33">
        <f>IF(AND($B51&gt;=InputTrianglesCount!$D$8,$CT51&gt;=E$41),1,0)</f>
        <v>0</v>
      </c>
      <c r="F51" s="33">
        <f>IF(AND($B51&gt;=InputTrianglesCount!$D$8,$CT51&gt;=F$41),1,0)</f>
        <v>0</v>
      </c>
      <c r="G51" s="33">
        <f>IF(AND($B51&gt;=InputTrianglesCount!$D$8,$CT51&gt;=G$41),1,0)</f>
        <v>0</v>
      </c>
      <c r="H51" s="33">
        <f>IF(AND($B51&gt;=InputTrianglesCount!$D$8,$CT51&gt;=H$41),1,0)</f>
        <v>0</v>
      </c>
      <c r="I51" s="33">
        <f>IF(AND($B51&gt;=InputTrianglesCount!$D$8,$CT51&gt;=I$41),1,0)</f>
        <v>0</v>
      </c>
      <c r="J51" s="33">
        <f>IF(AND($B51&gt;=InputTrianglesCount!$D$8,$CT51&gt;=J$41),1,0)</f>
        <v>0</v>
      </c>
      <c r="K51" s="33">
        <f>IF(AND($B51&gt;=InputTrianglesCount!$D$8,$CT51&gt;=K$41),1,0)</f>
        <v>0</v>
      </c>
      <c r="L51" s="33">
        <f>IF(AND($B51&gt;=InputTrianglesCount!$D$8,$CT51&gt;=L$41),1,0)</f>
        <v>0</v>
      </c>
      <c r="M51" s="33">
        <f>IF(AND($B51&gt;=InputTrianglesCount!$D$8,$CT51&gt;=M$41),1,0)</f>
        <v>0</v>
      </c>
      <c r="N51" s="33">
        <f>IF(AND($B51&gt;=InputTrianglesCount!$D$8,$CT51&gt;=N$41),1,0)</f>
        <v>0</v>
      </c>
      <c r="O51" s="33">
        <f>IF(AND($B51&gt;=InputTrianglesCount!$D$8,$CT51&gt;=O$41),1,0)</f>
        <v>0</v>
      </c>
      <c r="P51" s="33">
        <f>IF(AND($B51&gt;=InputTrianglesCount!$D$8,$CT51&gt;=P$41),1,0)</f>
        <v>0</v>
      </c>
      <c r="Q51" s="33">
        <f>IF(AND($B51&gt;=InputTrianglesCount!$D$8,$CT51&gt;=Q$41),1,0)</f>
        <v>0</v>
      </c>
      <c r="R51" s="33">
        <f>IF(AND($B51&gt;=InputTrianglesCount!$D$8,$CT51&gt;=R$41),1,0)</f>
        <v>0</v>
      </c>
      <c r="S51" s="33">
        <f>IF(AND($B51&gt;=InputTrianglesCount!$D$8,$CT51&gt;=S$41),1,0)</f>
        <v>0</v>
      </c>
      <c r="T51" s="33">
        <f>IF(AND($B51&gt;=InputTrianglesCount!$D$8,$CT51&gt;=T$41),1,0)</f>
        <v>0</v>
      </c>
      <c r="U51" s="33">
        <f>IF(AND($B51&gt;=InputTrianglesCount!$D$8,$CT51&gt;=U$41),1,0)</f>
        <v>0</v>
      </c>
      <c r="V51" s="33">
        <f>IF(AND($B51&gt;=InputTrianglesCount!$D$8,$CT51&gt;=V$41),1,0)</f>
        <v>0</v>
      </c>
      <c r="W51" s="33">
        <f>IF(AND($B51&gt;=InputTrianglesCount!$D$8,$CT51&gt;=W$41),1,0)</f>
        <v>0</v>
      </c>
      <c r="X51" s="33">
        <f>IF(AND($B51&gt;=InputTrianglesCount!$D$8,$CT51&gt;=X$41),1,0)</f>
        <v>0</v>
      </c>
      <c r="Y51" s="33">
        <f>IF(AND($B51&gt;=InputTrianglesCount!$D$8,$CT51&gt;=Y$41),1,0)</f>
        <v>0</v>
      </c>
      <c r="Z51" s="33">
        <f>IF(AND($B51&gt;=InputTrianglesCount!$D$8,$CT51&gt;=Z$41),1,0)</f>
        <v>0</v>
      </c>
      <c r="AA51" s="33">
        <f>IF(AND($B51&gt;=InputTrianglesCount!$D$8,$CT51&gt;=AA$41),1,0)</f>
        <v>0</v>
      </c>
      <c r="AB51" s="33">
        <f>IF(AND($B51&gt;=InputTrianglesCount!$D$8,$CT51&gt;=AB$41),1,0)</f>
        <v>0</v>
      </c>
      <c r="AC51" s="33">
        <f>IF(AND($B51&gt;=InputTrianglesCount!$D$8,$CT51&gt;=AC$41),1,0)</f>
        <v>0</v>
      </c>
      <c r="AD51" s="33">
        <f>IF(AND($B51&gt;=InputTrianglesCount!$D$8,$CT51&gt;=AD$41),1,0)</f>
        <v>0</v>
      </c>
      <c r="AE51" s="33">
        <f>IF(AND($B51&gt;=InputTrianglesCount!$D$8,$CT51&gt;=AE$41),1,0)</f>
        <v>0</v>
      </c>
      <c r="AF51" s="33">
        <f>IF(AND($B51&gt;=InputTrianglesCount!$D$8,$CT51&gt;=AF$41),1,0)</f>
        <v>0</v>
      </c>
      <c r="AG51" s="33">
        <f>IF(AND($B51&gt;=InputTrianglesCount!$D$8,$CT51&gt;=AG$41),1,0)</f>
        <v>0</v>
      </c>
      <c r="AH51" s="33">
        <f>IF(AND($B51&gt;=InputTrianglesCount!$D$8,$CT51&gt;=AH$41),1,0)</f>
        <v>0</v>
      </c>
      <c r="AI51" s="33">
        <f>IF(AND($B51&gt;=InputTrianglesCount!$D$8,$CT51&gt;=AI$41),1,0)</f>
        <v>0</v>
      </c>
      <c r="AJ51" s="33">
        <f>IF(AND($B51&gt;=InputTrianglesCount!$D$8,$CT51&gt;=AJ$41),1,0)</f>
        <v>0</v>
      </c>
      <c r="AK51" s="33">
        <f>IF(AND($B51&gt;=InputTrianglesCount!$D$8,$CT51&gt;=AK$41),1,0)</f>
        <v>0</v>
      </c>
      <c r="AL51" s="33">
        <f>IF(AND($B51&gt;=InputTrianglesCount!$D$8,$CT51&gt;=AL$41),1,0)</f>
        <v>0</v>
      </c>
      <c r="AM51" s="33">
        <f>IF(AND($B51&gt;=InputTrianglesCount!$D$8,$CT51&gt;=AM$41),1,0)</f>
        <v>0</v>
      </c>
      <c r="AN51" s="33">
        <f>IF(AND($B51&gt;=InputTrianglesCount!$D$8,$CT51&gt;=AN$41),1,0)</f>
        <v>0</v>
      </c>
      <c r="AO51" s="33">
        <f>IF(AND($B51&gt;=InputTrianglesCount!$D$8,$CT51&gt;=AO$41),1,0)</f>
        <v>0</v>
      </c>
      <c r="AP51" s="33">
        <f>IF(AND($B51&gt;=InputTrianglesCount!$D$8,$CT51&gt;=AP$41),1,0)</f>
        <v>0</v>
      </c>
      <c r="AQ51" s="33">
        <f>IF(AND($B51&gt;=InputTrianglesCount!$D$8,$CT51&gt;=AQ$41),1,0)</f>
        <v>0</v>
      </c>
      <c r="AR51" s="33">
        <f>IF(AND($B51&gt;=InputTrianglesCount!$D$8,$CT51&gt;=AR$41),1,0)</f>
        <v>0</v>
      </c>
      <c r="AS51" s="33">
        <f>IF(AND($B51&gt;=InputTrianglesCount!$D$8,$CT51&gt;=AS$41),1,0)</f>
        <v>0</v>
      </c>
      <c r="AT51" s="33">
        <f>IF(AND($B51&gt;=InputTrianglesCount!$D$8,$CT51&gt;=AT$41),1,0)</f>
        <v>0</v>
      </c>
      <c r="AU51" s="33">
        <f>IF(AND($B51&gt;=InputTrianglesCount!$D$8,$CT51&gt;=AU$41),1,0)</f>
        <v>0</v>
      </c>
      <c r="AV51" s="33">
        <f>IF(AND($B51&gt;=InputTrianglesCount!$D$8,$CT51&gt;=AV$41),1,0)</f>
        <v>0</v>
      </c>
      <c r="AW51" s="33">
        <f>IF(AND($B51&gt;=InputTrianglesCount!$D$8,$CT51&gt;=AW$41),1,0)</f>
        <v>0</v>
      </c>
      <c r="AX51" s="33">
        <f>IF(AND($B51&gt;=InputTrianglesCount!$D$8,$CT51&gt;=AX$41),1,0)</f>
        <v>0</v>
      </c>
      <c r="AY51" s="33">
        <f>IF(AND($B51&gt;=InputTrianglesCount!$D$8,$CT51&gt;=AY$41),1,0)</f>
        <v>0</v>
      </c>
      <c r="AZ51" s="33">
        <f>IF(AND($B51&gt;=InputTrianglesCount!$D$8,$CT51&gt;=AZ$41),1,0)</f>
        <v>0</v>
      </c>
      <c r="BA51" s="33">
        <f>IF(AND($B51&gt;=InputTrianglesCount!$D$8,$CT51&gt;=BA$41),1,0)</f>
        <v>0</v>
      </c>
      <c r="BB51" s="33">
        <f>IF(AND($B51&gt;=InputTrianglesCount!$D$8,$CT51&gt;=BB$41),1,0)</f>
        <v>0</v>
      </c>
      <c r="BC51" s="33">
        <f>IF(AND($B51&gt;=InputTrianglesCount!$D$8,$CT51&gt;=BC$41),1,0)</f>
        <v>0</v>
      </c>
      <c r="BD51" s="33">
        <f>IF(AND($B51&gt;=InputTrianglesCount!$D$8,$CT51&gt;=BD$41),1,0)</f>
        <v>0</v>
      </c>
      <c r="BE51" s="33">
        <f>IF(AND($B51&gt;=InputTrianglesCount!$D$8,$CT51&gt;=BE$41),1,0)</f>
        <v>0</v>
      </c>
      <c r="BF51" s="33">
        <f>IF(AND($B51&gt;=InputTrianglesCount!$D$8,$CT51&gt;=BF$41),1,0)</f>
        <v>0</v>
      </c>
      <c r="BG51" s="33">
        <f>IF(AND($B51&gt;=InputTrianglesCount!$D$8,$CT51&gt;=BG$41),1,0)</f>
        <v>0</v>
      </c>
      <c r="BH51" s="33">
        <f>IF(AND($B51&gt;=InputTrianglesCount!$D$8,$CT51&gt;=BH$41),1,0)</f>
        <v>0</v>
      </c>
      <c r="BI51" s="33">
        <f>IF(AND($B51&gt;=InputTrianglesCount!$D$8,$CT51&gt;=BI$41),1,0)</f>
        <v>0</v>
      </c>
      <c r="BJ51" s="33">
        <f>IF(AND($B51&gt;=InputTrianglesCount!$D$8,$CT51&gt;=BJ$41),1,0)</f>
        <v>0</v>
      </c>
      <c r="BK51" s="33">
        <f>IF(AND($B51&gt;=InputTrianglesCount!$D$8,$CT51&gt;=BK$41),1,0)</f>
        <v>0</v>
      </c>
      <c r="BL51" s="33">
        <f>IF(AND($B51&gt;=InputTrianglesCount!$D$8,$CT51&gt;=BL$41),1,0)</f>
        <v>0</v>
      </c>
      <c r="BM51" s="33">
        <f>IF(AND($B51&gt;=InputTrianglesCount!$D$8,$CT51&gt;=BM$41),1,0)</f>
        <v>0</v>
      </c>
      <c r="BN51" s="33">
        <f>IF(AND($B51&gt;=InputTrianglesCount!$D$8,$CT51&gt;=BN$41),1,0)</f>
        <v>0</v>
      </c>
      <c r="BO51" s="33">
        <f>IF(AND($B51&gt;=InputTrianglesCount!$D$8,$CT51&gt;=BO$41),1,0)</f>
        <v>0</v>
      </c>
      <c r="BP51" s="33">
        <f>IF(AND($B51&gt;=InputTrianglesCount!$D$8,$CT51&gt;=BP$41),1,0)</f>
        <v>0</v>
      </c>
      <c r="BQ51" s="33">
        <f>IF(AND($B51&gt;=InputTrianglesCount!$D$8,$CT51&gt;=BQ$41),1,0)</f>
        <v>0</v>
      </c>
      <c r="BR51" s="33">
        <f>IF(AND($B51&gt;=InputTrianglesCount!$D$8,$CT51&gt;=BR$41),1,0)</f>
        <v>0</v>
      </c>
      <c r="BS51" s="33">
        <f>IF(AND($B51&gt;=InputTrianglesCount!$D$8,$CT51&gt;=BS$41),1,0)</f>
        <v>0</v>
      </c>
      <c r="BT51" s="33">
        <f>IF(AND($B51&gt;=InputTrianglesCount!$D$8,$CT51&gt;=BT$41),1,0)</f>
        <v>0</v>
      </c>
      <c r="BU51" s="33">
        <f>IF(AND($B51&gt;=InputTrianglesCount!$D$8,$CT51&gt;=BU$41),1,0)</f>
        <v>0</v>
      </c>
      <c r="BV51" s="33">
        <f>IF(AND($B51&gt;=InputTrianglesCount!$D$8,$CT51&gt;=BV$41),1,0)</f>
        <v>0</v>
      </c>
      <c r="BW51" s="33">
        <f>IF(AND($B51&gt;=InputTrianglesCount!$D$8,$CT51&gt;=BW$41),1,0)</f>
        <v>0</v>
      </c>
      <c r="BX51" s="33">
        <f>IF(AND($B51&gt;=InputTrianglesCount!$D$8,$CT51&gt;=BX$41),1,0)</f>
        <v>0</v>
      </c>
      <c r="BY51" s="33">
        <f>IF(AND($B51&gt;=InputTrianglesCount!$D$8,$CT51&gt;=BY$41),1,0)</f>
        <v>0</v>
      </c>
      <c r="BZ51" s="33">
        <f>IF(AND($B51&gt;=InputTrianglesCount!$D$8,$CT51&gt;=BZ$41),1,0)</f>
        <v>0</v>
      </c>
      <c r="CA51" s="33">
        <f>IF(AND($B51&gt;=InputTrianglesCount!$D$8,$CT51&gt;=CA$41),1,0)</f>
        <v>0</v>
      </c>
      <c r="CB51" s="33">
        <f>IF(AND($B51&gt;=InputTrianglesCount!$D$8,$CT51&gt;=CB$41),1,0)</f>
        <v>0</v>
      </c>
      <c r="CC51" s="33">
        <f>IF(AND($B51&gt;=InputTrianglesCount!$D$8,$CT51&gt;=CC$41),1,0)</f>
        <v>0</v>
      </c>
      <c r="CD51" s="33">
        <f>IF(AND($B51&gt;=InputTrianglesCount!$D$8,$CT51&gt;=CD$41),1,0)</f>
        <v>0</v>
      </c>
      <c r="CE51" s="33">
        <f>IF(AND($B51&gt;=InputTrianglesCount!$D$8,$CT51&gt;=CE$41),1,0)</f>
        <v>0</v>
      </c>
      <c r="CF51" s="33">
        <f>IF(AND($B51&gt;=InputTrianglesCount!$D$8,$CT51&gt;=CF$41),1,0)</f>
        <v>0</v>
      </c>
      <c r="CG51" s="33">
        <f>IF(AND($B51&gt;=InputTrianglesCount!$D$8,$CT51&gt;=CG$41),1,0)</f>
        <v>0</v>
      </c>
      <c r="CH51" s="33">
        <f>IF(AND($B51&gt;=InputTrianglesCount!$D$8,$CT51&gt;=CH$41),1,0)</f>
        <v>0</v>
      </c>
      <c r="CI51" s="33">
        <f>IF(AND($B51&gt;=InputTrianglesCount!$D$8,$CT51&gt;=CI$41),1,0)</f>
        <v>0</v>
      </c>
      <c r="CJ51" s="33">
        <f>IF(AND($B51&gt;=InputTrianglesCount!$D$8,$CT51&gt;=CJ$41),1,0)</f>
        <v>0</v>
      </c>
      <c r="CK51" s="33">
        <f>IF(AND($B51&gt;=InputTrianglesCount!$D$8,$CT51&gt;=CK$41),1,0)</f>
        <v>0</v>
      </c>
      <c r="CL51" s="33">
        <f>IF(AND($B51&gt;=InputTrianglesCount!$D$8,$CT51&gt;=CL$41),1,0)</f>
        <v>0</v>
      </c>
      <c r="CM51" s="33">
        <f>IF(AND($B51&gt;=InputTrianglesCount!$D$8,$CT51&gt;=CM$41),1,0)</f>
        <v>0</v>
      </c>
      <c r="CN51" s="33">
        <f>IF(AND($B51&gt;=InputTrianglesCount!$D$8,$CT51&gt;=CN$41),1,0)</f>
        <v>0</v>
      </c>
      <c r="CO51" s="33">
        <f>IF(AND($B51&gt;=InputTrianglesCount!$D$8,$CT51&gt;=CO$41),1,0)</f>
        <v>0</v>
      </c>
      <c r="CP51" s="33">
        <f>IF(AND($B51&gt;=InputTrianglesCount!$D$8,$CT51&gt;=CP$41),1,0)</f>
        <v>0</v>
      </c>
      <c r="CQ51" s="33">
        <f>IF(AND($B51&gt;=InputTrianglesCount!$D$8,$CT51&gt;=CQ$41),1,0)</f>
        <v>0</v>
      </c>
      <c r="CR51" s="33">
        <f>IF(AND($B51&gt;=InputTrianglesCount!$D$8,$CT51&gt;=CR$41),1,0)</f>
        <v>0</v>
      </c>
      <c r="CS51" s="32">
        <f>IF(AND($B51&gt;=InputTrianglesCount!$D$8,$CT51&gt;=CS$41),1,0)</f>
        <v>0</v>
      </c>
      <c r="CT51" s="31">
        <f>($D$9-InputTrianglesCount!$B51)*InputTrianglesCount!$E$4+$D$6</f>
        <v>15</v>
      </c>
    </row>
    <row r="52" spans="1:98" hidden="1" x14ac:dyDescent="0.25">
      <c r="A52" s="97">
        <v>0</v>
      </c>
      <c r="B52" s="29">
        <f t="shared" si="7"/>
        <v>2006</v>
      </c>
      <c r="C52" s="30">
        <f>IF(AND($B52&gt;=InputTrianglesCount!$D$8,$CT52&gt;=C$41),1,0)</f>
        <v>0</v>
      </c>
      <c r="D52" s="33">
        <f>IF(AND($B52&gt;=InputTrianglesCount!$D$8,$CT52&gt;=D$41),1,0)</f>
        <v>0</v>
      </c>
      <c r="E52" s="33">
        <f>IF(AND($B52&gt;=InputTrianglesCount!$D$8,$CT52&gt;=E$41),1,0)</f>
        <v>0</v>
      </c>
      <c r="F52" s="33">
        <f>IF(AND($B52&gt;=InputTrianglesCount!$D$8,$CT52&gt;=F$41),1,0)</f>
        <v>0</v>
      </c>
      <c r="G52" s="33">
        <f>IF(AND($B52&gt;=InputTrianglesCount!$D$8,$CT52&gt;=G$41),1,0)</f>
        <v>0</v>
      </c>
      <c r="H52" s="33">
        <f>IF(AND($B52&gt;=InputTrianglesCount!$D$8,$CT52&gt;=H$41),1,0)</f>
        <v>0</v>
      </c>
      <c r="I52" s="33">
        <f>IF(AND($B52&gt;=InputTrianglesCount!$D$8,$CT52&gt;=I$41),1,0)</f>
        <v>0</v>
      </c>
      <c r="J52" s="33">
        <f>IF(AND($B52&gt;=InputTrianglesCount!$D$8,$CT52&gt;=J$41),1,0)</f>
        <v>0</v>
      </c>
      <c r="K52" s="33">
        <f>IF(AND($B52&gt;=InputTrianglesCount!$D$8,$CT52&gt;=K$41),1,0)</f>
        <v>0</v>
      </c>
      <c r="L52" s="33">
        <f>IF(AND($B52&gt;=InputTrianglesCount!$D$8,$CT52&gt;=L$41),1,0)</f>
        <v>0</v>
      </c>
      <c r="M52" s="33">
        <f>IF(AND($B52&gt;=InputTrianglesCount!$D$8,$CT52&gt;=M$41),1,0)</f>
        <v>0</v>
      </c>
      <c r="N52" s="33">
        <f>IF(AND($B52&gt;=InputTrianglesCount!$D$8,$CT52&gt;=N$41),1,0)</f>
        <v>0</v>
      </c>
      <c r="O52" s="33">
        <f>IF(AND($B52&gt;=InputTrianglesCount!$D$8,$CT52&gt;=O$41),1,0)</f>
        <v>0</v>
      </c>
      <c r="P52" s="33">
        <f>IF(AND($B52&gt;=InputTrianglesCount!$D$8,$CT52&gt;=P$41),1,0)</f>
        <v>0</v>
      </c>
      <c r="Q52" s="33">
        <f>IF(AND($B52&gt;=InputTrianglesCount!$D$8,$CT52&gt;=Q$41),1,0)</f>
        <v>0</v>
      </c>
      <c r="R52" s="33">
        <f>IF(AND($B52&gt;=InputTrianglesCount!$D$8,$CT52&gt;=R$41),1,0)</f>
        <v>0</v>
      </c>
      <c r="S52" s="33">
        <f>IF(AND($B52&gt;=InputTrianglesCount!$D$8,$CT52&gt;=S$41),1,0)</f>
        <v>0</v>
      </c>
      <c r="T52" s="33">
        <f>IF(AND($B52&gt;=InputTrianglesCount!$D$8,$CT52&gt;=T$41),1,0)</f>
        <v>0</v>
      </c>
      <c r="U52" s="33">
        <f>IF(AND($B52&gt;=InputTrianglesCount!$D$8,$CT52&gt;=U$41),1,0)</f>
        <v>0</v>
      </c>
      <c r="V52" s="33">
        <f>IF(AND($B52&gt;=InputTrianglesCount!$D$8,$CT52&gt;=V$41),1,0)</f>
        <v>0</v>
      </c>
      <c r="W52" s="33">
        <f>IF(AND($B52&gt;=InputTrianglesCount!$D$8,$CT52&gt;=W$41),1,0)</f>
        <v>0</v>
      </c>
      <c r="X52" s="33">
        <f>IF(AND($B52&gt;=InputTrianglesCount!$D$8,$CT52&gt;=X$41),1,0)</f>
        <v>0</v>
      </c>
      <c r="Y52" s="33">
        <f>IF(AND($B52&gt;=InputTrianglesCount!$D$8,$CT52&gt;=Y$41),1,0)</f>
        <v>0</v>
      </c>
      <c r="Z52" s="33">
        <f>IF(AND($B52&gt;=InputTrianglesCount!$D$8,$CT52&gt;=Z$41),1,0)</f>
        <v>0</v>
      </c>
      <c r="AA52" s="33">
        <f>IF(AND($B52&gt;=InputTrianglesCount!$D$8,$CT52&gt;=AA$41),1,0)</f>
        <v>0</v>
      </c>
      <c r="AB52" s="33">
        <f>IF(AND($B52&gt;=InputTrianglesCount!$D$8,$CT52&gt;=AB$41),1,0)</f>
        <v>0</v>
      </c>
      <c r="AC52" s="33">
        <f>IF(AND($B52&gt;=InputTrianglesCount!$D$8,$CT52&gt;=AC$41),1,0)</f>
        <v>0</v>
      </c>
      <c r="AD52" s="33">
        <f>IF(AND($B52&gt;=InputTrianglesCount!$D$8,$CT52&gt;=AD$41),1,0)</f>
        <v>0</v>
      </c>
      <c r="AE52" s="33">
        <f>IF(AND($B52&gt;=InputTrianglesCount!$D$8,$CT52&gt;=AE$41),1,0)</f>
        <v>0</v>
      </c>
      <c r="AF52" s="33">
        <f>IF(AND($B52&gt;=InputTrianglesCount!$D$8,$CT52&gt;=AF$41),1,0)</f>
        <v>0</v>
      </c>
      <c r="AG52" s="33">
        <f>IF(AND($B52&gt;=InputTrianglesCount!$D$8,$CT52&gt;=AG$41),1,0)</f>
        <v>0</v>
      </c>
      <c r="AH52" s="33">
        <f>IF(AND($B52&gt;=InputTrianglesCount!$D$8,$CT52&gt;=AH$41),1,0)</f>
        <v>0</v>
      </c>
      <c r="AI52" s="33">
        <f>IF(AND($B52&gt;=InputTrianglesCount!$D$8,$CT52&gt;=AI$41),1,0)</f>
        <v>0</v>
      </c>
      <c r="AJ52" s="33">
        <f>IF(AND($B52&gt;=InputTrianglesCount!$D$8,$CT52&gt;=AJ$41),1,0)</f>
        <v>0</v>
      </c>
      <c r="AK52" s="33">
        <f>IF(AND($B52&gt;=InputTrianglesCount!$D$8,$CT52&gt;=AK$41),1,0)</f>
        <v>0</v>
      </c>
      <c r="AL52" s="33">
        <f>IF(AND($B52&gt;=InputTrianglesCount!$D$8,$CT52&gt;=AL$41),1,0)</f>
        <v>0</v>
      </c>
      <c r="AM52" s="33">
        <f>IF(AND($B52&gt;=InputTrianglesCount!$D$8,$CT52&gt;=AM$41),1,0)</f>
        <v>0</v>
      </c>
      <c r="AN52" s="33">
        <f>IF(AND($B52&gt;=InputTrianglesCount!$D$8,$CT52&gt;=AN$41),1,0)</f>
        <v>0</v>
      </c>
      <c r="AO52" s="33">
        <f>IF(AND($B52&gt;=InputTrianglesCount!$D$8,$CT52&gt;=AO$41),1,0)</f>
        <v>0</v>
      </c>
      <c r="AP52" s="33">
        <f>IF(AND($B52&gt;=InputTrianglesCount!$D$8,$CT52&gt;=AP$41),1,0)</f>
        <v>0</v>
      </c>
      <c r="AQ52" s="33">
        <f>IF(AND($B52&gt;=InputTrianglesCount!$D$8,$CT52&gt;=AQ$41),1,0)</f>
        <v>0</v>
      </c>
      <c r="AR52" s="33">
        <f>IF(AND($B52&gt;=InputTrianglesCount!$D$8,$CT52&gt;=AR$41),1,0)</f>
        <v>0</v>
      </c>
      <c r="AS52" s="33">
        <f>IF(AND($B52&gt;=InputTrianglesCount!$D$8,$CT52&gt;=AS$41),1,0)</f>
        <v>0</v>
      </c>
      <c r="AT52" s="33">
        <f>IF(AND($B52&gt;=InputTrianglesCount!$D$8,$CT52&gt;=AT$41),1,0)</f>
        <v>0</v>
      </c>
      <c r="AU52" s="33">
        <f>IF(AND($B52&gt;=InputTrianglesCount!$D$8,$CT52&gt;=AU$41),1,0)</f>
        <v>0</v>
      </c>
      <c r="AV52" s="33">
        <f>IF(AND($B52&gt;=InputTrianglesCount!$D$8,$CT52&gt;=AV$41),1,0)</f>
        <v>0</v>
      </c>
      <c r="AW52" s="33">
        <f>IF(AND($B52&gt;=InputTrianglesCount!$D$8,$CT52&gt;=AW$41),1,0)</f>
        <v>0</v>
      </c>
      <c r="AX52" s="33">
        <f>IF(AND($B52&gt;=InputTrianglesCount!$D$8,$CT52&gt;=AX$41),1,0)</f>
        <v>0</v>
      </c>
      <c r="AY52" s="33">
        <f>IF(AND($B52&gt;=InputTrianglesCount!$D$8,$CT52&gt;=AY$41),1,0)</f>
        <v>0</v>
      </c>
      <c r="AZ52" s="33">
        <f>IF(AND($B52&gt;=InputTrianglesCount!$D$8,$CT52&gt;=AZ$41),1,0)</f>
        <v>0</v>
      </c>
      <c r="BA52" s="33">
        <f>IF(AND($B52&gt;=InputTrianglesCount!$D$8,$CT52&gt;=BA$41),1,0)</f>
        <v>0</v>
      </c>
      <c r="BB52" s="33">
        <f>IF(AND($B52&gt;=InputTrianglesCount!$D$8,$CT52&gt;=BB$41),1,0)</f>
        <v>0</v>
      </c>
      <c r="BC52" s="33">
        <f>IF(AND($B52&gt;=InputTrianglesCount!$D$8,$CT52&gt;=BC$41),1,0)</f>
        <v>0</v>
      </c>
      <c r="BD52" s="33">
        <f>IF(AND($B52&gt;=InputTrianglesCount!$D$8,$CT52&gt;=BD$41),1,0)</f>
        <v>0</v>
      </c>
      <c r="BE52" s="33">
        <f>IF(AND($B52&gt;=InputTrianglesCount!$D$8,$CT52&gt;=BE$41),1,0)</f>
        <v>0</v>
      </c>
      <c r="BF52" s="33">
        <f>IF(AND($B52&gt;=InputTrianglesCount!$D$8,$CT52&gt;=BF$41),1,0)</f>
        <v>0</v>
      </c>
      <c r="BG52" s="33">
        <f>IF(AND($B52&gt;=InputTrianglesCount!$D$8,$CT52&gt;=BG$41),1,0)</f>
        <v>0</v>
      </c>
      <c r="BH52" s="33">
        <f>IF(AND($B52&gt;=InputTrianglesCount!$D$8,$CT52&gt;=BH$41),1,0)</f>
        <v>0</v>
      </c>
      <c r="BI52" s="33">
        <f>IF(AND($B52&gt;=InputTrianglesCount!$D$8,$CT52&gt;=BI$41),1,0)</f>
        <v>0</v>
      </c>
      <c r="BJ52" s="33">
        <f>IF(AND($B52&gt;=InputTrianglesCount!$D$8,$CT52&gt;=BJ$41),1,0)</f>
        <v>0</v>
      </c>
      <c r="BK52" s="33">
        <f>IF(AND($B52&gt;=InputTrianglesCount!$D$8,$CT52&gt;=BK$41),1,0)</f>
        <v>0</v>
      </c>
      <c r="BL52" s="33">
        <f>IF(AND($B52&gt;=InputTrianglesCount!$D$8,$CT52&gt;=BL$41),1,0)</f>
        <v>0</v>
      </c>
      <c r="BM52" s="33">
        <f>IF(AND($B52&gt;=InputTrianglesCount!$D$8,$CT52&gt;=BM$41),1,0)</f>
        <v>0</v>
      </c>
      <c r="BN52" s="33">
        <f>IF(AND($B52&gt;=InputTrianglesCount!$D$8,$CT52&gt;=BN$41),1,0)</f>
        <v>0</v>
      </c>
      <c r="BO52" s="33">
        <f>IF(AND($B52&gt;=InputTrianglesCount!$D$8,$CT52&gt;=BO$41),1,0)</f>
        <v>0</v>
      </c>
      <c r="BP52" s="33">
        <f>IF(AND($B52&gt;=InputTrianglesCount!$D$8,$CT52&gt;=BP$41),1,0)</f>
        <v>0</v>
      </c>
      <c r="BQ52" s="33">
        <f>IF(AND($B52&gt;=InputTrianglesCount!$D$8,$CT52&gt;=BQ$41),1,0)</f>
        <v>0</v>
      </c>
      <c r="BR52" s="33">
        <f>IF(AND($B52&gt;=InputTrianglesCount!$D$8,$CT52&gt;=BR$41),1,0)</f>
        <v>0</v>
      </c>
      <c r="BS52" s="33">
        <f>IF(AND($B52&gt;=InputTrianglesCount!$D$8,$CT52&gt;=BS$41),1,0)</f>
        <v>0</v>
      </c>
      <c r="BT52" s="33">
        <f>IF(AND($B52&gt;=InputTrianglesCount!$D$8,$CT52&gt;=BT$41),1,0)</f>
        <v>0</v>
      </c>
      <c r="BU52" s="33">
        <f>IF(AND($B52&gt;=InputTrianglesCount!$D$8,$CT52&gt;=BU$41),1,0)</f>
        <v>0</v>
      </c>
      <c r="BV52" s="33">
        <f>IF(AND($B52&gt;=InputTrianglesCount!$D$8,$CT52&gt;=BV$41),1,0)</f>
        <v>0</v>
      </c>
      <c r="BW52" s="33">
        <f>IF(AND($B52&gt;=InputTrianglesCount!$D$8,$CT52&gt;=BW$41),1,0)</f>
        <v>0</v>
      </c>
      <c r="BX52" s="33">
        <f>IF(AND($B52&gt;=InputTrianglesCount!$D$8,$CT52&gt;=BX$41),1,0)</f>
        <v>0</v>
      </c>
      <c r="BY52" s="33">
        <f>IF(AND($B52&gt;=InputTrianglesCount!$D$8,$CT52&gt;=BY$41),1,0)</f>
        <v>0</v>
      </c>
      <c r="BZ52" s="33">
        <f>IF(AND($B52&gt;=InputTrianglesCount!$D$8,$CT52&gt;=BZ$41),1,0)</f>
        <v>0</v>
      </c>
      <c r="CA52" s="33">
        <f>IF(AND($B52&gt;=InputTrianglesCount!$D$8,$CT52&gt;=CA$41),1,0)</f>
        <v>0</v>
      </c>
      <c r="CB52" s="33">
        <f>IF(AND($B52&gt;=InputTrianglesCount!$D$8,$CT52&gt;=CB$41),1,0)</f>
        <v>0</v>
      </c>
      <c r="CC52" s="33">
        <f>IF(AND($B52&gt;=InputTrianglesCount!$D$8,$CT52&gt;=CC$41),1,0)</f>
        <v>0</v>
      </c>
      <c r="CD52" s="33">
        <f>IF(AND($B52&gt;=InputTrianglesCount!$D$8,$CT52&gt;=CD$41),1,0)</f>
        <v>0</v>
      </c>
      <c r="CE52" s="33">
        <f>IF(AND($B52&gt;=InputTrianglesCount!$D$8,$CT52&gt;=CE$41),1,0)</f>
        <v>0</v>
      </c>
      <c r="CF52" s="33">
        <f>IF(AND($B52&gt;=InputTrianglesCount!$D$8,$CT52&gt;=CF$41),1,0)</f>
        <v>0</v>
      </c>
      <c r="CG52" s="33">
        <f>IF(AND($B52&gt;=InputTrianglesCount!$D$8,$CT52&gt;=CG$41),1,0)</f>
        <v>0</v>
      </c>
      <c r="CH52" s="33">
        <f>IF(AND($B52&gt;=InputTrianglesCount!$D$8,$CT52&gt;=CH$41),1,0)</f>
        <v>0</v>
      </c>
      <c r="CI52" s="33">
        <f>IF(AND($B52&gt;=InputTrianglesCount!$D$8,$CT52&gt;=CI$41),1,0)</f>
        <v>0</v>
      </c>
      <c r="CJ52" s="33">
        <f>IF(AND($B52&gt;=InputTrianglesCount!$D$8,$CT52&gt;=CJ$41),1,0)</f>
        <v>0</v>
      </c>
      <c r="CK52" s="33">
        <f>IF(AND($B52&gt;=InputTrianglesCount!$D$8,$CT52&gt;=CK$41),1,0)</f>
        <v>0</v>
      </c>
      <c r="CL52" s="33">
        <f>IF(AND($B52&gt;=InputTrianglesCount!$D$8,$CT52&gt;=CL$41),1,0)</f>
        <v>0</v>
      </c>
      <c r="CM52" s="33">
        <f>IF(AND($B52&gt;=InputTrianglesCount!$D$8,$CT52&gt;=CM$41),1,0)</f>
        <v>0</v>
      </c>
      <c r="CN52" s="33">
        <f>IF(AND($B52&gt;=InputTrianglesCount!$D$8,$CT52&gt;=CN$41),1,0)</f>
        <v>0</v>
      </c>
      <c r="CO52" s="33">
        <f>IF(AND($B52&gt;=InputTrianglesCount!$D$8,$CT52&gt;=CO$41),1,0)</f>
        <v>0</v>
      </c>
      <c r="CP52" s="33">
        <f>IF(AND($B52&gt;=InputTrianglesCount!$D$8,$CT52&gt;=CP$41),1,0)</f>
        <v>0</v>
      </c>
      <c r="CQ52" s="33">
        <f>IF(AND($B52&gt;=InputTrianglesCount!$D$8,$CT52&gt;=CQ$41),1,0)</f>
        <v>0</v>
      </c>
      <c r="CR52" s="33">
        <f>IF(AND($B52&gt;=InputTrianglesCount!$D$8,$CT52&gt;=CR$41),1,0)</f>
        <v>0</v>
      </c>
      <c r="CS52" s="32">
        <f>IF(AND($B52&gt;=InputTrianglesCount!$D$8,$CT52&gt;=CS$41),1,0)</f>
        <v>0</v>
      </c>
      <c r="CT52" s="31">
        <f>($D$9-InputTrianglesCount!$B52)*InputTrianglesCount!$E$4+$D$6</f>
        <v>14</v>
      </c>
    </row>
    <row r="53" spans="1:98" hidden="1" x14ac:dyDescent="0.25">
      <c r="A53" s="97">
        <v>0</v>
      </c>
      <c r="B53" s="29">
        <f t="shared" si="7"/>
        <v>2007</v>
      </c>
      <c r="C53" s="30">
        <f>IF(AND($B53&gt;=InputTrianglesCount!$D$8,$CT53&gt;=C$41),1,0)</f>
        <v>0</v>
      </c>
      <c r="D53" s="33">
        <f>IF(AND($B53&gt;=InputTrianglesCount!$D$8,$CT53&gt;=D$41),1,0)</f>
        <v>0</v>
      </c>
      <c r="E53" s="33">
        <f>IF(AND($B53&gt;=InputTrianglesCount!$D$8,$CT53&gt;=E$41),1,0)</f>
        <v>0</v>
      </c>
      <c r="F53" s="33">
        <f>IF(AND($B53&gt;=InputTrianglesCount!$D$8,$CT53&gt;=F$41),1,0)</f>
        <v>0</v>
      </c>
      <c r="G53" s="33">
        <f>IF(AND($B53&gt;=InputTrianglesCount!$D$8,$CT53&gt;=G$41),1,0)</f>
        <v>0</v>
      </c>
      <c r="H53" s="33">
        <f>IF(AND($B53&gt;=InputTrianglesCount!$D$8,$CT53&gt;=H$41),1,0)</f>
        <v>0</v>
      </c>
      <c r="I53" s="33">
        <f>IF(AND($B53&gt;=InputTrianglesCount!$D$8,$CT53&gt;=I$41),1,0)</f>
        <v>0</v>
      </c>
      <c r="J53" s="33">
        <f>IF(AND($B53&gt;=InputTrianglesCount!$D$8,$CT53&gt;=J$41),1,0)</f>
        <v>0</v>
      </c>
      <c r="K53" s="33">
        <f>IF(AND($B53&gt;=InputTrianglesCount!$D$8,$CT53&gt;=K$41),1,0)</f>
        <v>0</v>
      </c>
      <c r="L53" s="33">
        <f>IF(AND($B53&gt;=InputTrianglesCount!$D$8,$CT53&gt;=L$41),1,0)</f>
        <v>0</v>
      </c>
      <c r="M53" s="33">
        <f>IF(AND($B53&gt;=InputTrianglesCount!$D$8,$CT53&gt;=M$41),1,0)</f>
        <v>0</v>
      </c>
      <c r="N53" s="33">
        <f>IF(AND($B53&gt;=InputTrianglesCount!$D$8,$CT53&gt;=N$41),1,0)</f>
        <v>0</v>
      </c>
      <c r="O53" s="33">
        <f>IF(AND($B53&gt;=InputTrianglesCount!$D$8,$CT53&gt;=O$41),1,0)</f>
        <v>0</v>
      </c>
      <c r="P53" s="33">
        <f>IF(AND($B53&gt;=InputTrianglesCount!$D$8,$CT53&gt;=P$41),1,0)</f>
        <v>0</v>
      </c>
      <c r="Q53" s="33">
        <f>IF(AND($B53&gt;=InputTrianglesCount!$D$8,$CT53&gt;=Q$41),1,0)</f>
        <v>0</v>
      </c>
      <c r="R53" s="33">
        <f>IF(AND($B53&gt;=InputTrianglesCount!$D$8,$CT53&gt;=R$41),1,0)</f>
        <v>0</v>
      </c>
      <c r="S53" s="33">
        <f>IF(AND($B53&gt;=InputTrianglesCount!$D$8,$CT53&gt;=S$41),1,0)</f>
        <v>0</v>
      </c>
      <c r="T53" s="33">
        <f>IF(AND($B53&gt;=InputTrianglesCount!$D$8,$CT53&gt;=T$41),1,0)</f>
        <v>0</v>
      </c>
      <c r="U53" s="33">
        <f>IF(AND($B53&gt;=InputTrianglesCount!$D$8,$CT53&gt;=U$41),1,0)</f>
        <v>0</v>
      </c>
      <c r="V53" s="33">
        <f>IF(AND($B53&gt;=InputTrianglesCount!$D$8,$CT53&gt;=V$41),1,0)</f>
        <v>0</v>
      </c>
      <c r="W53" s="33">
        <f>IF(AND($B53&gt;=InputTrianglesCount!$D$8,$CT53&gt;=W$41),1,0)</f>
        <v>0</v>
      </c>
      <c r="X53" s="33">
        <f>IF(AND($B53&gt;=InputTrianglesCount!$D$8,$CT53&gt;=X$41),1,0)</f>
        <v>0</v>
      </c>
      <c r="Y53" s="33">
        <f>IF(AND($B53&gt;=InputTrianglesCount!$D$8,$CT53&gt;=Y$41),1,0)</f>
        <v>0</v>
      </c>
      <c r="Z53" s="33">
        <f>IF(AND($B53&gt;=InputTrianglesCount!$D$8,$CT53&gt;=Z$41),1,0)</f>
        <v>0</v>
      </c>
      <c r="AA53" s="33">
        <f>IF(AND($B53&gt;=InputTrianglesCount!$D$8,$CT53&gt;=AA$41),1,0)</f>
        <v>0</v>
      </c>
      <c r="AB53" s="33">
        <f>IF(AND($B53&gt;=InputTrianglesCount!$D$8,$CT53&gt;=AB$41),1,0)</f>
        <v>0</v>
      </c>
      <c r="AC53" s="33">
        <f>IF(AND($B53&gt;=InputTrianglesCount!$D$8,$CT53&gt;=AC$41),1,0)</f>
        <v>0</v>
      </c>
      <c r="AD53" s="33">
        <f>IF(AND($B53&gt;=InputTrianglesCount!$D$8,$CT53&gt;=AD$41),1,0)</f>
        <v>0</v>
      </c>
      <c r="AE53" s="33">
        <f>IF(AND($B53&gt;=InputTrianglesCount!$D$8,$CT53&gt;=AE$41),1,0)</f>
        <v>0</v>
      </c>
      <c r="AF53" s="33">
        <f>IF(AND($B53&gt;=InputTrianglesCount!$D$8,$CT53&gt;=AF$41),1,0)</f>
        <v>0</v>
      </c>
      <c r="AG53" s="33">
        <f>IF(AND($B53&gt;=InputTrianglesCount!$D$8,$CT53&gt;=AG$41),1,0)</f>
        <v>0</v>
      </c>
      <c r="AH53" s="33">
        <f>IF(AND($B53&gt;=InputTrianglesCount!$D$8,$CT53&gt;=AH$41),1,0)</f>
        <v>0</v>
      </c>
      <c r="AI53" s="33">
        <f>IF(AND($B53&gt;=InputTrianglesCount!$D$8,$CT53&gt;=AI$41),1,0)</f>
        <v>0</v>
      </c>
      <c r="AJ53" s="33">
        <f>IF(AND($B53&gt;=InputTrianglesCount!$D$8,$CT53&gt;=AJ$41),1,0)</f>
        <v>0</v>
      </c>
      <c r="AK53" s="33">
        <f>IF(AND($B53&gt;=InputTrianglesCount!$D$8,$CT53&gt;=AK$41),1,0)</f>
        <v>0</v>
      </c>
      <c r="AL53" s="33">
        <f>IF(AND($B53&gt;=InputTrianglesCount!$D$8,$CT53&gt;=AL$41),1,0)</f>
        <v>0</v>
      </c>
      <c r="AM53" s="33">
        <f>IF(AND($B53&gt;=InputTrianglesCount!$D$8,$CT53&gt;=AM$41),1,0)</f>
        <v>0</v>
      </c>
      <c r="AN53" s="33">
        <f>IF(AND($B53&gt;=InputTrianglesCount!$D$8,$CT53&gt;=AN$41),1,0)</f>
        <v>0</v>
      </c>
      <c r="AO53" s="33">
        <f>IF(AND($B53&gt;=InputTrianglesCount!$D$8,$CT53&gt;=AO$41),1,0)</f>
        <v>0</v>
      </c>
      <c r="AP53" s="33">
        <f>IF(AND($B53&gt;=InputTrianglesCount!$D$8,$CT53&gt;=AP$41),1,0)</f>
        <v>0</v>
      </c>
      <c r="AQ53" s="33">
        <f>IF(AND($B53&gt;=InputTrianglesCount!$D$8,$CT53&gt;=AQ$41),1,0)</f>
        <v>0</v>
      </c>
      <c r="AR53" s="33">
        <f>IF(AND($B53&gt;=InputTrianglesCount!$D$8,$CT53&gt;=AR$41),1,0)</f>
        <v>0</v>
      </c>
      <c r="AS53" s="33">
        <f>IF(AND($B53&gt;=InputTrianglesCount!$D$8,$CT53&gt;=AS$41),1,0)</f>
        <v>0</v>
      </c>
      <c r="AT53" s="33">
        <f>IF(AND($B53&gt;=InputTrianglesCount!$D$8,$CT53&gt;=AT$41),1,0)</f>
        <v>0</v>
      </c>
      <c r="AU53" s="33">
        <f>IF(AND($B53&gt;=InputTrianglesCount!$D$8,$CT53&gt;=AU$41),1,0)</f>
        <v>0</v>
      </c>
      <c r="AV53" s="33">
        <f>IF(AND($B53&gt;=InputTrianglesCount!$D$8,$CT53&gt;=AV$41),1,0)</f>
        <v>0</v>
      </c>
      <c r="AW53" s="33">
        <f>IF(AND($B53&gt;=InputTrianglesCount!$D$8,$CT53&gt;=AW$41),1,0)</f>
        <v>0</v>
      </c>
      <c r="AX53" s="33">
        <f>IF(AND($B53&gt;=InputTrianglesCount!$D$8,$CT53&gt;=AX$41),1,0)</f>
        <v>0</v>
      </c>
      <c r="AY53" s="33">
        <f>IF(AND($B53&gt;=InputTrianglesCount!$D$8,$CT53&gt;=AY$41),1,0)</f>
        <v>0</v>
      </c>
      <c r="AZ53" s="33">
        <f>IF(AND($B53&gt;=InputTrianglesCount!$D$8,$CT53&gt;=AZ$41),1,0)</f>
        <v>0</v>
      </c>
      <c r="BA53" s="33">
        <f>IF(AND($B53&gt;=InputTrianglesCount!$D$8,$CT53&gt;=BA$41),1,0)</f>
        <v>0</v>
      </c>
      <c r="BB53" s="33">
        <f>IF(AND($B53&gt;=InputTrianglesCount!$D$8,$CT53&gt;=BB$41),1,0)</f>
        <v>0</v>
      </c>
      <c r="BC53" s="33">
        <f>IF(AND($B53&gt;=InputTrianglesCount!$D$8,$CT53&gt;=BC$41),1,0)</f>
        <v>0</v>
      </c>
      <c r="BD53" s="33">
        <f>IF(AND($B53&gt;=InputTrianglesCount!$D$8,$CT53&gt;=BD$41),1,0)</f>
        <v>0</v>
      </c>
      <c r="BE53" s="33">
        <f>IF(AND($B53&gt;=InputTrianglesCount!$D$8,$CT53&gt;=BE$41),1,0)</f>
        <v>0</v>
      </c>
      <c r="BF53" s="33">
        <f>IF(AND($B53&gt;=InputTrianglesCount!$D$8,$CT53&gt;=BF$41),1,0)</f>
        <v>0</v>
      </c>
      <c r="BG53" s="33">
        <f>IF(AND($B53&gt;=InputTrianglesCount!$D$8,$CT53&gt;=BG$41),1,0)</f>
        <v>0</v>
      </c>
      <c r="BH53" s="33">
        <f>IF(AND($B53&gt;=InputTrianglesCount!$D$8,$CT53&gt;=BH$41),1,0)</f>
        <v>0</v>
      </c>
      <c r="BI53" s="33">
        <f>IF(AND($B53&gt;=InputTrianglesCount!$D$8,$CT53&gt;=BI$41),1,0)</f>
        <v>0</v>
      </c>
      <c r="BJ53" s="33">
        <f>IF(AND($B53&gt;=InputTrianglesCount!$D$8,$CT53&gt;=BJ$41),1,0)</f>
        <v>0</v>
      </c>
      <c r="BK53" s="33">
        <f>IF(AND($B53&gt;=InputTrianglesCount!$D$8,$CT53&gt;=BK$41),1,0)</f>
        <v>0</v>
      </c>
      <c r="BL53" s="33">
        <f>IF(AND($B53&gt;=InputTrianglesCount!$D$8,$CT53&gt;=BL$41),1,0)</f>
        <v>0</v>
      </c>
      <c r="BM53" s="33">
        <f>IF(AND($B53&gt;=InputTrianglesCount!$D$8,$CT53&gt;=BM$41),1,0)</f>
        <v>0</v>
      </c>
      <c r="BN53" s="33">
        <f>IF(AND($B53&gt;=InputTrianglesCount!$D$8,$CT53&gt;=BN$41),1,0)</f>
        <v>0</v>
      </c>
      <c r="BO53" s="33">
        <f>IF(AND($B53&gt;=InputTrianglesCount!$D$8,$CT53&gt;=BO$41),1,0)</f>
        <v>0</v>
      </c>
      <c r="BP53" s="33">
        <f>IF(AND($B53&gt;=InputTrianglesCount!$D$8,$CT53&gt;=BP$41),1,0)</f>
        <v>0</v>
      </c>
      <c r="BQ53" s="33">
        <f>IF(AND($B53&gt;=InputTrianglesCount!$D$8,$CT53&gt;=BQ$41),1,0)</f>
        <v>0</v>
      </c>
      <c r="BR53" s="33">
        <f>IF(AND($B53&gt;=InputTrianglesCount!$D$8,$CT53&gt;=BR$41),1,0)</f>
        <v>0</v>
      </c>
      <c r="BS53" s="33">
        <f>IF(AND($B53&gt;=InputTrianglesCount!$D$8,$CT53&gt;=BS$41),1,0)</f>
        <v>0</v>
      </c>
      <c r="BT53" s="33">
        <f>IF(AND($B53&gt;=InputTrianglesCount!$D$8,$CT53&gt;=BT$41),1,0)</f>
        <v>0</v>
      </c>
      <c r="BU53" s="33">
        <f>IF(AND($B53&gt;=InputTrianglesCount!$D$8,$CT53&gt;=BU$41),1,0)</f>
        <v>0</v>
      </c>
      <c r="BV53" s="33">
        <f>IF(AND($B53&gt;=InputTrianglesCount!$D$8,$CT53&gt;=BV$41),1,0)</f>
        <v>0</v>
      </c>
      <c r="BW53" s="33">
        <f>IF(AND($B53&gt;=InputTrianglesCount!$D$8,$CT53&gt;=BW$41),1,0)</f>
        <v>0</v>
      </c>
      <c r="BX53" s="33">
        <f>IF(AND($B53&gt;=InputTrianglesCount!$D$8,$CT53&gt;=BX$41),1,0)</f>
        <v>0</v>
      </c>
      <c r="BY53" s="33">
        <f>IF(AND($B53&gt;=InputTrianglesCount!$D$8,$CT53&gt;=BY$41),1,0)</f>
        <v>0</v>
      </c>
      <c r="BZ53" s="33">
        <f>IF(AND($B53&gt;=InputTrianglesCount!$D$8,$CT53&gt;=BZ$41),1,0)</f>
        <v>0</v>
      </c>
      <c r="CA53" s="33">
        <f>IF(AND($B53&gt;=InputTrianglesCount!$D$8,$CT53&gt;=CA$41),1,0)</f>
        <v>0</v>
      </c>
      <c r="CB53" s="33">
        <f>IF(AND($B53&gt;=InputTrianglesCount!$D$8,$CT53&gt;=CB$41),1,0)</f>
        <v>0</v>
      </c>
      <c r="CC53" s="33">
        <f>IF(AND($B53&gt;=InputTrianglesCount!$D$8,$CT53&gt;=CC$41),1,0)</f>
        <v>0</v>
      </c>
      <c r="CD53" s="33">
        <f>IF(AND($B53&gt;=InputTrianglesCount!$D$8,$CT53&gt;=CD$41),1,0)</f>
        <v>0</v>
      </c>
      <c r="CE53" s="33">
        <f>IF(AND($B53&gt;=InputTrianglesCount!$D$8,$CT53&gt;=CE$41),1,0)</f>
        <v>0</v>
      </c>
      <c r="CF53" s="33">
        <f>IF(AND($B53&gt;=InputTrianglesCount!$D$8,$CT53&gt;=CF$41),1,0)</f>
        <v>0</v>
      </c>
      <c r="CG53" s="33">
        <f>IF(AND($B53&gt;=InputTrianglesCount!$D$8,$CT53&gt;=CG$41),1,0)</f>
        <v>0</v>
      </c>
      <c r="CH53" s="33">
        <f>IF(AND($B53&gt;=InputTrianglesCount!$D$8,$CT53&gt;=CH$41),1,0)</f>
        <v>0</v>
      </c>
      <c r="CI53" s="33">
        <f>IF(AND($B53&gt;=InputTrianglesCount!$D$8,$CT53&gt;=CI$41),1,0)</f>
        <v>0</v>
      </c>
      <c r="CJ53" s="33">
        <f>IF(AND($B53&gt;=InputTrianglesCount!$D$8,$CT53&gt;=CJ$41),1,0)</f>
        <v>0</v>
      </c>
      <c r="CK53" s="33">
        <f>IF(AND($B53&gt;=InputTrianglesCount!$D$8,$CT53&gt;=CK$41),1,0)</f>
        <v>0</v>
      </c>
      <c r="CL53" s="33">
        <f>IF(AND($B53&gt;=InputTrianglesCount!$D$8,$CT53&gt;=CL$41),1,0)</f>
        <v>0</v>
      </c>
      <c r="CM53" s="33">
        <f>IF(AND($B53&gt;=InputTrianglesCount!$D$8,$CT53&gt;=CM$41),1,0)</f>
        <v>0</v>
      </c>
      <c r="CN53" s="33">
        <f>IF(AND($B53&gt;=InputTrianglesCount!$D$8,$CT53&gt;=CN$41),1,0)</f>
        <v>0</v>
      </c>
      <c r="CO53" s="33">
        <f>IF(AND($B53&gt;=InputTrianglesCount!$D$8,$CT53&gt;=CO$41),1,0)</f>
        <v>0</v>
      </c>
      <c r="CP53" s="33">
        <f>IF(AND($B53&gt;=InputTrianglesCount!$D$8,$CT53&gt;=CP$41),1,0)</f>
        <v>0</v>
      </c>
      <c r="CQ53" s="33">
        <f>IF(AND($B53&gt;=InputTrianglesCount!$D$8,$CT53&gt;=CQ$41),1,0)</f>
        <v>0</v>
      </c>
      <c r="CR53" s="33">
        <f>IF(AND($B53&gt;=InputTrianglesCount!$D$8,$CT53&gt;=CR$41),1,0)</f>
        <v>0</v>
      </c>
      <c r="CS53" s="32">
        <f>IF(AND($B53&gt;=InputTrianglesCount!$D$8,$CT53&gt;=CS$41),1,0)</f>
        <v>0</v>
      </c>
      <c r="CT53" s="31">
        <f>($D$9-InputTrianglesCount!$B53)*InputTrianglesCount!$E$4+$D$6</f>
        <v>13</v>
      </c>
    </row>
    <row r="54" spans="1:98" hidden="1" x14ac:dyDescent="0.25">
      <c r="A54" s="97">
        <v>0</v>
      </c>
      <c r="B54" s="29">
        <f t="shared" si="7"/>
        <v>2008</v>
      </c>
      <c r="C54" s="30">
        <f>IF(AND($B54&gt;=InputTrianglesCount!$D$8,$CT54&gt;=C$41),1,0)</f>
        <v>0</v>
      </c>
      <c r="D54" s="33">
        <f>IF(AND($B54&gt;=InputTrianglesCount!$D$8,$CT54&gt;=D$41),1,0)</f>
        <v>0</v>
      </c>
      <c r="E54" s="33">
        <f>IF(AND($B54&gt;=InputTrianglesCount!$D$8,$CT54&gt;=E$41),1,0)</f>
        <v>0</v>
      </c>
      <c r="F54" s="33">
        <f>IF(AND($B54&gt;=InputTrianglesCount!$D$8,$CT54&gt;=F$41),1,0)</f>
        <v>0</v>
      </c>
      <c r="G54" s="33">
        <f>IF(AND($B54&gt;=InputTrianglesCount!$D$8,$CT54&gt;=G$41),1,0)</f>
        <v>0</v>
      </c>
      <c r="H54" s="33">
        <f>IF(AND($B54&gt;=InputTrianglesCount!$D$8,$CT54&gt;=H$41),1,0)</f>
        <v>0</v>
      </c>
      <c r="I54" s="33">
        <f>IF(AND($B54&gt;=InputTrianglesCount!$D$8,$CT54&gt;=I$41),1,0)</f>
        <v>0</v>
      </c>
      <c r="J54" s="33">
        <f>IF(AND($B54&gt;=InputTrianglesCount!$D$8,$CT54&gt;=J$41),1,0)</f>
        <v>0</v>
      </c>
      <c r="K54" s="33">
        <f>IF(AND($B54&gt;=InputTrianglesCount!$D$8,$CT54&gt;=K$41),1,0)</f>
        <v>0</v>
      </c>
      <c r="L54" s="33">
        <f>IF(AND($B54&gt;=InputTrianglesCount!$D$8,$CT54&gt;=L$41),1,0)</f>
        <v>0</v>
      </c>
      <c r="M54" s="33">
        <f>IF(AND($B54&gt;=InputTrianglesCount!$D$8,$CT54&gt;=M$41),1,0)</f>
        <v>0</v>
      </c>
      <c r="N54" s="33">
        <f>IF(AND($B54&gt;=InputTrianglesCount!$D$8,$CT54&gt;=N$41),1,0)</f>
        <v>0</v>
      </c>
      <c r="O54" s="33">
        <f>IF(AND($B54&gt;=InputTrianglesCount!$D$8,$CT54&gt;=O$41),1,0)</f>
        <v>0</v>
      </c>
      <c r="P54" s="33">
        <f>IF(AND($B54&gt;=InputTrianglesCount!$D$8,$CT54&gt;=P$41),1,0)</f>
        <v>0</v>
      </c>
      <c r="Q54" s="33">
        <f>IF(AND($B54&gt;=InputTrianglesCount!$D$8,$CT54&gt;=Q$41),1,0)</f>
        <v>0</v>
      </c>
      <c r="R54" s="33">
        <f>IF(AND($B54&gt;=InputTrianglesCount!$D$8,$CT54&gt;=R$41),1,0)</f>
        <v>0</v>
      </c>
      <c r="S54" s="33">
        <f>IF(AND($B54&gt;=InputTrianglesCount!$D$8,$CT54&gt;=S$41),1,0)</f>
        <v>0</v>
      </c>
      <c r="T54" s="33">
        <f>IF(AND($B54&gt;=InputTrianglesCount!$D$8,$CT54&gt;=T$41),1,0)</f>
        <v>0</v>
      </c>
      <c r="U54" s="33">
        <f>IF(AND($B54&gt;=InputTrianglesCount!$D$8,$CT54&gt;=U$41),1,0)</f>
        <v>0</v>
      </c>
      <c r="V54" s="33">
        <f>IF(AND($B54&gt;=InputTrianglesCount!$D$8,$CT54&gt;=V$41),1,0)</f>
        <v>0</v>
      </c>
      <c r="W54" s="33">
        <f>IF(AND($B54&gt;=InputTrianglesCount!$D$8,$CT54&gt;=W$41),1,0)</f>
        <v>0</v>
      </c>
      <c r="X54" s="33">
        <f>IF(AND($B54&gt;=InputTrianglesCount!$D$8,$CT54&gt;=X$41),1,0)</f>
        <v>0</v>
      </c>
      <c r="Y54" s="33">
        <f>IF(AND($B54&gt;=InputTrianglesCount!$D$8,$CT54&gt;=Y$41),1,0)</f>
        <v>0</v>
      </c>
      <c r="Z54" s="33">
        <f>IF(AND($B54&gt;=InputTrianglesCount!$D$8,$CT54&gt;=Z$41),1,0)</f>
        <v>0</v>
      </c>
      <c r="AA54" s="33">
        <f>IF(AND($B54&gt;=InputTrianglesCount!$D$8,$CT54&gt;=AA$41),1,0)</f>
        <v>0</v>
      </c>
      <c r="AB54" s="33">
        <f>IF(AND($B54&gt;=InputTrianglesCount!$D$8,$CT54&gt;=AB$41),1,0)</f>
        <v>0</v>
      </c>
      <c r="AC54" s="33">
        <f>IF(AND($B54&gt;=InputTrianglesCount!$D$8,$CT54&gt;=AC$41),1,0)</f>
        <v>0</v>
      </c>
      <c r="AD54" s="33">
        <f>IF(AND($B54&gt;=InputTrianglesCount!$D$8,$CT54&gt;=AD$41),1,0)</f>
        <v>0</v>
      </c>
      <c r="AE54" s="33">
        <f>IF(AND($B54&gt;=InputTrianglesCount!$D$8,$CT54&gt;=AE$41),1,0)</f>
        <v>0</v>
      </c>
      <c r="AF54" s="33">
        <f>IF(AND($B54&gt;=InputTrianglesCount!$D$8,$CT54&gt;=AF$41),1,0)</f>
        <v>0</v>
      </c>
      <c r="AG54" s="33">
        <f>IF(AND($B54&gt;=InputTrianglesCount!$D$8,$CT54&gt;=AG$41),1,0)</f>
        <v>0</v>
      </c>
      <c r="AH54" s="33">
        <f>IF(AND($B54&gt;=InputTrianglesCount!$D$8,$CT54&gt;=AH$41),1,0)</f>
        <v>0</v>
      </c>
      <c r="AI54" s="33">
        <f>IF(AND($B54&gt;=InputTrianglesCount!$D$8,$CT54&gt;=AI$41),1,0)</f>
        <v>0</v>
      </c>
      <c r="AJ54" s="33">
        <f>IF(AND($B54&gt;=InputTrianglesCount!$D$8,$CT54&gt;=AJ$41),1,0)</f>
        <v>0</v>
      </c>
      <c r="AK54" s="33">
        <f>IF(AND($B54&gt;=InputTrianglesCount!$D$8,$CT54&gt;=AK$41),1,0)</f>
        <v>0</v>
      </c>
      <c r="AL54" s="33">
        <f>IF(AND($B54&gt;=InputTrianglesCount!$D$8,$CT54&gt;=AL$41),1,0)</f>
        <v>0</v>
      </c>
      <c r="AM54" s="33">
        <f>IF(AND($B54&gt;=InputTrianglesCount!$D$8,$CT54&gt;=AM$41),1,0)</f>
        <v>0</v>
      </c>
      <c r="AN54" s="33">
        <f>IF(AND($B54&gt;=InputTrianglesCount!$D$8,$CT54&gt;=AN$41),1,0)</f>
        <v>0</v>
      </c>
      <c r="AO54" s="33">
        <f>IF(AND($B54&gt;=InputTrianglesCount!$D$8,$CT54&gt;=AO$41),1,0)</f>
        <v>0</v>
      </c>
      <c r="AP54" s="33">
        <f>IF(AND($B54&gt;=InputTrianglesCount!$D$8,$CT54&gt;=AP$41),1,0)</f>
        <v>0</v>
      </c>
      <c r="AQ54" s="33">
        <f>IF(AND($B54&gt;=InputTrianglesCount!$D$8,$CT54&gt;=AQ$41),1,0)</f>
        <v>0</v>
      </c>
      <c r="AR54" s="33">
        <f>IF(AND($B54&gt;=InputTrianglesCount!$D$8,$CT54&gt;=AR$41),1,0)</f>
        <v>0</v>
      </c>
      <c r="AS54" s="33">
        <f>IF(AND($B54&gt;=InputTrianglesCount!$D$8,$CT54&gt;=AS$41),1,0)</f>
        <v>0</v>
      </c>
      <c r="AT54" s="33">
        <f>IF(AND($B54&gt;=InputTrianglesCount!$D$8,$CT54&gt;=AT$41),1,0)</f>
        <v>0</v>
      </c>
      <c r="AU54" s="33">
        <f>IF(AND($B54&gt;=InputTrianglesCount!$D$8,$CT54&gt;=AU$41),1,0)</f>
        <v>0</v>
      </c>
      <c r="AV54" s="33">
        <f>IF(AND($B54&gt;=InputTrianglesCount!$D$8,$CT54&gt;=AV$41),1,0)</f>
        <v>0</v>
      </c>
      <c r="AW54" s="33">
        <f>IF(AND($B54&gt;=InputTrianglesCount!$D$8,$CT54&gt;=AW$41),1,0)</f>
        <v>0</v>
      </c>
      <c r="AX54" s="33">
        <f>IF(AND($B54&gt;=InputTrianglesCount!$D$8,$CT54&gt;=AX$41),1,0)</f>
        <v>0</v>
      </c>
      <c r="AY54" s="33">
        <f>IF(AND($B54&gt;=InputTrianglesCount!$D$8,$CT54&gt;=AY$41),1,0)</f>
        <v>0</v>
      </c>
      <c r="AZ54" s="33">
        <f>IF(AND($B54&gt;=InputTrianglesCount!$D$8,$CT54&gt;=AZ$41),1,0)</f>
        <v>0</v>
      </c>
      <c r="BA54" s="33">
        <f>IF(AND($B54&gt;=InputTrianglesCount!$D$8,$CT54&gt;=BA$41),1,0)</f>
        <v>0</v>
      </c>
      <c r="BB54" s="33">
        <f>IF(AND($B54&gt;=InputTrianglesCount!$D$8,$CT54&gt;=BB$41),1,0)</f>
        <v>0</v>
      </c>
      <c r="BC54" s="33">
        <f>IF(AND($B54&gt;=InputTrianglesCount!$D$8,$CT54&gt;=BC$41),1,0)</f>
        <v>0</v>
      </c>
      <c r="BD54" s="33">
        <f>IF(AND($B54&gt;=InputTrianglesCount!$D$8,$CT54&gt;=BD$41),1,0)</f>
        <v>0</v>
      </c>
      <c r="BE54" s="33">
        <f>IF(AND($B54&gt;=InputTrianglesCount!$D$8,$CT54&gt;=BE$41),1,0)</f>
        <v>0</v>
      </c>
      <c r="BF54" s="33">
        <f>IF(AND($B54&gt;=InputTrianglesCount!$D$8,$CT54&gt;=BF$41),1,0)</f>
        <v>0</v>
      </c>
      <c r="BG54" s="33">
        <f>IF(AND($B54&gt;=InputTrianglesCount!$D$8,$CT54&gt;=BG$41),1,0)</f>
        <v>0</v>
      </c>
      <c r="BH54" s="33">
        <f>IF(AND($B54&gt;=InputTrianglesCount!$D$8,$CT54&gt;=BH$41),1,0)</f>
        <v>0</v>
      </c>
      <c r="BI54" s="33">
        <f>IF(AND($B54&gt;=InputTrianglesCount!$D$8,$CT54&gt;=BI$41),1,0)</f>
        <v>0</v>
      </c>
      <c r="BJ54" s="33">
        <f>IF(AND($B54&gt;=InputTrianglesCount!$D$8,$CT54&gt;=BJ$41),1,0)</f>
        <v>0</v>
      </c>
      <c r="BK54" s="33">
        <f>IF(AND($B54&gt;=InputTrianglesCount!$D$8,$CT54&gt;=BK$41),1,0)</f>
        <v>0</v>
      </c>
      <c r="BL54" s="33">
        <f>IF(AND($B54&gt;=InputTrianglesCount!$D$8,$CT54&gt;=BL$41),1,0)</f>
        <v>0</v>
      </c>
      <c r="BM54" s="33">
        <f>IF(AND($B54&gt;=InputTrianglesCount!$D$8,$CT54&gt;=BM$41),1,0)</f>
        <v>0</v>
      </c>
      <c r="BN54" s="33">
        <f>IF(AND($B54&gt;=InputTrianglesCount!$D$8,$CT54&gt;=BN$41),1,0)</f>
        <v>0</v>
      </c>
      <c r="BO54" s="33">
        <f>IF(AND($B54&gt;=InputTrianglesCount!$D$8,$CT54&gt;=BO$41),1,0)</f>
        <v>0</v>
      </c>
      <c r="BP54" s="33">
        <f>IF(AND($B54&gt;=InputTrianglesCount!$D$8,$CT54&gt;=BP$41),1,0)</f>
        <v>0</v>
      </c>
      <c r="BQ54" s="33">
        <f>IF(AND($B54&gt;=InputTrianglesCount!$D$8,$CT54&gt;=BQ$41),1,0)</f>
        <v>0</v>
      </c>
      <c r="BR54" s="33">
        <f>IF(AND($B54&gt;=InputTrianglesCount!$D$8,$CT54&gt;=BR$41),1,0)</f>
        <v>0</v>
      </c>
      <c r="BS54" s="33">
        <f>IF(AND($B54&gt;=InputTrianglesCount!$D$8,$CT54&gt;=BS$41),1,0)</f>
        <v>0</v>
      </c>
      <c r="BT54" s="33">
        <f>IF(AND($B54&gt;=InputTrianglesCount!$D$8,$CT54&gt;=BT$41),1,0)</f>
        <v>0</v>
      </c>
      <c r="BU54" s="33">
        <f>IF(AND($B54&gt;=InputTrianglesCount!$D$8,$CT54&gt;=BU$41),1,0)</f>
        <v>0</v>
      </c>
      <c r="BV54" s="33">
        <f>IF(AND($B54&gt;=InputTrianglesCount!$D$8,$CT54&gt;=BV$41),1,0)</f>
        <v>0</v>
      </c>
      <c r="BW54" s="33">
        <f>IF(AND($B54&gt;=InputTrianglesCount!$D$8,$CT54&gt;=BW$41),1,0)</f>
        <v>0</v>
      </c>
      <c r="BX54" s="33">
        <f>IF(AND($B54&gt;=InputTrianglesCount!$D$8,$CT54&gt;=BX$41),1,0)</f>
        <v>0</v>
      </c>
      <c r="BY54" s="33">
        <f>IF(AND($B54&gt;=InputTrianglesCount!$D$8,$CT54&gt;=BY$41),1,0)</f>
        <v>0</v>
      </c>
      <c r="BZ54" s="33">
        <f>IF(AND($B54&gt;=InputTrianglesCount!$D$8,$CT54&gt;=BZ$41),1,0)</f>
        <v>0</v>
      </c>
      <c r="CA54" s="33">
        <f>IF(AND($B54&gt;=InputTrianglesCount!$D$8,$CT54&gt;=CA$41),1,0)</f>
        <v>0</v>
      </c>
      <c r="CB54" s="33">
        <f>IF(AND($B54&gt;=InputTrianglesCount!$D$8,$CT54&gt;=CB$41),1,0)</f>
        <v>0</v>
      </c>
      <c r="CC54" s="33">
        <f>IF(AND($B54&gt;=InputTrianglesCount!$D$8,$CT54&gt;=CC$41),1,0)</f>
        <v>0</v>
      </c>
      <c r="CD54" s="33">
        <f>IF(AND($B54&gt;=InputTrianglesCount!$D$8,$CT54&gt;=CD$41),1,0)</f>
        <v>0</v>
      </c>
      <c r="CE54" s="33">
        <f>IF(AND($B54&gt;=InputTrianglesCount!$D$8,$CT54&gt;=CE$41),1,0)</f>
        <v>0</v>
      </c>
      <c r="CF54" s="33">
        <f>IF(AND($B54&gt;=InputTrianglesCount!$D$8,$CT54&gt;=CF$41),1,0)</f>
        <v>0</v>
      </c>
      <c r="CG54" s="33">
        <f>IF(AND($B54&gt;=InputTrianglesCount!$D$8,$CT54&gt;=CG$41),1,0)</f>
        <v>0</v>
      </c>
      <c r="CH54" s="33">
        <f>IF(AND($B54&gt;=InputTrianglesCount!$D$8,$CT54&gt;=CH$41),1,0)</f>
        <v>0</v>
      </c>
      <c r="CI54" s="33">
        <f>IF(AND($B54&gt;=InputTrianglesCount!$D$8,$CT54&gt;=CI$41),1,0)</f>
        <v>0</v>
      </c>
      <c r="CJ54" s="33">
        <f>IF(AND($B54&gt;=InputTrianglesCount!$D$8,$CT54&gt;=CJ$41),1,0)</f>
        <v>0</v>
      </c>
      <c r="CK54" s="33">
        <f>IF(AND($B54&gt;=InputTrianglesCount!$D$8,$CT54&gt;=CK$41),1,0)</f>
        <v>0</v>
      </c>
      <c r="CL54" s="33">
        <f>IF(AND($B54&gt;=InputTrianglesCount!$D$8,$CT54&gt;=CL$41),1,0)</f>
        <v>0</v>
      </c>
      <c r="CM54" s="33">
        <f>IF(AND($B54&gt;=InputTrianglesCount!$D$8,$CT54&gt;=CM$41),1,0)</f>
        <v>0</v>
      </c>
      <c r="CN54" s="33">
        <f>IF(AND($B54&gt;=InputTrianglesCount!$D$8,$CT54&gt;=CN$41),1,0)</f>
        <v>0</v>
      </c>
      <c r="CO54" s="33">
        <f>IF(AND($B54&gt;=InputTrianglesCount!$D$8,$CT54&gt;=CO$41),1,0)</f>
        <v>0</v>
      </c>
      <c r="CP54" s="33">
        <f>IF(AND($B54&gt;=InputTrianglesCount!$D$8,$CT54&gt;=CP$41),1,0)</f>
        <v>0</v>
      </c>
      <c r="CQ54" s="33">
        <f>IF(AND($B54&gt;=InputTrianglesCount!$D$8,$CT54&gt;=CQ$41),1,0)</f>
        <v>0</v>
      </c>
      <c r="CR54" s="33">
        <f>IF(AND($B54&gt;=InputTrianglesCount!$D$8,$CT54&gt;=CR$41),1,0)</f>
        <v>0</v>
      </c>
      <c r="CS54" s="32">
        <f>IF(AND($B54&gt;=InputTrianglesCount!$D$8,$CT54&gt;=CS$41),1,0)</f>
        <v>0</v>
      </c>
      <c r="CT54" s="31">
        <f>($D$9-InputTrianglesCount!$B54)*InputTrianglesCount!$E$4+$D$6</f>
        <v>12</v>
      </c>
    </row>
    <row r="55" spans="1:98" hidden="1" x14ac:dyDescent="0.25">
      <c r="A55" s="97">
        <v>0</v>
      </c>
      <c r="B55" s="29">
        <f t="shared" si="7"/>
        <v>2009</v>
      </c>
      <c r="C55" s="30">
        <f>IF(AND($B55&gt;=InputTrianglesCount!$D$8,$CT55&gt;=C$41),1,0)</f>
        <v>0</v>
      </c>
      <c r="D55" s="33">
        <f>IF(AND($B55&gt;=InputTrianglesCount!$D$8,$CT55&gt;=D$41),1,0)</f>
        <v>0</v>
      </c>
      <c r="E55" s="33">
        <f>IF(AND($B55&gt;=InputTrianglesCount!$D$8,$CT55&gt;=E$41),1,0)</f>
        <v>0</v>
      </c>
      <c r="F55" s="33">
        <f>IF(AND($B55&gt;=InputTrianglesCount!$D$8,$CT55&gt;=F$41),1,0)</f>
        <v>0</v>
      </c>
      <c r="G55" s="33">
        <f>IF(AND($B55&gt;=InputTrianglesCount!$D$8,$CT55&gt;=G$41),1,0)</f>
        <v>0</v>
      </c>
      <c r="H55" s="33">
        <f>IF(AND($B55&gt;=InputTrianglesCount!$D$8,$CT55&gt;=H$41),1,0)</f>
        <v>0</v>
      </c>
      <c r="I55" s="33">
        <f>IF(AND($B55&gt;=InputTrianglesCount!$D$8,$CT55&gt;=I$41),1,0)</f>
        <v>0</v>
      </c>
      <c r="J55" s="33">
        <f>IF(AND($B55&gt;=InputTrianglesCount!$D$8,$CT55&gt;=J$41),1,0)</f>
        <v>0</v>
      </c>
      <c r="K55" s="33">
        <f>IF(AND($B55&gt;=InputTrianglesCount!$D$8,$CT55&gt;=K$41),1,0)</f>
        <v>0</v>
      </c>
      <c r="L55" s="33">
        <f>IF(AND($B55&gt;=InputTrianglesCount!$D$8,$CT55&gt;=L$41),1,0)</f>
        <v>0</v>
      </c>
      <c r="M55" s="33">
        <f>IF(AND($B55&gt;=InputTrianglesCount!$D$8,$CT55&gt;=M$41),1,0)</f>
        <v>0</v>
      </c>
      <c r="N55" s="33">
        <f>IF(AND($B55&gt;=InputTrianglesCount!$D$8,$CT55&gt;=N$41),1,0)</f>
        <v>0</v>
      </c>
      <c r="O55" s="33">
        <f>IF(AND($B55&gt;=InputTrianglesCount!$D$8,$CT55&gt;=O$41),1,0)</f>
        <v>0</v>
      </c>
      <c r="P55" s="33">
        <f>IF(AND($B55&gt;=InputTrianglesCount!$D$8,$CT55&gt;=P$41),1,0)</f>
        <v>0</v>
      </c>
      <c r="Q55" s="33">
        <f>IF(AND($B55&gt;=InputTrianglesCount!$D$8,$CT55&gt;=Q$41),1,0)</f>
        <v>0</v>
      </c>
      <c r="R55" s="33">
        <f>IF(AND($B55&gt;=InputTrianglesCount!$D$8,$CT55&gt;=R$41),1,0)</f>
        <v>0</v>
      </c>
      <c r="S55" s="33">
        <f>IF(AND($B55&gt;=InputTrianglesCount!$D$8,$CT55&gt;=S$41),1,0)</f>
        <v>0</v>
      </c>
      <c r="T55" s="33">
        <f>IF(AND($B55&gt;=InputTrianglesCount!$D$8,$CT55&gt;=T$41),1,0)</f>
        <v>0</v>
      </c>
      <c r="U55" s="33">
        <f>IF(AND($B55&gt;=InputTrianglesCount!$D$8,$CT55&gt;=U$41),1,0)</f>
        <v>0</v>
      </c>
      <c r="V55" s="33">
        <f>IF(AND($B55&gt;=InputTrianglesCount!$D$8,$CT55&gt;=V$41),1,0)</f>
        <v>0</v>
      </c>
      <c r="W55" s="33">
        <f>IF(AND($B55&gt;=InputTrianglesCount!$D$8,$CT55&gt;=W$41),1,0)</f>
        <v>0</v>
      </c>
      <c r="X55" s="33">
        <f>IF(AND($B55&gt;=InputTrianglesCount!$D$8,$CT55&gt;=X$41),1,0)</f>
        <v>0</v>
      </c>
      <c r="Y55" s="33">
        <f>IF(AND($B55&gt;=InputTrianglesCount!$D$8,$CT55&gt;=Y$41),1,0)</f>
        <v>0</v>
      </c>
      <c r="Z55" s="33">
        <f>IF(AND($B55&gt;=InputTrianglesCount!$D$8,$CT55&gt;=Z$41),1,0)</f>
        <v>0</v>
      </c>
      <c r="AA55" s="33">
        <f>IF(AND($B55&gt;=InputTrianglesCount!$D$8,$CT55&gt;=AA$41),1,0)</f>
        <v>0</v>
      </c>
      <c r="AB55" s="33">
        <f>IF(AND($B55&gt;=InputTrianglesCount!$D$8,$CT55&gt;=AB$41),1,0)</f>
        <v>0</v>
      </c>
      <c r="AC55" s="33">
        <f>IF(AND($B55&gt;=InputTrianglesCount!$D$8,$CT55&gt;=AC$41),1,0)</f>
        <v>0</v>
      </c>
      <c r="AD55" s="33">
        <f>IF(AND($B55&gt;=InputTrianglesCount!$D$8,$CT55&gt;=AD$41),1,0)</f>
        <v>0</v>
      </c>
      <c r="AE55" s="33">
        <f>IF(AND($B55&gt;=InputTrianglesCount!$D$8,$CT55&gt;=AE$41),1,0)</f>
        <v>0</v>
      </c>
      <c r="AF55" s="33">
        <f>IF(AND($B55&gt;=InputTrianglesCount!$D$8,$CT55&gt;=AF$41),1,0)</f>
        <v>0</v>
      </c>
      <c r="AG55" s="33">
        <f>IF(AND($B55&gt;=InputTrianglesCount!$D$8,$CT55&gt;=AG$41),1,0)</f>
        <v>0</v>
      </c>
      <c r="AH55" s="33">
        <f>IF(AND($B55&gt;=InputTrianglesCount!$D$8,$CT55&gt;=AH$41),1,0)</f>
        <v>0</v>
      </c>
      <c r="AI55" s="33">
        <f>IF(AND($B55&gt;=InputTrianglesCount!$D$8,$CT55&gt;=AI$41),1,0)</f>
        <v>0</v>
      </c>
      <c r="AJ55" s="33">
        <f>IF(AND($B55&gt;=InputTrianglesCount!$D$8,$CT55&gt;=AJ$41),1,0)</f>
        <v>0</v>
      </c>
      <c r="AK55" s="33">
        <f>IF(AND($B55&gt;=InputTrianglesCount!$D$8,$CT55&gt;=AK$41),1,0)</f>
        <v>0</v>
      </c>
      <c r="AL55" s="33">
        <f>IF(AND($B55&gt;=InputTrianglesCount!$D$8,$CT55&gt;=AL$41),1,0)</f>
        <v>0</v>
      </c>
      <c r="AM55" s="33">
        <f>IF(AND($B55&gt;=InputTrianglesCount!$D$8,$CT55&gt;=AM$41),1,0)</f>
        <v>0</v>
      </c>
      <c r="AN55" s="33">
        <f>IF(AND($B55&gt;=InputTrianglesCount!$D$8,$CT55&gt;=AN$41),1,0)</f>
        <v>0</v>
      </c>
      <c r="AO55" s="33">
        <f>IF(AND($B55&gt;=InputTrianglesCount!$D$8,$CT55&gt;=AO$41),1,0)</f>
        <v>0</v>
      </c>
      <c r="AP55" s="33">
        <f>IF(AND($B55&gt;=InputTrianglesCount!$D$8,$CT55&gt;=AP$41),1,0)</f>
        <v>0</v>
      </c>
      <c r="AQ55" s="33">
        <f>IF(AND($B55&gt;=InputTrianglesCount!$D$8,$CT55&gt;=AQ$41),1,0)</f>
        <v>0</v>
      </c>
      <c r="AR55" s="33">
        <f>IF(AND($B55&gt;=InputTrianglesCount!$D$8,$CT55&gt;=AR$41),1,0)</f>
        <v>0</v>
      </c>
      <c r="AS55" s="33">
        <f>IF(AND($B55&gt;=InputTrianglesCount!$D$8,$CT55&gt;=AS$41),1,0)</f>
        <v>0</v>
      </c>
      <c r="AT55" s="33">
        <f>IF(AND($B55&gt;=InputTrianglesCount!$D$8,$CT55&gt;=AT$41),1,0)</f>
        <v>0</v>
      </c>
      <c r="AU55" s="33">
        <f>IF(AND($B55&gt;=InputTrianglesCount!$D$8,$CT55&gt;=AU$41),1,0)</f>
        <v>0</v>
      </c>
      <c r="AV55" s="33">
        <f>IF(AND($B55&gt;=InputTrianglesCount!$D$8,$CT55&gt;=AV$41),1,0)</f>
        <v>0</v>
      </c>
      <c r="AW55" s="33">
        <f>IF(AND($B55&gt;=InputTrianglesCount!$D$8,$CT55&gt;=AW$41),1,0)</f>
        <v>0</v>
      </c>
      <c r="AX55" s="33">
        <f>IF(AND($B55&gt;=InputTrianglesCount!$D$8,$CT55&gt;=AX$41),1,0)</f>
        <v>0</v>
      </c>
      <c r="AY55" s="33">
        <f>IF(AND($B55&gt;=InputTrianglesCount!$D$8,$CT55&gt;=AY$41),1,0)</f>
        <v>0</v>
      </c>
      <c r="AZ55" s="33">
        <f>IF(AND($B55&gt;=InputTrianglesCount!$D$8,$CT55&gt;=AZ$41),1,0)</f>
        <v>0</v>
      </c>
      <c r="BA55" s="33">
        <f>IF(AND($B55&gt;=InputTrianglesCount!$D$8,$CT55&gt;=BA$41),1,0)</f>
        <v>0</v>
      </c>
      <c r="BB55" s="33">
        <f>IF(AND($B55&gt;=InputTrianglesCount!$D$8,$CT55&gt;=BB$41),1,0)</f>
        <v>0</v>
      </c>
      <c r="BC55" s="33">
        <f>IF(AND($B55&gt;=InputTrianglesCount!$D$8,$CT55&gt;=BC$41),1,0)</f>
        <v>0</v>
      </c>
      <c r="BD55" s="33">
        <f>IF(AND($B55&gt;=InputTrianglesCount!$D$8,$CT55&gt;=BD$41),1,0)</f>
        <v>0</v>
      </c>
      <c r="BE55" s="33">
        <f>IF(AND($B55&gt;=InputTrianglesCount!$D$8,$CT55&gt;=BE$41),1,0)</f>
        <v>0</v>
      </c>
      <c r="BF55" s="33">
        <f>IF(AND($B55&gt;=InputTrianglesCount!$D$8,$CT55&gt;=BF$41),1,0)</f>
        <v>0</v>
      </c>
      <c r="BG55" s="33">
        <f>IF(AND($B55&gt;=InputTrianglesCount!$D$8,$CT55&gt;=BG$41),1,0)</f>
        <v>0</v>
      </c>
      <c r="BH55" s="33">
        <f>IF(AND($B55&gt;=InputTrianglesCount!$D$8,$CT55&gt;=BH$41),1,0)</f>
        <v>0</v>
      </c>
      <c r="BI55" s="33">
        <f>IF(AND($B55&gt;=InputTrianglesCount!$D$8,$CT55&gt;=BI$41),1,0)</f>
        <v>0</v>
      </c>
      <c r="BJ55" s="33">
        <f>IF(AND($B55&gt;=InputTrianglesCount!$D$8,$CT55&gt;=BJ$41),1,0)</f>
        <v>0</v>
      </c>
      <c r="BK55" s="33">
        <f>IF(AND($B55&gt;=InputTrianglesCount!$D$8,$CT55&gt;=BK$41),1,0)</f>
        <v>0</v>
      </c>
      <c r="BL55" s="33">
        <f>IF(AND($B55&gt;=InputTrianglesCount!$D$8,$CT55&gt;=BL$41),1,0)</f>
        <v>0</v>
      </c>
      <c r="BM55" s="33">
        <f>IF(AND($B55&gt;=InputTrianglesCount!$D$8,$CT55&gt;=BM$41),1,0)</f>
        <v>0</v>
      </c>
      <c r="BN55" s="33">
        <f>IF(AND($B55&gt;=InputTrianglesCount!$D$8,$CT55&gt;=BN$41),1,0)</f>
        <v>0</v>
      </c>
      <c r="BO55" s="33">
        <f>IF(AND($B55&gt;=InputTrianglesCount!$D$8,$CT55&gt;=BO$41),1,0)</f>
        <v>0</v>
      </c>
      <c r="BP55" s="33">
        <f>IF(AND($B55&gt;=InputTrianglesCount!$D$8,$CT55&gt;=BP$41),1,0)</f>
        <v>0</v>
      </c>
      <c r="BQ55" s="33">
        <f>IF(AND($B55&gt;=InputTrianglesCount!$D$8,$CT55&gt;=BQ$41),1,0)</f>
        <v>0</v>
      </c>
      <c r="BR55" s="33">
        <f>IF(AND($B55&gt;=InputTrianglesCount!$D$8,$CT55&gt;=BR$41),1,0)</f>
        <v>0</v>
      </c>
      <c r="BS55" s="33">
        <f>IF(AND($B55&gt;=InputTrianglesCount!$D$8,$CT55&gt;=BS$41),1,0)</f>
        <v>0</v>
      </c>
      <c r="BT55" s="33">
        <f>IF(AND($B55&gt;=InputTrianglesCount!$D$8,$CT55&gt;=BT$41),1,0)</f>
        <v>0</v>
      </c>
      <c r="BU55" s="33">
        <f>IF(AND($B55&gt;=InputTrianglesCount!$D$8,$CT55&gt;=BU$41),1,0)</f>
        <v>0</v>
      </c>
      <c r="BV55" s="33">
        <f>IF(AND($B55&gt;=InputTrianglesCount!$D$8,$CT55&gt;=BV$41),1,0)</f>
        <v>0</v>
      </c>
      <c r="BW55" s="33">
        <f>IF(AND($B55&gt;=InputTrianglesCount!$D$8,$CT55&gt;=BW$41),1,0)</f>
        <v>0</v>
      </c>
      <c r="BX55" s="33">
        <f>IF(AND($B55&gt;=InputTrianglesCount!$D$8,$CT55&gt;=BX$41),1,0)</f>
        <v>0</v>
      </c>
      <c r="BY55" s="33">
        <f>IF(AND($B55&gt;=InputTrianglesCount!$D$8,$CT55&gt;=BY$41),1,0)</f>
        <v>0</v>
      </c>
      <c r="BZ55" s="33">
        <f>IF(AND($B55&gt;=InputTrianglesCount!$D$8,$CT55&gt;=BZ$41),1,0)</f>
        <v>0</v>
      </c>
      <c r="CA55" s="33">
        <f>IF(AND($B55&gt;=InputTrianglesCount!$D$8,$CT55&gt;=CA$41),1,0)</f>
        <v>0</v>
      </c>
      <c r="CB55" s="33">
        <f>IF(AND($B55&gt;=InputTrianglesCount!$D$8,$CT55&gt;=CB$41),1,0)</f>
        <v>0</v>
      </c>
      <c r="CC55" s="33">
        <f>IF(AND($B55&gt;=InputTrianglesCount!$D$8,$CT55&gt;=CC$41),1,0)</f>
        <v>0</v>
      </c>
      <c r="CD55" s="33">
        <f>IF(AND($B55&gt;=InputTrianglesCount!$D$8,$CT55&gt;=CD$41),1,0)</f>
        <v>0</v>
      </c>
      <c r="CE55" s="33">
        <f>IF(AND($B55&gt;=InputTrianglesCount!$D$8,$CT55&gt;=CE$41),1,0)</f>
        <v>0</v>
      </c>
      <c r="CF55" s="33">
        <f>IF(AND($B55&gt;=InputTrianglesCount!$D$8,$CT55&gt;=CF$41),1,0)</f>
        <v>0</v>
      </c>
      <c r="CG55" s="33">
        <f>IF(AND($B55&gt;=InputTrianglesCount!$D$8,$CT55&gt;=CG$41),1,0)</f>
        <v>0</v>
      </c>
      <c r="CH55" s="33">
        <f>IF(AND($B55&gt;=InputTrianglesCount!$D$8,$CT55&gt;=CH$41),1,0)</f>
        <v>0</v>
      </c>
      <c r="CI55" s="33">
        <f>IF(AND($B55&gt;=InputTrianglesCount!$D$8,$CT55&gt;=CI$41),1,0)</f>
        <v>0</v>
      </c>
      <c r="CJ55" s="33">
        <f>IF(AND($B55&gt;=InputTrianglesCount!$D$8,$CT55&gt;=CJ$41),1,0)</f>
        <v>0</v>
      </c>
      <c r="CK55" s="33">
        <f>IF(AND($B55&gt;=InputTrianglesCount!$D$8,$CT55&gt;=CK$41),1,0)</f>
        <v>0</v>
      </c>
      <c r="CL55" s="33">
        <f>IF(AND($B55&gt;=InputTrianglesCount!$D$8,$CT55&gt;=CL$41),1,0)</f>
        <v>0</v>
      </c>
      <c r="CM55" s="33">
        <f>IF(AND($B55&gt;=InputTrianglesCount!$D$8,$CT55&gt;=CM$41),1,0)</f>
        <v>0</v>
      </c>
      <c r="CN55" s="33">
        <f>IF(AND($B55&gt;=InputTrianglesCount!$D$8,$CT55&gt;=CN$41),1,0)</f>
        <v>0</v>
      </c>
      <c r="CO55" s="33">
        <f>IF(AND($B55&gt;=InputTrianglesCount!$D$8,$CT55&gt;=CO$41),1,0)</f>
        <v>0</v>
      </c>
      <c r="CP55" s="33">
        <f>IF(AND($B55&gt;=InputTrianglesCount!$D$8,$CT55&gt;=CP$41),1,0)</f>
        <v>0</v>
      </c>
      <c r="CQ55" s="33">
        <f>IF(AND($B55&gt;=InputTrianglesCount!$D$8,$CT55&gt;=CQ$41),1,0)</f>
        <v>0</v>
      </c>
      <c r="CR55" s="33">
        <f>IF(AND($B55&gt;=InputTrianglesCount!$D$8,$CT55&gt;=CR$41),1,0)</f>
        <v>0</v>
      </c>
      <c r="CS55" s="32">
        <f>IF(AND($B55&gt;=InputTrianglesCount!$D$8,$CT55&gt;=CS$41),1,0)</f>
        <v>0</v>
      </c>
      <c r="CT55" s="31">
        <f>($D$9-InputTrianglesCount!$B55)*InputTrianglesCount!$E$4+$D$6</f>
        <v>11</v>
      </c>
    </row>
    <row r="56" spans="1:98" hidden="1" x14ac:dyDescent="0.25">
      <c r="A56" s="97">
        <v>0</v>
      </c>
      <c r="B56" s="29">
        <f t="shared" si="7"/>
        <v>2010</v>
      </c>
      <c r="C56" s="30">
        <f>IF(AND($B56&gt;=InputTrianglesCount!$D$8,$CT56&gt;=C$41),1,0)</f>
        <v>1</v>
      </c>
      <c r="D56" s="33">
        <f>IF(AND($B56&gt;=InputTrianglesCount!$D$8,$CT56&gt;=D$41),1,0)</f>
        <v>1</v>
      </c>
      <c r="E56" s="33">
        <f>IF(AND($B56&gt;=InputTrianglesCount!$D$8,$CT56&gt;=E$41),1,0)</f>
        <v>1</v>
      </c>
      <c r="F56" s="33">
        <f>IF(AND($B56&gt;=InputTrianglesCount!$D$8,$CT56&gt;=F$41),1,0)</f>
        <v>1</v>
      </c>
      <c r="G56" s="33">
        <f>IF(AND($B56&gt;=InputTrianglesCount!$D$8,$CT56&gt;=G$41),1,0)</f>
        <v>1</v>
      </c>
      <c r="H56" s="33">
        <f>IF(AND($B56&gt;=InputTrianglesCount!$D$8,$CT56&gt;=H$41),1,0)</f>
        <v>1</v>
      </c>
      <c r="I56" s="33">
        <f>IF(AND($B56&gt;=InputTrianglesCount!$D$8,$CT56&gt;=I$41),1,0)</f>
        <v>1</v>
      </c>
      <c r="J56" s="33">
        <f>IF(AND($B56&gt;=InputTrianglesCount!$D$8,$CT56&gt;=J$41),1,0)</f>
        <v>1</v>
      </c>
      <c r="K56" s="33">
        <f>IF(AND($B56&gt;=InputTrianglesCount!$D$8,$CT56&gt;=K$41),1,0)</f>
        <v>1</v>
      </c>
      <c r="L56" s="33">
        <f>IF(AND($B56&gt;=InputTrianglesCount!$D$8,$CT56&gt;=L$41),1,0)</f>
        <v>1</v>
      </c>
      <c r="M56" s="33">
        <f>IF(AND($B56&gt;=InputTrianglesCount!$D$8,$CT56&gt;=M$41),1,0)</f>
        <v>0</v>
      </c>
      <c r="N56" s="33">
        <f>IF(AND($B56&gt;=InputTrianglesCount!$D$8,$CT56&gt;=N$41),1,0)</f>
        <v>0</v>
      </c>
      <c r="O56" s="33">
        <f>IF(AND($B56&gt;=InputTrianglesCount!$D$8,$CT56&gt;=O$41),1,0)</f>
        <v>0</v>
      </c>
      <c r="P56" s="33">
        <f>IF(AND($B56&gt;=InputTrianglesCount!$D$8,$CT56&gt;=P$41),1,0)</f>
        <v>0</v>
      </c>
      <c r="Q56" s="33">
        <f>IF(AND($B56&gt;=InputTrianglesCount!$D$8,$CT56&gt;=Q$41),1,0)</f>
        <v>0</v>
      </c>
      <c r="R56" s="33">
        <f>IF(AND($B56&gt;=InputTrianglesCount!$D$8,$CT56&gt;=R$41),1,0)</f>
        <v>0</v>
      </c>
      <c r="S56" s="33">
        <f>IF(AND($B56&gt;=InputTrianglesCount!$D$8,$CT56&gt;=S$41),1,0)</f>
        <v>0</v>
      </c>
      <c r="T56" s="33">
        <f>IF(AND($B56&gt;=InputTrianglesCount!$D$8,$CT56&gt;=T$41),1,0)</f>
        <v>0</v>
      </c>
      <c r="U56" s="33">
        <f>IF(AND($B56&gt;=InputTrianglesCount!$D$8,$CT56&gt;=U$41),1,0)</f>
        <v>0</v>
      </c>
      <c r="V56" s="33">
        <f>IF(AND($B56&gt;=InputTrianglesCount!$D$8,$CT56&gt;=V$41),1,0)</f>
        <v>0</v>
      </c>
      <c r="W56" s="33">
        <f>IF(AND($B56&gt;=InputTrianglesCount!$D$8,$CT56&gt;=W$41),1,0)</f>
        <v>0</v>
      </c>
      <c r="X56" s="33">
        <f>IF(AND($B56&gt;=InputTrianglesCount!$D$8,$CT56&gt;=X$41),1,0)</f>
        <v>0</v>
      </c>
      <c r="Y56" s="33">
        <f>IF(AND($B56&gt;=InputTrianglesCount!$D$8,$CT56&gt;=Y$41),1,0)</f>
        <v>0</v>
      </c>
      <c r="Z56" s="33">
        <f>IF(AND($B56&gt;=InputTrianglesCount!$D$8,$CT56&gt;=Z$41),1,0)</f>
        <v>0</v>
      </c>
      <c r="AA56" s="33">
        <f>IF(AND($B56&gt;=InputTrianglesCount!$D$8,$CT56&gt;=AA$41),1,0)</f>
        <v>0</v>
      </c>
      <c r="AB56" s="33">
        <f>IF(AND($B56&gt;=InputTrianglesCount!$D$8,$CT56&gt;=AB$41),1,0)</f>
        <v>0</v>
      </c>
      <c r="AC56" s="33">
        <f>IF(AND($B56&gt;=InputTrianglesCount!$D$8,$CT56&gt;=AC$41),1,0)</f>
        <v>0</v>
      </c>
      <c r="AD56" s="33">
        <f>IF(AND($B56&gt;=InputTrianglesCount!$D$8,$CT56&gt;=AD$41),1,0)</f>
        <v>0</v>
      </c>
      <c r="AE56" s="33">
        <f>IF(AND($B56&gt;=InputTrianglesCount!$D$8,$CT56&gt;=AE$41),1,0)</f>
        <v>0</v>
      </c>
      <c r="AF56" s="33">
        <f>IF(AND($B56&gt;=InputTrianglesCount!$D$8,$CT56&gt;=AF$41),1,0)</f>
        <v>0</v>
      </c>
      <c r="AG56" s="33">
        <f>IF(AND($B56&gt;=InputTrianglesCount!$D$8,$CT56&gt;=AG$41),1,0)</f>
        <v>0</v>
      </c>
      <c r="AH56" s="33">
        <f>IF(AND($B56&gt;=InputTrianglesCount!$D$8,$CT56&gt;=AH$41),1,0)</f>
        <v>0</v>
      </c>
      <c r="AI56" s="33">
        <f>IF(AND($B56&gt;=InputTrianglesCount!$D$8,$CT56&gt;=AI$41),1,0)</f>
        <v>0</v>
      </c>
      <c r="AJ56" s="33">
        <f>IF(AND($B56&gt;=InputTrianglesCount!$D$8,$CT56&gt;=AJ$41),1,0)</f>
        <v>0</v>
      </c>
      <c r="AK56" s="33">
        <f>IF(AND($B56&gt;=InputTrianglesCount!$D$8,$CT56&gt;=AK$41),1,0)</f>
        <v>0</v>
      </c>
      <c r="AL56" s="33">
        <f>IF(AND($B56&gt;=InputTrianglesCount!$D$8,$CT56&gt;=AL$41),1,0)</f>
        <v>0</v>
      </c>
      <c r="AM56" s="33">
        <f>IF(AND($B56&gt;=InputTrianglesCount!$D$8,$CT56&gt;=AM$41),1,0)</f>
        <v>0</v>
      </c>
      <c r="AN56" s="33">
        <f>IF(AND($B56&gt;=InputTrianglesCount!$D$8,$CT56&gt;=AN$41),1,0)</f>
        <v>0</v>
      </c>
      <c r="AO56" s="33">
        <f>IF(AND($B56&gt;=InputTrianglesCount!$D$8,$CT56&gt;=AO$41),1,0)</f>
        <v>0</v>
      </c>
      <c r="AP56" s="33">
        <f>IF(AND($B56&gt;=InputTrianglesCount!$D$8,$CT56&gt;=AP$41),1,0)</f>
        <v>0</v>
      </c>
      <c r="AQ56" s="33">
        <f>IF(AND($B56&gt;=InputTrianglesCount!$D$8,$CT56&gt;=AQ$41),1,0)</f>
        <v>0</v>
      </c>
      <c r="AR56" s="33">
        <f>IF(AND($B56&gt;=InputTrianglesCount!$D$8,$CT56&gt;=AR$41),1,0)</f>
        <v>0</v>
      </c>
      <c r="AS56" s="33">
        <f>IF(AND($B56&gt;=InputTrianglesCount!$D$8,$CT56&gt;=AS$41),1,0)</f>
        <v>0</v>
      </c>
      <c r="AT56" s="33">
        <f>IF(AND($B56&gt;=InputTrianglesCount!$D$8,$CT56&gt;=AT$41),1,0)</f>
        <v>0</v>
      </c>
      <c r="AU56" s="33">
        <f>IF(AND($B56&gt;=InputTrianglesCount!$D$8,$CT56&gt;=AU$41),1,0)</f>
        <v>0</v>
      </c>
      <c r="AV56" s="33">
        <f>IF(AND($B56&gt;=InputTrianglesCount!$D$8,$CT56&gt;=AV$41),1,0)</f>
        <v>0</v>
      </c>
      <c r="AW56" s="33">
        <f>IF(AND($B56&gt;=InputTrianglesCount!$D$8,$CT56&gt;=AW$41),1,0)</f>
        <v>0</v>
      </c>
      <c r="AX56" s="33">
        <f>IF(AND($B56&gt;=InputTrianglesCount!$D$8,$CT56&gt;=AX$41),1,0)</f>
        <v>0</v>
      </c>
      <c r="AY56" s="33">
        <f>IF(AND($B56&gt;=InputTrianglesCount!$D$8,$CT56&gt;=AY$41),1,0)</f>
        <v>0</v>
      </c>
      <c r="AZ56" s="33">
        <f>IF(AND($B56&gt;=InputTrianglesCount!$D$8,$CT56&gt;=AZ$41),1,0)</f>
        <v>0</v>
      </c>
      <c r="BA56" s="33">
        <f>IF(AND($B56&gt;=InputTrianglesCount!$D$8,$CT56&gt;=BA$41),1,0)</f>
        <v>0</v>
      </c>
      <c r="BB56" s="33">
        <f>IF(AND($B56&gt;=InputTrianglesCount!$D$8,$CT56&gt;=BB$41),1,0)</f>
        <v>0</v>
      </c>
      <c r="BC56" s="33">
        <f>IF(AND($B56&gt;=InputTrianglesCount!$D$8,$CT56&gt;=BC$41),1,0)</f>
        <v>0</v>
      </c>
      <c r="BD56" s="33">
        <f>IF(AND($B56&gt;=InputTrianglesCount!$D$8,$CT56&gt;=BD$41),1,0)</f>
        <v>0</v>
      </c>
      <c r="BE56" s="33">
        <f>IF(AND($B56&gt;=InputTrianglesCount!$D$8,$CT56&gt;=BE$41),1,0)</f>
        <v>0</v>
      </c>
      <c r="BF56" s="33">
        <f>IF(AND($B56&gt;=InputTrianglesCount!$D$8,$CT56&gt;=BF$41),1,0)</f>
        <v>0</v>
      </c>
      <c r="BG56" s="33">
        <f>IF(AND($B56&gt;=InputTrianglesCount!$D$8,$CT56&gt;=BG$41),1,0)</f>
        <v>0</v>
      </c>
      <c r="BH56" s="33">
        <f>IF(AND($B56&gt;=InputTrianglesCount!$D$8,$CT56&gt;=BH$41),1,0)</f>
        <v>0</v>
      </c>
      <c r="BI56" s="33">
        <f>IF(AND($B56&gt;=InputTrianglesCount!$D$8,$CT56&gt;=BI$41),1,0)</f>
        <v>0</v>
      </c>
      <c r="BJ56" s="33">
        <f>IF(AND($B56&gt;=InputTrianglesCount!$D$8,$CT56&gt;=BJ$41),1,0)</f>
        <v>0</v>
      </c>
      <c r="BK56" s="33">
        <f>IF(AND($B56&gt;=InputTrianglesCount!$D$8,$CT56&gt;=BK$41),1,0)</f>
        <v>0</v>
      </c>
      <c r="BL56" s="33">
        <f>IF(AND($B56&gt;=InputTrianglesCount!$D$8,$CT56&gt;=BL$41),1,0)</f>
        <v>0</v>
      </c>
      <c r="BM56" s="33">
        <f>IF(AND($B56&gt;=InputTrianglesCount!$D$8,$CT56&gt;=BM$41),1,0)</f>
        <v>0</v>
      </c>
      <c r="BN56" s="33">
        <f>IF(AND($B56&gt;=InputTrianglesCount!$D$8,$CT56&gt;=BN$41),1,0)</f>
        <v>0</v>
      </c>
      <c r="BO56" s="33">
        <f>IF(AND($B56&gt;=InputTrianglesCount!$D$8,$CT56&gt;=BO$41),1,0)</f>
        <v>0</v>
      </c>
      <c r="BP56" s="33">
        <f>IF(AND($B56&gt;=InputTrianglesCount!$D$8,$CT56&gt;=BP$41),1,0)</f>
        <v>0</v>
      </c>
      <c r="BQ56" s="33">
        <f>IF(AND($B56&gt;=InputTrianglesCount!$D$8,$CT56&gt;=BQ$41),1,0)</f>
        <v>0</v>
      </c>
      <c r="BR56" s="33">
        <f>IF(AND($B56&gt;=InputTrianglesCount!$D$8,$CT56&gt;=BR$41),1,0)</f>
        <v>0</v>
      </c>
      <c r="BS56" s="33">
        <f>IF(AND($B56&gt;=InputTrianglesCount!$D$8,$CT56&gt;=BS$41),1,0)</f>
        <v>0</v>
      </c>
      <c r="BT56" s="33">
        <f>IF(AND($B56&gt;=InputTrianglesCount!$D$8,$CT56&gt;=BT$41),1,0)</f>
        <v>0</v>
      </c>
      <c r="BU56" s="33">
        <f>IF(AND($B56&gt;=InputTrianglesCount!$D$8,$CT56&gt;=BU$41),1,0)</f>
        <v>0</v>
      </c>
      <c r="BV56" s="33">
        <f>IF(AND($B56&gt;=InputTrianglesCount!$D$8,$CT56&gt;=BV$41),1,0)</f>
        <v>0</v>
      </c>
      <c r="BW56" s="33">
        <f>IF(AND($B56&gt;=InputTrianglesCount!$D$8,$CT56&gt;=BW$41),1,0)</f>
        <v>0</v>
      </c>
      <c r="BX56" s="33">
        <f>IF(AND($B56&gt;=InputTrianglesCount!$D$8,$CT56&gt;=BX$41),1,0)</f>
        <v>0</v>
      </c>
      <c r="BY56" s="33">
        <f>IF(AND($B56&gt;=InputTrianglesCount!$D$8,$CT56&gt;=BY$41),1,0)</f>
        <v>0</v>
      </c>
      <c r="BZ56" s="33">
        <f>IF(AND($B56&gt;=InputTrianglesCount!$D$8,$CT56&gt;=BZ$41),1,0)</f>
        <v>0</v>
      </c>
      <c r="CA56" s="33">
        <f>IF(AND($B56&gt;=InputTrianglesCount!$D$8,$CT56&gt;=CA$41),1,0)</f>
        <v>0</v>
      </c>
      <c r="CB56" s="33">
        <f>IF(AND($B56&gt;=InputTrianglesCount!$D$8,$CT56&gt;=CB$41),1,0)</f>
        <v>0</v>
      </c>
      <c r="CC56" s="33">
        <f>IF(AND($B56&gt;=InputTrianglesCount!$D$8,$CT56&gt;=CC$41),1,0)</f>
        <v>0</v>
      </c>
      <c r="CD56" s="33">
        <f>IF(AND($B56&gt;=InputTrianglesCount!$D$8,$CT56&gt;=CD$41),1,0)</f>
        <v>0</v>
      </c>
      <c r="CE56" s="33">
        <f>IF(AND($B56&gt;=InputTrianglesCount!$D$8,$CT56&gt;=CE$41),1,0)</f>
        <v>0</v>
      </c>
      <c r="CF56" s="33">
        <f>IF(AND($B56&gt;=InputTrianglesCount!$D$8,$CT56&gt;=CF$41),1,0)</f>
        <v>0</v>
      </c>
      <c r="CG56" s="33">
        <f>IF(AND($B56&gt;=InputTrianglesCount!$D$8,$CT56&gt;=CG$41),1,0)</f>
        <v>0</v>
      </c>
      <c r="CH56" s="33">
        <f>IF(AND($B56&gt;=InputTrianglesCount!$D$8,$CT56&gt;=CH$41),1,0)</f>
        <v>0</v>
      </c>
      <c r="CI56" s="33">
        <f>IF(AND($B56&gt;=InputTrianglesCount!$D$8,$CT56&gt;=CI$41),1,0)</f>
        <v>0</v>
      </c>
      <c r="CJ56" s="33">
        <f>IF(AND($B56&gt;=InputTrianglesCount!$D$8,$CT56&gt;=CJ$41),1,0)</f>
        <v>0</v>
      </c>
      <c r="CK56" s="33">
        <f>IF(AND($B56&gt;=InputTrianglesCount!$D$8,$CT56&gt;=CK$41),1,0)</f>
        <v>0</v>
      </c>
      <c r="CL56" s="33">
        <f>IF(AND($B56&gt;=InputTrianglesCount!$D$8,$CT56&gt;=CL$41),1,0)</f>
        <v>0</v>
      </c>
      <c r="CM56" s="33">
        <f>IF(AND($B56&gt;=InputTrianglesCount!$D$8,$CT56&gt;=CM$41),1,0)</f>
        <v>0</v>
      </c>
      <c r="CN56" s="33">
        <f>IF(AND($B56&gt;=InputTrianglesCount!$D$8,$CT56&gt;=CN$41),1,0)</f>
        <v>0</v>
      </c>
      <c r="CO56" s="33">
        <f>IF(AND($B56&gt;=InputTrianglesCount!$D$8,$CT56&gt;=CO$41),1,0)</f>
        <v>0</v>
      </c>
      <c r="CP56" s="33">
        <f>IF(AND($B56&gt;=InputTrianglesCount!$D$8,$CT56&gt;=CP$41),1,0)</f>
        <v>0</v>
      </c>
      <c r="CQ56" s="33">
        <f>IF(AND($B56&gt;=InputTrianglesCount!$D$8,$CT56&gt;=CQ$41),1,0)</f>
        <v>0</v>
      </c>
      <c r="CR56" s="33">
        <f>IF(AND($B56&gt;=InputTrianglesCount!$D$8,$CT56&gt;=CR$41),1,0)</f>
        <v>0</v>
      </c>
      <c r="CS56" s="32">
        <f>IF(AND($B56&gt;=InputTrianglesCount!$D$8,$CT56&gt;=CS$41),1,0)</f>
        <v>0</v>
      </c>
      <c r="CT56" s="31">
        <f>($D$9-InputTrianglesCount!$B56)*InputTrianglesCount!$E$4+$D$6</f>
        <v>10</v>
      </c>
    </row>
    <row r="57" spans="1:98" hidden="1" x14ac:dyDescent="0.25">
      <c r="A57" s="97">
        <v>0</v>
      </c>
      <c r="B57" s="29">
        <f t="shared" si="7"/>
        <v>2011</v>
      </c>
      <c r="C57" s="30">
        <f>IF(AND($B57&gt;=InputTrianglesCount!$D$8,$CT57&gt;=C$41),1,0)</f>
        <v>1</v>
      </c>
      <c r="D57" s="33">
        <f>IF(AND($B57&gt;=InputTrianglesCount!$D$8,$CT57&gt;=D$41),1,0)</f>
        <v>1</v>
      </c>
      <c r="E57" s="33">
        <f>IF(AND($B57&gt;=InputTrianglesCount!$D$8,$CT57&gt;=E$41),1,0)</f>
        <v>1</v>
      </c>
      <c r="F57" s="33">
        <f>IF(AND($B57&gt;=InputTrianglesCount!$D$8,$CT57&gt;=F$41),1,0)</f>
        <v>1</v>
      </c>
      <c r="G57" s="33">
        <f>IF(AND($B57&gt;=InputTrianglesCount!$D$8,$CT57&gt;=G$41),1,0)</f>
        <v>1</v>
      </c>
      <c r="H57" s="33">
        <f>IF(AND($B57&gt;=InputTrianglesCount!$D$8,$CT57&gt;=H$41),1,0)</f>
        <v>1</v>
      </c>
      <c r="I57" s="33">
        <f>IF(AND($B57&gt;=InputTrianglesCount!$D$8,$CT57&gt;=I$41),1,0)</f>
        <v>1</v>
      </c>
      <c r="J57" s="33">
        <f>IF(AND($B57&gt;=InputTrianglesCount!$D$8,$CT57&gt;=J$41),1,0)</f>
        <v>1</v>
      </c>
      <c r="K57" s="33">
        <f>IF(AND($B57&gt;=InputTrianglesCount!$D$8,$CT57&gt;=K$41),1,0)</f>
        <v>1</v>
      </c>
      <c r="L57" s="33">
        <f>IF(AND($B57&gt;=InputTrianglesCount!$D$8,$CT57&gt;=L$41),1,0)</f>
        <v>0</v>
      </c>
      <c r="M57" s="33">
        <f>IF(AND($B57&gt;=InputTrianglesCount!$D$8,$CT57&gt;=M$41),1,0)</f>
        <v>0</v>
      </c>
      <c r="N57" s="33">
        <f>IF(AND($B57&gt;=InputTrianglesCount!$D$8,$CT57&gt;=N$41),1,0)</f>
        <v>0</v>
      </c>
      <c r="O57" s="33">
        <f>IF(AND($B57&gt;=InputTrianglesCount!$D$8,$CT57&gt;=O$41),1,0)</f>
        <v>0</v>
      </c>
      <c r="P57" s="33">
        <f>IF(AND($B57&gt;=InputTrianglesCount!$D$8,$CT57&gt;=P$41),1,0)</f>
        <v>0</v>
      </c>
      <c r="Q57" s="33">
        <f>IF(AND($B57&gt;=InputTrianglesCount!$D$8,$CT57&gt;=Q$41),1,0)</f>
        <v>0</v>
      </c>
      <c r="R57" s="33">
        <f>IF(AND($B57&gt;=InputTrianglesCount!$D$8,$CT57&gt;=R$41),1,0)</f>
        <v>0</v>
      </c>
      <c r="S57" s="33">
        <f>IF(AND($B57&gt;=InputTrianglesCount!$D$8,$CT57&gt;=S$41),1,0)</f>
        <v>0</v>
      </c>
      <c r="T57" s="33">
        <f>IF(AND($B57&gt;=InputTrianglesCount!$D$8,$CT57&gt;=T$41),1,0)</f>
        <v>0</v>
      </c>
      <c r="U57" s="33">
        <f>IF(AND($B57&gt;=InputTrianglesCount!$D$8,$CT57&gt;=U$41),1,0)</f>
        <v>0</v>
      </c>
      <c r="V57" s="33">
        <f>IF(AND($B57&gt;=InputTrianglesCount!$D$8,$CT57&gt;=V$41),1,0)</f>
        <v>0</v>
      </c>
      <c r="W57" s="33">
        <f>IF(AND($B57&gt;=InputTrianglesCount!$D$8,$CT57&gt;=W$41),1,0)</f>
        <v>0</v>
      </c>
      <c r="X57" s="33">
        <f>IF(AND($B57&gt;=InputTrianglesCount!$D$8,$CT57&gt;=X$41),1,0)</f>
        <v>0</v>
      </c>
      <c r="Y57" s="33">
        <f>IF(AND($B57&gt;=InputTrianglesCount!$D$8,$CT57&gt;=Y$41),1,0)</f>
        <v>0</v>
      </c>
      <c r="Z57" s="33">
        <f>IF(AND($B57&gt;=InputTrianglesCount!$D$8,$CT57&gt;=Z$41),1,0)</f>
        <v>0</v>
      </c>
      <c r="AA57" s="33">
        <f>IF(AND($B57&gt;=InputTrianglesCount!$D$8,$CT57&gt;=AA$41),1,0)</f>
        <v>0</v>
      </c>
      <c r="AB57" s="33">
        <f>IF(AND($B57&gt;=InputTrianglesCount!$D$8,$CT57&gt;=AB$41),1,0)</f>
        <v>0</v>
      </c>
      <c r="AC57" s="33">
        <f>IF(AND($B57&gt;=InputTrianglesCount!$D$8,$CT57&gt;=AC$41),1,0)</f>
        <v>0</v>
      </c>
      <c r="AD57" s="33">
        <f>IF(AND($B57&gt;=InputTrianglesCount!$D$8,$CT57&gt;=AD$41),1,0)</f>
        <v>0</v>
      </c>
      <c r="AE57" s="33">
        <f>IF(AND($B57&gt;=InputTrianglesCount!$D$8,$CT57&gt;=AE$41),1,0)</f>
        <v>0</v>
      </c>
      <c r="AF57" s="33">
        <f>IF(AND($B57&gt;=InputTrianglesCount!$D$8,$CT57&gt;=AF$41),1,0)</f>
        <v>0</v>
      </c>
      <c r="AG57" s="33">
        <f>IF(AND($B57&gt;=InputTrianglesCount!$D$8,$CT57&gt;=AG$41),1,0)</f>
        <v>0</v>
      </c>
      <c r="AH57" s="33">
        <f>IF(AND($B57&gt;=InputTrianglesCount!$D$8,$CT57&gt;=AH$41),1,0)</f>
        <v>0</v>
      </c>
      <c r="AI57" s="33">
        <f>IF(AND($B57&gt;=InputTrianglesCount!$D$8,$CT57&gt;=AI$41),1,0)</f>
        <v>0</v>
      </c>
      <c r="AJ57" s="33">
        <f>IF(AND($B57&gt;=InputTrianglesCount!$D$8,$CT57&gt;=AJ$41),1,0)</f>
        <v>0</v>
      </c>
      <c r="AK57" s="33">
        <f>IF(AND($B57&gt;=InputTrianglesCount!$D$8,$CT57&gt;=AK$41),1,0)</f>
        <v>0</v>
      </c>
      <c r="AL57" s="33">
        <f>IF(AND($B57&gt;=InputTrianglesCount!$D$8,$CT57&gt;=AL$41),1,0)</f>
        <v>0</v>
      </c>
      <c r="AM57" s="33">
        <f>IF(AND($B57&gt;=InputTrianglesCount!$D$8,$CT57&gt;=AM$41),1,0)</f>
        <v>0</v>
      </c>
      <c r="AN57" s="33">
        <f>IF(AND($B57&gt;=InputTrianglesCount!$D$8,$CT57&gt;=AN$41),1,0)</f>
        <v>0</v>
      </c>
      <c r="AO57" s="33">
        <f>IF(AND($B57&gt;=InputTrianglesCount!$D$8,$CT57&gt;=AO$41),1,0)</f>
        <v>0</v>
      </c>
      <c r="AP57" s="33">
        <f>IF(AND($B57&gt;=InputTrianglesCount!$D$8,$CT57&gt;=AP$41),1,0)</f>
        <v>0</v>
      </c>
      <c r="AQ57" s="33">
        <f>IF(AND($B57&gt;=InputTrianglesCount!$D$8,$CT57&gt;=AQ$41),1,0)</f>
        <v>0</v>
      </c>
      <c r="AR57" s="33">
        <f>IF(AND($B57&gt;=InputTrianglesCount!$D$8,$CT57&gt;=AR$41),1,0)</f>
        <v>0</v>
      </c>
      <c r="AS57" s="33">
        <f>IF(AND($B57&gt;=InputTrianglesCount!$D$8,$CT57&gt;=AS$41),1,0)</f>
        <v>0</v>
      </c>
      <c r="AT57" s="33">
        <f>IF(AND($B57&gt;=InputTrianglesCount!$D$8,$CT57&gt;=AT$41),1,0)</f>
        <v>0</v>
      </c>
      <c r="AU57" s="33">
        <f>IF(AND($B57&gt;=InputTrianglesCount!$D$8,$CT57&gt;=AU$41),1,0)</f>
        <v>0</v>
      </c>
      <c r="AV57" s="33">
        <f>IF(AND($B57&gt;=InputTrianglesCount!$D$8,$CT57&gt;=AV$41),1,0)</f>
        <v>0</v>
      </c>
      <c r="AW57" s="33">
        <f>IF(AND($B57&gt;=InputTrianglesCount!$D$8,$CT57&gt;=AW$41),1,0)</f>
        <v>0</v>
      </c>
      <c r="AX57" s="33">
        <f>IF(AND($B57&gt;=InputTrianglesCount!$D$8,$CT57&gt;=AX$41),1,0)</f>
        <v>0</v>
      </c>
      <c r="AY57" s="33">
        <f>IF(AND($B57&gt;=InputTrianglesCount!$D$8,$CT57&gt;=AY$41),1,0)</f>
        <v>0</v>
      </c>
      <c r="AZ57" s="33">
        <f>IF(AND($B57&gt;=InputTrianglesCount!$D$8,$CT57&gt;=AZ$41),1,0)</f>
        <v>0</v>
      </c>
      <c r="BA57" s="33">
        <f>IF(AND($B57&gt;=InputTrianglesCount!$D$8,$CT57&gt;=BA$41),1,0)</f>
        <v>0</v>
      </c>
      <c r="BB57" s="33">
        <f>IF(AND($B57&gt;=InputTrianglesCount!$D$8,$CT57&gt;=BB$41),1,0)</f>
        <v>0</v>
      </c>
      <c r="BC57" s="33">
        <f>IF(AND($B57&gt;=InputTrianglesCount!$D$8,$CT57&gt;=BC$41),1,0)</f>
        <v>0</v>
      </c>
      <c r="BD57" s="33">
        <f>IF(AND($B57&gt;=InputTrianglesCount!$D$8,$CT57&gt;=BD$41),1,0)</f>
        <v>0</v>
      </c>
      <c r="BE57" s="33">
        <f>IF(AND($B57&gt;=InputTrianglesCount!$D$8,$CT57&gt;=BE$41),1,0)</f>
        <v>0</v>
      </c>
      <c r="BF57" s="33">
        <f>IF(AND($B57&gt;=InputTrianglesCount!$D$8,$CT57&gt;=BF$41),1,0)</f>
        <v>0</v>
      </c>
      <c r="BG57" s="33">
        <f>IF(AND($B57&gt;=InputTrianglesCount!$D$8,$CT57&gt;=BG$41),1,0)</f>
        <v>0</v>
      </c>
      <c r="BH57" s="33">
        <f>IF(AND($B57&gt;=InputTrianglesCount!$D$8,$CT57&gt;=BH$41),1,0)</f>
        <v>0</v>
      </c>
      <c r="BI57" s="33">
        <f>IF(AND($B57&gt;=InputTrianglesCount!$D$8,$CT57&gt;=BI$41),1,0)</f>
        <v>0</v>
      </c>
      <c r="BJ57" s="33">
        <f>IF(AND($B57&gt;=InputTrianglesCount!$D$8,$CT57&gt;=BJ$41),1,0)</f>
        <v>0</v>
      </c>
      <c r="BK57" s="33">
        <f>IF(AND($B57&gt;=InputTrianglesCount!$D$8,$CT57&gt;=BK$41),1,0)</f>
        <v>0</v>
      </c>
      <c r="BL57" s="33">
        <f>IF(AND($B57&gt;=InputTrianglesCount!$D$8,$CT57&gt;=BL$41),1,0)</f>
        <v>0</v>
      </c>
      <c r="BM57" s="33">
        <f>IF(AND($B57&gt;=InputTrianglesCount!$D$8,$CT57&gt;=BM$41),1,0)</f>
        <v>0</v>
      </c>
      <c r="BN57" s="33">
        <f>IF(AND($B57&gt;=InputTrianglesCount!$D$8,$CT57&gt;=BN$41),1,0)</f>
        <v>0</v>
      </c>
      <c r="BO57" s="33">
        <f>IF(AND($B57&gt;=InputTrianglesCount!$D$8,$CT57&gt;=BO$41),1,0)</f>
        <v>0</v>
      </c>
      <c r="BP57" s="33">
        <f>IF(AND($B57&gt;=InputTrianglesCount!$D$8,$CT57&gt;=BP$41),1,0)</f>
        <v>0</v>
      </c>
      <c r="BQ57" s="33">
        <f>IF(AND($B57&gt;=InputTrianglesCount!$D$8,$CT57&gt;=BQ$41),1,0)</f>
        <v>0</v>
      </c>
      <c r="BR57" s="33">
        <f>IF(AND($B57&gt;=InputTrianglesCount!$D$8,$CT57&gt;=BR$41),1,0)</f>
        <v>0</v>
      </c>
      <c r="BS57" s="33">
        <f>IF(AND($B57&gt;=InputTrianglesCount!$D$8,$CT57&gt;=BS$41),1,0)</f>
        <v>0</v>
      </c>
      <c r="BT57" s="33">
        <f>IF(AND($B57&gt;=InputTrianglesCount!$D$8,$CT57&gt;=BT$41),1,0)</f>
        <v>0</v>
      </c>
      <c r="BU57" s="33">
        <f>IF(AND($B57&gt;=InputTrianglesCount!$D$8,$CT57&gt;=BU$41),1,0)</f>
        <v>0</v>
      </c>
      <c r="BV57" s="33">
        <f>IF(AND($B57&gt;=InputTrianglesCount!$D$8,$CT57&gt;=BV$41),1,0)</f>
        <v>0</v>
      </c>
      <c r="BW57" s="33">
        <f>IF(AND($B57&gt;=InputTrianglesCount!$D$8,$CT57&gt;=BW$41),1,0)</f>
        <v>0</v>
      </c>
      <c r="BX57" s="33">
        <f>IF(AND($B57&gt;=InputTrianglesCount!$D$8,$CT57&gt;=BX$41),1,0)</f>
        <v>0</v>
      </c>
      <c r="BY57" s="33">
        <f>IF(AND($B57&gt;=InputTrianglesCount!$D$8,$CT57&gt;=BY$41),1,0)</f>
        <v>0</v>
      </c>
      <c r="BZ57" s="33">
        <f>IF(AND($B57&gt;=InputTrianglesCount!$D$8,$CT57&gt;=BZ$41),1,0)</f>
        <v>0</v>
      </c>
      <c r="CA57" s="33">
        <f>IF(AND($B57&gt;=InputTrianglesCount!$D$8,$CT57&gt;=CA$41),1,0)</f>
        <v>0</v>
      </c>
      <c r="CB57" s="33">
        <f>IF(AND($B57&gt;=InputTrianglesCount!$D$8,$CT57&gt;=CB$41),1,0)</f>
        <v>0</v>
      </c>
      <c r="CC57" s="33">
        <f>IF(AND($B57&gt;=InputTrianglesCount!$D$8,$CT57&gt;=CC$41),1,0)</f>
        <v>0</v>
      </c>
      <c r="CD57" s="33">
        <f>IF(AND($B57&gt;=InputTrianglesCount!$D$8,$CT57&gt;=CD$41),1,0)</f>
        <v>0</v>
      </c>
      <c r="CE57" s="33">
        <f>IF(AND($B57&gt;=InputTrianglesCount!$D$8,$CT57&gt;=CE$41),1,0)</f>
        <v>0</v>
      </c>
      <c r="CF57" s="33">
        <f>IF(AND($B57&gt;=InputTrianglesCount!$D$8,$CT57&gt;=CF$41),1,0)</f>
        <v>0</v>
      </c>
      <c r="CG57" s="33">
        <f>IF(AND($B57&gt;=InputTrianglesCount!$D$8,$CT57&gt;=CG$41),1,0)</f>
        <v>0</v>
      </c>
      <c r="CH57" s="33">
        <f>IF(AND($B57&gt;=InputTrianglesCount!$D$8,$CT57&gt;=CH$41),1,0)</f>
        <v>0</v>
      </c>
      <c r="CI57" s="33">
        <f>IF(AND($B57&gt;=InputTrianglesCount!$D$8,$CT57&gt;=CI$41),1,0)</f>
        <v>0</v>
      </c>
      <c r="CJ57" s="33">
        <f>IF(AND($B57&gt;=InputTrianglesCount!$D$8,$CT57&gt;=CJ$41),1,0)</f>
        <v>0</v>
      </c>
      <c r="CK57" s="33">
        <f>IF(AND($B57&gt;=InputTrianglesCount!$D$8,$CT57&gt;=CK$41),1,0)</f>
        <v>0</v>
      </c>
      <c r="CL57" s="33">
        <f>IF(AND($B57&gt;=InputTrianglesCount!$D$8,$CT57&gt;=CL$41),1,0)</f>
        <v>0</v>
      </c>
      <c r="CM57" s="33">
        <f>IF(AND($B57&gt;=InputTrianglesCount!$D$8,$CT57&gt;=CM$41),1,0)</f>
        <v>0</v>
      </c>
      <c r="CN57" s="33">
        <f>IF(AND($B57&gt;=InputTrianglesCount!$D$8,$CT57&gt;=CN$41),1,0)</f>
        <v>0</v>
      </c>
      <c r="CO57" s="33">
        <f>IF(AND($B57&gt;=InputTrianglesCount!$D$8,$CT57&gt;=CO$41),1,0)</f>
        <v>0</v>
      </c>
      <c r="CP57" s="33">
        <f>IF(AND($B57&gt;=InputTrianglesCount!$D$8,$CT57&gt;=CP$41),1,0)</f>
        <v>0</v>
      </c>
      <c r="CQ57" s="33">
        <f>IF(AND($B57&gt;=InputTrianglesCount!$D$8,$CT57&gt;=CQ$41),1,0)</f>
        <v>0</v>
      </c>
      <c r="CR57" s="33">
        <f>IF(AND($B57&gt;=InputTrianglesCount!$D$8,$CT57&gt;=CR$41),1,0)</f>
        <v>0</v>
      </c>
      <c r="CS57" s="32">
        <f>IF(AND($B57&gt;=InputTrianglesCount!$D$8,$CT57&gt;=CS$41),1,0)</f>
        <v>0</v>
      </c>
      <c r="CT57" s="31">
        <f>($D$9-InputTrianglesCount!$B57)*InputTrianglesCount!$E$4+$D$6</f>
        <v>9</v>
      </c>
    </row>
    <row r="58" spans="1:98" hidden="1" x14ac:dyDescent="0.25">
      <c r="A58" s="97">
        <v>0</v>
      </c>
      <c r="B58" s="29">
        <f t="shared" si="7"/>
        <v>2012</v>
      </c>
      <c r="C58" s="30">
        <f>IF(AND($B58&gt;=InputTrianglesCount!$D$8,$CT58&gt;=C$41),1,0)</f>
        <v>1</v>
      </c>
      <c r="D58" s="33">
        <f>IF(AND($B58&gt;=InputTrianglesCount!$D$8,$CT58&gt;=D$41),1,0)</f>
        <v>1</v>
      </c>
      <c r="E58" s="33">
        <f>IF(AND($B58&gt;=InputTrianglesCount!$D$8,$CT58&gt;=E$41),1,0)</f>
        <v>1</v>
      </c>
      <c r="F58" s="33">
        <f>IF(AND($B58&gt;=InputTrianglesCount!$D$8,$CT58&gt;=F$41),1,0)</f>
        <v>1</v>
      </c>
      <c r="G58" s="33">
        <f>IF(AND($B58&gt;=InputTrianglesCount!$D$8,$CT58&gt;=G$41),1,0)</f>
        <v>1</v>
      </c>
      <c r="H58" s="33">
        <f>IF(AND($B58&gt;=InputTrianglesCount!$D$8,$CT58&gt;=H$41),1,0)</f>
        <v>1</v>
      </c>
      <c r="I58" s="33">
        <f>IF(AND($B58&gt;=InputTrianglesCount!$D$8,$CT58&gt;=I$41),1,0)</f>
        <v>1</v>
      </c>
      <c r="J58" s="33">
        <f>IF(AND($B58&gt;=InputTrianglesCount!$D$8,$CT58&gt;=J$41),1,0)</f>
        <v>1</v>
      </c>
      <c r="K58" s="33">
        <f>IF(AND($B58&gt;=InputTrianglesCount!$D$8,$CT58&gt;=K$41),1,0)</f>
        <v>0</v>
      </c>
      <c r="L58" s="33">
        <f>IF(AND($B58&gt;=InputTrianglesCount!$D$8,$CT58&gt;=L$41),1,0)</f>
        <v>0</v>
      </c>
      <c r="M58" s="33">
        <f>IF(AND($B58&gt;=InputTrianglesCount!$D$8,$CT58&gt;=M$41),1,0)</f>
        <v>0</v>
      </c>
      <c r="N58" s="33">
        <f>IF(AND($B58&gt;=InputTrianglesCount!$D$8,$CT58&gt;=N$41),1,0)</f>
        <v>0</v>
      </c>
      <c r="O58" s="33">
        <f>IF(AND($B58&gt;=InputTrianglesCount!$D$8,$CT58&gt;=O$41),1,0)</f>
        <v>0</v>
      </c>
      <c r="P58" s="33">
        <f>IF(AND($B58&gt;=InputTrianglesCount!$D$8,$CT58&gt;=P$41),1,0)</f>
        <v>0</v>
      </c>
      <c r="Q58" s="33">
        <f>IF(AND($B58&gt;=InputTrianglesCount!$D$8,$CT58&gt;=Q$41),1,0)</f>
        <v>0</v>
      </c>
      <c r="R58" s="33">
        <f>IF(AND($B58&gt;=InputTrianglesCount!$D$8,$CT58&gt;=R$41),1,0)</f>
        <v>0</v>
      </c>
      <c r="S58" s="33">
        <f>IF(AND($B58&gt;=InputTrianglesCount!$D$8,$CT58&gt;=S$41),1,0)</f>
        <v>0</v>
      </c>
      <c r="T58" s="33">
        <f>IF(AND($B58&gt;=InputTrianglesCount!$D$8,$CT58&gt;=T$41),1,0)</f>
        <v>0</v>
      </c>
      <c r="U58" s="33">
        <f>IF(AND($B58&gt;=InputTrianglesCount!$D$8,$CT58&gt;=U$41),1,0)</f>
        <v>0</v>
      </c>
      <c r="V58" s="33">
        <f>IF(AND($B58&gt;=InputTrianglesCount!$D$8,$CT58&gt;=V$41),1,0)</f>
        <v>0</v>
      </c>
      <c r="W58" s="33">
        <f>IF(AND($B58&gt;=InputTrianglesCount!$D$8,$CT58&gt;=W$41),1,0)</f>
        <v>0</v>
      </c>
      <c r="X58" s="33">
        <f>IF(AND($B58&gt;=InputTrianglesCount!$D$8,$CT58&gt;=X$41),1,0)</f>
        <v>0</v>
      </c>
      <c r="Y58" s="33">
        <f>IF(AND($B58&gt;=InputTrianglesCount!$D$8,$CT58&gt;=Y$41),1,0)</f>
        <v>0</v>
      </c>
      <c r="Z58" s="33">
        <f>IF(AND($B58&gt;=InputTrianglesCount!$D$8,$CT58&gt;=Z$41),1,0)</f>
        <v>0</v>
      </c>
      <c r="AA58" s="33">
        <f>IF(AND($B58&gt;=InputTrianglesCount!$D$8,$CT58&gt;=AA$41),1,0)</f>
        <v>0</v>
      </c>
      <c r="AB58" s="33">
        <f>IF(AND($B58&gt;=InputTrianglesCount!$D$8,$CT58&gt;=AB$41),1,0)</f>
        <v>0</v>
      </c>
      <c r="AC58" s="33">
        <f>IF(AND($B58&gt;=InputTrianglesCount!$D$8,$CT58&gt;=AC$41),1,0)</f>
        <v>0</v>
      </c>
      <c r="AD58" s="33">
        <f>IF(AND($B58&gt;=InputTrianglesCount!$D$8,$CT58&gt;=AD$41),1,0)</f>
        <v>0</v>
      </c>
      <c r="AE58" s="33">
        <f>IF(AND($B58&gt;=InputTrianglesCount!$D$8,$CT58&gt;=AE$41),1,0)</f>
        <v>0</v>
      </c>
      <c r="AF58" s="33">
        <f>IF(AND($B58&gt;=InputTrianglesCount!$D$8,$CT58&gt;=AF$41),1,0)</f>
        <v>0</v>
      </c>
      <c r="AG58" s="33">
        <f>IF(AND($B58&gt;=InputTrianglesCount!$D$8,$CT58&gt;=AG$41),1,0)</f>
        <v>0</v>
      </c>
      <c r="AH58" s="33">
        <f>IF(AND($B58&gt;=InputTrianglesCount!$D$8,$CT58&gt;=AH$41),1,0)</f>
        <v>0</v>
      </c>
      <c r="AI58" s="33">
        <f>IF(AND($B58&gt;=InputTrianglesCount!$D$8,$CT58&gt;=AI$41),1,0)</f>
        <v>0</v>
      </c>
      <c r="AJ58" s="33">
        <f>IF(AND($B58&gt;=InputTrianglesCount!$D$8,$CT58&gt;=AJ$41),1,0)</f>
        <v>0</v>
      </c>
      <c r="AK58" s="33">
        <f>IF(AND($B58&gt;=InputTrianglesCount!$D$8,$CT58&gt;=AK$41),1,0)</f>
        <v>0</v>
      </c>
      <c r="AL58" s="33">
        <f>IF(AND($B58&gt;=InputTrianglesCount!$D$8,$CT58&gt;=AL$41),1,0)</f>
        <v>0</v>
      </c>
      <c r="AM58" s="33">
        <f>IF(AND($B58&gt;=InputTrianglesCount!$D$8,$CT58&gt;=AM$41),1,0)</f>
        <v>0</v>
      </c>
      <c r="AN58" s="33">
        <f>IF(AND($B58&gt;=InputTrianglesCount!$D$8,$CT58&gt;=AN$41),1,0)</f>
        <v>0</v>
      </c>
      <c r="AO58" s="33">
        <f>IF(AND($B58&gt;=InputTrianglesCount!$D$8,$CT58&gt;=AO$41),1,0)</f>
        <v>0</v>
      </c>
      <c r="AP58" s="33">
        <f>IF(AND($B58&gt;=InputTrianglesCount!$D$8,$CT58&gt;=AP$41),1,0)</f>
        <v>0</v>
      </c>
      <c r="AQ58" s="33">
        <f>IF(AND($B58&gt;=InputTrianglesCount!$D$8,$CT58&gt;=AQ$41),1,0)</f>
        <v>0</v>
      </c>
      <c r="AR58" s="33">
        <f>IF(AND($B58&gt;=InputTrianglesCount!$D$8,$CT58&gt;=AR$41),1,0)</f>
        <v>0</v>
      </c>
      <c r="AS58" s="33">
        <f>IF(AND($B58&gt;=InputTrianglesCount!$D$8,$CT58&gt;=AS$41),1,0)</f>
        <v>0</v>
      </c>
      <c r="AT58" s="33">
        <f>IF(AND($B58&gt;=InputTrianglesCount!$D$8,$CT58&gt;=AT$41),1,0)</f>
        <v>0</v>
      </c>
      <c r="AU58" s="33">
        <f>IF(AND($B58&gt;=InputTrianglesCount!$D$8,$CT58&gt;=AU$41),1,0)</f>
        <v>0</v>
      </c>
      <c r="AV58" s="33">
        <f>IF(AND($B58&gt;=InputTrianglesCount!$D$8,$CT58&gt;=AV$41),1,0)</f>
        <v>0</v>
      </c>
      <c r="AW58" s="33">
        <f>IF(AND($B58&gt;=InputTrianglesCount!$D$8,$CT58&gt;=AW$41),1,0)</f>
        <v>0</v>
      </c>
      <c r="AX58" s="33">
        <f>IF(AND($B58&gt;=InputTrianglesCount!$D$8,$CT58&gt;=AX$41),1,0)</f>
        <v>0</v>
      </c>
      <c r="AY58" s="33">
        <f>IF(AND($B58&gt;=InputTrianglesCount!$D$8,$CT58&gt;=AY$41),1,0)</f>
        <v>0</v>
      </c>
      <c r="AZ58" s="33">
        <f>IF(AND($B58&gt;=InputTrianglesCount!$D$8,$CT58&gt;=AZ$41),1,0)</f>
        <v>0</v>
      </c>
      <c r="BA58" s="33">
        <f>IF(AND($B58&gt;=InputTrianglesCount!$D$8,$CT58&gt;=BA$41),1,0)</f>
        <v>0</v>
      </c>
      <c r="BB58" s="33">
        <f>IF(AND($B58&gt;=InputTrianglesCount!$D$8,$CT58&gt;=BB$41),1,0)</f>
        <v>0</v>
      </c>
      <c r="BC58" s="33">
        <f>IF(AND($B58&gt;=InputTrianglesCount!$D$8,$CT58&gt;=BC$41),1,0)</f>
        <v>0</v>
      </c>
      <c r="BD58" s="33">
        <f>IF(AND($B58&gt;=InputTrianglesCount!$D$8,$CT58&gt;=BD$41),1,0)</f>
        <v>0</v>
      </c>
      <c r="BE58" s="33">
        <f>IF(AND($B58&gt;=InputTrianglesCount!$D$8,$CT58&gt;=BE$41),1,0)</f>
        <v>0</v>
      </c>
      <c r="BF58" s="33">
        <f>IF(AND($B58&gt;=InputTrianglesCount!$D$8,$CT58&gt;=BF$41),1,0)</f>
        <v>0</v>
      </c>
      <c r="BG58" s="33">
        <f>IF(AND($B58&gt;=InputTrianglesCount!$D$8,$CT58&gt;=BG$41),1,0)</f>
        <v>0</v>
      </c>
      <c r="BH58" s="33">
        <f>IF(AND($B58&gt;=InputTrianglesCount!$D$8,$CT58&gt;=BH$41),1,0)</f>
        <v>0</v>
      </c>
      <c r="BI58" s="33">
        <f>IF(AND($B58&gt;=InputTrianglesCount!$D$8,$CT58&gt;=BI$41),1,0)</f>
        <v>0</v>
      </c>
      <c r="BJ58" s="33">
        <f>IF(AND($B58&gt;=InputTrianglesCount!$D$8,$CT58&gt;=BJ$41),1,0)</f>
        <v>0</v>
      </c>
      <c r="BK58" s="33">
        <f>IF(AND($B58&gt;=InputTrianglesCount!$D$8,$CT58&gt;=BK$41),1,0)</f>
        <v>0</v>
      </c>
      <c r="BL58" s="33">
        <f>IF(AND($B58&gt;=InputTrianglesCount!$D$8,$CT58&gt;=BL$41),1,0)</f>
        <v>0</v>
      </c>
      <c r="BM58" s="33">
        <f>IF(AND($B58&gt;=InputTrianglesCount!$D$8,$CT58&gt;=BM$41),1,0)</f>
        <v>0</v>
      </c>
      <c r="BN58" s="33">
        <f>IF(AND($B58&gt;=InputTrianglesCount!$D$8,$CT58&gt;=BN$41),1,0)</f>
        <v>0</v>
      </c>
      <c r="BO58" s="33">
        <f>IF(AND($B58&gt;=InputTrianglesCount!$D$8,$CT58&gt;=BO$41),1,0)</f>
        <v>0</v>
      </c>
      <c r="BP58" s="33">
        <f>IF(AND($B58&gt;=InputTrianglesCount!$D$8,$CT58&gt;=BP$41),1,0)</f>
        <v>0</v>
      </c>
      <c r="BQ58" s="33">
        <f>IF(AND($B58&gt;=InputTrianglesCount!$D$8,$CT58&gt;=BQ$41),1,0)</f>
        <v>0</v>
      </c>
      <c r="BR58" s="33">
        <f>IF(AND($B58&gt;=InputTrianglesCount!$D$8,$CT58&gt;=BR$41),1,0)</f>
        <v>0</v>
      </c>
      <c r="BS58" s="33">
        <f>IF(AND($B58&gt;=InputTrianglesCount!$D$8,$CT58&gt;=BS$41),1,0)</f>
        <v>0</v>
      </c>
      <c r="BT58" s="33">
        <f>IF(AND($B58&gt;=InputTrianglesCount!$D$8,$CT58&gt;=BT$41),1,0)</f>
        <v>0</v>
      </c>
      <c r="BU58" s="33">
        <f>IF(AND($B58&gt;=InputTrianglesCount!$D$8,$CT58&gt;=BU$41),1,0)</f>
        <v>0</v>
      </c>
      <c r="BV58" s="33">
        <f>IF(AND($B58&gt;=InputTrianglesCount!$D$8,$CT58&gt;=BV$41),1,0)</f>
        <v>0</v>
      </c>
      <c r="BW58" s="33">
        <f>IF(AND($B58&gt;=InputTrianglesCount!$D$8,$CT58&gt;=BW$41),1,0)</f>
        <v>0</v>
      </c>
      <c r="BX58" s="33">
        <f>IF(AND($B58&gt;=InputTrianglesCount!$D$8,$CT58&gt;=BX$41),1,0)</f>
        <v>0</v>
      </c>
      <c r="BY58" s="33">
        <f>IF(AND($B58&gt;=InputTrianglesCount!$D$8,$CT58&gt;=BY$41),1,0)</f>
        <v>0</v>
      </c>
      <c r="BZ58" s="33">
        <f>IF(AND($B58&gt;=InputTrianglesCount!$D$8,$CT58&gt;=BZ$41),1,0)</f>
        <v>0</v>
      </c>
      <c r="CA58" s="33">
        <f>IF(AND($B58&gt;=InputTrianglesCount!$D$8,$CT58&gt;=CA$41),1,0)</f>
        <v>0</v>
      </c>
      <c r="CB58" s="33">
        <f>IF(AND($B58&gt;=InputTrianglesCount!$D$8,$CT58&gt;=CB$41),1,0)</f>
        <v>0</v>
      </c>
      <c r="CC58" s="33">
        <f>IF(AND($B58&gt;=InputTrianglesCount!$D$8,$CT58&gt;=CC$41),1,0)</f>
        <v>0</v>
      </c>
      <c r="CD58" s="33">
        <f>IF(AND($B58&gt;=InputTrianglesCount!$D$8,$CT58&gt;=CD$41),1,0)</f>
        <v>0</v>
      </c>
      <c r="CE58" s="33">
        <f>IF(AND($B58&gt;=InputTrianglesCount!$D$8,$CT58&gt;=CE$41),1,0)</f>
        <v>0</v>
      </c>
      <c r="CF58" s="33">
        <f>IF(AND($B58&gt;=InputTrianglesCount!$D$8,$CT58&gt;=CF$41),1,0)</f>
        <v>0</v>
      </c>
      <c r="CG58" s="33">
        <f>IF(AND($B58&gt;=InputTrianglesCount!$D$8,$CT58&gt;=CG$41),1,0)</f>
        <v>0</v>
      </c>
      <c r="CH58" s="33">
        <f>IF(AND($B58&gt;=InputTrianglesCount!$D$8,$CT58&gt;=CH$41),1,0)</f>
        <v>0</v>
      </c>
      <c r="CI58" s="33">
        <f>IF(AND($B58&gt;=InputTrianglesCount!$D$8,$CT58&gt;=CI$41),1,0)</f>
        <v>0</v>
      </c>
      <c r="CJ58" s="33">
        <f>IF(AND($B58&gt;=InputTrianglesCount!$D$8,$CT58&gt;=CJ$41),1,0)</f>
        <v>0</v>
      </c>
      <c r="CK58" s="33">
        <f>IF(AND($B58&gt;=InputTrianglesCount!$D$8,$CT58&gt;=CK$41),1,0)</f>
        <v>0</v>
      </c>
      <c r="CL58" s="33">
        <f>IF(AND($B58&gt;=InputTrianglesCount!$D$8,$CT58&gt;=CL$41),1,0)</f>
        <v>0</v>
      </c>
      <c r="CM58" s="33">
        <f>IF(AND($B58&gt;=InputTrianglesCount!$D$8,$CT58&gt;=CM$41),1,0)</f>
        <v>0</v>
      </c>
      <c r="CN58" s="33">
        <f>IF(AND($B58&gt;=InputTrianglesCount!$D$8,$CT58&gt;=CN$41),1,0)</f>
        <v>0</v>
      </c>
      <c r="CO58" s="33">
        <f>IF(AND($B58&gt;=InputTrianglesCount!$D$8,$CT58&gt;=CO$41),1,0)</f>
        <v>0</v>
      </c>
      <c r="CP58" s="33">
        <f>IF(AND($B58&gt;=InputTrianglesCount!$D$8,$CT58&gt;=CP$41),1,0)</f>
        <v>0</v>
      </c>
      <c r="CQ58" s="33">
        <f>IF(AND($B58&gt;=InputTrianglesCount!$D$8,$CT58&gt;=CQ$41),1,0)</f>
        <v>0</v>
      </c>
      <c r="CR58" s="33">
        <f>IF(AND($B58&gt;=InputTrianglesCount!$D$8,$CT58&gt;=CR$41),1,0)</f>
        <v>0</v>
      </c>
      <c r="CS58" s="32">
        <f>IF(AND($B58&gt;=InputTrianglesCount!$D$8,$CT58&gt;=CS$41),1,0)</f>
        <v>0</v>
      </c>
      <c r="CT58" s="31">
        <f>($D$9-InputTrianglesCount!$B58)*InputTrianglesCount!$E$4+$D$6</f>
        <v>8</v>
      </c>
    </row>
    <row r="59" spans="1:98" hidden="1" x14ac:dyDescent="0.25">
      <c r="A59" s="97">
        <v>0</v>
      </c>
      <c r="B59" s="29">
        <f t="shared" si="7"/>
        <v>2013</v>
      </c>
      <c r="C59" s="30">
        <f>IF(AND($B59&gt;=InputTrianglesCount!$D$8,$CT59&gt;=C$41),1,0)</f>
        <v>1</v>
      </c>
      <c r="D59" s="33">
        <f>IF(AND($B59&gt;=InputTrianglesCount!$D$8,$CT59&gt;=D$41),1,0)</f>
        <v>1</v>
      </c>
      <c r="E59" s="33">
        <f>IF(AND($B59&gt;=InputTrianglesCount!$D$8,$CT59&gt;=E$41),1,0)</f>
        <v>1</v>
      </c>
      <c r="F59" s="33">
        <f>IF(AND($B59&gt;=InputTrianglesCount!$D$8,$CT59&gt;=F$41),1,0)</f>
        <v>1</v>
      </c>
      <c r="G59" s="33">
        <f>IF(AND($B59&gt;=InputTrianglesCount!$D$8,$CT59&gt;=G$41),1,0)</f>
        <v>1</v>
      </c>
      <c r="H59" s="33">
        <f>IF(AND($B59&gt;=InputTrianglesCount!$D$8,$CT59&gt;=H$41),1,0)</f>
        <v>1</v>
      </c>
      <c r="I59" s="33">
        <f>IF(AND($B59&gt;=InputTrianglesCount!$D$8,$CT59&gt;=I$41),1,0)</f>
        <v>1</v>
      </c>
      <c r="J59" s="33">
        <f>IF(AND($B59&gt;=InputTrianglesCount!$D$8,$CT59&gt;=J$41),1,0)</f>
        <v>0</v>
      </c>
      <c r="K59" s="33">
        <f>IF(AND($B59&gt;=InputTrianglesCount!$D$8,$CT59&gt;=K$41),1,0)</f>
        <v>0</v>
      </c>
      <c r="L59" s="33">
        <f>IF(AND($B59&gt;=InputTrianglesCount!$D$8,$CT59&gt;=L$41),1,0)</f>
        <v>0</v>
      </c>
      <c r="M59" s="33">
        <f>IF(AND($B59&gt;=InputTrianglesCount!$D$8,$CT59&gt;=M$41),1,0)</f>
        <v>0</v>
      </c>
      <c r="N59" s="33">
        <f>IF(AND($B59&gt;=InputTrianglesCount!$D$8,$CT59&gt;=N$41),1,0)</f>
        <v>0</v>
      </c>
      <c r="O59" s="33">
        <f>IF(AND($B59&gt;=InputTrianglesCount!$D$8,$CT59&gt;=O$41),1,0)</f>
        <v>0</v>
      </c>
      <c r="P59" s="33">
        <f>IF(AND($B59&gt;=InputTrianglesCount!$D$8,$CT59&gt;=P$41),1,0)</f>
        <v>0</v>
      </c>
      <c r="Q59" s="33">
        <f>IF(AND($B59&gt;=InputTrianglesCount!$D$8,$CT59&gt;=Q$41),1,0)</f>
        <v>0</v>
      </c>
      <c r="R59" s="33">
        <f>IF(AND($B59&gt;=InputTrianglesCount!$D$8,$CT59&gt;=R$41),1,0)</f>
        <v>0</v>
      </c>
      <c r="S59" s="33">
        <f>IF(AND($B59&gt;=InputTrianglesCount!$D$8,$CT59&gt;=S$41),1,0)</f>
        <v>0</v>
      </c>
      <c r="T59" s="33">
        <f>IF(AND($B59&gt;=InputTrianglesCount!$D$8,$CT59&gt;=T$41),1,0)</f>
        <v>0</v>
      </c>
      <c r="U59" s="33">
        <f>IF(AND($B59&gt;=InputTrianglesCount!$D$8,$CT59&gt;=U$41),1,0)</f>
        <v>0</v>
      </c>
      <c r="V59" s="33">
        <f>IF(AND($B59&gt;=InputTrianglesCount!$D$8,$CT59&gt;=V$41),1,0)</f>
        <v>0</v>
      </c>
      <c r="W59" s="33">
        <f>IF(AND($B59&gt;=InputTrianglesCount!$D$8,$CT59&gt;=W$41),1,0)</f>
        <v>0</v>
      </c>
      <c r="X59" s="33">
        <f>IF(AND($B59&gt;=InputTrianglesCount!$D$8,$CT59&gt;=X$41),1,0)</f>
        <v>0</v>
      </c>
      <c r="Y59" s="33">
        <f>IF(AND($B59&gt;=InputTrianglesCount!$D$8,$CT59&gt;=Y$41),1,0)</f>
        <v>0</v>
      </c>
      <c r="Z59" s="33">
        <f>IF(AND($B59&gt;=InputTrianglesCount!$D$8,$CT59&gt;=Z$41),1,0)</f>
        <v>0</v>
      </c>
      <c r="AA59" s="33">
        <f>IF(AND($B59&gt;=InputTrianglesCount!$D$8,$CT59&gt;=AA$41),1,0)</f>
        <v>0</v>
      </c>
      <c r="AB59" s="33">
        <f>IF(AND($B59&gt;=InputTrianglesCount!$D$8,$CT59&gt;=AB$41),1,0)</f>
        <v>0</v>
      </c>
      <c r="AC59" s="33">
        <f>IF(AND($B59&gt;=InputTrianglesCount!$D$8,$CT59&gt;=AC$41),1,0)</f>
        <v>0</v>
      </c>
      <c r="AD59" s="33">
        <f>IF(AND($B59&gt;=InputTrianglesCount!$D$8,$CT59&gt;=AD$41),1,0)</f>
        <v>0</v>
      </c>
      <c r="AE59" s="33">
        <f>IF(AND($B59&gt;=InputTrianglesCount!$D$8,$CT59&gt;=AE$41),1,0)</f>
        <v>0</v>
      </c>
      <c r="AF59" s="33">
        <f>IF(AND($B59&gt;=InputTrianglesCount!$D$8,$CT59&gt;=AF$41),1,0)</f>
        <v>0</v>
      </c>
      <c r="AG59" s="33">
        <f>IF(AND($B59&gt;=InputTrianglesCount!$D$8,$CT59&gt;=AG$41),1,0)</f>
        <v>0</v>
      </c>
      <c r="AH59" s="33">
        <f>IF(AND($B59&gt;=InputTrianglesCount!$D$8,$CT59&gt;=AH$41),1,0)</f>
        <v>0</v>
      </c>
      <c r="AI59" s="33">
        <f>IF(AND($B59&gt;=InputTrianglesCount!$D$8,$CT59&gt;=AI$41),1,0)</f>
        <v>0</v>
      </c>
      <c r="AJ59" s="33">
        <f>IF(AND($B59&gt;=InputTrianglesCount!$D$8,$CT59&gt;=AJ$41),1,0)</f>
        <v>0</v>
      </c>
      <c r="AK59" s="33">
        <f>IF(AND($B59&gt;=InputTrianglesCount!$D$8,$CT59&gt;=AK$41),1,0)</f>
        <v>0</v>
      </c>
      <c r="AL59" s="33">
        <f>IF(AND($B59&gt;=InputTrianglesCount!$D$8,$CT59&gt;=AL$41),1,0)</f>
        <v>0</v>
      </c>
      <c r="AM59" s="33">
        <f>IF(AND($B59&gt;=InputTrianglesCount!$D$8,$CT59&gt;=AM$41),1,0)</f>
        <v>0</v>
      </c>
      <c r="AN59" s="33">
        <f>IF(AND($B59&gt;=InputTrianglesCount!$D$8,$CT59&gt;=AN$41),1,0)</f>
        <v>0</v>
      </c>
      <c r="AO59" s="33">
        <f>IF(AND($B59&gt;=InputTrianglesCount!$D$8,$CT59&gt;=AO$41),1,0)</f>
        <v>0</v>
      </c>
      <c r="AP59" s="33">
        <f>IF(AND($B59&gt;=InputTrianglesCount!$D$8,$CT59&gt;=AP$41),1,0)</f>
        <v>0</v>
      </c>
      <c r="AQ59" s="33">
        <f>IF(AND($B59&gt;=InputTrianglesCount!$D$8,$CT59&gt;=AQ$41),1,0)</f>
        <v>0</v>
      </c>
      <c r="AR59" s="33">
        <f>IF(AND($B59&gt;=InputTrianglesCount!$D$8,$CT59&gt;=AR$41),1,0)</f>
        <v>0</v>
      </c>
      <c r="AS59" s="33">
        <f>IF(AND($B59&gt;=InputTrianglesCount!$D$8,$CT59&gt;=AS$41),1,0)</f>
        <v>0</v>
      </c>
      <c r="AT59" s="33">
        <f>IF(AND($B59&gt;=InputTrianglesCount!$D$8,$CT59&gt;=AT$41),1,0)</f>
        <v>0</v>
      </c>
      <c r="AU59" s="33">
        <f>IF(AND($B59&gt;=InputTrianglesCount!$D$8,$CT59&gt;=AU$41),1,0)</f>
        <v>0</v>
      </c>
      <c r="AV59" s="33">
        <f>IF(AND($B59&gt;=InputTrianglesCount!$D$8,$CT59&gt;=AV$41),1,0)</f>
        <v>0</v>
      </c>
      <c r="AW59" s="33">
        <f>IF(AND($B59&gt;=InputTrianglesCount!$D$8,$CT59&gt;=AW$41),1,0)</f>
        <v>0</v>
      </c>
      <c r="AX59" s="33">
        <f>IF(AND($B59&gt;=InputTrianglesCount!$D$8,$CT59&gt;=AX$41),1,0)</f>
        <v>0</v>
      </c>
      <c r="AY59" s="33">
        <f>IF(AND($B59&gt;=InputTrianglesCount!$D$8,$CT59&gt;=AY$41),1,0)</f>
        <v>0</v>
      </c>
      <c r="AZ59" s="33">
        <f>IF(AND($B59&gt;=InputTrianglesCount!$D$8,$CT59&gt;=AZ$41),1,0)</f>
        <v>0</v>
      </c>
      <c r="BA59" s="33">
        <f>IF(AND($B59&gt;=InputTrianglesCount!$D$8,$CT59&gt;=BA$41),1,0)</f>
        <v>0</v>
      </c>
      <c r="BB59" s="33">
        <f>IF(AND($B59&gt;=InputTrianglesCount!$D$8,$CT59&gt;=BB$41),1,0)</f>
        <v>0</v>
      </c>
      <c r="BC59" s="33">
        <f>IF(AND($B59&gt;=InputTrianglesCount!$D$8,$CT59&gt;=BC$41),1,0)</f>
        <v>0</v>
      </c>
      <c r="BD59" s="33">
        <f>IF(AND($B59&gt;=InputTrianglesCount!$D$8,$CT59&gt;=BD$41),1,0)</f>
        <v>0</v>
      </c>
      <c r="BE59" s="33">
        <f>IF(AND($B59&gt;=InputTrianglesCount!$D$8,$CT59&gt;=BE$41),1,0)</f>
        <v>0</v>
      </c>
      <c r="BF59" s="33">
        <f>IF(AND($B59&gt;=InputTrianglesCount!$D$8,$CT59&gt;=BF$41),1,0)</f>
        <v>0</v>
      </c>
      <c r="BG59" s="33">
        <f>IF(AND($B59&gt;=InputTrianglesCount!$D$8,$CT59&gt;=BG$41),1,0)</f>
        <v>0</v>
      </c>
      <c r="BH59" s="33">
        <f>IF(AND($B59&gt;=InputTrianglesCount!$D$8,$CT59&gt;=BH$41),1,0)</f>
        <v>0</v>
      </c>
      <c r="BI59" s="33">
        <f>IF(AND($B59&gt;=InputTrianglesCount!$D$8,$CT59&gt;=BI$41),1,0)</f>
        <v>0</v>
      </c>
      <c r="BJ59" s="33">
        <f>IF(AND($B59&gt;=InputTrianglesCount!$D$8,$CT59&gt;=BJ$41),1,0)</f>
        <v>0</v>
      </c>
      <c r="BK59" s="33">
        <f>IF(AND($B59&gt;=InputTrianglesCount!$D$8,$CT59&gt;=BK$41),1,0)</f>
        <v>0</v>
      </c>
      <c r="BL59" s="33">
        <f>IF(AND($B59&gt;=InputTrianglesCount!$D$8,$CT59&gt;=BL$41),1,0)</f>
        <v>0</v>
      </c>
      <c r="BM59" s="33">
        <f>IF(AND($B59&gt;=InputTrianglesCount!$D$8,$CT59&gt;=BM$41),1,0)</f>
        <v>0</v>
      </c>
      <c r="BN59" s="33">
        <f>IF(AND($B59&gt;=InputTrianglesCount!$D$8,$CT59&gt;=BN$41),1,0)</f>
        <v>0</v>
      </c>
      <c r="BO59" s="33">
        <f>IF(AND($B59&gt;=InputTrianglesCount!$D$8,$CT59&gt;=BO$41),1,0)</f>
        <v>0</v>
      </c>
      <c r="BP59" s="33">
        <f>IF(AND($B59&gt;=InputTrianglesCount!$D$8,$CT59&gt;=BP$41),1,0)</f>
        <v>0</v>
      </c>
      <c r="BQ59" s="33">
        <f>IF(AND($B59&gt;=InputTrianglesCount!$D$8,$CT59&gt;=BQ$41),1,0)</f>
        <v>0</v>
      </c>
      <c r="BR59" s="33">
        <f>IF(AND($B59&gt;=InputTrianglesCount!$D$8,$CT59&gt;=BR$41),1,0)</f>
        <v>0</v>
      </c>
      <c r="BS59" s="33">
        <f>IF(AND($B59&gt;=InputTrianglesCount!$D$8,$CT59&gt;=BS$41),1,0)</f>
        <v>0</v>
      </c>
      <c r="BT59" s="33">
        <f>IF(AND($B59&gt;=InputTrianglesCount!$D$8,$CT59&gt;=BT$41),1,0)</f>
        <v>0</v>
      </c>
      <c r="BU59" s="33">
        <f>IF(AND($B59&gt;=InputTrianglesCount!$D$8,$CT59&gt;=BU$41),1,0)</f>
        <v>0</v>
      </c>
      <c r="BV59" s="33">
        <f>IF(AND($B59&gt;=InputTrianglesCount!$D$8,$CT59&gt;=BV$41),1,0)</f>
        <v>0</v>
      </c>
      <c r="BW59" s="33">
        <f>IF(AND($B59&gt;=InputTrianglesCount!$D$8,$CT59&gt;=BW$41),1,0)</f>
        <v>0</v>
      </c>
      <c r="BX59" s="33">
        <f>IF(AND($B59&gt;=InputTrianglesCount!$D$8,$CT59&gt;=BX$41),1,0)</f>
        <v>0</v>
      </c>
      <c r="BY59" s="33">
        <f>IF(AND($B59&gt;=InputTrianglesCount!$D$8,$CT59&gt;=BY$41),1,0)</f>
        <v>0</v>
      </c>
      <c r="BZ59" s="33">
        <f>IF(AND($B59&gt;=InputTrianglesCount!$D$8,$CT59&gt;=BZ$41),1,0)</f>
        <v>0</v>
      </c>
      <c r="CA59" s="33">
        <f>IF(AND($B59&gt;=InputTrianglesCount!$D$8,$CT59&gt;=CA$41),1,0)</f>
        <v>0</v>
      </c>
      <c r="CB59" s="33">
        <f>IF(AND($B59&gt;=InputTrianglesCount!$D$8,$CT59&gt;=CB$41),1,0)</f>
        <v>0</v>
      </c>
      <c r="CC59" s="33">
        <f>IF(AND($B59&gt;=InputTrianglesCount!$D$8,$CT59&gt;=CC$41),1,0)</f>
        <v>0</v>
      </c>
      <c r="CD59" s="33">
        <f>IF(AND($B59&gt;=InputTrianglesCount!$D$8,$CT59&gt;=CD$41),1,0)</f>
        <v>0</v>
      </c>
      <c r="CE59" s="33">
        <f>IF(AND($B59&gt;=InputTrianglesCount!$D$8,$CT59&gt;=CE$41),1,0)</f>
        <v>0</v>
      </c>
      <c r="CF59" s="33">
        <f>IF(AND($B59&gt;=InputTrianglesCount!$D$8,$CT59&gt;=CF$41),1,0)</f>
        <v>0</v>
      </c>
      <c r="CG59" s="33">
        <f>IF(AND($B59&gt;=InputTrianglesCount!$D$8,$CT59&gt;=CG$41),1,0)</f>
        <v>0</v>
      </c>
      <c r="CH59" s="33">
        <f>IF(AND($B59&gt;=InputTrianglesCount!$D$8,$CT59&gt;=CH$41),1,0)</f>
        <v>0</v>
      </c>
      <c r="CI59" s="33">
        <f>IF(AND($B59&gt;=InputTrianglesCount!$D$8,$CT59&gt;=CI$41),1,0)</f>
        <v>0</v>
      </c>
      <c r="CJ59" s="33">
        <f>IF(AND($B59&gt;=InputTrianglesCount!$D$8,$CT59&gt;=CJ$41),1,0)</f>
        <v>0</v>
      </c>
      <c r="CK59" s="33">
        <f>IF(AND($B59&gt;=InputTrianglesCount!$D$8,$CT59&gt;=CK$41),1,0)</f>
        <v>0</v>
      </c>
      <c r="CL59" s="33">
        <f>IF(AND($B59&gt;=InputTrianglesCount!$D$8,$CT59&gt;=CL$41),1,0)</f>
        <v>0</v>
      </c>
      <c r="CM59" s="33">
        <f>IF(AND($B59&gt;=InputTrianglesCount!$D$8,$CT59&gt;=CM$41),1,0)</f>
        <v>0</v>
      </c>
      <c r="CN59" s="33">
        <f>IF(AND($B59&gt;=InputTrianglesCount!$D$8,$CT59&gt;=CN$41),1,0)</f>
        <v>0</v>
      </c>
      <c r="CO59" s="33">
        <f>IF(AND($B59&gt;=InputTrianglesCount!$D$8,$CT59&gt;=CO$41),1,0)</f>
        <v>0</v>
      </c>
      <c r="CP59" s="33">
        <f>IF(AND($B59&gt;=InputTrianglesCount!$D$8,$CT59&gt;=CP$41),1,0)</f>
        <v>0</v>
      </c>
      <c r="CQ59" s="33">
        <f>IF(AND($B59&gt;=InputTrianglesCount!$D$8,$CT59&gt;=CQ$41),1,0)</f>
        <v>0</v>
      </c>
      <c r="CR59" s="33">
        <f>IF(AND($B59&gt;=InputTrianglesCount!$D$8,$CT59&gt;=CR$41),1,0)</f>
        <v>0</v>
      </c>
      <c r="CS59" s="32">
        <f>IF(AND($B59&gt;=InputTrianglesCount!$D$8,$CT59&gt;=CS$41),1,0)</f>
        <v>0</v>
      </c>
      <c r="CT59" s="31">
        <f>($D$9-InputTrianglesCount!$B59)*InputTrianglesCount!$E$4+$D$6</f>
        <v>7</v>
      </c>
    </row>
    <row r="60" spans="1:98" hidden="1" x14ac:dyDescent="0.25">
      <c r="A60" s="97">
        <v>0</v>
      </c>
      <c r="B60" s="29">
        <f t="shared" si="7"/>
        <v>2014</v>
      </c>
      <c r="C60" s="30">
        <f>IF(AND($B60&gt;=InputTrianglesCount!$D$8,$CT60&gt;=C$41),1,0)</f>
        <v>1</v>
      </c>
      <c r="D60" s="33">
        <f>IF(AND($B60&gt;=InputTrianglesCount!$D$8,$CT60&gt;=D$41),1,0)</f>
        <v>1</v>
      </c>
      <c r="E60" s="33">
        <f>IF(AND($B60&gt;=InputTrianglesCount!$D$8,$CT60&gt;=E$41),1,0)</f>
        <v>1</v>
      </c>
      <c r="F60" s="33">
        <f>IF(AND($B60&gt;=InputTrianglesCount!$D$8,$CT60&gt;=F$41),1,0)</f>
        <v>1</v>
      </c>
      <c r="G60" s="33">
        <f>IF(AND($B60&gt;=InputTrianglesCount!$D$8,$CT60&gt;=G$41),1,0)</f>
        <v>1</v>
      </c>
      <c r="H60" s="33">
        <f>IF(AND($B60&gt;=InputTrianglesCount!$D$8,$CT60&gt;=H$41),1,0)</f>
        <v>1</v>
      </c>
      <c r="I60" s="33">
        <f>IF(AND($B60&gt;=InputTrianglesCount!$D$8,$CT60&gt;=I$41),1,0)</f>
        <v>0</v>
      </c>
      <c r="J60" s="33">
        <f>IF(AND($B60&gt;=InputTrianglesCount!$D$8,$CT60&gt;=J$41),1,0)</f>
        <v>0</v>
      </c>
      <c r="K60" s="33">
        <f>IF(AND($B60&gt;=InputTrianglesCount!$D$8,$CT60&gt;=K$41),1,0)</f>
        <v>0</v>
      </c>
      <c r="L60" s="33">
        <f>IF(AND($B60&gt;=InputTrianglesCount!$D$8,$CT60&gt;=L$41),1,0)</f>
        <v>0</v>
      </c>
      <c r="M60" s="33">
        <f>IF(AND($B60&gt;=InputTrianglesCount!$D$8,$CT60&gt;=M$41),1,0)</f>
        <v>0</v>
      </c>
      <c r="N60" s="33">
        <f>IF(AND($B60&gt;=InputTrianglesCount!$D$8,$CT60&gt;=N$41),1,0)</f>
        <v>0</v>
      </c>
      <c r="O60" s="33">
        <f>IF(AND($B60&gt;=InputTrianglesCount!$D$8,$CT60&gt;=O$41),1,0)</f>
        <v>0</v>
      </c>
      <c r="P60" s="33">
        <f>IF(AND($B60&gt;=InputTrianglesCount!$D$8,$CT60&gt;=P$41),1,0)</f>
        <v>0</v>
      </c>
      <c r="Q60" s="33">
        <f>IF(AND($B60&gt;=InputTrianglesCount!$D$8,$CT60&gt;=Q$41),1,0)</f>
        <v>0</v>
      </c>
      <c r="R60" s="33">
        <f>IF(AND($B60&gt;=InputTrianglesCount!$D$8,$CT60&gt;=R$41),1,0)</f>
        <v>0</v>
      </c>
      <c r="S60" s="33">
        <f>IF(AND($B60&gt;=InputTrianglesCount!$D$8,$CT60&gt;=S$41),1,0)</f>
        <v>0</v>
      </c>
      <c r="T60" s="33">
        <f>IF(AND($B60&gt;=InputTrianglesCount!$D$8,$CT60&gt;=T$41),1,0)</f>
        <v>0</v>
      </c>
      <c r="U60" s="33">
        <f>IF(AND($B60&gt;=InputTrianglesCount!$D$8,$CT60&gt;=U$41),1,0)</f>
        <v>0</v>
      </c>
      <c r="V60" s="33">
        <f>IF(AND($B60&gt;=InputTrianglesCount!$D$8,$CT60&gt;=V$41),1,0)</f>
        <v>0</v>
      </c>
      <c r="W60" s="33">
        <f>IF(AND($B60&gt;=InputTrianglesCount!$D$8,$CT60&gt;=W$41),1,0)</f>
        <v>0</v>
      </c>
      <c r="X60" s="33">
        <f>IF(AND($B60&gt;=InputTrianglesCount!$D$8,$CT60&gt;=X$41),1,0)</f>
        <v>0</v>
      </c>
      <c r="Y60" s="33">
        <f>IF(AND($B60&gt;=InputTrianglesCount!$D$8,$CT60&gt;=Y$41),1,0)</f>
        <v>0</v>
      </c>
      <c r="Z60" s="33">
        <f>IF(AND($B60&gt;=InputTrianglesCount!$D$8,$CT60&gt;=Z$41),1,0)</f>
        <v>0</v>
      </c>
      <c r="AA60" s="33">
        <f>IF(AND($B60&gt;=InputTrianglesCount!$D$8,$CT60&gt;=AA$41),1,0)</f>
        <v>0</v>
      </c>
      <c r="AB60" s="33">
        <f>IF(AND($B60&gt;=InputTrianglesCount!$D$8,$CT60&gt;=AB$41),1,0)</f>
        <v>0</v>
      </c>
      <c r="AC60" s="33">
        <f>IF(AND($B60&gt;=InputTrianglesCount!$D$8,$CT60&gt;=AC$41),1,0)</f>
        <v>0</v>
      </c>
      <c r="AD60" s="33">
        <f>IF(AND($B60&gt;=InputTrianglesCount!$D$8,$CT60&gt;=AD$41),1,0)</f>
        <v>0</v>
      </c>
      <c r="AE60" s="33">
        <f>IF(AND($B60&gt;=InputTrianglesCount!$D$8,$CT60&gt;=AE$41),1,0)</f>
        <v>0</v>
      </c>
      <c r="AF60" s="33">
        <f>IF(AND($B60&gt;=InputTrianglesCount!$D$8,$CT60&gt;=AF$41),1,0)</f>
        <v>0</v>
      </c>
      <c r="AG60" s="33">
        <f>IF(AND($B60&gt;=InputTrianglesCount!$D$8,$CT60&gt;=AG$41),1,0)</f>
        <v>0</v>
      </c>
      <c r="AH60" s="33">
        <f>IF(AND($B60&gt;=InputTrianglesCount!$D$8,$CT60&gt;=AH$41),1,0)</f>
        <v>0</v>
      </c>
      <c r="AI60" s="33">
        <f>IF(AND($B60&gt;=InputTrianglesCount!$D$8,$CT60&gt;=AI$41),1,0)</f>
        <v>0</v>
      </c>
      <c r="AJ60" s="33">
        <f>IF(AND($B60&gt;=InputTrianglesCount!$D$8,$CT60&gt;=AJ$41),1,0)</f>
        <v>0</v>
      </c>
      <c r="AK60" s="33">
        <f>IF(AND($B60&gt;=InputTrianglesCount!$D$8,$CT60&gt;=AK$41),1,0)</f>
        <v>0</v>
      </c>
      <c r="AL60" s="33">
        <f>IF(AND($B60&gt;=InputTrianglesCount!$D$8,$CT60&gt;=AL$41),1,0)</f>
        <v>0</v>
      </c>
      <c r="AM60" s="33">
        <f>IF(AND($B60&gt;=InputTrianglesCount!$D$8,$CT60&gt;=AM$41),1,0)</f>
        <v>0</v>
      </c>
      <c r="AN60" s="33">
        <f>IF(AND($B60&gt;=InputTrianglesCount!$D$8,$CT60&gt;=AN$41),1,0)</f>
        <v>0</v>
      </c>
      <c r="AO60" s="33">
        <f>IF(AND($B60&gt;=InputTrianglesCount!$D$8,$CT60&gt;=AO$41),1,0)</f>
        <v>0</v>
      </c>
      <c r="AP60" s="33">
        <f>IF(AND($B60&gt;=InputTrianglesCount!$D$8,$CT60&gt;=AP$41),1,0)</f>
        <v>0</v>
      </c>
      <c r="AQ60" s="33">
        <f>IF(AND($B60&gt;=InputTrianglesCount!$D$8,$CT60&gt;=AQ$41),1,0)</f>
        <v>0</v>
      </c>
      <c r="AR60" s="33">
        <f>IF(AND($B60&gt;=InputTrianglesCount!$D$8,$CT60&gt;=AR$41),1,0)</f>
        <v>0</v>
      </c>
      <c r="AS60" s="33">
        <f>IF(AND($B60&gt;=InputTrianglesCount!$D$8,$CT60&gt;=AS$41),1,0)</f>
        <v>0</v>
      </c>
      <c r="AT60" s="33">
        <f>IF(AND($B60&gt;=InputTrianglesCount!$D$8,$CT60&gt;=AT$41),1,0)</f>
        <v>0</v>
      </c>
      <c r="AU60" s="33">
        <f>IF(AND($B60&gt;=InputTrianglesCount!$D$8,$CT60&gt;=AU$41),1,0)</f>
        <v>0</v>
      </c>
      <c r="AV60" s="33">
        <f>IF(AND($B60&gt;=InputTrianglesCount!$D$8,$CT60&gt;=AV$41),1,0)</f>
        <v>0</v>
      </c>
      <c r="AW60" s="33">
        <f>IF(AND($B60&gt;=InputTrianglesCount!$D$8,$CT60&gt;=AW$41),1,0)</f>
        <v>0</v>
      </c>
      <c r="AX60" s="33">
        <f>IF(AND($B60&gt;=InputTrianglesCount!$D$8,$CT60&gt;=AX$41),1,0)</f>
        <v>0</v>
      </c>
      <c r="AY60" s="33">
        <f>IF(AND($B60&gt;=InputTrianglesCount!$D$8,$CT60&gt;=AY$41),1,0)</f>
        <v>0</v>
      </c>
      <c r="AZ60" s="33">
        <f>IF(AND($B60&gt;=InputTrianglesCount!$D$8,$CT60&gt;=AZ$41),1,0)</f>
        <v>0</v>
      </c>
      <c r="BA60" s="33">
        <f>IF(AND($B60&gt;=InputTrianglesCount!$D$8,$CT60&gt;=BA$41),1,0)</f>
        <v>0</v>
      </c>
      <c r="BB60" s="33">
        <f>IF(AND($B60&gt;=InputTrianglesCount!$D$8,$CT60&gt;=BB$41),1,0)</f>
        <v>0</v>
      </c>
      <c r="BC60" s="33">
        <f>IF(AND($B60&gt;=InputTrianglesCount!$D$8,$CT60&gt;=BC$41),1,0)</f>
        <v>0</v>
      </c>
      <c r="BD60" s="33">
        <f>IF(AND($B60&gt;=InputTrianglesCount!$D$8,$CT60&gt;=BD$41),1,0)</f>
        <v>0</v>
      </c>
      <c r="BE60" s="33">
        <f>IF(AND($B60&gt;=InputTrianglesCount!$D$8,$CT60&gt;=BE$41),1,0)</f>
        <v>0</v>
      </c>
      <c r="BF60" s="33">
        <f>IF(AND($B60&gt;=InputTrianglesCount!$D$8,$CT60&gt;=BF$41),1,0)</f>
        <v>0</v>
      </c>
      <c r="BG60" s="33">
        <f>IF(AND($B60&gt;=InputTrianglesCount!$D$8,$CT60&gt;=BG$41),1,0)</f>
        <v>0</v>
      </c>
      <c r="BH60" s="33">
        <f>IF(AND($B60&gt;=InputTrianglesCount!$D$8,$CT60&gt;=BH$41),1,0)</f>
        <v>0</v>
      </c>
      <c r="BI60" s="33">
        <f>IF(AND($B60&gt;=InputTrianglesCount!$D$8,$CT60&gt;=BI$41),1,0)</f>
        <v>0</v>
      </c>
      <c r="BJ60" s="33">
        <f>IF(AND($B60&gt;=InputTrianglesCount!$D$8,$CT60&gt;=BJ$41),1,0)</f>
        <v>0</v>
      </c>
      <c r="BK60" s="33">
        <f>IF(AND($B60&gt;=InputTrianglesCount!$D$8,$CT60&gt;=BK$41),1,0)</f>
        <v>0</v>
      </c>
      <c r="BL60" s="33">
        <f>IF(AND($B60&gt;=InputTrianglesCount!$D$8,$CT60&gt;=BL$41),1,0)</f>
        <v>0</v>
      </c>
      <c r="BM60" s="33">
        <f>IF(AND($B60&gt;=InputTrianglesCount!$D$8,$CT60&gt;=BM$41),1,0)</f>
        <v>0</v>
      </c>
      <c r="BN60" s="33">
        <f>IF(AND($B60&gt;=InputTrianglesCount!$D$8,$CT60&gt;=BN$41),1,0)</f>
        <v>0</v>
      </c>
      <c r="BO60" s="33">
        <f>IF(AND($B60&gt;=InputTrianglesCount!$D$8,$CT60&gt;=BO$41),1,0)</f>
        <v>0</v>
      </c>
      <c r="BP60" s="33">
        <f>IF(AND($B60&gt;=InputTrianglesCount!$D$8,$CT60&gt;=BP$41),1,0)</f>
        <v>0</v>
      </c>
      <c r="BQ60" s="33">
        <f>IF(AND($B60&gt;=InputTrianglesCount!$D$8,$CT60&gt;=BQ$41),1,0)</f>
        <v>0</v>
      </c>
      <c r="BR60" s="33">
        <f>IF(AND($B60&gt;=InputTrianglesCount!$D$8,$CT60&gt;=BR$41),1,0)</f>
        <v>0</v>
      </c>
      <c r="BS60" s="33">
        <f>IF(AND($B60&gt;=InputTrianglesCount!$D$8,$CT60&gt;=BS$41),1,0)</f>
        <v>0</v>
      </c>
      <c r="BT60" s="33">
        <f>IF(AND($B60&gt;=InputTrianglesCount!$D$8,$CT60&gt;=BT$41),1,0)</f>
        <v>0</v>
      </c>
      <c r="BU60" s="33">
        <f>IF(AND($B60&gt;=InputTrianglesCount!$D$8,$CT60&gt;=BU$41),1,0)</f>
        <v>0</v>
      </c>
      <c r="BV60" s="33">
        <f>IF(AND($B60&gt;=InputTrianglesCount!$D$8,$CT60&gt;=BV$41),1,0)</f>
        <v>0</v>
      </c>
      <c r="BW60" s="33">
        <f>IF(AND($B60&gt;=InputTrianglesCount!$D$8,$CT60&gt;=BW$41),1,0)</f>
        <v>0</v>
      </c>
      <c r="BX60" s="33">
        <f>IF(AND($B60&gt;=InputTrianglesCount!$D$8,$CT60&gt;=BX$41),1,0)</f>
        <v>0</v>
      </c>
      <c r="BY60" s="33">
        <f>IF(AND($B60&gt;=InputTrianglesCount!$D$8,$CT60&gt;=BY$41),1,0)</f>
        <v>0</v>
      </c>
      <c r="BZ60" s="33">
        <f>IF(AND($B60&gt;=InputTrianglesCount!$D$8,$CT60&gt;=BZ$41),1,0)</f>
        <v>0</v>
      </c>
      <c r="CA60" s="33">
        <f>IF(AND($B60&gt;=InputTrianglesCount!$D$8,$CT60&gt;=CA$41),1,0)</f>
        <v>0</v>
      </c>
      <c r="CB60" s="33">
        <f>IF(AND($B60&gt;=InputTrianglesCount!$D$8,$CT60&gt;=CB$41),1,0)</f>
        <v>0</v>
      </c>
      <c r="CC60" s="33">
        <f>IF(AND($B60&gt;=InputTrianglesCount!$D$8,$CT60&gt;=CC$41),1,0)</f>
        <v>0</v>
      </c>
      <c r="CD60" s="33">
        <f>IF(AND($B60&gt;=InputTrianglesCount!$D$8,$CT60&gt;=CD$41),1,0)</f>
        <v>0</v>
      </c>
      <c r="CE60" s="33">
        <f>IF(AND($B60&gt;=InputTrianglesCount!$D$8,$CT60&gt;=CE$41),1,0)</f>
        <v>0</v>
      </c>
      <c r="CF60" s="33">
        <f>IF(AND($B60&gt;=InputTrianglesCount!$D$8,$CT60&gt;=CF$41),1,0)</f>
        <v>0</v>
      </c>
      <c r="CG60" s="33">
        <f>IF(AND($B60&gt;=InputTrianglesCount!$D$8,$CT60&gt;=CG$41),1,0)</f>
        <v>0</v>
      </c>
      <c r="CH60" s="33">
        <f>IF(AND($B60&gt;=InputTrianglesCount!$D$8,$CT60&gt;=CH$41),1,0)</f>
        <v>0</v>
      </c>
      <c r="CI60" s="33">
        <f>IF(AND($B60&gt;=InputTrianglesCount!$D$8,$CT60&gt;=CI$41),1,0)</f>
        <v>0</v>
      </c>
      <c r="CJ60" s="33">
        <f>IF(AND($B60&gt;=InputTrianglesCount!$D$8,$CT60&gt;=CJ$41),1,0)</f>
        <v>0</v>
      </c>
      <c r="CK60" s="33">
        <f>IF(AND($B60&gt;=InputTrianglesCount!$D$8,$CT60&gt;=CK$41),1,0)</f>
        <v>0</v>
      </c>
      <c r="CL60" s="33">
        <f>IF(AND($B60&gt;=InputTrianglesCount!$D$8,$CT60&gt;=CL$41),1,0)</f>
        <v>0</v>
      </c>
      <c r="CM60" s="33">
        <f>IF(AND($B60&gt;=InputTrianglesCount!$D$8,$CT60&gt;=CM$41),1,0)</f>
        <v>0</v>
      </c>
      <c r="CN60" s="33">
        <f>IF(AND($B60&gt;=InputTrianglesCount!$D$8,$CT60&gt;=CN$41),1,0)</f>
        <v>0</v>
      </c>
      <c r="CO60" s="33">
        <f>IF(AND($B60&gt;=InputTrianglesCount!$D$8,$CT60&gt;=CO$41),1,0)</f>
        <v>0</v>
      </c>
      <c r="CP60" s="33">
        <f>IF(AND($B60&gt;=InputTrianglesCount!$D$8,$CT60&gt;=CP$41),1,0)</f>
        <v>0</v>
      </c>
      <c r="CQ60" s="33">
        <f>IF(AND($B60&gt;=InputTrianglesCount!$D$8,$CT60&gt;=CQ$41),1,0)</f>
        <v>0</v>
      </c>
      <c r="CR60" s="33">
        <f>IF(AND($B60&gt;=InputTrianglesCount!$D$8,$CT60&gt;=CR$41),1,0)</f>
        <v>0</v>
      </c>
      <c r="CS60" s="32">
        <f>IF(AND($B60&gt;=InputTrianglesCount!$D$8,$CT60&gt;=CS$41),1,0)</f>
        <v>0</v>
      </c>
      <c r="CT60" s="31">
        <f>($D$9-InputTrianglesCount!$B60)*InputTrianglesCount!$E$4+$D$6</f>
        <v>6</v>
      </c>
    </row>
    <row r="61" spans="1:98" hidden="1" x14ac:dyDescent="0.25">
      <c r="A61" s="97">
        <v>0</v>
      </c>
      <c r="B61" s="29">
        <f t="shared" si="7"/>
        <v>2015</v>
      </c>
      <c r="C61" s="30">
        <f>IF(AND($B61&gt;=InputTrianglesCount!$D$8,$CT61&gt;=C$41),1,0)</f>
        <v>1</v>
      </c>
      <c r="D61" s="33">
        <f>IF(AND($B61&gt;=InputTrianglesCount!$D$8,$CT61&gt;=D$41),1,0)</f>
        <v>1</v>
      </c>
      <c r="E61" s="33">
        <f>IF(AND($B61&gt;=InputTrianglesCount!$D$8,$CT61&gt;=E$41),1,0)</f>
        <v>1</v>
      </c>
      <c r="F61" s="33">
        <f>IF(AND($B61&gt;=InputTrianglesCount!$D$8,$CT61&gt;=F$41),1,0)</f>
        <v>1</v>
      </c>
      <c r="G61" s="33">
        <f>IF(AND($B61&gt;=InputTrianglesCount!$D$8,$CT61&gt;=G$41),1,0)</f>
        <v>1</v>
      </c>
      <c r="H61" s="33">
        <f>IF(AND($B61&gt;=InputTrianglesCount!$D$8,$CT61&gt;=H$41),1,0)</f>
        <v>0</v>
      </c>
      <c r="I61" s="33">
        <f>IF(AND($B61&gt;=InputTrianglesCount!$D$8,$CT61&gt;=I$41),1,0)</f>
        <v>0</v>
      </c>
      <c r="J61" s="33">
        <f>IF(AND($B61&gt;=InputTrianglesCount!$D$8,$CT61&gt;=J$41),1,0)</f>
        <v>0</v>
      </c>
      <c r="K61" s="33">
        <f>IF(AND($B61&gt;=InputTrianglesCount!$D$8,$CT61&gt;=K$41),1,0)</f>
        <v>0</v>
      </c>
      <c r="L61" s="33">
        <f>IF(AND($B61&gt;=InputTrianglesCount!$D$8,$CT61&gt;=L$41),1,0)</f>
        <v>0</v>
      </c>
      <c r="M61" s="33">
        <f>IF(AND($B61&gt;=InputTrianglesCount!$D$8,$CT61&gt;=M$41),1,0)</f>
        <v>0</v>
      </c>
      <c r="N61" s="33">
        <f>IF(AND($B61&gt;=InputTrianglesCount!$D$8,$CT61&gt;=N$41),1,0)</f>
        <v>0</v>
      </c>
      <c r="O61" s="33">
        <f>IF(AND($B61&gt;=InputTrianglesCount!$D$8,$CT61&gt;=O$41),1,0)</f>
        <v>0</v>
      </c>
      <c r="P61" s="33">
        <f>IF(AND($B61&gt;=InputTrianglesCount!$D$8,$CT61&gt;=P$41),1,0)</f>
        <v>0</v>
      </c>
      <c r="Q61" s="33">
        <f>IF(AND($B61&gt;=InputTrianglesCount!$D$8,$CT61&gt;=Q$41),1,0)</f>
        <v>0</v>
      </c>
      <c r="R61" s="33">
        <f>IF(AND($B61&gt;=InputTrianglesCount!$D$8,$CT61&gt;=R$41),1,0)</f>
        <v>0</v>
      </c>
      <c r="S61" s="33">
        <f>IF(AND($B61&gt;=InputTrianglesCount!$D$8,$CT61&gt;=S$41),1,0)</f>
        <v>0</v>
      </c>
      <c r="T61" s="33">
        <f>IF(AND($B61&gt;=InputTrianglesCount!$D$8,$CT61&gt;=T$41),1,0)</f>
        <v>0</v>
      </c>
      <c r="U61" s="33">
        <f>IF(AND($B61&gt;=InputTrianglesCount!$D$8,$CT61&gt;=U$41),1,0)</f>
        <v>0</v>
      </c>
      <c r="V61" s="33">
        <f>IF(AND($B61&gt;=InputTrianglesCount!$D$8,$CT61&gt;=V$41),1,0)</f>
        <v>0</v>
      </c>
      <c r="W61" s="33">
        <f>IF(AND($B61&gt;=InputTrianglesCount!$D$8,$CT61&gt;=W$41),1,0)</f>
        <v>0</v>
      </c>
      <c r="X61" s="33">
        <f>IF(AND($B61&gt;=InputTrianglesCount!$D$8,$CT61&gt;=X$41),1,0)</f>
        <v>0</v>
      </c>
      <c r="Y61" s="33">
        <f>IF(AND($B61&gt;=InputTrianglesCount!$D$8,$CT61&gt;=Y$41),1,0)</f>
        <v>0</v>
      </c>
      <c r="Z61" s="33">
        <f>IF(AND($B61&gt;=InputTrianglesCount!$D$8,$CT61&gt;=Z$41),1,0)</f>
        <v>0</v>
      </c>
      <c r="AA61" s="33">
        <f>IF(AND($B61&gt;=InputTrianglesCount!$D$8,$CT61&gt;=AA$41),1,0)</f>
        <v>0</v>
      </c>
      <c r="AB61" s="33">
        <f>IF(AND($B61&gt;=InputTrianglesCount!$D$8,$CT61&gt;=AB$41),1,0)</f>
        <v>0</v>
      </c>
      <c r="AC61" s="33">
        <f>IF(AND($B61&gt;=InputTrianglesCount!$D$8,$CT61&gt;=AC$41),1,0)</f>
        <v>0</v>
      </c>
      <c r="AD61" s="33">
        <f>IF(AND($B61&gt;=InputTrianglesCount!$D$8,$CT61&gt;=AD$41),1,0)</f>
        <v>0</v>
      </c>
      <c r="AE61" s="33">
        <f>IF(AND($B61&gt;=InputTrianglesCount!$D$8,$CT61&gt;=AE$41),1,0)</f>
        <v>0</v>
      </c>
      <c r="AF61" s="33">
        <f>IF(AND($B61&gt;=InputTrianglesCount!$D$8,$CT61&gt;=AF$41),1,0)</f>
        <v>0</v>
      </c>
      <c r="AG61" s="33">
        <f>IF(AND($B61&gt;=InputTrianglesCount!$D$8,$CT61&gt;=AG$41),1,0)</f>
        <v>0</v>
      </c>
      <c r="AH61" s="33">
        <f>IF(AND($B61&gt;=InputTrianglesCount!$D$8,$CT61&gt;=AH$41),1,0)</f>
        <v>0</v>
      </c>
      <c r="AI61" s="33">
        <f>IF(AND($B61&gt;=InputTrianglesCount!$D$8,$CT61&gt;=AI$41),1,0)</f>
        <v>0</v>
      </c>
      <c r="AJ61" s="33">
        <f>IF(AND($B61&gt;=InputTrianglesCount!$D$8,$CT61&gt;=AJ$41),1,0)</f>
        <v>0</v>
      </c>
      <c r="AK61" s="33">
        <f>IF(AND($B61&gt;=InputTrianglesCount!$D$8,$CT61&gt;=AK$41),1,0)</f>
        <v>0</v>
      </c>
      <c r="AL61" s="33">
        <f>IF(AND($B61&gt;=InputTrianglesCount!$D$8,$CT61&gt;=AL$41),1,0)</f>
        <v>0</v>
      </c>
      <c r="AM61" s="33">
        <f>IF(AND($B61&gt;=InputTrianglesCount!$D$8,$CT61&gt;=AM$41),1,0)</f>
        <v>0</v>
      </c>
      <c r="AN61" s="33">
        <f>IF(AND($B61&gt;=InputTrianglesCount!$D$8,$CT61&gt;=AN$41),1,0)</f>
        <v>0</v>
      </c>
      <c r="AO61" s="33">
        <f>IF(AND($B61&gt;=InputTrianglesCount!$D$8,$CT61&gt;=AO$41),1,0)</f>
        <v>0</v>
      </c>
      <c r="AP61" s="33">
        <f>IF(AND($B61&gt;=InputTrianglesCount!$D$8,$CT61&gt;=AP$41),1,0)</f>
        <v>0</v>
      </c>
      <c r="AQ61" s="33">
        <f>IF(AND($B61&gt;=InputTrianglesCount!$D$8,$CT61&gt;=AQ$41),1,0)</f>
        <v>0</v>
      </c>
      <c r="AR61" s="33">
        <f>IF(AND($B61&gt;=InputTrianglesCount!$D$8,$CT61&gt;=AR$41),1,0)</f>
        <v>0</v>
      </c>
      <c r="AS61" s="33">
        <f>IF(AND($B61&gt;=InputTrianglesCount!$D$8,$CT61&gt;=AS$41),1,0)</f>
        <v>0</v>
      </c>
      <c r="AT61" s="33">
        <f>IF(AND($B61&gt;=InputTrianglesCount!$D$8,$CT61&gt;=AT$41),1,0)</f>
        <v>0</v>
      </c>
      <c r="AU61" s="33">
        <f>IF(AND($B61&gt;=InputTrianglesCount!$D$8,$CT61&gt;=AU$41),1,0)</f>
        <v>0</v>
      </c>
      <c r="AV61" s="33">
        <f>IF(AND($B61&gt;=InputTrianglesCount!$D$8,$CT61&gt;=AV$41),1,0)</f>
        <v>0</v>
      </c>
      <c r="AW61" s="33">
        <f>IF(AND($B61&gt;=InputTrianglesCount!$D$8,$CT61&gt;=AW$41),1,0)</f>
        <v>0</v>
      </c>
      <c r="AX61" s="33">
        <f>IF(AND($B61&gt;=InputTrianglesCount!$D$8,$CT61&gt;=AX$41),1,0)</f>
        <v>0</v>
      </c>
      <c r="AY61" s="33">
        <f>IF(AND($B61&gt;=InputTrianglesCount!$D$8,$CT61&gt;=AY$41),1,0)</f>
        <v>0</v>
      </c>
      <c r="AZ61" s="33">
        <f>IF(AND($B61&gt;=InputTrianglesCount!$D$8,$CT61&gt;=AZ$41),1,0)</f>
        <v>0</v>
      </c>
      <c r="BA61" s="33">
        <f>IF(AND($B61&gt;=InputTrianglesCount!$D$8,$CT61&gt;=BA$41),1,0)</f>
        <v>0</v>
      </c>
      <c r="BB61" s="33">
        <f>IF(AND($B61&gt;=InputTrianglesCount!$D$8,$CT61&gt;=BB$41),1,0)</f>
        <v>0</v>
      </c>
      <c r="BC61" s="33">
        <f>IF(AND($B61&gt;=InputTrianglesCount!$D$8,$CT61&gt;=BC$41),1,0)</f>
        <v>0</v>
      </c>
      <c r="BD61" s="33">
        <f>IF(AND($B61&gt;=InputTrianglesCount!$D$8,$CT61&gt;=BD$41),1,0)</f>
        <v>0</v>
      </c>
      <c r="BE61" s="33">
        <f>IF(AND($B61&gt;=InputTrianglesCount!$D$8,$CT61&gt;=BE$41),1,0)</f>
        <v>0</v>
      </c>
      <c r="BF61" s="33">
        <f>IF(AND($B61&gt;=InputTrianglesCount!$D$8,$CT61&gt;=BF$41),1,0)</f>
        <v>0</v>
      </c>
      <c r="BG61" s="33">
        <f>IF(AND($B61&gt;=InputTrianglesCount!$D$8,$CT61&gt;=BG$41),1,0)</f>
        <v>0</v>
      </c>
      <c r="BH61" s="33">
        <f>IF(AND($B61&gt;=InputTrianglesCount!$D$8,$CT61&gt;=BH$41),1,0)</f>
        <v>0</v>
      </c>
      <c r="BI61" s="33">
        <f>IF(AND($B61&gt;=InputTrianglesCount!$D$8,$CT61&gt;=BI$41),1,0)</f>
        <v>0</v>
      </c>
      <c r="BJ61" s="33">
        <f>IF(AND($B61&gt;=InputTrianglesCount!$D$8,$CT61&gt;=BJ$41),1,0)</f>
        <v>0</v>
      </c>
      <c r="BK61" s="33">
        <f>IF(AND($B61&gt;=InputTrianglesCount!$D$8,$CT61&gt;=BK$41),1,0)</f>
        <v>0</v>
      </c>
      <c r="BL61" s="33">
        <f>IF(AND($B61&gt;=InputTrianglesCount!$D$8,$CT61&gt;=BL$41),1,0)</f>
        <v>0</v>
      </c>
      <c r="BM61" s="33">
        <f>IF(AND($B61&gt;=InputTrianglesCount!$D$8,$CT61&gt;=BM$41),1,0)</f>
        <v>0</v>
      </c>
      <c r="BN61" s="33">
        <f>IF(AND($B61&gt;=InputTrianglesCount!$D$8,$CT61&gt;=BN$41),1,0)</f>
        <v>0</v>
      </c>
      <c r="BO61" s="33">
        <f>IF(AND($B61&gt;=InputTrianglesCount!$D$8,$CT61&gt;=BO$41),1,0)</f>
        <v>0</v>
      </c>
      <c r="BP61" s="33">
        <f>IF(AND($B61&gt;=InputTrianglesCount!$D$8,$CT61&gt;=BP$41),1,0)</f>
        <v>0</v>
      </c>
      <c r="BQ61" s="33">
        <f>IF(AND($B61&gt;=InputTrianglesCount!$D$8,$CT61&gt;=BQ$41),1,0)</f>
        <v>0</v>
      </c>
      <c r="BR61" s="33">
        <f>IF(AND($B61&gt;=InputTrianglesCount!$D$8,$CT61&gt;=BR$41),1,0)</f>
        <v>0</v>
      </c>
      <c r="BS61" s="33">
        <f>IF(AND($B61&gt;=InputTrianglesCount!$D$8,$CT61&gt;=BS$41),1,0)</f>
        <v>0</v>
      </c>
      <c r="BT61" s="33">
        <f>IF(AND($B61&gt;=InputTrianglesCount!$D$8,$CT61&gt;=BT$41),1,0)</f>
        <v>0</v>
      </c>
      <c r="BU61" s="33">
        <f>IF(AND($B61&gt;=InputTrianglesCount!$D$8,$CT61&gt;=BU$41),1,0)</f>
        <v>0</v>
      </c>
      <c r="BV61" s="33">
        <f>IF(AND($B61&gt;=InputTrianglesCount!$D$8,$CT61&gt;=BV$41),1,0)</f>
        <v>0</v>
      </c>
      <c r="BW61" s="33">
        <f>IF(AND($B61&gt;=InputTrianglesCount!$D$8,$CT61&gt;=BW$41),1,0)</f>
        <v>0</v>
      </c>
      <c r="BX61" s="33">
        <f>IF(AND($B61&gt;=InputTrianglesCount!$D$8,$CT61&gt;=BX$41),1,0)</f>
        <v>0</v>
      </c>
      <c r="BY61" s="33">
        <f>IF(AND($B61&gt;=InputTrianglesCount!$D$8,$CT61&gt;=BY$41),1,0)</f>
        <v>0</v>
      </c>
      <c r="BZ61" s="33">
        <f>IF(AND($B61&gt;=InputTrianglesCount!$D$8,$CT61&gt;=BZ$41),1,0)</f>
        <v>0</v>
      </c>
      <c r="CA61" s="33">
        <f>IF(AND($B61&gt;=InputTrianglesCount!$D$8,$CT61&gt;=CA$41),1,0)</f>
        <v>0</v>
      </c>
      <c r="CB61" s="33">
        <f>IF(AND($B61&gt;=InputTrianglesCount!$D$8,$CT61&gt;=CB$41),1,0)</f>
        <v>0</v>
      </c>
      <c r="CC61" s="33">
        <f>IF(AND($B61&gt;=InputTrianglesCount!$D$8,$CT61&gt;=CC$41),1,0)</f>
        <v>0</v>
      </c>
      <c r="CD61" s="33">
        <f>IF(AND($B61&gt;=InputTrianglesCount!$D$8,$CT61&gt;=CD$41),1,0)</f>
        <v>0</v>
      </c>
      <c r="CE61" s="33">
        <f>IF(AND($B61&gt;=InputTrianglesCount!$D$8,$CT61&gt;=CE$41),1,0)</f>
        <v>0</v>
      </c>
      <c r="CF61" s="33">
        <f>IF(AND($B61&gt;=InputTrianglesCount!$D$8,$CT61&gt;=CF$41),1,0)</f>
        <v>0</v>
      </c>
      <c r="CG61" s="33">
        <f>IF(AND($B61&gt;=InputTrianglesCount!$D$8,$CT61&gt;=CG$41),1,0)</f>
        <v>0</v>
      </c>
      <c r="CH61" s="33">
        <f>IF(AND($B61&gt;=InputTrianglesCount!$D$8,$CT61&gt;=CH$41),1,0)</f>
        <v>0</v>
      </c>
      <c r="CI61" s="33">
        <f>IF(AND($B61&gt;=InputTrianglesCount!$D$8,$CT61&gt;=CI$41),1,0)</f>
        <v>0</v>
      </c>
      <c r="CJ61" s="33">
        <f>IF(AND($B61&gt;=InputTrianglesCount!$D$8,$CT61&gt;=CJ$41),1,0)</f>
        <v>0</v>
      </c>
      <c r="CK61" s="33">
        <f>IF(AND($B61&gt;=InputTrianglesCount!$D$8,$CT61&gt;=CK$41),1,0)</f>
        <v>0</v>
      </c>
      <c r="CL61" s="33">
        <f>IF(AND($B61&gt;=InputTrianglesCount!$D$8,$CT61&gt;=CL$41),1,0)</f>
        <v>0</v>
      </c>
      <c r="CM61" s="33">
        <f>IF(AND($B61&gt;=InputTrianglesCount!$D$8,$CT61&gt;=CM$41),1,0)</f>
        <v>0</v>
      </c>
      <c r="CN61" s="33">
        <f>IF(AND($B61&gt;=InputTrianglesCount!$D$8,$CT61&gt;=CN$41),1,0)</f>
        <v>0</v>
      </c>
      <c r="CO61" s="33">
        <f>IF(AND($B61&gt;=InputTrianglesCount!$D$8,$CT61&gt;=CO$41),1,0)</f>
        <v>0</v>
      </c>
      <c r="CP61" s="33">
        <f>IF(AND($B61&gt;=InputTrianglesCount!$D$8,$CT61&gt;=CP$41),1,0)</f>
        <v>0</v>
      </c>
      <c r="CQ61" s="33">
        <f>IF(AND($B61&gt;=InputTrianglesCount!$D$8,$CT61&gt;=CQ$41),1,0)</f>
        <v>0</v>
      </c>
      <c r="CR61" s="33">
        <f>IF(AND($B61&gt;=InputTrianglesCount!$D$8,$CT61&gt;=CR$41),1,0)</f>
        <v>0</v>
      </c>
      <c r="CS61" s="32">
        <f>IF(AND($B61&gt;=InputTrianglesCount!$D$8,$CT61&gt;=CS$41),1,0)</f>
        <v>0</v>
      </c>
      <c r="CT61" s="31">
        <f>($D$9-InputTrianglesCount!$B61)*InputTrianglesCount!$E$4+$D$6</f>
        <v>5</v>
      </c>
    </row>
    <row r="62" spans="1:98" hidden="1" x14ac:dyDescent="0.25">
      <c r="A62" s="97">
        <v>0</v>
      </c>
      <c r="B62" s="29">
        <f t="shared" si="7"/>
        <v>2016</v>
      </c>
      <c r="C62" s="30">
        <f>IF(AND($B62&gt;=InputTrianglesCount!$D$8,$CT62&gt;=C$41),1,0)</f>
        <v>1</v>
      </c>
      <c r="D62" s="33">
        <f>IF(AND($B62&gt;=InputTrianglesCount!$D$8,$CT62&gt;=D$41),1,0)</f>
        <v>1</v>
      </c>
      <c r="E62" s="33">
        <f>IF(AND($B62&gt;=InputTrianglesCount!$D$8,$CT62&gt;=E$41),1,0)</f>
        <v>1</v>
      </c>
      <c r="F62" s="33">
        <f>IF(AND($B62&gt;=InputTrianglesCount!$D$8,$CT62&gt;=F$41),1,0)</f>
        <v>1</v>
      </c>
      <c r="G62" s="33">
        <f>IF(AND($B62&gt;=InputTrianglesCount!$D$8,$CT62&gt;=G$41),1,0)</f>
        <v>0</v>
      </c>
      <c r="H62" s="33">
        <f>IF(AND($B62&gt;=InputTrianglesCount!$D$8,$CT62&gt;=H$41),1,0)</f>
        <v>0</v>
      </c>
      <c r="I62" s="33">
        <f>IF(AND($B62&gt;=InputTrianglesCount!$D$8,$CT62&gt;=I$41),1,0)</f>
        <v>0</v>
      </c>
      <c r="J62" s="33">
        <f>IF(AND($B62&gt;=InputTrianglesCount!$D$8,$CT62&gt;=J$41),1,0)</f>
        <v>0</v>
      </c>
      <c r="K62" s="33">
        <f>IF(AND($B62&gt;=InputTrianglesCount!$D$8,$CT62&gt;=K$41),1,0)</f>
        <v>0</v>
      </c>
      <c r="L62" s="33">
        <f>IF(AND($B62&gt;=InputTrianglesCount!$D$8,$CT62&gt;=L$41),1,0)</f>
        <v>0</v>
      </c>
      <c r="M62" s="33">
        <f>IF(AND($B62&gt;=InputTrianglesCount!$D$8,$CT62&gt;=M$41),1,0)</f>
        <v>0</v>
      </c>
      <c r="N62" s="33">
        <f>IF(AND($B62&gt;=InputTrianglesCount!$D$8,$CT62&gt;=N$41),1,0)</f>
        <v>0</v>
      </c>
      <c r="O62" s="33">
        <f>IF(AND($B62&gt;=InputTrianglesCount!$D$8,$CT62&gt;=O$41),1,0)</f>
        <v>0</v>
      </c>
      <c r="P62" s="33">
        <f>IF(AND($B62&gt;=InputTrianglesCount!$D$8,$CT62&gt;=P$41),1,0)</f>
        <v>0</v>
      </c>
      <c r="Q62" s="33">
        <f>IF(AND($B62&gt;=InputTrianglesCount!$D$8,$CT62&gt;=Q$41),1,0)</f>
        <v>0</v>
      </c>
      <c r="R62" s="33">
        <f>IF(AND($B62&gt;=InputTrianglesCount!$D$8,$CT62&gt;=R$41),1,0)</f>
        <v>0</v>
      </c>
      <c r="S62" s="33">
        <f>IF(AND($B62&gt;=InputTrianglesCount!$D$8,$CT62&gt;=S$41),1,0)</f>
        <v>0</v>
      </c>
      <c r="T62" s="33">
        <f>IF(AND($B62&gt;=InputTrianglesCount!$D$8,$CT62&gt;=T$41),1,0)</f>
        <v>0</v>
      </c>
      <c r="U62" s="33">
        <f>IF(AND($B62&gt;=InputTrianglesCount!$D$8,$CT62&gt;=U$41),1,0)</f>
        <v>0</v>
      </c>
      <c r="V62" s="33">
        <f>IF(AND($B62&gt;=InputTrianglesCount!$D$8,$CT62&gt;=V$41),1,0)</f>
        <v>0</v>
      </c>
      <c r="W62" s="33">
        <f>IF(AND($B62&gt;=InputTrianglesCount!$D$8,$CT62&gt;=W$41),1,0)</f>
        <v>0</v>
      </c>
      <c r="X62" s="33">
        <f>IF(AND($B62&gt;=InputTrianglesCount!$D$8,$CT62&gt;=X$41),1,0)</f>
        <v>0</v>
      </c>
      <c r="Y62" s="33">
        <f>IF(AND($B62&gt;=InputTrianglesCount!$D$8,$CT62&gt;=Y$41),1,0)</f>
        <v>0</v>
      </c>
      <c r="Z62" s="33">
        <f>IF(AND($B62&gt;=InputTrianglesCount!$D$8,$CT62&gt;=Z$41),1,0)</f>
        <v>0</v>
      </c>
      <c r="AA62" s="33">
        <f>IF(AND($B62&gt;=InputTrianglesCount!$D$8,$CT62&gt;=AA$41),1,0)</f>
        <v>0</v>
      </c>
      <c r="AB62" s="33">
        <f>IF(AND($B62&gt;=InputTrianglesCount!$D$8,$CT62&gt;=AB$41),1,0)</f>
        <v>0</v>
      </c>
      <c r="AC62" s="33">
        <f>IF(AND($B62&gt;=InputTrianglesCount!$D$8,$CT62&gt;=AC$41),1,0)</f>
        <v>0</v>
      </c>
      <c r="AD62" s="33">
        <f>IF(AND($B62&gt;=InputTrianglesCount!$D$8,$CT62&gt;=AD$41),1,0)</f>
        <v>0</v>
      </c>
      <c r="AE62" s="33">
        <f>IF(AND($B62&gt;=InputTrianglesCount!$D$8,$CT62&gt;=AE$41),1,0)</f>
        <v>0</v>
      </c>
      <c r="AF62" s="33">
        <f>IF(AND($B62&gt;=InputTrianglesCount!$D$8,$CT62&gt;=AF$41),1,0)</f>
        <v>0</v>
      </c>
      <c r="AG62" s="33">
        <f>IF(AND($B62&gt;=InputTrianglesCount!$D$8,$CT62&gt;=AG$41),1,0)</f>
        <v>0</v>
      </c>
      <c r="AH62" s="33">
        <f>IF(AND($B62&gt;=InputTrianglesCount!$D$8,$CT62&gt;=AH$41),1,0)</f>
        <v>0</v>
      </c>
      <c r="AI62" s="33">
        <f>IF(AND($B62&gt;=InputTrianglesCount!$D$8,$CT62&gt;=AI$41),1,0)</f>
        <v>0</v>
      </c>
      <c r="AJ62" s="33">
        <f>IF(AND($B62&gt;=InputTrianglesCount!$D$8,$CT62&gt;=AJ$41),1,0)</f>
        <v>0</v>
      </c>
      <c r="AK62" s="33">
        <f>IF(AND($B62&gt;=InputTrianglesCount!$D$8,$CT62&gt;=AK$41),1,0)</f>
        <v>0</v>
      </c>
      <c r="AL62" s="33">
        <f>IF(AND($B62&gt;=InputTrianglesCount!$D$8,$CT62&gt;=AL$41),1,0)</f>
        <v>0</v>
      </c>
      <c r="AM62" s="33">
        <f>IF(AND($B62&gt;=InputTrianglesCount!$D$8,$CT62&gt;=AM$41),1,0)</f>
        <v>0</v>
      </c>
      <c r="AN62" s="33">
        <f>IF(AND($B62&gt;=InputTrianglesCount!$D$8,$CT62&gt;=AN$41),1,0)</f>
        <v>0</v>
      </c>
      <c r="AO62" s="33">
        <f>IF(AND($B62&gt;=InputTrianglesCount!$D$8,$CT62&gt;=AO$41),1,0)</f>
        <v>0</v>
      </c>
      <c r="AP62" s="33">
        <f>IF(AND($B62&gt;=InputTrianglesCount!$D$8,$CT62&gt;=AP$41),1,0)</f>
        <v>0</v>
      </c>
      <c r="AQ62" s="33">
        <f>IF(AND($B62&gt;=InputTrianglesCount!$D$8,$CT62&gt;=AQ$41),1,0)</f>
        <v>0</v>
      </c>
      <c r="AR62" s="33">
        <f>IF(AND($B62&gt;=InputTrianglesCount!$D$8,$CT62&gt;=AR$41),1,0)</f>
        <v>0</v>
      </c>
      <c r="AS62" s="33">
        <f>IF(AND($B62&gt;=InputTrianglesCount!$D$8,$CT62&gt;=AS$41),1,0)</f>
        <v>0</v>
      </c>
      <c r="AT62" s="33">
        <f>IF(AND($B62&gt;=InputTrianglesCount!$D$8,$CT62&gt;=AT$41),1,0)</f>
        <v>0</v>
      </c>
      <c r="AU62" s="33">
        <f>IF(AND($B62&gt;=InputTrianglesCount!$D$8,$CT62&gt;=AU$41),1,0)</f>
        <v>0</v>
      </c>
      <c r="AV62" s="33">
        <f>IF(AND($B62&gt;=InputTrianglesCount!$D$8,$CT62&gt;=AV$41),1,0)</f>
        <v>0</v>
      </c>
      <c r="AW62" s="33">
        <f>IF(AND($B62&gt;=InputTrianglesCount!$D$8,$CT62&gt;=AW$41),1,0)</f>
        <v>0</v>
      </c>
      <c r="AX62" s="33">
        <f>IF(AND($B62&gt;=InputTrianglesCount!$D$8,$CT62&gt;=AX$41),1,0)</f>
        <v>0</v>
      </c>
      <c r="AY62" s="33">
        <f>IF(AND($B62&gt;=InputTrianglesCount!$D$8,$CT62&gt;=AY$41),1,0)</f>
        <v>0</v>
      </c>
      <c r="AZ62" s="33">
        <f>IF(AND($B62&gt;=InputTrianglesCount!$D$8,$CT62&gt;=AZ$41),1,0)</f>
        <v>0</v>
      </c>
      <c r="BA62" s="33">
        <f>IF(AND($B62&gt;=InputTrianglesCount!$D$8,$CT62&gt;=BA$41),1,0)</f>
        <v>0</v>
      </c>
      <c r="BB62" s="33">
        <f>IF(AND($B62&gt;=InputTrianglesCount!$D$8,$CT62&gt;=BB$41),1,0)</f>
        <v>0</v>
      </c>
      <c r="BC62" s="33">
        <f>IF(AND($B62&gt;=InputTrianglesCount!$D$8,$CT62&gt;=BC$41),1,0)</f>
        <v>0</v>
      </c>
      <c r="BD62" s="33">
        <f>IF(AND($B62&gt;=InputTrianglesCount!$D$8,$CT62&gt;=BD$41),1,0)</f>
        <v>0</v>
      </c>
      <c r="BE62" s="33">
        <f>IF(AND($B62&gt;=InputTrianglesCount!$D$8,$CT62&gt;=BE$41),1,0)</f>
        <v>0</v>
      </c>
      <c r="BF62" s="33">
        <f>IF(AND($B62&gt;=InputTrianglesCount!$D$8,$CT62&gt;=BF$41),1,0)</f>
        <v>0</v>
      </c>
      <c r="BG62" s="33">
        <f>IF(AND($B62&gt;=InputTrianglesCount!$D$8,$CT62&gt;=BG$41),1,0)</f>
        <v>0</v>
      </c>
      <c r="BH62" s="33">
        <f>IF(AND($B62&gt;=InputTrianglesCount!$D$8,$CT62&gt;=BH$41),1,0)</f>
        <v>0</v>
      </c>
      <c r="BI62" s="33">
        <f>IF(AND($B62&gt;=InputTrianglesCount!$D$8,$CT62&gt;=BI$41),1,0)</f>
        <v>0</v>
      </c>
      <c r="BJ62" s="33">
        <f>IF(AND($B62&gt;=InputTrianglesCount!$D$8,$CT62&gt;=BJ$41),1,0)</f>
        <v>0</v>
      </c>
      <c r="BK62" s="33">
        <f>IF(AND($B62&gt;=InputTrianglesCount!$D$8,$CT62&gt;=BK$41),1,0)</f>
        <v>0</v>
      </c>
      <c r="BL62" s="33">
        <f>IF(AND($B62&gt;=InputTrianglesCount!$D$8,$CT62&gt;=BL$41),1,0)</f>
        <v>0</v>
      </c>
      <c r="BM62" s="33">
        <f>IF(AND($B62&gt;=InputTrianglesCount!$D$8,$CT62&gt;=BM$41),1,0)</f>
        <v>0</v>
      </c>
      <c r="BN62" s="33">
        <f>IF(AND($B62&gt;=InputTrianglesCount!$D$8,$CT62&gt;=BN$41),1,0)</f>
        <v>0</v>
      </c>
      <c r="BO62" s="33">
        <f>IF(AND($B62&gt;=InputTrianglesCount!$D$8,$CT62&gt;=BO$41),1,0)</f>
        <v>0</v>
      </c>
      <c r="BP62" s="33">
        <f>IF(AND($B62&gt;=InputTrianglesCount!$D$8,$CT62&gt;=BP$41),1,0)</f>
        <v>0</v>
      </c>
      <c r="BQ62" s="33">
        <f>IF(AND($B62&gt;=InputTrianglesCount!$D$8,$CT62&gt;=BQ$41),1,0)</f>
        <v>0</v>
      </c>
      <c r="BR62" s="33">
        <f>IF(AND($B62&gt;=InputTrianglesCount!$D$8,$CT62&gt;=BR$41),1,0)</f>
        <v>0</v>
      </c>
      <c r="BS62" s="33">
        <f>IF(AND($B62&gt;=InputTrianglesCount!$D$8,$CT62&gt;=BS$41),1,0)</f>
        <v>0</v>
      </c>
      <c r="BT62" s="33">
        <f>IF(AND($B62&gt;=InputTrianglesCount!$D$8,$CT62&gt;=BT$41),1,0)</f>
        <v>0</v>
      </c>
      <c r="BU62" s="33">
        <f>IF(AND($B62&gt;=InputTrianglesCount!$D$8,$CT62&gt;=BU$41),1,0)</f>
        <v>0</v>
      </c>
      <c r="BV62" s="33">
        <f>IF(AND($B62&gt;=InputTrianglesCount!$D$8,$CT62&gt;=BV$41),1,0)</f>
        <v>0</v>
      </c>
      <c r="BW62" s="33">
        <f>IF(AND($B62&gt;=InputTrianglesCount!$D$8,$CT62&gt;=BW$41),1,0)</f>
        <v>0</v>
      </c>
      <c r="BX62" s="33">
        <f>IF(AND($B62&gt;=InputTrianglesCount!$D$8,$CT62&gt;=BX$41),1,0)</f>
        <v>0</v>
      </c>
      <c r="BY62" s="33">
        <f>IF(AND($B62&gt;=InputTrianglesCount!$D$8,$CT62&gt;=BY$41),1,0)</f>
        <v>0</v>
      </c>
      <c r="BZ62" s="33">
        <f>IF(AND($B62&gt;=InputTrianglesCount!$D$8,$CT62&gt;=BZ$41),1,0)</f>
        <v>0</v>
      </c>
      <c r="CA62" s="33">
        <f>IF(AND($B62&gt;=InputTrianglesCount!$D$8,$CT62&gt;=CA$41),1,0)</f>
        <v>0</v>
      </c>
      <c r="CB62" s="33">
        <f>IF(AND($B62&gt;=InputTrianglesCount!$D$8,$CT62&gt;=CB$41),1,0)</f>
        <v>0</v>
      </c>
      <c r="CC62" s="33">
        <f>IF(AND($B62&gt;=InputTrianglesCount!$D$8,$CT62&gt;=CC$41),1,0)</f>
        <v>0</v>
      </c>
      <c r="CD62" s="33">
        <f>IF(AND($B62&gt;=InputTrianglesCount!$D$8,$CT62&gt;=CD$41),1,0)</f>
        <v>0</v>
      </c>
      <c r="CE62" s="33">
        <f>IF(AND($B62&gt;=InputTrianglesCount!$D$8,$CT62&gt;=CE$41),1,0)</f>
        <v>0</v>
      </c>
      <c r="CF62" s="33">
        <f>IF(AND($B62&gt;=InputTrianglesCount!$D$8,$CT62&gt;=CF$41),1,0)</f>
        <v>0</v>
      </c>
      <c r="CG62" s="33">
        <f>IF(AND($B62&gt;=InputTrianglesCount!$D$8,$CT62&gt;=CG$41),1,0)</f>
        <v>0</v>
      </c>
      <c r="CH62" s="33">
        <f>IF(AND($B62&gt;=InputTrianglesCount!$D$8,$CT62&gt;=CH$41),1,0)</f>
        <v>0</v>
      </c>
      <c r="CI62" s="33">
        <f>IF(AND($B62&gt;=InputTrianglesCount!$D$8,$CT62&gt;=CI$41),1,0)</f>
        <v>0</v>
      </c>
      <c r="CJ62" s="33">
        <f>IF(AND($B62&gt;=InputTrianglesCount!$D$8,$CT62&gt;=CJ$41),1,0)</f>
        <v>0</v>
      </c>
      <c r="CK62" s="33">
        <f>IF(AND($B62&gt;=InputTrianglesCount!$D$8,$CT62&gt;=CK$41),1,0)</f>
        <v>0</v>
      </c>
      <c r="CL62" s="33">
        <f>IF(AND($B62&gt;=InputTrianglesCount!$D$8,$CT62&gt;=CL$41),1,0)</f>
        <v>0</v>
      </c>
      <c r="CM62" s="33">
        <f>IF(AND($B62&gt;=InputTrianglesCount!$D$8,$CT62&gt;=CM$41),1,0)</f>
        <v>0</v>
      </c>
      <c r="CN62" s="33">
        <f>IF(AND($B62&gt;=InputTrianglesCount!$D$8,$CT62&gt;=CN$41),1,0)</f>
        <v>0</v>
      </c>
      <c r="CO62" s="33">
        <f>IF(AND($B62&gt;=InputTrianglesCount!$D$8,$CT62&gt;=CO$41),1,0)</f>
        <v>0</v>
      </c>
      <c r="CP62" s="33">
        <f>IF(AND($B62&gt;=InputTrianglesCount!$D$8,$CT62&gt;=CP$41),1,0)</f>
        <v>0</v>
      </c>
      <c r="CQ62" s="33">
        <f>IF(AND($B62&gt;=InputTrianglesCount!$D$8,$CT62&gt;=CQ$41),1,0)</f>
        <v>0</v>
      </c>
      <c r="CR62" s="33">
        <f>IF(AND($B62&gt;=InputTrianglesCount!$D$8,$CT62&gt;=CR$41),1,0)</f>
        <v>0</v>
      </c>
      <c r="CS62" s="32">
        <f>IF(AND($B62&gt;=InputTrianglesCount!$D$8,$CT62&gt;=CS$41),1,0)</f>
        <v>0</v>
      </c>
      <c r="CT62" s="31">
        <f>($D$9-InputTrianglesCount!$B62)*InputTrianglesCount!$E$4+$D$6</f>
        <v>4</v>
      </c>
    </row>
    <row r="63" spans="1:98" hidden="1" x14ac:dyDescent="0.25">
      <c r="A63" s="97">
        <v>0</v>
      </c>
      <c r="B63" s="31">
        <f>B64-1</f>
        <v>2017</v>
      </c>
      <c r="C63" s="30">
        <f>IF(AND($B63&gt;=InputTrianglesCount!$D$8,$CT63&gt;=C$41),1,0)</f>
        <v>1</v>
      </c>
      <c r="D63" s="33">
        <f>IF(AND($B63&gt;=InputTrianglesCount!$D$8,$CT63&gt;=D$41),1,0)</f>
        <v>1</v>
      </c>
      <c r="E63" s="33">
        <f>IF(AND($B63&gt;=InputTrianglesCount!$D$8,$CT63&gt;=E$41),1,0)</f>
        <v>1</v>
      </c>
      <c r="F63" s="33">
        <f>IF(AND($B63&gt;=InputTrianglesCount!$D$8,$CT63&gt;=F$41),1,0)</f>
        <v>0</v>
      </c>
      <c r="G63" s="33">
        <f>IF(AND($B63&gt;=InputTrianglesCount!$D$8,$CT63&gt;=G$41),1,0)</f>
        <v>0</v>
      </c>
      <c r="H63" s="33">
        <f>IF(AND($B63&gt;=InputTrianglesCount!$D$8,$CT63&gt;=H$41),1,0)</f>
        <v>0</v>
      </c>
      <c r="I63" s="33">
        <f>IF(AND($B63&gt;=InputTrianglesCount!$D$8,$CT63&gt;=I$41),1,0)</f>
        <v>0</v>
      </c>
      <c r="J63" s="33">
        <f>IF(AND($B63&gt;=InputTrianglesCount!$D$8,$CT63&gt;=J$41),1,0)</f>
        <v>0</v>
      </c>
      <c r="K63" s="33">
        <f>IF(AND($B63&gt;=InputTrianglesCount!$D$8,$CT63&gt;=K$41),1,0)</f>
        <v>0</v>
      </c>
      <c r="L63" s="33">
        <f>IF(AND($B63&gt;=InputTrianglesCount!$D$8,$CT63&gt;=L$41),1,0)</f>
        <v>0</v>
      </c>
      <c r="M63" s="33">
        <f>IF(AND($B63&gt;=InputTrianglesCount!$D$8,$CT63&gt;=M$41),1,0)</f>
        <v>0</v>
      </c>
      <c r="N63" s="33">
        <f>IF(AND($B63&gt;=InputTrianglesCount!$D$8,$CT63&gt;=N$41),1,0)</f>
        <v>0</v>
      </c>
      <c r="O63" s="33">
        <f>IF(AND($B63&gt;=InputTrianglesCount!$D$8,$CT63&gt;=O$41),1,0)</f>
        <v>0</v>
      </c>
      <c r="P63" s="33">
        <f>IF(AND($B63&gt;=InputTrianglesCount!$D$8,$CT63&gt;=P$41),1,0)</f>
        <v>0</v>
      </c>
      <c r="Q63" s="33">
        <f>IF(AND($B63&gt;=InputTrianglesCount!$D$8,$CT63&gt;=Q$41),1,0)</f>
        <v>0</v>
      </c>
      <c r="R63" s="33">
        <f>IF(AND($B63&gt;=InputTrianglesCount!$D$8,$CT63&gt;=R$41),1,0)</f>
        <v>0</v>
      </c>
      <c r="S63" s="33">
        <f>IF(AND($B63&gt;=InputTrianglesCount!$D$8,$CT63&gt;=S$41),1,0)</f>
        <v>0</v>
      </c>
      <c r="T63" s="33">
        <f>IF(AND($B63&gt;=InputTrianglesCount!$D$8,$CT63&gt;=T$41),1,0)</f>
        <v>0</v>
      </c>
      <c r="U63" s="33">
        <f>IF(AND($B63&gt;=InputTrianglesCount!$D$8,$CT63&gt;=U$41),1,0)</f>
        <v>0</v>
      </c>
      <c r="V63" s="33">
        <f>IF(AND($B63&gt;=InputTrianglesCount!$D$8,$CT63&gt;=V$41),1,0)</f>
        <v>0</v>
      </c>
      <c r="W63" s="33">
        <f>IF(AND($B63&gt;=InputTrianglesCount!$D$8,$CT63&gt;=W$41),1,0)</f>
        <v>0</v>
      </c>
      <c r="X63" s="33">
        <f>IF(AND($B63&gt;=InputTrianglesCount!$D$8,$CT63&gt;=X$41),1,0)</f>
        <v>0</v>
      </c>
      <c r="Y63" s="33">
        <f>IF(AND($B63&gt;=InputTrianglesCount!$D$8,$CT63&gt;=Y$41),1,0)</f>
        <v>0</v>
      </c>
      <c r="Z63" s="33">
        <f>IF(AND($B63&gt;=InputTrianglesCount!$D$8,$CT63&gt;=Z$41),1,0)</f>
        <v>0</v>
      </c>
      <c r="AA63" s="33">
        <f>IF(AND($B63&gt;=InputTrianglesCount!$D$8,$CT63&gt;=AA$41),1,0)</f>
        <v>0</v>
      </c>
      <c r="AB63" s="33">
        <f>IF(AND($B63&gt;=InputTrianglesCount!$D$8,$CT63&gt;=AB$41),1,0)</f>
        <v>0</v>
      </c>
      <c r="AC63" s="33">
        <f>IF(AND($B63&gt;=InputTrianglesCount!$D$8,$CT63&gt;=AC$41),1,0)</f>
        <v>0</v>
      </c>
      <c r="AD63" s="33">
        <f>IF(AND($B63&gt;=InputTrianglesCount!$D$8,$CT63&gt;=AD$41),1,0)</f>
        <v>0</v>
      </c>
      <c r="AE63" s="33">
        <f>IF(AND($B63&gt;=InputTrianglesCount!$D$8,$CT63&gt;=AE$41),1,0)</f>
        <v>0</v>
      </c>
      <c r="AF63" s="33">
        <f>IF(AND($B63&gt;=InputTrianglesCount!$D$8,$CT63&gt;=AF$41),1,0)</f>
        <v>0</v>
      </c>
      <c r="AG63" s="33">
        <f>IF(AND($B63&gt;=InputTrianglesCount!$D$8,$CT63&gt;=AG$41),1,0)</f>
        <v>0</v>
      </c>
      <c r="AH63" s="33">
        <f>IF(AND($B63&gt;=InputTrianglesCount!$D$8,$CT63&gt;=AH$41),1,0)</f>
        <v>0</v>
      </c>
      <c r="AI63" s="33">
        <f>IF(AND($B63&gt;=InputTrianglesCount!$D$8,$CT63&gt;=AI$41),1,0)</f>
        <v>0</v>
      </c>
      <c r="AJ63" s="33">
        <f>IF(AND($B63&gt;=InputTrianglesCount!$D$8,$CT63&gt;=AJ$41),1,0)</f>
        <v>0</v>
      </c>
      <c r="AK63" s="33">
        <f>IF(AND($B63&gt;=InputTrianglesCount!$D$8,$CT63&gt;=AK$41),1,0)</f>
        <v>0</v>
      </c>
      <c r="AL63" s="33">
        <f>IF(AND($B63&gt;=InputTrianglesCount!$D$8,$CT63&gt;=AL$41),1,0)</f>
        <v>0</v>
      </c>
      <c r="AM63" s="33">
        <f>IF(AND($B63&gt;=InputTrianglesCount!$D$8,$CT63&gt;=AM$41),1,0)</f>
        <v>0</v>
      </c>
      <c r="AN63" s="33">
        <f>IF(AND($B63&gt;=InputTrianglesCount!$D$8,$CT63&gt;=AN$41),1,0)</f>
        <v>0</v>
      </c>
      <c r="AO63" s="33">
        <f>IF(AND($B63&gt;=InputTrianglesCount!$D$8,$CT63&gt;=AO$41),1,0)</f>
        <v>0</v>
      </c>
      <c r="AP63" s="33">
        <f>IF(AND($B63&gt;=InputTrianglesCount!$D$8,$CT63&gt;=AP$41),1,0)</f>
        <v>0</v>
      </c>
      <c r="AQ63" s="33">
        <f>IF(AND($B63&gt;=InputTrianglesCount!$D$8,$CT63&gt;=AQ$41),1,0)</f>
        <v>0</v>
      </c>
      <c r="AR63" s="33">
        <f>IF(AND($B63&gt;=InputTrianglesCount!$D$8,$CT63&gt;=AR$41),1,0)</f>
        <v>0</v>
      </c>
      <c r="AS63" s="33">
        <f>IF(AND($B63&gt;=InputTrianglesCount!$D$8,$CT63&gt;=AS$41),1,0)</f>
        <v>0</v>
      </c>
      <c r="AT63" s="33">
        <f>IF(AND($B63&gt;=InputTrianglesCount!$D$8,$CT63&gt;=AT$41),1,0)</f>
        <v>0</v>
      </c>
      <c r="AU63" s="33">
        <f>IF(AND($B63&gt;=InputTrianglesCount!$D$8,$CT63&gt;=AU$41),1,0)</f>
        <v>0</v>
      </c>
      <c r="AV63" s="33">
        <f>IF(AND($B63&gt;=InputTrianglesCount!$D$8,$CT63&gt;=AV$41),1,0)</f>
        <v>0</v>
      </c>
      <c r="AW63" s="33">
        <f>IF(AND($B63&gt;=InputTrianglesCount!$D$8,$CT63&gt;=AW$41),1,0)</f>
        <v>0</v>
      </c>
      <c r="AX63" s="33">
        <f>IF(AND($B63&gt;=InputTrianglesCount!$D$8,$CT63&gt;=AX$41),1,0)</f>
        <v>0</v>
      </c>
      <c r="AY63" s="33">
        <f>IF(AND($B63&gt;=InputTrianglesCount!$D$8,$CT63&gt;=AY$41),1,0)</f>
        <v>0</v>
      </c>
      <c r="AZ63" s="33">
        <f>IF(AND($B63&gt;=InputTrianglesCount!$D$8,$CT63&gt;=AZ$41),1,0)</f>
        <v>0</v>
      </c>
      <c r="BA63" s="33">
        <f>IF(AND($B63&gt;=InputTrianglesCount!$D$8,$CT63&gt;=BA$41),1,0)</f>
        <v>0</v>
      </c>
      <c r="BB63" s="33">
        <f>IF(AND($B63&gt;=InputTrianglesCount!$D$8,$CT63&gt;=BB$41),1,0)</f>
        <v>0</v>
      </c>
      <c r="BC63" s="33">
        <f>IF(AND($B63&gt;=InputTrianglesCount!$D$8,$CT63&gt;=BC$41),1,0)</f>
        <v>0</v>
      </c>
      <c r="BD63" s="33">
        <f>IF(AND($B63&gt;=InputTrianglesCount!$D$8,$CT63&gt;=BD$41),1,0)</f>
        <v>0</v>
      </c>
      <c r="BE63" s="33">
        <f>IF(AND($B63&gt;=InputTrianglesCount!$D$8,$CT63&gt;=BE$41),1,0)</f>
        <v>0</v>
      </c>
      <c r="BF63" s="33">
        <f>IF(AND($B63&gt;=InputTrianglesCount!$D$8,$CT63&gt;=BF$41),1,0)</f>
        <v>0</v>
      </c>
      <c r="BG63" s="33">
        <f>IF(AND($B63&gt;=InputTrianglesCount!$D$8,$CT63&gt;=BG$41),1,0)</f>
        <v>0</v>
      </c>
      <c r="BH63" s="33">
        <f>IF(AND($B63&gt;=InputTrianglesCount!$D$8,$CT63&gt;=BH$41),1,0)</f>
        <v>0</v>
      </c>
      <c r="BI63" s="33">
        <f>IF(AND($B63&gt;=InputTrianglesCount!$D$8,$CT63&gt;=BI$41),1,0)</f>
        <v>0</v>
      </c>
      <c r="BJ63" s="33">
        <f>IF(AND($B63&gt;=InputTrianglesCount!$D$8,$CT63&gt;=BJ$41),1,0)</f>
        <v>0</v>
      </c>
      <c r="BK63" s="33">
        <f>IF(AND($B63&gt;=InputTrianglesCount!$D$8,$CT63&gt;=BK$41),1,0)</f>
        <v>0</v>
      </c>
      <c r="BL63" s="33">
        <f>IF(AND($B63&gt;=InputTrianglesCount!$D$8,$CT63&gt;=BL$41),1,0)</f>
        <v>0</v>
      </c>
      <c r="BM63" s="33">
        <f>IF(AND($B63&gt;=InputTrianglesCount!$D$8,$CT63&gt;=BM$41),1,0)</f>
        <v>0</v>
      </c>
      <c r="BN63" s="33">
        <f>IF(AND($B63&gt;=InputTrianglesCount!$D$8,$CT63&gt;=BN$41),1,0)</f>
        <v>0</v>
      </c>
      <c r="BO63" s="33">
        <f>IF(AND($B63&gt;=InputTrianglesCount!$D$8,$CT63&gt;=BO$41),1,0)</f>
        <v>0</v>
      </c>
      <c r="BP63" s="33">
        <f>IF(AND($B63&gt;=InputTrianglesCount!$D$8,$CT63&gt;=BP$41),1,0)</f>
        <v>0</v>
      </c>
      <c r="BQ63" s="33">
        <f>IF(AND($B63&gt;=InputTrianglesCount!$D$8,$CT63&gt;=BQ$41),1,0)</f>
        <v>0</v>
      </c>
      <c r="BR63" s="33">
        <f>IF(AND($B63&gt;=InputTrianglesCount!$D$8,$CT63&gt;=BR$41),1,0)</f>
        <v>0</v>
      </c>
      <c r="BS63" s="33">
        <f>IF(AND($B63&gt;=InputTrianglesCount!$D$8,$CT63&gt;=BS$41),1,0)</f>
        <v>0</v>
      </c>
      <c r="BT63" s="33">
        <f>IF(AND($B63&gt;=InputTrianglesCount!$D$8,$CT63&gt;=BT$41),1,0)</f>
        <v>0</v>
      </c>
      <c r="BU63" s="33">
        <f>IF(AND($B63&gt;=InputTrianglesCount!$D$8,$CT63&gt;=BU$41),1,0)</f>
        <v>0</v>
      </c>
      <c r="BV63" s="33">
        <f>IF(AND($B63&gt;=InputTrianglesCount!$D$8,$CT63&gt;=BV$41),1,0)</f>
        <v>0</v>
      </c>
      <c r="BW63" s="33">
        <f>IF(AND($B63&gt;=InputTrianglesCount!$D$8,$CT63&gt;=BW$41),1,0)</f>
        <v>0</v>
      </c>
      <c r="BX63" s="33">
        <f>IF(AND($B63&gt;=InputTrianglesCount!$D$8,$CT63&gt;=BX$41),1,0)</f>
        <v>0</v>
      </c>
      <c r="BY63" s="33">
        <f>IF(AND($B63&gt;=InputTrianglesCount!$D$8,$CT63&gt;=BY$41),1,0)</f>
        <v>0</v>
      </c>
      <c r="BZ63" s="33">
        <f>IF(AND($B63&gt;=InputTrianglesCount!$D$8,$CT63&gt;=BZ$41),1,0)</f>
        <v>0</v>
      </c>
      <c r="CA63" s="33">
        <f>IF(AND($B63&gt;=InputTrianglesCount!$D$8,$CT63&gt;=CA$41),1,0)</f>
        <v>0</v>
      </c>
      <c r="CB63" s="33">
        <f>IF(AND($B63&gt;=InputTrianglesCount!$D$8,$CT63&gt;=CB$41),1,0)</f>
        <v>0</v>
      </c>
      <c r="CC63" s="33">
        <f>IF(AND($B63&gt;=InputTrianglesCount!$D$8,$CT63&gt;=CC$41),1,0)</f>
        <v>0</v>
      </c>
      <c r="CD63" s="33">
        <f>IF(AND($B63&gt;=InputTrianglesCount!$D$8,$CT63&gt;=CD$41),1,0)</f>
        <v>0</v>
      </c>
      <c r="CE63" s="33">
        <f>IF(AND($B63&gt;=InputTrianglesCount!$D$8,$CT63&gt;=CE$41),1,0)</f>
        <v>0</v>
      </c>
      <c r="CF63" s="33">
        <f>IF(AND($B63&gt;=InputTrianglesCount!$D$8,$CT63&gt;=CF$41),1,0)</f>
        <v>0</v>
      </c>
      <c r="CG63" s="33">
        <f>IF(AND($B63&gt;=InputTrianglesCount!$D$8,$CT63&gt;=CG$41),1,0)</f>
        <v>0</v>
      </c>
      <c r="CH63" s="33">
        <f>IF(AND($B63&gt;=InputTrianglesCount!$D$8,$CT63&gt;=CH$41),1,0)</f>
        <v>0</v>
      </c>
      <c r="CI63" s="33">
        <f>IF(AND($B63&gt;=InputTrianglesCount!$D$8,$CT63&gt;=CI$41),1,0)</f>
        <v>0</v>
      </c>
      <c r="CJ63" s="33">
        <f>IF(AND($B63&gt;=InputTrianglesCount!$D$8,$CT63&gt;=CJ$41),1,0)</f>
        <v>0</v>
      </c>
      <c r="CK63" s="33">
        <f>IF(AND($B63&gt;=InputTrianglesCount!$D$8,$CT63&gt;=CK$41),1,0)</f>
        <v>0</v>
      </c>
      <c r="CL63" s="33">
        <f>IF(AND($B63&gt;=InputTrianglesCount!$D$8,$CT63&gt;=CL$41),1,0)</f>
        <v>0</v>
      </c>
      <c r="CM63" s="33">
        <f>IF(AND($B63&gt;=InputTrianglesCount!$D$8,$CT63&gt;=CM$41),1,0)</f>
        <v>0</v>
      </c>
      <c r="CN63" s="33">
        <f>IF(AND($B63&gt;=InputTrianglesCount!$D$8,$CT63&gt;=CN$41),1,0)</f>
        <v>0</v>
      </c>
      <c r="CO63" s="33">
        <f>IF(AND($B63&gt;=InputTrianglesCount!$D$8,$CT63&gt;=CO$41),1,0)</f>
        <v>0</v>
      </c>
      <c r="CP63" s="33">
        <f>IF(AND($B63&gt;=InputTrianglesCount!$D$8,$CT63&gt;=CP$41),1,0)</f>
        <v>0</v>
      </c>
      <c r="CQ63" s="33">
        <f>IF(AND($B63&gt;=InputTrianglesCount!$D$8,$CT63&gt;=CQ$41),1,0)</f>
        <v>0</v>
      </c>
      <c r="CR63" s="33">
        <f>IF(AND($B63&gt;=InputTrianglesCount!$D$8,$CT63&gt;=CR$41),1,0)</f>
        <v>0</v>
      </c>
      <c r="CS63" s="32">
        <f>IF(AND($B63&gt;=InputTrianglesCount!$D$8,$CT63&gt;=CS$41),1,0)</f>
        <v>0</v>
      </c>
      <c r="CT63" s="31">
        <f>($D$9-InputTrianglesCount!$B63)*InputTrianglesCount!$E$4+$D$6</f>
        <v>3</v>
      </c>
    </row>
    <row r="64" spans="1:98" hidden="1" x14ac:dyDescent="0.25">
      <c r="A64" s="97">
        <v>0</v>
      </c>
      <c r="B64" s="31">
        <f>B65-1</f>
        <v>2018</v>
      </c>
      <c r="C64" s="30">
        <f>IF(AND($B64&gt;=InputTrianglesCount!$D$8,$CT64&gt;=C$41),1,0)</f>
        <v>1</v>
      </c>
      <c r="D64" s="33">
        <f>IF(AND($B64&gt;=InputTrianglesCount!$D$8,$CT64&gt;=D$41),1,0)</f>
        <v>1</v>
      </c>
      <c r="E64" s="33">
        <f>IF(AND($B64&gt;=InputTrianglesCount!$D$8,$CT64&gt;=E$41),1,0)</f>
        <v>0</v>
      </c>
      <c r="F64" s="33">
        <f>IF(AND($B64&gt;=InputTrianglesCount!$D$8,$CT64&gt;=F$41),1,0)</f>
        <v>0</v>
      </c>
      <c r="G64" s="33">
        <f>IF(AND($B64&gt;=InputTrianglesCount!$D$8,$CT64&gt;=G$41),1,0)</f>
        <v>0</v>
      </c>
      <c r="H64" s="33">
        <f>IF(AND($B64&gt;=InputTrianglesCount!$D$8,$CT64&gt;=H$41),1,0)</f>
        <v>0</v>
      </c>
      <c r="I64" s="33">
        <f>IF(AND($B64&gt;=InputTrianglesCount!$D$8,$CT64&gt;=I$41),1,0)</f>
        <v>0</v>
      </c>
      <c r="J64" s="33">
        <f>IF(AND($B64&gt;=InputTrianglesCount!$D$8,$CT64&gt;=J$41),1,0)</f>
        <v>0</v>
      </c>
      <c r="K64" s="33">
        <f>IF(AND($B64&gt;=InputTrianglesCount!$D$8,$CT64&gt;=K$41),1,0)</f>
        <v>0</v>
      </c>
      <c r="L64" s="33">
        <f>IF(AND($B64&gt;=InputTrianglesCount!$D$8,$CT64&gt;=L$41),1,0)</f>
        <v>0</v>
      </c>
      <c r="M64" s="33">
        <f>IF(AND($B64&gt;=InputTrianglesCount!$D$8,$CT64&gt;=M$41),1,0)</f>
        <v>0</v>
      </c>
      <c r="N64" s="33">
        <f>IF(AND($B64&gt;=InputTrianglesCount!$D$8,$CT64&gt;=N$41),1,0)</f>
        <v>0</v>
      </c>
      <c r="O64" s="33">
        <f>IF(AND($B64&gt;=InputTrianglesCount!$D$8,$CT64&gt;=O$41),1,0)</f>
        <v>0</v>
      </c>
      <c r="P64" s="33">
        <f>IF(AND($B64&gt;=InputTrianglesCount!$D$8,$CT64&gt;=P$41),1,0)</f>
        <v>0</v>
      </c>
      <c r="Q64" s="33">
        <f>IF(AND($B64&gt;=InputTrianglesCount!$D$8,$CT64&gt;=Q$41),1,0)</f>
        <v>0</v>
      </c>
      <c r="R64" s="33">
        <f>IF(AND($B64&gt;=InputTrianglesCount!$D$8,$CT64&gt;=R$41),1,0)</f>
        <v>0</v>
      </c>
      <c r="S64" s="33">
        <f>IF(AND($B64&gt;=InputTrianglesCount!$D$8,$CT64&gt;=S$41),1,0)</f>
        <v>0</v>
      </c>
      <c r="T64" s="33">
        <f>IF(AND($B64&gt;=InputTrianglesCount!$D$8,$CT64&gt;=T$41),1,0)</f>
        <v>0</v>
      </c>
      <c r="U64" s="33">
        <f>IF(AND($B64&gt;=InputTrianglesCount!$D$8,$CT64&gt;=U$41),1,0)</f>
        <v>0</v>
      </c>
      <c r="V64" s="33">
        <f>IF(AND($B64&gt;=InputTrianglesCount!$D$8,$CT64&gt;=V$41),1,0)</f>
        <v>0</v>
      </c>
      <c r="W64" s="33">
        <f>IF(AND($B64&gt;=InputTrianglesCount!$D$8,$CT64&gt;=W$41),1,0)</f>
        <v>0</v>
      </c>
      <c r="X64" s="33">
        <f>IF(AND($B64&gt;=InputTrianglesCount!$D$8,$CT64&gt;=X$41),1,0)</f>
        <v>0</v>
      </c>
      <c r="Y64" s="33">
        <f>IF(AND($B64&gt;=InputTrianglesCount!$D$8,$CT64&gt;=Y$41),1,0)</f>
        <v>0</v>
      </c>
      <c r="Z64" s="33">
        <f>IF(AND($B64&gt;=InputTrianglesCount!$D$8,$CT64&gt;=Z$41),1,0)</f>
        <v>0</v>
      </c>
      <c r="AA64" s="33">
        <f>IF(AND($B64&gt;=InputTrianglesCount!$D$8,$CT64&gt;=AA$41),1,0)</f>
        <v>0</v>
      </c>
      <c r="AB64" s="33">
        <f>IF(AND($B64&gt;=InputTrianglesCount!$D$8,$CT64&gt;=AB$41),1,0)</f>
        <v>0</v>
      </c>
      <c r="AC64" s="33">
        <f>IF(AND($B64&gt;=InputTrianglesCount!$D$8,$CT64&gt;=AC$41),1,0)</f>
        <v>0</v>
      </c>
      <c r="AD64" s="33">
        <f>IF(AND($B64&gt;=InputTrianglesCount!$D$8,$CT64&gt;=AD$41),1,0)</f>
        <v>0</v>
      </c>
      <c r="AE64" s="33">
        <f>IF(AND($B64&gt;=InputTrianglesCount!$D$8,$CT64&gt;=AE$41),1,0)</f>
        <v>0</v>
      </c>
      <c r="AF64" s="33">
        <f>IF(AND($B64&gt;=InputTrianglesCount!$D$8,$CT64&gt;=AF$41),1,0)</f>
        <v>0</v>
      </c>
      <c r="AG64" s="33">
        <f>IF(AND($B64&gt;=InputTrianglesCount!$D$8,$CT64&gt;=AG$41),1,0)</f>
        <v>0</v>
      </c>
      <c r="AH64" s="33">
        <f>IF(AND($B64&gt;=InputTrianglesCount!$D$8,$CT64&gt;=AH$41),1,0)</f>
        <v>0</v>
      </c>
      <c r="AI64" s="33">
        <f>IF(AND($B64&gt;=InputTrianglesCount!$D$8,$CT64&gt;=AI$41),1,0)</f>
        <v>0</v>
      </c>
      <c r="AJ64" s="33">
        <f>IF(AND($B64&gt;=InputTrianglesCount!$D$8,$CT64&gt;=AJ$41),1,0)</f>
        <v>0</v>
      </c>
      <c r="AK64" s="33">
        <f>IF(AND($B64&gt;=InputTrianglesCount!$D$8,$CT64&gt;=AK$41),1,0)</f>
        <v>0</v>
      </c>
      <c r="AL64" s="33">
        <f>IF(AND($B64&gt;=InputTrianglesCount!$D$8,$CT64&gt;=AL$41),1,0)</f>
        <v>0</v>
      </c>
      <c r="AM64" s="33">
        <f>IF(AND($B64&gt;=InputTrianglesCount!$D$8,$CT64&gt;=AM$41),1,0)</f>
        <v>0</v>
      </c>
      <c r="AN64" s="33">
        <f>IF(AND($B64&gt;=InputTrianglesCount!$D$8,$CT64&gt;=AN$41),1,0)</f>
        <v>0</v>
      </c>
      <c r="AO64" s="33">
        <f>IF(AND($B64&gt;=InputTrianglesCount!$D$8,$CT64&gt;=AO$41),1,0)</f>
        <v>0</v>
      </c>
      <c r="AP64" s="33">
        <f>IF(AND($B64&gt;=InputTrianglesCount!$D$8,$CT64&gt;=AP$41),1,0)</f>
        <v>0</v>
      </c>
      <c r="AQ64" s="33">
        <f>IF(AND($B64&gt;=InputTrianglesCount!$D$8,$CT64&gt;=AQ$41),1,0)</f>
        <v>0</v>
      </c>
      <c r="AR64" s="33">
        <f>IF(AND($B64&gt;=InputTrianglesCount!$D$8,$CT64&gt;=AR$41),1,0)</f>
        <v>0</v>
      </c>
      <c r="AS64" s="33">
        <f>IF(AND($B64&gt;=InputTrianglesCount!$D$8,$CT64&gt;=AS$41),1,0)</f>
        <v>0</v>
      </c>
      <c r="AT64" s="33">
        <f>IF(AND($B64&gt;=InputTrianglesCount!$D$8,$CT64&gt;=AT$41),1,0)</f>
        <v>0</v>
      </c>
      <c r="AU64" s="33">
        <f>IF(AND($B64&gt;=InputTrianglesCount!$D$8,$CT64&gt;=AU$41),1,0)</f>
        <v>0</v>
      </c>
      <c r="AV64" s="33">
        <f>IF(AND($B64&gt;=InputTrianglesCount!$D$8,$CT64&gt;=AV$41),1,0)</f>
        <v>0</v>
      </c>
      <c r="AW64" s="33">
        <f>IF(AND($B64&gt;=InputTrianglesCount!$D$8,$CT64&gt;=AW$41),1,0)</f>
        <v>0</v>
      </c>
      <c r="AX64" s="33">
        <f>IF(AND($B64&gt;=InputTrianglesCount!$D$8,$CT64&gt;=AX$41),1,0)</f>
        <v>0</v>
      </c>
      <c r="AY64" s="33">
        <f>IF(AND($B64&gt;=InputTrianglesCount!$D$8,$CT64&gt;=AY$41),1,0)</f>
        <v>0</v>
      </c>
      <c r="AZ64" s="33">
        <f>IF(AND($B64&gt;=InputTrianglesCount!$D$8,$CT64&gt;=AZ$41),1,0)</f>
        <v>0</v>
      </c>
      <c r="BA64" s="33">
        <f>IF(AND($B64&gt;=InputTrianglesCount!$D$8,$CT64&gt;=BA$41),1,0)</f>
        <v>0</v>
      </c>
      <c r="BB64" s="33">
        <f>IF(AND($B64&gt;=InputTrianglesCount!$D$8,$CT64&gt;=BB$41),1,0)</f>
        <v>0</v>
      </c>
      <c r="BC64" s="33">
        <f>IF(AND($B64&gt;=InputTrianglesCount!$D$8,$CT64&gt;=BC$41),1,0)</f>
        <v>0</v>
      </c>
      <c r="BD64" s="33">
        <f>IF(AND($B64&gt;=InputTrianglesCount!$D$8,$CT64&gt;=BD$41),1,0)</f>
        <v>0</v>
      </c>
      <c r="BE64" s="33">
        <f>IF(AND($B64&gt;=InputTrianglesCount!$D$8,$CT64&gt;=BE$41),1,0)</f>
        <v>0</v>
      </c>
      <c r="BF64" s="33">
        <f>IF(AND($B64&gt;=InputTrianglesCount!$D$8,$CT64&gt;=BF$41),1,0)</f>
        <v>0</v>
      </c>
      <c r="BG64" s="33">
        <f>IF(AND($B64&gt;=InputTrianglesCount!$D$8,$CT64&gt;=BG$41),1,0)</f>
        <v>0</v>
      </c>
      <c r="BH64" s="33">
        <f>IF(AND($B64&gt;=InputTrianglesCount!$D$8,$CT64&gt;=BH$41),1,0)</f>
        <v>0</v>
      </c>
      <c r="BI64" s="33">
        <f>IF(AND($B64&gt;=InputTrianglesCount!$D$8,$CT64&gt;=BI$41),1,0)</f>
        <v>0</v>
      </c>
      <c r="BJ64" s="33">
        <f>IF(AND($B64&gt;=InputTrianglesCount!$D$8,$CT64&gt;=BJ$41),1,0)</f>
        <v>0</v>
      </c>
      <c r="BK64" s="33">
        <f>IF(AND($B64&gt;=InputTrianglesCount!$D$8,$CT64&gt;=BK$41),1,0)</f>
        <v>0</v>
      </c>
      <c r="BL64" s="33">
        <f>IF(AND($B64&gt;=InputTrianglesCount!$D$8,$CT64&gt;=BL$41),1,0)</f>
        <v>0</v>
      </c>
      <c r="BM64" s="33">
        <f>IF(AND($B64&gt;=InputTrianglesCount!$D$8,$CT64&gt;=BM$41),1,0)</f>
        <v>0</v>
      </c>
      <c r="BN64" s="33">
        <f>IF(AND($B64&gt;=InputTrianglesCount!$D$8,$CT64&gt;=BN$41),1,0)</f>
        <v>0</v>
      </c>
      <c r="BO64" s="33">
        <f>IF(AND($B64&gt;=InputTrianglesCount!$D$8,$CT64&gt;=BO$41),1,0)</f>
        <v>0</v>
      </c>
      <c r="BP64" s="33">
        <f>IF(AND($B64&gt;=InputTrianglesCount!$D$8,$CT64&gt;=BP$41),1,0)</f>
        <v>0</v>
      </c>
      <c r="BQ64" s="33">
        <f>IF(AND($B64&gt;=InputTrianglesCount!$D$8,$CT64&gt;=BQ$41),1,0)</f>
        <v>0</v>
      </c>
      <c r="BR64" s="33">
        <f>IF(AND($B64&gt;=InputTrianglesCount!$D$8,$CT64&gt;=BR$41),1,0)</f>
        <v>0</v>
      </c>
      <c r="BS64" s="33">
        <f>IF(AND($B64&gt;=InputTrianglesCount!$D$8,$CT64&gt;=BS$41),1,0)</f>
        <v>0</v>
      </c>
      <c r="BT64" s="33">
        <f>IF(AND($B64&gt;=InputTrianglesCount!$D$8,$CT64&gt;=BT$41),1,0)</f>
        <v>0</v>
      </c>
      <c r="BU64" s="33">
        <f>IF(AND($B64&gt;=InputTrianglesCount!$D$8,$CT64&gt;=BU$41),1,0)</f>
        <v>0</v>
      </c>
      <c r="BV64" s="33">
        <f>IF(AND($B64&gt;=InputTrianglesCount!$D$8,$CT64&gt;=BV$41),1,0)</f>
        <v>0</v>
      </c>
      <c r="BW64" s="33">
        <f>IF(AND($B64&gt;=InputTrianglesCount!$D$8,$CT64&gt;=BW$41),1,0)</f>
        <v>0</v>
      </c>
      <c r="BX64" s="33">
        <f>IF(AND($B64&gt;=InputTrianglesCount!$D$8,$CT64&gt;=BX$41),1,0)</f>
        <v>0</v>
      </c>
      <c r="BY64" s="33">
        <f>IF(AND($B64&gt;=InputTrianglesCount!$D$8,$CT64&gt;=BY$41),1,0)</f>
        <v>0</v>
      </c>
      <c r="BZ64" s="33">
        <f>IF(AND($B64&gt;=InputTrianglesCount!$D$8,$CT64&gt;=BZ$41),1,0)</f>
        <v>0</v>
      </c>
      <c r="CA64" s="33">
        <f>IF(AND($B64&gt;=InputTrianglesCount!$D$8,$CT64&gt;=CA$41),1,0)</f>
        <v>0</v>
      </c>
      <c r="CB64" s="33">
        <f>IF(AND($B64&gt;=InputTrianglesCount!$D$8,$CT64&gt;=CB$41),1,0)</f>
        <v>0</v>
      </c>
      <c r="CC64" s="33">
        <f>IF(AND($B64&gt;=InputTrianglesCount!$D$8,$CT64&gt;=CC$41),1,0)</f>
        <v>0</v>
      </c>
      <c r="CD64" s="33">
        <f>IF(AND($B64&gt;=InputTrianglesCount!$D$8,$CT64&gt;=CD$41),1,0)</f>
        <v>0</v>
      </c>
      <c r="CE64" s="33">
        <f>IF(AND($B64&gt;=InputTrianglesCount!$D$8,$CT64&gt;=CE$41),1,0)</f>
        <v>0</v>
      </c>
      <c r="CF64" s="33">
        <f>IF(AND($B64&gt;=InputTrianglesCount!$D$8,$CT64&gt;=CF$41),1,0)</f>
        <v>0</v>
      </c>
      <c r="CG64" s="33">
        <f>IF(AND($B64&gt;=InputTrianglesCount!$D$8,$CT64&gt;=CG$41),1,0)</f>
        <v>0</v>
      </c>
      <c r="CH64" s="33">
        <f>IF(AND($B64&gt;=InputTrianglesCount!$D$8,$CT64&gt;=CH$41),1,0)</f>
        <v>0</v>
      </c>
      <c r="CI64" s="33">
        <f>IF(AND($B64&gt;=InputTrianglesCount!$D$8,$CT64&gt;=CI$41),1,0)</f>
        <v>0</v>
      </c>
      <c r="CJ64" s="33">
        <f>IF(AND($B64&gt;=InputTrianglesCount!$D$8,$CT64&gt;=CJ$41),1,0)</f>
        <v>0</v>
      </c>
      <c r="CK64" s="33">
        <f>IF(AND($B64&gt;=InputTrianglesCount!$D$8,$CT64&gt;=CK$41),1,0)</f>
        <v>0</v>
      </c>
      <c r="CL64" s="33">
        <f>IF(AND($B64&gt;=InputTrianglesCount!$D$8,$CT64&gt;=CL$41),1,0)</f>
        <v>0</v>
      </c>
      <c r="CM64" s="33">
        <f>IF(AND($B64&gt;=InputTrianglesCount!$D$8,$CT64&gt;=CM$41),1,0)</f>
        <v>0</v>
      </c>
      <c r="CN64" s="33">
        <f>IF(AND($B64&gt;=InputTrianglesCount!$D$8,$CT64&gt;=CN$41),1,0)</f>
        <v>0</v>
      </c>
      <c r="CO64" s="33">
        <f>IF(AND($B64&gt;=InputTrianglesCount!$D$8,$CT64&gt;=CO$41),1,0)</f>
        <v>0</v>
      </c>
      <c r="CP64" s="33">
        <f>IF(AND($B64&gt;=InputTrianglesCount!$D$8,$CT64&gt;=CP$41),1,0)</f>
        <v>0</v>
      </c>
      <c r="CQ64" s="33">
        <f>IF(AND($B64&gt;=InputTrianglesCount!$D$8,$CT64&gt;=CQ$41),1,0)</f>
        <v>0</v>
      </c>
      <c r="CR64" s="33">
        <f>IF(AND($B64&gt;=InputTrianglesCount!$D$8,$CT64&gt;=CR$41),1,0)</f>
        <v>0</v>
      </c>
      <c r="CS64" s="32">
        <f>IF(AND($B64&gt;=InputTrianglesCount!$D$8,$CT64&gt;=CS$41),1,0)</f>
        <v>0</v>
      </c>
      <c r="CT64" s="31">
        <f>($D$9-InputTrianglesCount!$B64)*InputTrianglesCount!$E$4+$D$6</f>
        <v>2</v>
      </c>
    </row>
    <row r="65" spans="1:103" hidden="1" x14ac:dyDescent="0.25">
      <c r="A65" s="97">
        <v>0</v>
      </c>
      <c r="B65" s="34">
        <f>D9</f>
        <v>2019</v>
      </c>
      <c r="C65" s="35">
        <f>IF(AND($B65&gt;=InputTrianglesCount!$D$8,$CT65&gt;=C$41),1,0)</f>
        <v>1</v>
      </c>
      <c r="D65" s="36">
        <f>IF(AND($B65&gt;=InputTrianglesCount!$D$8,$CT65&gt;=D$41),1,0)</f>
        <v>0</v>
      </c>
      <c r="E65" s="36">
        <f>IF(AND($B65&gt;=InputTrianglesCount!$D$8,$CT65&gt;=E$41),1,0)</f>
        <v>0</v>
      </c>
      <c r="F65" s="36">
        <f>IF(AND($B65&gt;=InputTrianglesCount!$D$8,$CT65&gt;=F$41),1,0)</f>
        <v>0</v>
      </c>
      <c r="G65" s="36">
        <f>IF(AND($B65&gt;=InputTrianglesCount!$D$8,$CT65&gt;=G$41),1,0)</f>
        <v>0</v>
      </c>
      <c r="H65" s="36">
        <f>IF(AND($B65&gt;=InputTrianglesCount!$D$8,$CT65&gt;=H$41),1,0)</f>
        <v>0</v>
      </c>
      <c r="I65" s="36">
        <f>IF(AND($B65&gt;=InputTrianglesCount!$D$8,$CT65&gt;=I$41),1,0)</f>
        <v>0</v>
      </c>
      <c r="J65" s="36">
        <f>IF(AND($B65&gt;=InputTrianglesCount!$D$8,$CT65&gt;=J$41),1,0)</f>
        <v>0</v>
      </c>
      <c r="K65" s="36">
        <f>IF(AND($B65&gt;=InputTrianglesCount!$D$8,$CT65&gt;=K$41),1,0)</f>
        <v>0</v>
      </c>
      <c r="L65" s="36">
        <f>IF(AND($B65&gt;=InputTrianglesCount!$D$8,$CT65&gt;=L$41),1,0)</f>
        <v>0</v>
      </c>
      <c r="M65" s="36">
        <f>IF(AND($B65&gt;=InputTrianglesCount!$D$8,$CT65&gt;=M$41),1,0)</f>
        <v>0</v>
      </c>
      <c r="N65" s="36">
        <f>IF(AND($B65&gt;=InputTrianglesCount!$D$8,$CT65&gt;=N$41),1,0)</f>
        <v>0</v>
      </c>
      <c r="O65" s="36">
        <f>IF(AND($B65&gt;=InputTrianglesCount!$D$8,$CT65&gt;=O$41),1,0)</f>
        <v>0</v>
      </c>
      <c r="P65" s="36">
        <f>IF(AND($B65&gt;=InputTrianglesCount!$D$8,$CT65&gt;=P$41),1,0)</f>
        <v>0</v>
      </c>
      <c r="Q65" s="36">
        <f>IF(AND($B65&gt;=InputTrianglesCount!$D$8,$CT65&gt;=Q$41),1,0)</f>
        <v>0</v>
      </c>
      <c r="R65" s="36">
        <f>IF(AND($B65&gt;=InputTrianglesCount!$D$8,$CT65&gt;=R$41),1,0)</f>
        <v>0</v>
      </c>
      <c r="S65" s="36">
        <f>IF(AND($B65&gt;=InputTrianglesCount!$D$8,$CT65&gt;=S$41),1,0)</f>
        <v>0</v>
      </c>
      <c r="T65" s="36">
        <f>IF(AND($B65&gt;=InputTrianglesCount!$D$8,$CT65&gt;=T$41),1,0)</f>
        <v>0</v>
      </c>
      <c r="U65" s="36">
        <f>IF(AND($B65&gt;=InputTrianglesCount!$D$8,$CT65&gt;=U$41),1,0)</f>
        <v>0</v>
      </c>
      <c r="V65" s="36">
        <f>IF(AND($B65&gt;=InputTrianglesCount!$D$8,$CT65&gt;=V$41),1,0)</f>
        <v>0</v>
      </c>
      <c r="W65" s="36">
        <f>IF(AND($B65&gt;=InputTrianglesCount!$D$8,$CT65&gt;=W$41),1,0)</f>
        <v>0</v>
      </c>
      <c r="X65" s="36">
        <f>IF(AND($B65&gt;=InputTrianglesCount!$D$8,$CT65&gt;=X$41),1,0)</f>
        <v>0</v>
      </c>
      <c r="Y65" s="36">
        <f>IF(AND($B65&gt;=InputTrianglesCount!$D$8,$CT65&gt;=Y$41),1,0)</f>
        <v>0</v>
      </c>
      <c r="Z65" s="36">
        <f>IF(AND($B65&gt;=InputTrianglesCount!$D$8,$CT65&gt;=Z$41),1,0)</f>
        <v>0</v>
      </c>
      <c r="AA65" s="36">
        <f>IF(AND($B65&gt;=InputTrianglesCount!$D$8,$CT65&gt;=AA$41),1,0)</f>
        <v>0</v>
      </c>
      <c r="AB65" s="36">
        <f>IF(AND($B65&gt;=InputTrianglesCount!$D$8,$CT65&gt;=AB$41),1,0)</f>
        <v>0</v>
      </c>
      <c r="AC65" s="36">
        <f>IF(AND($B65&gt;=InputTrianglesCount!$D$8,$CT65&gt;=AC$41),1,0)</f>
        <v>0</v>
      </c>
      <c r="AD65" s="36">
        <f>IF(AND($B65&gt;=InputTrianglesCount!$D$8,$CT65&gt;=AD$41),1,0)</f>
        <v>0</v>
      </c>
      <c r="AE65" s="36">
        <f>IF(AND($B65&gt;=InputTrianglesCount!$D$8,$CT65&gt;=AE$41),1,0)</f>
        <v>0</v>
      </c>
      <c r="AF65" s="36">
        <f>IF(AND($B65&gt;=InputTrianglesCount!$D$8,$CT65&gt;=AF$41),1,0)</f>
        <v>0</v>
      </c>
      <c r="AG65" s="36">
        <f>IF(AND($B65&gt;=InputTrianglesCount!$D$8,$CT65&gt;=AG$41),1,0)</f>
        <v>0</v>
      </c>
      <c r="AH65" s="36">
        <f>IF(AND($B65&gt;=InputTrianglesCount!$D$8,$CT65&gt;=AH$41),1,0)</f>
        <v>0</v>
      </c>
      <c r="AI65" s="36">
        <f>IF(AND($B65&gt;=InputTrianglesCount!$D$8,$CT65&gt;=AI$41),1,0)</f>
        <v>0</v>
      </c>
      <c r="AJ65" s="36">
        <f>IF(AND($B65&gt;=InputTrianglesCount!$D$8,$CT65&gt;=AJ$41),1,0)</f>
        <v>0</v>
      </c>
      <c r="AK65" s="36">
        <f>IF(AND($B65&gt;=InputTrianglesCount!$D$8,$CT65&gt;=AK$41),1,0)</f>
        <v>0</v>
      </c>
      <c r="AL65" s="36">
        <f>IF(AND($B65&gt;=InputTrianglesCount!$D$8,$CT65&gt;=AL$41),1,0)</f>
        <v>0</v>
      </c>
      <c r="AM65" s="36">
        <f>IF(AND($B65&gt;=InputTrianglesCount!$D$8,$CT65&gt;=AM$41),1,0)</f>
        <v>0</v>
      </c>
      <c r="AN65" s="36">
        <f>IF(AND($B65&gt;=InputTrianglesCount!$D$8,$CT65&gt;=AN$41),1,0)</f>
        <v>0</v>
      </c>
      <c r="AO65" s="36">
        <f>IF(AND($B65&gt;=InputTrianglesCount!$D$8,$CT65&gt;=AO$41),1,0)</f>
        <v>0</v>
      </c>
      <c r="AP65" s="36">
        <f>IF(AND($B65&gt;=InputTrianglesCount!$D$8,$CT65&gt;=AP$41),1,0)</f>
        <v>0</v>
      </c>
      <c r="AQ65" s="36">
        <f>IF(AND($B65&gt;=InputTrianglesCount!$D$8,$CT65&gt;=AQ$41),1,0)</f>
        <v>0</v>
      </c>
      <c r="AR65" s="36">
        <f>IF(AND($B65&gt;=InputTrianglesCount!$D$8,$CT65&gt;=AR$41),1,0)</f>
        <v>0</v>
      </c>
      <c r="AS65" s="36">
        <f>IF(AND($B65&gt;=InputTrianglesCount!$D$8,$CT65&gt;=AS$41),1,0)</f>
        <v>0</v>
      </c>
      <c r="AT65" s="36">
        <f>IF(AND($B65&gt;=InputTrianglesCount!$D$8,$CT65&gt;=AT$41),1,0)</f>
        <v>0</v>
      </c>
      <c r="AU65" s="36">
        <f>IF(AND($B65&gt;=InputTrianglesCount!$D$8,$CT65&gt;=AU$41),1,0)</f>
        <v>0</v>
      </c>
      <c r="AV65" s="36">
        <f>IF(AND($B65&gt;=InputTrianglesCount!$D$8,$CT65&gt;=AV$41),1,0)</f>
        <v>0</v>
      </c>
      <c r="AW65" s="36">
        <f>IF(AND($B65&gt;=InputTrianglesCount!$D$8,$CT65&gt;=AW$41),1,0)</f>
        <v>0</v>
      </c>
      <c r="AX65" s="36">
        <f>IF(AND($B65&gt;=InputTrianglesCount!$D$8,$CT65&gt;=AX$41),1,0)</f>
        <v>0</v>
      </c>
      <c r="AY65" s="36">
        <f>IF(AND($B65&gt;=InputTrianglesCount!$D$8,$CT65&gt;=AY$41),1,0)</f>
        <v>0</v>
      </c>
      <c r="AZ65" s="36">
        <f>IF(AND($B65&gt;=InputTrianglesCount!$D$8,$CT65&gt;=AZ$41),1,0)</f>
        <v>0</v>
      </c>
      <c r="BA65" s="36">
        <f>IF(AND($B65&gt;=InputTrianglesCount!$D$8,$CT65&gt;=BA$41),1,0)</f>
        <v>0</v>
      </c>
      <c r="BB65" s="36">
        <f>IF(AND($B65&gt;=InputTrianglesCount!$D$8,$CT65&gt;=BB$41),1,0)</f>
        <v>0</v>
      </c>
      <c r="BC65" s="36">
        <f>IF(AND($B65&gt;=InputTrianglesCount!$D$8,$CT65&gt;=BC$41),1,0)</f>
        <v>0</v>
      </c>
      <c r="BD65" s="36">
        <f>IF(AND($B65&gt;=InputTrianglesCount!$D$8,$CT65&gt;=BD$41),1,0)</f>
        <v>0</v>
      </c>
      <c r="BE65" s="36">
        <f>IF(AND($B65&gt;=InputTrianglesCount!$D$8,$CT65&gt;=BE$41),1,0)</f>
        <v>0</v>
      </c>
      <c r="BF65" s="36">
        <f>IF(AND($B65&gt;=InputTrianglesCount!$D$8,$CT65&gt;=BF$41),1,0)</f>
        <v>0</v>
      </c>
      <c r="BG65" s="36">
        <f>IF(AND($B65&gt;=InputTrianglesCount!$D$8,$CT65&gt;=BG$41),1,0)</f>
        <v>0</v>
      </c>
      <c r="BH65" s="36">
        <f>IF(AND($B65&gt;=InputTrianglesCount!$D$8,$CT65&gt;=BH$41),1,0)</f>
        <v>0</v>
      </c>
      <c r="BI65" s="36">
        <f>IF(AND($B65&gt;=InputTrianglesCount!$D$8,$CT65&gt;=BI$41),1,0)</f>
        <v>0</v>
      </c>
      <c r="BJ65" s="36">
        <f>IF(AND($B65&gt;=InputTrianglesCount!$D$8,$CT65&gt;=BJ$41),1,0)</f>
        <v>0</v>
      </c>
      <c r="BK65" s="36">
        <f>IF(AND($B65&gt;=InputTrianglesCount!$D$8,$CT65&gt;=BK$41),1,0)</f>
        <v>0</v>
      </c>
      <c r="BL65" s="36">
        <f>IF(AND($B65&gt;=InputTrianglesCount!$D$8,$CT65&gt;=BL$41),1,0)</f>
        <v>0</v>
      </c>
      <c r="BM65" s="36">
        <f>IF(AND($B65&gt;=InputTrianglesCount!$D$8,$CT65&gt;=BM$41),1,0)</f>
        <v>0</v>
      </c>
      <c r="BN65" s="36">
        <f>IF(AND($B65&gt;=InputTrianglesCount!$D$8,$CT65&gt;=BN$41),1,0)</f>
        <v>0</v>
      </c>
      <c r="BO65" s="36">
        <f>IF(AND($B65&gt;=InputTrianglesCount!$D$8,$CT65&gt;=BO$41),1,0)</f>
        <v>0</v>
      </c>
      <c r="BP65" s="36">
        <f>IF(AND($B65&gt;=InputTrianglesCount!$D$8,$CT65&gt;=BP$41),1,0)</f>
        <v>0</v>
      </c>
      <c r="BQ65" s="36">
        <f>IF(AND($B65&gt;=InputTrianglesCount!$D$8,$CT65&gt;=BQ$41),1,0)</f>
        <v>0</v>
      </c>
      <c r="BR65" s="36">
        <f>IF(AND($B65&gt;=InputTrianglesCount!$D$8,$CT65&gt;=BR$41),1,0)</f>
        <v>0</v>
      </c>
      <c r="BS65" s="36">
        <f>IF(AND($B65&gt;=InputTrianglesCount!$D$8,$CT65&gt;=BS$41),1,0)</f>
        <v>0</v>
      </c>
      <c r="BT65" s="36">
        <f>IF(AND($B65&gt;=InputTrianglesCount!$D$8,$CT65&gt;=BT$41),1,0)</f>
        <v>0</v>
      </c>
      <c r="BU65" s="36">
        <f>IF(AND($B65&gt;=InputTrianglesCount!$D$8,$CT65&gt;=BU$41),1,0)</f>
        <v>0</v>
      </c>
      <c r="BV65" s="36">
        <f>IF(AND($B65&gt;=InputTrianglesCount!$D$8,$CT65&gt;=BV$41),1,0)</f>
        <v>0</v>
      </c>
      <c r="BW65" s="36">
        <f>IF(AND($B65&gt;=InputTrianglesCount!$D$8,$CT65&gt;=BW$41),1,0)</f>
        <v>0</v>
      </c>
      <c r="BX65" s="36">
        <f>IF(AND($B65&gt;=InputTrianglesCount!$D$8,$CT65&gt;=BX$41),1,0)</f>
        <v>0</v>
      </c>
      <c r="BY65" s="36">
        <f>IF(AND($B65&gt;=InputTrianglesCount!$D$8,$CT65&gt;=BY$41),1,0)</f>
        <v>0</v>
      </c>
      <c r="BZ65" s="36">
        <f>IF(AND($B65&gt;=InputTrianglesCount!$D$8,$CT65&gt;=BZ$41),1,0)</f>
        <v>0</v>
      </c>
      <c r="CA65" s="36">
        <f>IF(AND($B65&gt;=InputTrianglesCount!$D$8,$CT65&gt;=CA$41),1,0)</f>
        <v>0</v>
      </c>
      <c r="CB65" s="36">
        <f>IF(AND($B65&gt;=InputTrianglesCount!$D$8,$CT65&gt;=CB$41),1,0)</f>
        <v>0</v>
      </c>
      <c r="CC65" s="36">
        <f>IF(AND($B65&gt;=InputTrianglesCount!$D$8,$CT65&gt;=CC$41),1,0)</f>
        <v>0</v>
      </c>
      <c r="CD65" s="36">
        <f>IF(AND($B65&gt;=InputTrianglesCount!$D$8,$CT65&gt;=CD$41),1,0)</f>
        <v>0</v>
      </c>
      <c r="CE65" s="36">
        <f>IF(AND($B65&gt;=InputTrianglesCount!$D$8,$CT65&gt;=CE$41),1,0)</f>
        <v>0</v>
      </c>
      <c r="CF65" s="36">
        <f>IF(AND($B65&gt;=InputTrianglesCount!$D$8,$CT65&gt;=CF$41),1,0)</f>
        <v>0</v>
      </c>
      <c r="CG65" s="36">
        <f>IF(AND($B65&gt;=InputTrianglesCount!$D$8,$CT65&gt;=CG$41),1,0)</f>
        <v>0</v>
      </c>
      <c r="CH65" s="36">
        <f>IF(AND($B65&gt;=InputTrianglesCount!$D$8,$CT65&gt;=CH$41),1,0)</f>
        <v>0</v>
      </c>
      <c r="CI65" s="36">
        <f>IF(AND($B65&gt;=InputTrianglesCount!$D$8,$CT65&gt;=CI$41),1,0)</f>
        <v>0</v>
      </c>
      <c r="CJ65" s="36">
        <f>IF(AND($B65&gt;=InputTrianglesCount!$D$8,$CT65&gt;=CJ$41),1,0)</f>
        <v>0</v>
      </c>
      <c r="CK65" s="36">
        <f>IF(AND($B65&gt;=InputTrianglesCount!$D$8,$CT65&gt;=CK$41),1,0)</f>
        <v>0</v>
      </c>
      <c r="CL65" s="36">
        <f>IF(AND($B65&gt;=InputTrianglesCount!$D$8,$CT65&gt;=CL$41),1,0)</f>
        <v>0</v>
      </c>
      <c r="CM65" s="36">
        <f>IF(AND($B65&gt;=InputTrianglesCount!$D$8,$CT65&gt;=CM$41),1,0)</f>
        <v>0</v>
      </c>
      <c r="CN65" s="36">
        <f>IF(AND($B65&gt;=InputTrianglesCount!$D$8,$CT65&gt;=CN$41),1,0)</f>
        <v>0</v>
      </c>
      <c r="CO65" s="36">
        <f>IF(AND($B65&gt;=InputTrianglesCount!$D$8,$CT65&gt;=CO$41),1,0)</f>
        <v>0</v>
      </c>
      <c r="CP65" s="36">
        <f>IF(AND($B65&gt;=InputTrianglesCount!$D$8,$CT65&gt;=CP$41),1,0)</f>
        <v>0</v>
      </c>
      <c r="CQ65" s="36">
        <f>IF(AND($B65&gt;=InputTrianglesCount!$D$8,$CT65&gt;=CQ$41),1,0)</f>
        <v>0</v>
      </c>
      <c r="CR65" s="36">
        <f>IF(AND($B65&gt;=InputTrianglesCount!$D$8,$CT65&gt;=CR$41),1,0)</f>
        <v>0</v>
      </c>
      <c r="CS65" s="37">
        <f>IF(AND($B65&gt;=InputTrianglesCount!$D$8,$CT65&gt;=CS$41),1,0)</f>
        <v>0</v>
      </c>
      <c r="CT65" s="80">
        <f>($D$9-InputTrianglesCount!$B65)*InputTrianglesCount!$E$4+$D$6</f>
        <v>1</v>
      </c>
    </row>
    <row r="66" spans="1:103" hidden="1" x14ac:dyDescent="0.25">
      <c r="A66" s="97">
        <v>0</v>
      </c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</row>
    <row r="67" spans="1:103" ht="18.75" x14ac:dyDescent="0.3">
      <c r="A67" s="182">
        <v>1</v>
      </c>
      <c r="B67" s="184" t="s">
        <v>1</v>
      </c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83"/>
      <c r="BG67" s="183"/>
      <c r="BH67" s="183"/>
      <c r="BI67" s="183"/>
      <c r="BJ67" s="183"/>
      <c r="BK67" s="183"/>
      <c r="BL67" s="183"/>
      <c r="BM67" s="183"/>
      <c r="BN67" s="183"/>
      <c r="BO67" s="183"/>
      <c r="BP67" s="183"/>
      <c r="BQ67" s="183"/>
      <c r="BR67" s="183"/>
      <c r="BS67" s="183"/>
      <c r="BT67" s="183"/>
      <c r="BU67" s="183"/>
      <c r="BV67" s="183"/>
      <c r="BW67" s="183"/>
      <c r="BX67" s="183"/>
      <c r="BY67" s="183"/>
      <c r="BZ67" s="183"/>
      <c r="CA67" s="183"/>
      <c r="CB67" s="183"/>
      <c r="CC67" s="183"/>
      <c r="CD67" s="183"/>
      <c r="CE67" s="183"/>
      <c r="CF67" s="183"/>
      <c r="CG67" s="183"/>
      <c r="CH67" s="183"/>
      <c r="CI67" s="183"/>
      <c r="CJ67" s="183"/>
      <c r="CK67" s="183"/>
      <c r="CL67" s="183"/>
      <c r="CM67" s="183"/>
      <c r="CN67" s="183"/>
      <c r="CO67" s="183"/>
      <c r="CP67" s="183"/>
      <c r="CQ67" s="183"/>
      <c r="CR67" s="183"/>
      <c r="CS67" s="183"/>
      <c r="CT67" s="183"/>
      <c r="CU67" s="183"/>
      <c r="CV67" s="183"/>
      <c r="CW67" s="183"/>
    </row>
    <row r="68" spans="1:103" x14ac:dyDescent="0.25">
      <c r="A68" s="97">
        <v>1</v>
      </c>
      <c r="B68" s="89" t="s">
        <v>2</v>
      </c>
      <c r="C68" s="156"/>
      <c r="D68" s="157" t="str">
        <f t="shared" ref="D68:BO68" si="8">D13&amp;" / "&amp;C13</f>
        <v>2 / 1</v>
      </c>
      <c r="E68" s="157" t="str">
        <f t="shared" si="8"/>
        <v>3 / 2</v>
      </c>
      <c r="F68" s="157" t="str">
        <f t="shared" si="8"/>
        <v>4 / 3</v>
      </c>
      <c r="G68" s="157" t="str">
        <f t="shared" si="8"/>
        <v>5 / 4</v>
      </c>
      <c r="H68" s="157" t="str">
        <f t="shared" si="8"/>
        <v>6 / 5</v>
      </c>
      <c r="I68" s="157" t="str">
        <f t="shared" si="8"/>
        <v>7 / 6</v>
      </c>
      <c r="J68" s="157" t="str">
        <f t="shared" si="8"/>
        <v>8 / 7</v>
      </c>
      <c r="K68" s="157" t="str">
        <f t="shared" si="8"/>
        <v>9 / 8</v>
      </c>
      <c r="L68" s="157" t="str">
        <f t="shared" si="8"/>
        <v>10 / 9</v>
      </c>
      <c r="M68" s="157" t="str">
        <f t="shared" si="8"/>
        <v>11 / 10</v>
      </c>
      <c r="N68" s="157" t="str">
        <f t="shared" si="8"/>
        <v>12 / 11</v>
      </c>
      <c r="O68" s="157" t="str">
        <f t="shared" si="8"/>
        <v>13 / 12</v>
      </c>
      <c r="P68" s="157" t="str">
        <f t="shared" si="8"/>
        <v>14 / 13</v>
      </c>
      <c r="Q68" s="157" t="str">
        <f t="shared" si="8"/>
        <v>15 / 14</v>
      </c>
      <c r="R68" s="157" t="str">
        <f t="shared" si="8"/>
        <v>16 / 15</v>
      </c>
      <c r="S68" s="157" t="str">
        <f t="shared" si="8"/>
        <v>17 / 16</v>
      </c>
      <c r="T68" s="157" t="str">
        <f t="shared" si="8"/>
        <v>18 / 17</v>
      </c>
      <c r="U68" s="157" t="str">
        <f t="shared" si="8"/>
        <v>19 / 18</v>
      </c>
      <c r="V68" s="157" t="str">
        <f t="shared" si="8"/>
        <v>20 / 19</v>
      </c>
      <c r="W68" s="157" t="str">
        <f t="shared" si="8"/>
        <v>21 / 20</v>
      </c>
      <c r="X68" s="157" t="str">
        <f t="shared" si="8"/>
        <v>22 / 21</v>
      </c>
      <c r="Y68" s="157" t="str">
        <f t="shared" si="8"/>
        <v>23 / 22</v>
      </c>
      <c r="Z68" s="157" t="str">
        <f t="shared" si="8"/>
        <v>24 / 23</v>
      </c>
      <c r="AA68" s="157" t="str">
        <f t="shared" si="8"/>
        <v>25 / 24</v>
      </c>
      <c r="AB68" s="157" t="str">
        <f t="shared" si="8"/>
        <v>26 / 25</v>
      </c>
      <c r="AC68" s="157" t="str">
        <f t="shared" si="8"/>
        <v>27 / 26</v>
      </c>
      <c r="AD68" s="157" t="str">
        <f t="shared" si="8"/>
        <v>28 / 27</v>
      </c>
      <c r="AE68" s="157" t="str">
        <f t="shared" si="8"/>
        <v>29 / 28</v>
      </c>
      <c r="AF68" s="157" t="str">
        <f t="shared" si="8"/>
        <v>30 / 29</v>
      </c>
      <c r="AG68" s="157" t="str">
        <f t="shared" si="8"/>
        <v>31 / 30</v>
      </c>
      <c r="AH68" s="157" t="str">
        <f t="shared" si="8"/>
        <v>32 / 31</v>
      </c>
      <c r="AI68" s="157" t="str">
        <f t="shared" si="8"/>
        <v>33 / 32</v>
      </c>
      <c r="AJ68" s="157" t="str">
        <f t="shared" si="8"/>
        <v>34 / 33</v>
      </c>
      <c r="AK68" s="157" t="str">
        <f t="shared" si="8"/>
        <v>35 / 34</v>
      </c>
      <c r="AL68" s="157" t="str">
        <f t="shared" si="8"/>
        <v>36 / 35</v>
      </c>
      <c r="AM68" s="157" t="str">
        <f t="shared" si="8"/>
        <v>37 / 36</v>
      </c>
      <c r="AN68" s="157" t="str">
        <f t="shared" si="8"/>
        <v>38 / 37</v>
      </c>
      <c r="AO68" s="157" t="str">
        <f t="shared" si="8"/>
        <v>39 / 38</v>
      </c>
      <c r="AP68" s="157" t="str">
        <f t="shared" si="8"/>
        <v>40 / 39</v>
      </c>
      <c r="AQ68" s="157" t="str">
        <f t="shared" si="8"/>
        <v>41 / 40</v>
      </c>
      <c r="AR68" s="157" t="str">
        <f t="shared" si="8"/>
        <v>42 / 41</v>
      </c>
      <c r="AS68" s="157" t="str">
        <f t="shared" si="8"/>
        <v>43 / 42</v>
      </c>
      <c r="AT68" s="157" t="str">
        <f t="shared" si="8"/>
        <v>44 / 43</v>
      </c>
      <c r="AU68" s="157" t="str">
        <f t="shared" si="8"/>
        <v>45 / 44</v>
      </c>
      <c r="AV68" s="157" t="str">
        <f t="shared" si="8"/>
        <v>46 / 45</v>
      </c>
      <c r="AW68" s="157" t="str">
        <f t="shared" si="8"/>
        <v>47 / 46</v>
      </c>
      <c r="AX68" s="157" t="str">
        <f t="shared" si="8"/>
        <v>48 / 47</v>
      </c>
      <c r="AY68" s="157" t="str">
        <f t="shared" si="8"/>
        <v>49 / 48</v>
      </c>
      <c r="AZ68" s="157" t="str">
        <f t="shared" si="8"/>
        <v>50 / 49</v>
      </c>
      <c r="BA68" s="157" t="str">
        <f t="shared" si="8"/>
        <v>51 / 50</v>
      </c>
      <c r="BB68" s="157" t="str">
        <f t="shared" si="8"/>
        <v>52 / 51</v>
      </c>
      <c r="BC68" s="157" t="str">
        <f t="shared" si="8"/>
        <v>53 / 52</v>
      </c>
      <c r="BD68" s="157" t="str">
        <f t="shared" si="8"/>
        <v>54 / 53</v>
      </c>
      <c r="BE68" s="157" t="str">
        <f t="shared" si="8"/>
        <v>55 / 54</v>
      </c>
      <c r="BF68" s="157" t="str">
        <f t="shared" si="8"/>
        <v>56 / 55</v>
      </c>
      <c r="BG68" s="157" t="str">
        <f t="shared" si="8"/>
        <v>57 / 56</v>
      </c>
      <c r="BH68" s="157" t="str">
        <f t="shared" si="8"/>
        <v>58 / 57</v>
      </c>
      <c r="BI68" s="157" t="str">
        <f t="shared" si="8"/>
        <v>59 / 58</v>
      </c>
      <c r="BJ68" s="157" t="str">
        <f t="shared" si="8"/>
        <v>60 / 59</v>
      </c>
      <c r="BK68" s="157" t="str">
        <f t="shared" si="8"/>
        <v>61 / 60</v>
      </c>
      <c r="BL68" s="157" t="str">
        <f t="shared" si="8"/>
        <v>62 / 61</v>
      </c>
      <c r="BM68" s="157" t="str">
        <f t="shared" si="8"/>
        <v>63 / 62</v>
      </c>
      <c r="BN68" s="157" t="str">
        <f t="shared" si="8"/>
        <v>64 / 63</v>
      </c>
      <c r="BO68" s="157" t="str">
        <f t="shared" si="8"/>
        <v>65 / 64</v>
      </c>
      <c r="BP68" s="157" t="str">
        <f t="shared" ref="BP68:CS68" si="9">BP13&amp;" / "&amp;BO13</f>
        <v>66 / 65</v>
      </c>
      <c r="BQ68" s="157" t="str">
        <f t="shared" si="9"/>
        <v>67 / 66</v>
      </c>
      <c r="BR68" s="157" t="str">
        <f t="shared" si="9"/>
        <v>68 / 67</v>
      </c>
      <c r="BS68" s="157" t="str">
        <f t="shared" si="9"/>
        <v>69 / 68</v>
      </c>
      <c r="BT68" s="157" t="str">
        <f t="shared" si="9"/>
        <v>70 / 69</v>
      </c>
      <c r="BU68" s="157" t="str">
        <f t="shared" si="9"/>
        <v>71 / 70</v>
      </c>
      <c r="BV68" s="157" t="str">
        <f t="shared" si="9"/>
        <v>72 / 71</v>
      </c>
      <c r="BW68" s="157" t="str">
        <f t="shared" si="9"/>
        <v>73 / 72</v>
      </c>
      <c r="BX68" s="157" t="str">
        <f t="shared" si="9"/>
        <v>74 / 73</v>
      </c>
      <c r="BY68" s="157" t="str">
        <f t="shared" si="9"/>
        <v>75 / 74</v>
      </c>
      <c r="BZ68" s="157" t="str">
        <f t="shared" si="9"/>
        <v>76 / 75</v>
      </c>
      <c r="CA68" s="157" t="str">
        <f t="shared" si="9"/>
        <v>77 / 76</v>
      </c>
      <c r="CB68" s="157" t="str">
        <f t="shared" si="9"/>
        <v>78 / 77</v>
      </c>
      <c r="CC68" s="157" t="str">
        <f t="shared" si="9"/>
        <v>79 / 78</v>
      </c>
      <c r="CD68" s="157" t="str">
        <f t="shared" si="9"/>
        <v>80 / 79</v>
      </c>
      <c r="CE68" s="157" t="str">
        <f t="shared" si="9"/>
        <v>81 / 80</v>
      </c>
      <c r="CF68" s="157" t="str">
        <f t="shared" si="9"/>
        <v>82 / 81</v>
      </c>
      <c r="CG68" s="157" t="str">
        <f t="shared" si="9"/>
        <v>83 / 82</v>
      </c>
      <c r="CH68" s="157" t="str">
        <f t="shared" si="9"/>
        <v>84 / 83</v>
      </c>
      <c r="CI68" s="157" t="str">
        <f t="shared" si="9"/>
        <v>85 / 84</v>
      </c>
      <c r="CJ68" s="157" t="str">
        <f t="shared" si="9"/>
        <v>86 / 85</v>
      </c>
      <c r="CK68" s="157" t="str">
        <f t="shared" si="9"/>
        <v>87 / 86</v>
      </c>
      <c r="CL68" s="157" t="str">
        <f t="shared" si="9"/>
        <v>88 / 87</v>
      </c>
      <c r="CM68" s="157" t="str">
        <f t="shared" si="9"/>
        <v>89 / 88</v>
      </c>
      <c r="CN68" s="157" t="str">
        <f t="shared" si="9"/>
        <v>90 / 89</v>
      </c>
      <c r="CO68" s="157" t="str">
        <f t="shared" si="9"/>
        <v>91 / 90</v>
      </c>
      <c r="CP68" s="157" t="str">
        <f t="shared" si="9"/>
        <v>92 / 91</v>
      </c>
      <c r="CQ68" s="157" t="str">
        <f t="shared" si="9"/>
        <v>93 / 92</v>
      </c>
      <c r="CR68" s="157" t="str">
        <f t="shared" si="9"/>
        <v>94 / 93</v>
      </c>
      <c r="CS68" s="157" t="str">
        <f t="shared" si="9"/>
        <v>95 / 94</v>
      </c>
      <c r="CT68" s="224" t="s">
        <v>54</v>
      </c>
      <c r="CU68" s="82"/>
      <c r="CV68" s="82"/>
      <c r="CW68" s="12"/>
    </row>
    <row r="69" spans="1:103" hidden="1" x14ac:dyDescent="0.25">
      <c r="A69" s="97">
        <f>A14</f>
        <v>0</v>
      </c>
      <c r="B69" s="31">
        <f>B14</f>
        <v>1996</v>
      </c>
      <c r="C69" s="158"/>
      <c r="D69" s="159" t="str">
        <f t="shared" ref="D69:BO72" si="10">IFERROR(IF(D42=1,D14/C14,""),"")</f>
        <v/>
      </c>
      <c r="E69" s="159" t="str">
        <f t="shared" si="10"/>
        <v/>
      </c>
      <c r="F69" s="159" t="str">
        <f t="shared" si="10"/>
        <v/>
      </c>
      <c r="G69" s="159" t="str">
        <f t="shared" si="10"/>
        <v/>
      </c>
      <c r="H69" s="159" t="str">
        <f t="shared" si="10"/>
        <v/>
      </c>
      <c r="I69" s="159" t="str">
        <f t="shared" si="10"/>
        <v/>
      </c>
      <c r="J69" s="159" t="str">
        <f t="shared" si="10"/>
        <v/>
      </c>
      <c r="K69" s="159" t="str">
        <f t="shared" si="10"/>
        <v/>
      </c>
      <c r="L69" s="159" t="str">
        <f t="shared" si="10"/>
        <v/>
      </c>
      <c r="M69" s="159" t="str">
        <f t="shared" si="10"/>
        <v/>
      </c>
      <c r="N69" s="159" t="str">
        <f t="shared" si="10"/>
        <v/>
      </c>
      <c r="O69" s="159" t="str">
        <f t="shared" si="10"/>
        <v/>
      </c>
      <c r="P69" s="159" t="str">
        <f t="shared" si="10"/>
        <v/>
      </c>
      <c r="Q69" s="159" t="str">
        <f t="shared" si="10"/>
        <v/>
      </c>
      <c r="R69" s="159" t="str">
        <f t="shared" si="10"/>
        <v/>
      </c>
      <c r="S69" s="159" t="str">
        <f t="shared" si="10"/>
        <v/>
      </c>
      <c r="T69" s="159" t="str">
        <f t="shared" si="10"/>
        <v/>
      </c>
      <c r="U69" s="159" t="str">
        <f t="shared" si="10"/>
        <v/>
      </c>
      <c r="V69" s="159" t="str">
        <f t="shared" si="10"/>
        <v/>
      </c>
      <c r="W69" s="159" t="str">
        <f t="shared" si="10"/>
        <v/>
      </c>
      <c r="X69" s="159" t="str">
        <f t="shared" si="10"/>
        <v/>
      </c>
      <c r="Y69" s="159" t="str">
        <f t="shared" si="10"/>
        <v/>
      </c>
      <c r="Z69" s="159" t="str">
        <f t="shared" si="10"/>
        <v/>
      </c>
      <c r="AA69" s="159" t="str">
        <f t="shared" si="10"/>
        <v/>
      </c>
      <c r="AB69" s="159" t="str">
        <f t="shared" si="10"/>
        <v/>
      </c>
      <c r="AC69" s="159" t="str">
        <f t="shared" si="10"/>
        <v/>
      </c>
      <c r="AD69" s="159" t="str">
        <f t="shared" si="10"/>
        <v/>
      </c>
      <c r="AE69" s="159" t="str">
        <f t="shared" si="10"/>
        <v/>
      </c>
      <c r="AF69" s="159" t="str">
        <f t="shared" si="10"/>
        <v/>
      </c>
      <c r="AG69" s="159" t="str">
        <f t="shared" si="10"/>
        <v/>
      </c>
      <c r="AH69" s="159" t="str">
        <f t="shared" si="10"/>
        <v/>
      </c>
      <c r="AI69" s="159" t="str">
        <f t="shared" si="10"/>
        <v/>
      </c>
      <c r="AJ69" s="159" t="str">
        <f t="shared" si="10"/>
        <v/>
      </c>
      <c r="AK69" s="159" t="str">
        <f t="shared" si="10"/>
        <v/>
      </c>
      <c r="AL69" s="159" t="str">
        <f t="shared" si="10"/>
        <v/>
      </c>
      <c r="AM69" s="159" t="str">
        <f t="shared" si="10"/>
        <v/>
      </c>
      <c r="AN69" s="159" t="str">
        <f t="shared" si="10"/>
        <v/>
      </c>
      <c r="AO69" s="159" t="str">
        <f t="shared" si="10"/>
        <v/>
      </c>
      <c r="AP69" s="159" t="str">
        <f t="shared" si="10"/>
        <v/>
      </c>
      <c r="AQ69" s="159" t="str">
        <f t="shared" si="10"/>
        <v/>
      </c>
      <c r="AR69" s="159" t="str">
        <f t="shared" si="10"/>
        <v/>
      </c>
      <c r="AS69" s="159" t="str">
        <f t="shared" si="10"/>
        <v/>
      </c>
      <c r="AT69" s="159" t="str">
        <f t="shared" si="10"/>
        <v/>
      </c>
      <c r="AU69" s="159" t="str">
        <f t="shared" si="10"/>
        <v/>
      </c>
      <c r="AV69" s="159" t="str">
        <f t="shared" si="10"/>
        <v/>
      </c>
      <c r="AW69" s="159" t="str">
        <f t="shared" si="10"/>
        <v/>
      </c>
      <c r="AX69" s="159" t="str">
        <f t="shared" si="10"/>
        <v/>
      </c>
      <c r="AY69" s="159" t="str">
        <f t="shared" si="10"/>
        <v/>
      </c>
      <c r="AZ69" s="159" t="str">
        <f t="shared" si="10"/>
        <v/>
      </c>
      <c r="BA69" s="159" t="str">
        <f t="shared" si="10"/>
        <v/>
      </c>
      <c r="BB69" s="159" t="str">
        <f t="shared" si="10"/>
        <v/>
      </c>
      <c r="BC69" s="159" t="str">
        <f t="shared" si="10"/>
        <v/>
      </c>
      <c r="BD69" s="159" t="str">
        <f t="shared" si="10"/>
        <v/>
      </c>
      <c r="BE69" s="159" t="str">
        <f t="shared" si="10"/>
        <v/>
      </c>
      <c r="BF69" s="159" t="str">
        <f t="shared" si="10"/>
        <v/>
      </c>
      <c r="BG69" s="159" t="str">
        <f t="shared" si="10"/>
        <v/>
      </c>
      <c r="BH69" s="159" t="str">
        <f t="shared" si="10"/>
        <v/>
      </c>
      <c r="BI69" s="159" t="str">
        <f t="shared" si="10"/>
        <v/>
      </c>
      <c r="BJ69" s="159" t="str">
        <f t="shared" si="10"/>
        <v/>
      </c>
      <c r="BK69" s="159" t="str">
        <f t="shared" si="10"/>
        <v/>
      </c>
      <c r="BL69" s="159" t="str">
        <f t="shared" si="10"/>
        <v/>
      </c>
      <c r="BM69" s="159" t="str">
        <f t="shared" si="10"/>
        <v/>
      </c>
      <c r="BN69" s="159" t="str">
        <f t="shared" si="10"/>
        <v/>
      </c>
      <c r="BO69" s="159" t="str">
        <f t="shared" si="10"/>
        <v/>
      </c>
      <c r="BP69" s="159" t="str">
        <f t="shared" ref="BP69:CS77" si="11">IFERROR(IF(BP42=1,BP14/BO14,""),"")</f>
        <v/>
      </c>
      <c r="BQ69" s="159" t="str">
        <f t="shared" si="11"/>
        <v/>
      </c>
      <c r="BR69" s="159" t="str">
        <f t="shared" si="11"/>
        <v/>
      </c>
      <c r="BS69" s="159" t="str">
        <f t="shared" si="11"/>
        <v/>
      </c>
      <c r="BT69" s="159" t="str">
        <f t="shared" si="11"/>
        <v/>
      </c>
      <c r="BU69" s="159" t="str">
        <f t="shared" si="11"/>
        <v/>
      </c>
      <c r="BV69" s="159" t="str">
        <f t="shared" si="11"/>
        <v/>
      </c>
      <c r="BW69" s="159" t="str">
        <f t="shared" si="11"/>
        <v/>
      </c>
      <c r="BX69" s="159" t="str">
        <f t="shared" si="11"/>
        <v/>
      </c>
      <c r="BY69" s="159" t="str">
        <f t="shared" si="11"/>
        <v/>
      </c>
      <c r="BZ69" s="159" t="str">
        <f t="shared" si="11"/>
        <v/>
      </c>
      <c r="CA69" s="159" t="str">
        <f t="shared" si="11"/>
        <v/>
      </c>
      <c r="CB69" s="159" t="str">
        <f t="shared" si="11"/>
        <v/>
      </c>
      <c r="CC69" s="159" t="str">
        <f t="shared" si="11"/>
        <v/>
      </c>
      <c r="CD69" s="159" t="str">
        <f t="shared" si="11"/>
        <v/>
      </c>
      <c r="CE69" s="159" t="str">
        <f t="shared" si="11"/>
        <v/>
      </c>
      <c r="CF69" s="159" t="str">
        <f t="shared" si="11"/>
        <v/>
      </c>
      <c r="CG69" s="159" t="str">
        <f t="shared" si="11"/>
        <v/>
      </c>
      <c r="CH69" s="159" t="str">
        <f t="shared" si="11"/>
        <v/>
      </c>
      <c r="CI69" s="159" t="str">
        <f t="shared" si="11"/>
        <v/>
      </c>
      <c r="CJ69" s="159" t="str">
        <f t="shared" si="11"/>
        <v/>
      </c>
      <c r="CK69" s="159" t="str">
        <f t="shared" si="11"/>
        <v/>
      </c>
      <c r="CL69" s="159" t="str">
        <f t="shared" si="11"/>
        <v/>
      </c>
      <c r="CM69" s="159" t="str">
        <f t="shared" si="11"/>
        <v/>
      </c>
      <c r="CN69" s="159" t="str">
        <f t="shared" si="11"/>
        <v/>
      </c>
      <c r="CO69" s="159" t="str">
        <f t="shared" si="11"/>
        <v/>
      </c>
      <c r="CP69" s="159" t="str">
        <f t="shared" si="11"/>
        <v/>
      </c>
      <c r="CQ69" s="159" t="str">
        <f t="shared" si="11"/>
        <v/>
      </c>
      <c r="CR69" s="159" t="str">
        <f t="shared" si="11"/>
        <v/>
      </c>
      <c r="CS69" s="159" t="str">
        <f t="shared" si="11"/>
        <v/>
      </c>
      <c r="CT69" s="225" t="s">
        <v>54</v>
      </c>
      <c r="CU69" s="83"/>
      <c r="CV69" s="83"/>
      <c r="CW69" s="12"/>
    </row>
    <row r="70" spans="1:103" hidden="1" x14ac:dyDescent="0.25">
      <c r="A70" s="97">
        <f t="shared" ref="A70:B85" si="12">A15</f>
        <v>0</v>
      </c>
      <c r="B70" s="31">
        <f t="shared" si="12"/>
        <v>1997</v>
      </c>
      <c r="C70" s="158"/>
      <c r="D70" s="159" t="str">
        <f t="shared" si="10"/>
        <v/>
      </c>
      <c r="E70" s="159" t="str">
        <f t="shared" si="10"/>
        <v/>
      </c>
      <c r="F70" s="159" t="str">
        <f t="shared" si="10"/>
        <v/>
      </c>
      <c r="G70" s="159" t="str">
        <f t="shared" si="10"/>
        <v/>
      </c>
      <c r="H70" s="159" t="str">
        <f t="shared" si="10"/>
        <v/>
      </c>
      <c r="I70" s="159" t="str">
        <f t="shared" si="10"/>
        <v/>
      </c>
      <c r="J70" s="159" t="str">
        <f t="shared" si="10"/>
        <v/>
      </c>
      <c r="K70" s="159" t="str">
        <f t="shared" si="10"/>
        <v/>
      </c>
      <c r="L70" s="159" t="str">
        <f t="shared" si="10"/>
        <v/>
      </c>
      <c r="M70" s="159" t="str">
        <f t="shared" si="10"/>
        <v/>
      </c>
      <c r="N70" s="159" t="str">
        <f t="shared" si="10"/>
        <v/>
      </c>
      <c r="O70" s="159" t="str">
        <f t="shared" si="10"/>
        <v/>
      </c>
      <c r="P70" s="159" t="str">
        <f t="shared" si="10"/>
        <v/>
      </c>
      <c r="Q70" s="159" t="str">
        <f t="shared" si="10"/>
        <v/>
      </c>
      <c r="R70" s="159" t="str">
        <f t="shared" si="10"/>
        <v/>
      </c>
      <c r="S70" s="159" t="str">
        <f t="shared" si="10"/>
        <v/>
      </c>
      <c r="T70" s="159" t="str">
        <f t="shared" si="10"/>
        <v/>
      </c>
      <c r="U70" s="159" t="str">
        <f t="shared" si="10"/>
        <v/>
      </c>
      <c r="V70" s="159" t="str">
        <f t="shared" si="10"/>
        <v/>
      </c>
      <c r="W70" s="159" t="str">
        <f t="shared" si="10"/>
        <v/>
      </c>
      <c r="X70" s="159" t="str">
        <f t="shared" si="10"/>
        <v/>
      </c>
      <c r="Y70" s="159" t="str">
        <f t="shared" si="10"/>
        <v/>
      </c>
      <c r="Z70" s="159" t="str">
        <f t="shared" si="10"/>
        <v/>
      </c>
      <c r="AA70" s="159" t="str">
        <f t="shared" si="10"/>
        <v/>
      </c>
      <c r="AB70" s="159" t="str">
        <f t="shared" si="10"/>
        <v/>
      </c>
      <c r="AC70" s="159" t="str">
        <f t="shared" si="10"/>
        <v/>
      </c>
      <c r="AD70" s="159" t="str">
        <f t="shared" si="10"/>
        <v/>
      </c>
      <c r="AE70" s="159" t="str">
        <f t="shared" si="10"/>
        <v/>
      </c>
      <c r="AF70" s="159" t="str">
        <f t="shared" si="10"/>
        <v/>
      </c>
      <c r="AG70" s="159" t="str">
        <f t="shared" si="10"/>
        <v/>
      </c>
      <c r="AH70" s="159" t="str">
        <f t="shared" si="10"/>
        <v/>
      </c>
      <c r="AI70" s="159" t="str">
        <f t="shared" si="10"/>
        <v/>
      </c>
      <c r="AJ70" s="159" t="str">
        <f t="shared" si="10"/>
        <v/>
      </c>
      <c r="AK70" s="159" t="str">
        <f t="shared" si="10"/>
        <v/>
      </c>
      <c r="AL70" s="159" t="str">
        <f t="shared" si="10"/>
        <v/>
      </c>
      <c r="AM70" s="159" t="str">
        <f t="shared" si="10"/>
        <v/>
      </c>
      <c r="AN70" s="159" t="str">
        <f t="shared" si="10"/>
        <v/>
      </c>
      <c r="AO70" s="159" t="str">
        <f t="shared" si="10"/>
        <v/>
      </c>
      <c r="AP70" s="159" t="str">
        <f t="shared" si="10"/>
        <v/>
      </c>
      <c r="AQ70" s="159" t="str">
        <f t="shared" si="10"/>
        <v/>
      </c>
      <c r="AR70" s="159" t="str">
        <f t="shared" si="10"/>
        <v/>
      </c>
      <c r="AS70" s="159" t="str">
        <f t="shared" si="10"/>
        <v/>
      </c>
      <c r="AT70" s="159" t="str">
        <f t="shared" si="10"/>
        <v/>
      </c>
      <c r="AU70" s="159" t="str">
        <f t="shared" si="10"/>
        <v/>
      </c>
      <c r="AV70" s="159" t="str">
        <f t="shared" si="10"/>
        <v/>
      </c>
      <c r="AW70" s="159" t="str">
        <f t="shared" si="10"/>
        <v/>
      </c>
      <c r="AX70" s="159" t="str">
        <f t="shared" si="10"/>
        <v/>
      </c>
      <c r="AY70" s="159" t="str">
        <f t="shared" si="10"/>
        <v/>
      </c>
      <c r="AZ70" s="159" t="str">
        <f t="shared" si="10"/>
        <v/>
      </c>
      <c r="BA70" s="159" t="str">
        <f t="shared" si="10"/>
        <v/>
      </c>
      <c r="BB70" s="159" t="str">
        <f t="shared" si="10"/>
        <v/>
      </c>
      <c r="BC70" s="159" t="str">
        <f t="shared" si="10"/>
        <v/>
      </c>
      <c r="BD70" s="159" t="str">
        <f t="shared" si="10"/>
        <v/>
      </c>
      <c r="BE70" s="159" t="str">
        <f t="shared" si="10"/>
        <v/>
      </c>
      <c r="BF70" s="159" t="str">
        <f t="shared" si="10"/>
        <v/>
      </c>
      <c r="BG70" s="159" t="str">
        <f t="shared" si="10"/>
        <v/>
      </c>
      <c r="BH70" s="159" t="str">
        <f t="shared" si="10"/>
        <v/>
      </c>
      <c r="BI70" s="159" t="str">
        <f t="shared" si="10"/>
        <v/>
      </c>
      <c r="BJ70" s="159" t="str">
        <f t="shared" si="10"/>
        <v/>
      </c>
      <c r="BK70" s="159" t="str">
        <f t="shared" si="10"/>
        <v/>
      </c>
      <c r="BL70" s="159" t="str">
        <f t="shared" si="10"/>
        <v/>
      </c>
      <c r="BM70" s="159" t="str">
        <f t="shared" si="10"/>
        <v/>
      </c>
      <c r="BN70" s="159" t="str">
        <f t="shared" si="10"/>
        <v/>
      </c>
      <c r="BO70" s="159" t="str">
        <f t="shared" si="10"/>
        <v/>
      </c>
      <c r="BP70" s="159" t="str">
        <f t="shared" si="11"/>
        <v/>
      </c>
      <c r="BQ70" s="159" t="str">
        <f t="shared" si="11"/>
        <v/>
      </c>
      <c r="BR70" s="159" t="str">
        <f t="shared" si="11"/>
        <v/>
      </c>
      <c r="BS70" s="159" t="str">
        <f t="shared" si="11"/>
        <v/>
      </c>
      <c r="BT70" s="159" t="str">
        <f t="shared" si="11"/>
        <v/>
      </c>
      <c r="BU70" s="159" t="str">
        <f t="shared" si="11"/>
        <v/>
      </c>
      <c r="BV70" s="159" t="str">
        <f t="shared" si="11"/>
        <v/>
      </c>
      <c r="BW70" s="159" t="str">
        <f t="shared" si="11"/>
        <v/>
      </c>
      <c r="BX70" s="159" t="str">
        <f t="shared" si="11"/>
        <v/>
      </c>
      <c r="BY70" s="159" t="str">
        <f t="shared" si="11"/>
        <v/>
      </c>
      <c r="BZ70" s="159" t="str">
        <f t="shared" si="11"/>
        <v/>
      </c>
      <c r="CA70" s="159" t="str">
        <f t="shared" si="11"/>
        <v/>
      </c>
      <c r="CB70" s="159" t="str">
        <f t="shared" si="11"/>
        <v/>
      </c>
      <c r="CC70" s="159" t="str">
        <f t="shared" si="11"/>
        <v/>
      </c>
      <c r="CD70" s="159" t="str">
        <f t="shared" si="11"/>
        <v/>
      </c>
      <c r="CE70" s="159" t="str">
        <f t="shared" si="11"/>
        <v/>
      </c>
      <c r="CF70" s="159" t="str">
        <f t="shared" si="11"/>
        <v/>
      </c>
      <c r="CG70" s="159" t="str">
        <f t="shared" si="11"/>
        <v/>
      </c>
      <c r="CH70" s="159" t="str">
        <f t="shared" si="11"/>
        <v/>
      </c>
      <c r="CI70" s="159" t="str">
        <f t="shared" si="11"/>
        <v/>
      </c>
      <c r="CJ70" s="159" t="str">
        <f t="shared" si="11"/>
        <v/>
      </c>
      <c r="CK70" s="159" t="str">
        <f t="shared" si="11"/>
        <v/>
      </c>
      <c r="CL70" s="159" t="str">
        <f t="shared" si="11"/>
        <v/>
      </c>
      <c r="CM70" s="159" t="str">
        <f t="shared" si="11"/>
        <v/>
      </c>
      <c r="CN70" s="159" t="str">
        <f t="shared" si="11"/>
        <v/>
      </c>
      <c r="CO70" s="159" t="str">
        <f t="shared" si="11"/>
        <v/>
      </c>
      <c r="CP70" s="159" t="str">
        <f t="shared" si="11"/>
        <v/>
      </c>
      <c r="CQ70" s="159" t="str">
        <f t="shared" si="11"/>
        <v/>
      </c>
      <c r="CR70" s="159" t="str">
        <f t="shared" si="11"/>
        <v/>
      </c>
      <c r="CS70" s="159" t="str">
        <f t="shared" si="11"/>
        <v/>
      </c>
      <c r="CT70" s="225" t="s">
        <v>54</v>
      </c>
      <c r="CU70" s="83"/>
      <c r="CV70" s="83"/>
      <c r="CW70" s="12"/>
    </row>
    <row r="71" spans="1:103" hidden="1" x14ac:dyDescent="0.25">
      <c r="A71" s="97">
        <f t="shared" si="12"/>
        <v>0</v>
      </c>
      <c r="B71" s="31">
        <f t="shared" si="12"/>
        <v>1998</v>
      </c>
      <c r="C71" s="158"/>
      <c r="D71" s="159" t="str">
        <f t="shared" si="10"/>
        <v/>
      </c>
      <c r="E71" s="159" t="str">
        <f t="shared" si="10"/>
        <v/>
      </c>
      <c r="F71" s="159" t="str">
        <f t="shared" si="10"/>
        <v/>
      </c>
      <c r="G71" s="159" t="str">
        <f t="shared" si="10"/>
        <v/>
      </c>
      <c r="H71" s="159" t="str">
        <f t="shared" si="10"/>
        <v/>
      </c>
      <c r="I71" s="159" t="str">
        <f t="shared" si="10"/>
        <v/>
      </c>
      <c r="J71" s="159" t="str">
        <f t="shared" si="10"/>
        <v/>
      </c>
      <c r="K71" s="159" t="str">
        <f t="shared" si="10"/>
        <v/>
      </c>
      <c r="L71" s="159" t="str">
        <f t="shared" si="10"/>
        <v/>
      </c>
      <c r="M71" s="159" t="str">
        <f t="shared" si="10"/>
        <v/>
      </c>
      <c r="N71" s="159" t="str">
        <f t="shared" si="10"/>
        <v/>
      </c>
      <c r="O71" s="159" t="str">
        <f t="shared" si="10"/>
        <v/>
      </c>
      <c r="P71" s="159" t="str">
        <f t="shared" si="10"/>
        <v/>
      </c>
      <c r="Q71" s="159" t="str">
        <f t="shared" si="10"/>
        <v/>
      </c>
      <c r="R71" s="159" t="str">
        <f t="shared" si="10"/>
        <v/>
      </c>
      <c r="S71" s="159" t="str">
        <f t="shared" si="10"/>
        <v/>
      </c>
      <c r="T71" s="159" t="str">
        <f t="shared" si="10"/>
        <v/>
      </c>
      <c r="U71" s="159" t="str">
        <f t="shared" si="10"/>
        <v/>
      </c>
      <c r="V71" s="159" t="str">
        <f t="shared" si="10"/>
        <v/>
      </c>
      <c r="W71" s="159" t="str">
        <f t="shared" si="10"/>
        <v/>
      </c>
      <c r="X71" s="159" t="str">
        <f t="shared" si="10"/>
        <v/>
      </c>
      <c r="Y71" s="159" t="str">
        <f t="shared" si="10"/>
        <v/>
      </c>
      <c r="Z71" s="159" t="str">
        <f t="shared" si="10"/>
        <v/>
      </c>
      <c r="AA71" s="159" t="str">
        <f t="shared" si="10"/>
        <v/>
      </c>
      <c r="AB71" s="159" t="str">
        <f t="shared" si="10"/>
        <v/>
      </c>
      <c r="AC71" s="159" t="str">
        <f t="shared" si="10"/>
        <v/>
      </c>
      <c r="AD71" s="159" t="str">
        <f t="shared" si="10"/>
        <v/>
      </c>
      <c r="AE71" s="159" t="str">
        <f t="shared" si="10"/>
        <v/>
      </c>
      <c r="AF71" s="159" t="str">
        <f t="shared" si="10"/>
        <v/>
      </c>
      <c r="AG71" s="159" t="str">
        <f t="shared" si="10"/>
        <v/>
      </c>
      <c r="AH71" s="159" t="str">
        <f t="shared" si="10"/>
        <v/>
      </c>
      <c r="AI71" s="159" t="str">
        <f t="shared" si="10"/>
        <v/>
      </c>
      <c r="AJ71" s="159" t="str">
        <f t="shared" si="10"/>
        <v/>
      </c>
      <c r="AK71" s="159" t="str">
        <f t="shared" si="10"/>
        <v/>
      </c>
      <c r="AL71" s="159" t="str">
        <f t="shared" si="10"/>
        <v/>
      </c>
      <c r="AM71" s="159" t="str">
        <f t="shared" si="10"/>
        <v/>
      </c>
      <c r="AN71" s="159" t="str">
        <f t="shared" si="10"/>
        <v/>
      </c>
      <c r="AO71" s="159" t="str">
        <f t="shared" si="10"/>
        <v/>
      </c>
      <c r="AP71" s="159" t="str">
        <f t="shared" si="10"/>
        <v/>
      </c>
      <c r="AQ71" s="159" t="str">
        <f t="shared" si="10"/>
        <v/>
      </c>
      <c r="AR71" s="159" t="str">
        <f t="shared" si="10"/>
        <v/>
      </c>
      <c r="AS71" s="159" t="str">
        <f t="shared" si="10"/>
        <v/>
      </c>
      <c r="AT71" s="159" t="str">
        <f t="shared" si="10"/>
        <v/>
      </c>
      <c r="AU71" s="159" t="str">
        <f t="shared" si="10"/>
        <v/>
      </c>
      <c r="AV71" s="159" t="str">
        <f t="shared" si="10"/>
        <v/>
      </c>
      <c r="AW71" s="159" t="str">
        <f t="shared" si="10"/>
        <v/>
      </c>
      <c r="AX71" s="159" t="str">
        <f t="shared" si="10"/>
        <v/>
      </c>
      <c r="AY71" s="159" t="str">
        <f t="shared" si="10"/>
        <v/>
      </c>
      <c r="AZ71" s="159" t="str">
        <f t="shared" si="10"/>
        <v/>
      </c>
      <c r="BA71" s="159" t="str">
        <f t="shared" si="10"/>
        <v/>
      </c>
      <c r="BB71" s="159" t="str">
        <f t="shared" si="10"/>
        <v/>
      </c>
      <c r="BC71" s="159" t="str">
        <f t="shared" si="10"/>
        <v/>
      </c>
      <c r="BD71" s="159" t="str">
        <f t="shared" si="10"/>
        <v/>
      </c>
      <c r="BE71" s="159" t="str">
        <f t="shared" si="10"/>
        <v/>
      </c>
      <c r="BF71" s="159" t="str">
        <f t="shared" si="10"/>
        <v/>
      </c>
      <c r="BG71" s="159" t="str">
        <f t="shared" si="10"/>
        <v/>
      </c>
      <c r="BH71" s="159" t="str">
        <f t="shared" si="10"/>
        <v/>
      </c>
      <c r="BI71" s="159" t="str">
        <f t="shared" si="10"/>
        <v/>
      </c>
      <c r="BJ71" s="159" t="str">
        <f t="shared" si="10"/>
        <v/>
      </c>
      <c r="BK71" s="159" t="str">
        <f t="shared" si="10"/>
        <v/>
      </c>
      <c r="BL71" s="159" t="str">
        <f t="shared" si="10"/>
        <v/>
      </c>
      <c r="BM71" s="159" t="str">
        <f t="shared" si="10"/>
        <v/>
      </c>
      <c r="BN71" s="159" t="str">
        <f t="shared" si="10"/>
        <v/>
      </c>
      <c r="BO71" s="159" t="str">
        <f t="shared" si="10"/>
        <v/>
      </c>
      <c r="BP71" s="159" t="str">
        <f t="shared" si="11"/>
        <v/>
      </c>
      <c r="BQ71" s="159" t="str">
        <f t="shared" si="11"/>
        <v/>
      </c>
      <c r="BR71" s="159" t="str">
        <f t="shared" si="11"/>
        <v/>
      </c>
      <c r="BS71" s="159" t="str">
        <f t="shared" si="11"/>
        <v/>
      </c>
      <c r="BT71" s="159" t="str">
        <f t="shared" si="11"/>
        <v/>
      </c>
      <c r="BU71" s="159" t="str">
        <f t="shared" si="11"/>
        <v/>
      </c>
      <c r="BV71" s="159" t="str">
        <f t="shared" si="11"/>
        <v/>
      </c>
      <c r="BW71" s="159" t="str">
        <f t="shared" si="11"/>
        <v/>
      </c>
      <c r="BX71" s="159" t="str">
        <f t="shared" si="11"/>
        <v/>
      </c>
      <c r="BY71" s="159" t="str">
        <f t="shared" si="11"/>
        <v/>
      </c>
      <c r="BZ71" s="159" t="str">
        <f t="shared" si="11"/>
        <v/>
      </c>
      <c r="CA71" s="159" t="str">
        <f t="shared" si="11"/>
        <v/>
      </c>
      <c r="CB71" s="159" t="str">
        <f t="shared" si="11"/>
        <v/>
      </c>
      <c r="CC71" s="159" t="str">
        <f t="shared" si="11"/>
        <v/>
      </c>
      <c r="CD71" s="159" t="str">
        <f t="shared" si="11"/>
        <v/>
      </c>
      <c r="CE71" s="159" t="str">
        <f t="shared" si="11"/>
        <v/>
      </c>
      <c r="CF71" s="159" t="str">
        <f t="shared" si="11"/>
        <v/>
      </c>
      <c r="CG71" s="159" t="str">
        <f t="shared" si="11"/>
        <v/>
      </c>
      <c r="CH71" s="159" t="str">
        <f t="shared" si="11"/>
        <v/>
      </c>
      <c r="CI71" s="159" t="str">
        <f t="shared" si="11"/>
        <v/>
      </c>
      <c r="CJ71" s="159" t="str">
        <f t="shared" si="11"/>
        <v/>
      </c>
      <c r="CK71" s="159" t="str">
        <f t="shared" si="11"/>
        <v/>
      </c>
      <c r="CL71" s="159" t="str">
        <f t="shared" si="11"/>
        <v/>
      </c>
      <c r="CM71" s="159" t="str">
        <f t="shared" si="11"/>
        <v/>
      </c>
      <c r="CN71" s="159" t="str">
        <f t="shared" si="11"/>
        <v/>
      </c>
      <c r="CO71" s="159" t="str">
        <f t="shared" si="11"/>
        <v/>
      </c>
      <c r="CP71" s="159" t="str">
        <f t="shared" si="11"/>
        <v/>
      </c>
      <c r="CQ71" s="159" t="str">
        <f t="shared" si="11"/>
        <v/>
      </c>
      <c r="CR71" s="159" t="str">
        <f t="shared" si="11"/>
        <v/>
      </c>
      <c r="CS71" s="159" t="str">
        <f t="shared" si="11"/>
        <v/>
      </c>
      <c r="CT71" s="225" t="s">
        <v>54</v>
      </c>
      <c r="CU71" s="83"/>
      <c r="CV71" s="83"/>
      <c r="CW71" s="12"/>
    </row>
    <row r="72" spans="1:103" hidden="1" x14ac:dyDescent="0.25">
      <c r="A72" s="97">
        <f t="shared" si="12"/>
        <v>0</v>
      </c>
      <c r="B72" s="31">
        <f t="shared" si="12"/>
        <v>1999</v>
      </c>
      <c r="C72" s="158"/>
      <c r="D72" s="159" t="str">
        <f t="shared" si="10"/>
        <v/>
      </c>
      <c r="E72" s="159" t="str">
        <f t="shared" si="10"/>
        <v/>
      </c>
      <c r="F72" s="159" t="str">
        <f t="shared" si="10"/>
        <v/>
      </c>
      <c r="G72" s="159" t="str">
        <f t="shared" si="10"/>
        <v/>
      </c>
      <c r="H72" s="159" t="str">
        <f t="shared" si="10"/>
        <v/>
      </c>
      <c r="I72" s="159" t="str">
        <f t="shared" si="10"/>
        <v/>
      </c>
      <c r="J72" s="159" t="str">
        <f t="shared" si="10"/>
        <v/>
      </c>
      <c r="K72" s="159" t="str">
        <f t="shared" si="10"/>
        <v/>
      </c>
      <c r="L72" s="159" t="str">
        <f t="shared" si="10"/>
        <v/>
      </c>
      <c r="M72" s="159" t="str">
        <f t="shared" si="10"/>
        <v/>
      </c>
      <c r="N72" s="159" t="str">
        <f t="shared" si="10"/>
        <v/>
      </c>
      <c r="O72" s="159" t="str">
        <f t="shared" si="10"/>
        <v/>
      </c>
      <c r="P72" s="159" t="str">
        <f t="shared" si="10"/>
        <v/>
      </c>
      <c r="Q72" s="159" t="str">
        <f t="shared" si="10"/>
        <v/>
      </c>
      <c r="R72" s="159" t="str">
        <f t="shared" si="10"/>
        <v/>
      </c>
      <c r="S72" s="159" t="str">
        <f t="shared" si="10"/>
        <v/>
      </c>
      <c r="T72" s="159" t="str">
        <f t="shared" si="10"/>
        <v/>
      </c>
      <c r="U72" s="159" t="str">
        <f t="shared" si="10"/>
        <v/>
      </c>
      <c r="V72" s="159" t="str">
        <f t="shared" si="10"/>
        <v/>
      </c>
      <c r="W72" s="159" t="str">
        <f t="shared" si="10"/>
        <v/>
      </c>
      <c r="X72" s="159" t="str">
        <f t="shared" si="10"/>
        <v/>
      </c>
      <c r="Y72" s="159" t="str">
        <f t="shared" si="10"/>
        <v/>
      </c>
      <c r="Z72" s="159" t="str">
        <f t="shared" si="10"/>
        <v/>
      </c>
      <c r="AA72" s="159" t="str">
        <f t="shared" si="10"/>
        <v/>
      </c>
      <c r="AB72" s="159" t="str">
        <f t="shared" si="10"/>
        <v/>
      </c>
      <c r="AC72" s="159" t="str">
        <f t="shared" si="10"/>
        <v/>
      </c>
      <c r="AD72" s="159" t="str">
        <f t="shared" si="10"/>
        <v/>
      </c>
      <c r="AE72" s="159" t="str">
        <f t="shared" si="10"/>
        <v/>
      </c>
      <c r="AF72" s="159" t="str">
        <f t="shared" si="10"/>
        <v/>
      </c>
      <c r="AG72" s="159" t="str">
        <f t="shared" si="10"/>
        <v/>
      </c>
      <c r="AH72" s="159" t="str">
        <f t="shared" si="10"/>
        <v/>
      </c>
      <c r="AI72" s="159" t="str">
        <f t="shared" si="10"/>
        <v/>
      </c>
      <c r="AJ72" s="159" t="str">
        <f t="shared" si="10"/>
        <v/>
      </c>
      <c r="AK72" s="159" t="str">
        <f t="shared" si="10"/>
        <v/>
      </c>
      <c r="AL72" s="159" t="str">
        <f t="shared" si="10"/>
        <v/>
      </c>
      <c r="AM72" s="159" t="str">
        <f t="shared" si="10"/>
        <v/>
      </c>
      <c r="AN72" s="159" t="str">
        <f t="shared" si="10"/>
        <v/>
      </c>
      <c r="AO72" s="159" t="str">
        <f t="shared" si="10"/>
        <v/>
      </c>
      <c r="AP72" s="159" t="str">
        <f t="shared" si="10"/>
        <v/>
      </c>
      <c r="AQ72" s="159" t="str">
        <f t="shared" si="10"/>
        <v/>
      </c>
      <c r="AR72" s="159" t="str">
        <f t="shared" si="10"/>
        <v/>
      </c>
      <c r="AS72" s="159" t="str">
        <f t="shared" si="10"/>
        <v/>
      </c>
      <c r="AT72" s="159" t="str">
        <f t="shared" si="10"/>
        <v/>
      </c>
      <c r="AU72" s="159" t="str">
        <f t="shared" si="10"/>
        <v/>
      </c>
      <c r="AV72" s="159" t="str">
        <f t="shared" si="10"/>
        <v/>
      </c>
      <c r="AW72" s="159" t="str">
        <f t="shared" si="10"/>
        <v/>
      </c>
      <c r="AX72" s="159" t="str">
        <f t="shared" si="10"/>
        <v/>
      </c>
      <c r="AY72" s="159" t="str">
        <f t="shared" si="10"/>
        <v/>
      </c>
      <c r="AZ72" s="159" t="str">
        <f t="shared" si="10"/>
        <v/>
      </c>
      <c r="BA72" s="159" t="str">
        <f t="shared" si="10"/>
        <v/>
      </c>
      <c r="BB72" s="159" t="str">
        <f t="shared" si="10"/>
        <v/>
      </c>
      <c r="BC72" s="159" t="str">
        <f t="shared" si="10"/>
        <v/>
      </c>
      <c r="BD72" s="159" t="str">
        <f t="shared" si="10"/>
        <v/>
      </c>
      <c r="BE72" s="159" t="str">
        <f t="shared" si="10"/>
        <v/>
      </c>
      <c r="BF72" s="159" t="str">
        <f t="shared" si="10"/>
        <v/>
      </c>
      <c r="BG72" s="159" t="str">
        <f t="shared" si="10"/>
        <v/>
      </c>
      <c r="BH72" s="159" t="str">
        <f t="shared" si="10"/>
        <v/>
      </c>
      <c r="BI72" s="159" t="str">
        <f t="shared" si="10"/>
        <v/>
      </c>
      <c r="BJ72" s="159" t="str">
        <f t="shared" si="10"/>
        <v/>
      </c>
      <c r="BK72" s="159" t="str">
        <f t="shared" si="10"/>
        <v/>
      </c>
      <c r="BL72" s="159" t="str">
        <f t="shared" si="10"/>
        <v/>
      </c>
      <c r="BM72" s="159" t="str">
        <f t="shared" si="10"/>
        <v/>
      </c>
      <c r="BN72" s="159" t="str">
        <f t="shared" si="10"/>
        <v/>
      </c>
      <c r="BO72" s="159" t="str">
        <f t="shared" ref="BO72" si="13">IFERROR(IF(BO45=1,BO17/BN17,""),"")</f>
        <v/>
      </c>
      <c r="BP72" s="159" t="str">
        <f t="shared" si="11"/>
        <v/>
      </c>
      <c r="BQ72" s="159" t="str">
        <f t="shared" si="11"/>
        <v/>
      </c>
      <c r="BR72" s="159" t="str">
        <f t="shared" si="11"/>
        <v/>
      </c>
      <c r="BS72" s="159" t="str">
        <f t="shared" si="11"/>
        <v/>
      </c>
      <c r="BT72" s="159" t="str">
        <f t="shared" si="11"/>
        <v/>
      </c>
      <c r="BU72" s="159" t="str">
        <f t="shared" si="11"/>
        <v/>
      </c>
      <c r="BV72" s="159" t="str">
        <f t="shared" si="11"/>
        <v/>
      </c>
      <c r="BW72" s="159" t="str">
        <f t="shared" si="11"/>
        <v/>
      </c>
      <c r="BX72" s="159" t="str">
        <f t="shared" si="11"/>
        <v/>
      </c>
      <c r="BY72" s="159" t="str">
        <f t="shared" si="11"/>
        <v/>
      </c>
      <c r="BZ72" s="159" t="str">
        <f t="shared" si="11"/>
        <v/>
      </c>
      <c r="CA72" s="159" t="str">
        <f t="shared" si="11"/>
        <v/>
      </c>
      <c r="CB72" s="159" t="str">
        <f t="shared" si="11"/>
        <v/>
      </c>
      <c r="CC72" s="159" t="str">
        <f t="shared" si="11"/>
        <v/>
      </c>
      <c r="CD72" s="159" t="str">
        <f t="shared" si="11"/>
        <v/>
      </c>
      <c r="CE72" s="159" t="str">
        <f t="shared" si="11"/>
        <v/>
      </c>
      <c r="CF72" s="159" t="str">
        <f t="shared" si="11"/>
        <v/>
      </c>
      <c r="CG72" s="159" t="str">
        <f t="shared" si="11"/>
        <v/>
      </c>
      <c r="CH72" s="159" t="str">
        <f t="shared" si="11"/>
        <v/>
      </c>
      <c r="CI72" s="159" t="str">
        <f t="shared" si="11"/>
        <v/>
      </c>
      <c r="CJ72" s="159" t="str">
        <f t="shared" si="11"/>
        <v/>
      </c>
      <c r="CK72" s="159" t="str">
        <f t="shared" si="11"/>
        <v/>
      </c>
      <c r="CL72" s="159" t="str">
        <f t="shared" si="11"/>
        <v/>
      </c>
      <c r="CM72" s="159" t="str">
        <f t="shared" si="11"/>
        <v/>
      </c>
      <c r="CN72" s="159" t="str">
        <f t="shared" si="11"/>
        <v/>
      </c>
      <c r="CO72" s="159" t="str">
        <f t="shared" si="11"/>
        <v/>
      </c>
      <c r="CP72" s="159" t="str">
        <f t="shared" si="11"/>
        <v/>
      </c>
      <c r="CQ72" s="159" t="str">
        <f t="shared" si="11"/>
        <v/>
      </c>
      <c r="CR72" s="159" t="str">
        <f t="shared" si="11"/>
        <v/>
      </c>
      <c r="CS72" s="159" t="str">
        <f t="shared" si="11"/>
        <v/>
      </c>
      <c r="CT72" s="225" t="s">
        <v>54</v>
      </c>
      <c r="CU72" s="83"/>
      <c r="CV72" s="83"/>
      <c r="CW72" s="12"/>
    </row>
    <row r="73" spans="1:103" x14ac:dyDescent="0.25">
      <c r="A73" s="97">
        <f t="shared" si="12"/>
        <v>0</v>
      </c>
      <c r="B73" s="31">
        <f t="shared" si="12"/>
        <v>2000</v>
      </c>
      <c r="C73" s="158"/>
      <c r="D73" s="159" t="str">
        <f t="shared" ref="D73:BO76" si="14">IFERROR(IF(D46=1,D18/C18,""),"")</f>
        <v/>
      </c>
      <c r="E73" s="159" t="str">
        <f t="shared" si="14"/>
        <v/>
      </c>
      <c r="F73" s="159" t="str">
        <f t="shared" si="14"/>
        <v/>
      </c>
      <c r="G73" s="159" t="str">
        <f t="shared" si="14"/>
        <v/>
      </c>
      <c r="H73" s="159" t="str">
        <f t="shared" si="14"/>
        <v/>
      </c>
      <c r="I73" s="159" t="str">
        <f t="shared" si="14"/>
        <v/>
      </c>
      <c r="J73" s="159" t="str">
        <f t="shared" si="14"/>
        <v/>
      </c>
      <c r="K73" s="159" t="str">
        <f t="shared" si="14"/>
        <v/>
      </c>
      <c r="L73" s="159" t="str">
        <f t="shared" si="14"/>
        <v/>
      </c>
      <c r="M73" s="159" t="str">
        <f t="shared" si="14"/>
        <v/>
      </c>
      <c r="N73" s="159" t="str">
        <f t="shared" si="14"/>
        <v/>
      </c>
      <c r="O73" s="159" t="str">
        <f t="shared" si="14"/>
        <v/>
      </c>
      <c r="P73" s="159" t="str">
        <f t="shared" si="14"/>
        <v/>
      </c>
      <c r="Q73" s="159" t="str">
        <f t="shared" si="14"/>
        <v/>
      </c>
      <c r="R73" s="159" t="str">
        <f t="shared" si="14"/>
        <v/>
      </c>
      <c r="S73" s="159" t="str">
        <f t="shared" si="14"/>
        <v/>
      </c>
      <c r="T73" s="159" t="str">
        <f t="shared" si="14"/>
        <v/>
      </c>
      <c r="U73" s="159" t="str">
        <f t="shared" si="14"/>
        <v/>
      </c>
      <c r="V73" s="159" t="str">
        <f t="shared" si="14"/>
        <v/>
      </c>
      <c r="W73" s="159" t="str">
        <f t="shared" si="14"/>
        <v/>
      </c>
      <c r="X73" s="159" t="str">
        <f t="shared" si="14"/>
        <v/>
      </c>
      <c r="Y73" s="159" t="str">
        <f t="shared" si="14"/>
        <v/>
      </c>
      <c r="Z73" s="159" t="str">
        <f t="shared" si="14"/>
        <v/>
      </c>
      <c r="AA73" s="159" t="str">
        <f t="shared" si="14"/>
        <v/>
      </c>
      <c r="AB73" s="159" t="str">
        <f t="shared" si="14"/>
        <v/>
      </c>
      <c r="AC73" s="159" t="str">
        <f t="shared" si="14"/>
        <v/>
      </c>
      <c r="AD73" s="159" t="str">
        <f t="shared" si="14"/>
        <v/>
      </c>
      <c r="AE73" s="159" t="str">
        <f t="shared" si="14"/>
        <v/>
      </c>
      <c r="AF73" s="159" t="str">
        <f t="shared" si="14"/>
        <v/>
      </c>
      <c r="AG73" s="159" t="str">
        <f t="shared" si="14"/>
        <v/>
      </c>
      <c r="AH73" s="159" t="str">
        <f t="shared" si="14"/>
        <v/>
      </c>
      <c r="AI73" s="159" t="str">
        <f t="shared" si="14"/>
        <v/>
      </c>
      <c r="AJ73" s="159" t="str">
        <f t="shared" si="14"/>
        <v/>
      </c>
      <c r="AK73" s="159" t="str">
        <f t="shared" si="14"/>
        <v/>
      </c>
      <c r="AL73" s="159" t="str">
        <f t="shared" si="14"/>
        <v/>
      </c>
      <c r="AM73" s="159" t="str">
        <f t="shared" si="14"/>
        <v/>
      </c>
      <c r="AN73" s="159" t="str">
        <f t="shared" si="14"/>
        <v/>
      </c>
      <c r="AO73" s="159" t="str">
        <f t="shared" si="14"/>
        <v/>
      </c>
      <c r="AP73" s="159" t="str">
        <f t="shared" si="14"/>
        <v/>
      </c>
      <c r="AQ73" s="159" t="str">
        <f t="shared" si="14"/>
        <v/>
      </c>
      <c r="AR73" s="159" t="str">
        <f t="shared" si="14"/>
        <v/>
      </c>
      <c r="AS73" s="159" t="str">
        <f t="shared" si="14"/>
        <v/>
      </c>
      <c r="AT73" s="159" t="str">
        <f t="shared" si="14"/>
        <v/>
      </c>
      <c r="AU73" s="159" t="str">
        <f t="shared" si="14"/>
        <v/>
      </c>
      <c r="AV73" s="159" t="str">
        <f t="shared" si="14"/>
        <v/>
      </c>
      <c r="AW73" s="159" t="str">
        <f t="shared" si="14"/>
        <v/>
      </c>
      <c r="AX73" s="159" t="str">
        <f t="shared" si="14"/>
        <v/>
      </c>
      <c r="AY73" s="159" t="str">
        <f t="shared" si="14"/>
        <v/>
      </c>
      <c r="AZ73" s="159" t="str">
        <f t="shared" si="14"/>
        <v/>
      </c>
      <c r="BA73" s="159" t="str">
        <f t="shared" si="14"/>
        <v/>
      </c>
      <c r="BB73" s="159" t="str">
        <f t="shared" si="14"/>
        <v/>
      </c>
      <c r="BC73" s="159" t="str">
        <f t="shared" si="14"/>
        <v/>
      </c>
      <c r="BD73" s="159" t="str">
        <f t="shared" si="14"/>
        <v/>
      </c>
      <c r="BE73" s="159" t="str">
        <f t="shared" si="14"/>
        <v/>
      </c>
      <c r="BF73" s="159" t="str">
        <f t="shared" si="14"/>
        <v/>
      </c>
      <c r="BG73" s="159" t="str">
        <f t="shared" si="14"/>
        <v/>
      </c>
      <c r="BH73" s="159" t="str">
        <f t="shared" si="14"/>
        <v/>
      </c>
      <c r="BI73" s="159" t="str">
        <f t="shared" si="14"/>
        <v/>
      </c>
      <c r="BJ73" s="159" t="str">
        <f t="shared" si="14"/>
        <v/>
      </c>
      <c r="BK73" s="159" t="str">
        <f t="shared" si="14"/>
        <v/>
      </c>
      <c r="BL73" s="159" t="str">
        <f t="shared" si="14"/>
        <v/>
      </c>
      <c r="BM73" s="159" t="str">
        <f t="shared" si="14"/>
        <v/>
      </c>
      <c r="BN73" s="159" t="str">
        <f t="shared" si="14"/>
        <v/>
      </c>
      <c r="BO73" s="159" t="str">
        <f t="shared" si="14"/>
        <v/>
      </c>
      <c r="BP73" s="159" t="str">
        <f t="shared" si="11"/>
        <v/>
      </c>
      <c r="BQ73" s="159" t="str">
        <f t="shared" si="11"/>
        <v/>
      </c>
      <c r="BR73" s="159" t="str">
        <f t="shared" si="11"/>
        <v/>
      </c>
      <c r="BS73" s="159" t="str">
        <f t="shared" si="11"/>
        <v/>
      </c>
      <c r="BT73" s="159" t="str">
        <f t="shared" si="11"/>
        <v/>
      </c>
      <c r="BU73" s="159" t="str">
        <f t="shared" si="11"/>
        <v/>
      </c>
      <c r="BV73" s="159" t="str">
        <f t="shared" si="11"/>
        <v/>
      </c>
      <c r="BW73" s="159" t="str">
        <f t="shared" si="11"/>
        <v/>
      </c>
      <c r="BX73" s="159" t="str">
        <f t="shared" si="11"/>
        <v/>
      </c>
      <c r="BY73" s="159" t="str">
        <f t="shared" si="11"/>
        <v/>
      </c>
      <c r="BZ73" s="159" t="str">
        <f t="shared" si="11"/>
        <v/>
      </c>
      <c r="CA73" s="159" t="str">
        <f t="shared" si="11"/>
        <v/>
      </c>
      <c r="CB73" s="159" t="str">
        <f t="shared" si="11"/>
        <v/>
      </c>
      <c r="CC73" s="159" t="str">
        <f t="shared" si="11"/>
        <v/>
      </c>
      <c r="CD73" s="159" t="str">
        <f t="shared" si="11"/>
        <v/>
      </c>
      <c r="CE73" s="159" t="str">
        <f t="shared" si="11"/>
        <v/>
      </c>
      <c r="CF73" s="159" t="str">
        <f t="shared" si="11"/>
        <v/>
      </c>
      <c r="CG73" s="159" t="str">
        <f t="shared" si="11"/>
        <v/>
      </c>
      <c r="CH73" s="159" t="str">
        <f t="shared" si="11"/>
        <v/>
      </c>
      <c r="CI73" s="159" t="str">
        <f t="shared" si="11"/>
        <v/>
      </c>
      <c r="CJ73" s="159" t="str">
        <f t="shared" si="11"/>
        <v/>
      </c>
      <c r="CK73" s="159" t="str">
        <f t="shared" si="11"/>
        <v/>
      </c>
      <c r="CL73" s="159" t="str">
        <f t="shared" si="11"/>
        <v/>
      </c>
      <c r="CM73" s="159" t="str">
        <f t="shared" si="11"/>
        <v/>
      </c>
      <c r="CN73" s="159" t="str">
        <f t="shared" si="11"/>
        <v/>
      </c>
      <c r="CO73" s="159" t="str">
        <f t="shared" si="11"/>
        <v/>
      </c>
      <c r="CP73" s="159" t="str">
        <f t="shared" si="11"/>
        <v/>
      </c>
      <c r="CQ73" s="159" t="str">
        <f t="shared" si="11"/>
        <v/>
      </c>
      <c r="CR73" s="159" t="str">
        <f t="shared" si="11"/>
        <v/>
      </c>
      <c r="CS73" s="159" t="str">
        <f t="shared" si="11"/>
        <v/>
      </c>
      <c r="CT73" s="225" t="s">
        <v>54</v>
      </c>
      <c r="CU73" s="83"/>
      <c r="CV73" s="83"/>
      <c r="CW73" s="12"/>
      <c r="CY73" s="19"/>
    </row>
    <row r="74" spans="1:103" x14ac:dyDescent="0.25">
      <c r="A74" s="97">
        <f t="shared" si="12"/>
        <v>0</v>
      </c>
      <c r="B74" s="31">
        <f t="shared" si="12"/>
        <v>2001</v>
      </c>
      <c r="C74" s="158"/>
      <c r="D74" s="159" t="str">
        <f t="shared" si="14"/>
        <v/>
      </c>
      <c r="E74" s="159" t="str">
        <f t="shared" si="14"/>
        <v/>
      </c>
      <c r="F74" s="159" t="str">
        <f t="shared" si="14"/>
        <v/>
      </c>
      <c r="G74" s="159" t="str">
        <f t="shared" si="14"/>
        <v/>
      </c>
      <c r="H74" s="159" t="str">
        <f t="shared" si="14"/>
        <v/>
      </c>
      <c r="I74" s="159" t="str">
        <f t="shared" si="14"/>
        <v/>
      </c>
      <c r="J74" s="159" t="str">
        <f t="shared" si="14"/>
        <v/>
      </c>
      <c r="K74" s="159" t="str">
        <f t="shared" si="14"/>
        <v/>
      </c>
      <c r="L74" s="159" t="str">
        <f t="shared" si="14"/>
        <v/>
      </c>
      <c r="M74" s="159" t="str">
        <f t="shared" si="14"/>
        <v/>
      </c>
      <c r="N74" s="159" t="str">
        <f t="shared" si="14"/>
        <v/>
      </c>
      <c r="O74" s="159" t="str">
        <f t="shared" si="14"/>
        <v/>
      </c>
      <c r="P74" s="159" t="str">
        <f t="shared" si="14"/>
        <v/>
      </c>
      <c r="Q74" s="159" t="str">
        <f t="shared" si="14"/>
        <v/>
      </c>
      <c r="R74" s="159" t="str">
        <f t="shared" si="14"/>
        <v/>
      </c>
      <c r="S74" s="159" t="str">
        <f t="shared" si="14"/>
        <v/>
      </c>
      <c r="T74" s="159" t="str">
        <f t="shared" si="14"/>
        <v/>
      </c>
      <c r="U74" s="159" t="str">
        <f t="shared" si="14"/>
        <v/>
      </c>
      <c r="V74" s="159" t="str">
        <f t="shared" si="14"/>
        <v/>
      </c>
      <c r="W74" s="159" t="str">
        <f t="shared" si="14"/>
        <v/>
      </c>
      <c r="X74" s="159" t="str">
        <f t="shared" si="14"/>
        <v/>
      </c>
      <c r="Y74" s="159" t="str">
        <f t="shared" si="14"/>
        <v/>
      </c>
      <c r="Z74" s="159" t="str">
        <f t="shared" si="14"/>
        <v/>
      </c>
      <c r="AA74" s="159" t="str">
        <f t="shared" si="14"/>
        <v/>
      </c>
      <c r="AB74" s="159" t="str">
        <f t="shared" si="14"/>
        <v/>
      </c>
      <c r="AC74" s="159" t="str">
        <f t="shared" si="14"/>
        <v/>
      </c>
      <c r="AD74" s="159" t="str">
        <f t="shared" si="14"/>
        <v/>
      </c>
      <c r="AE74" s="159" t="str">
        <f t="shared" si="14"/>
        <v/>
      </c>
      <c r="AF74" s="159" t="str">
        <f t="shared" si="14"/>
        <v/>
      </c>
      <c r="AG74" s="159" t="str">
        <f t="shared" si="14"/>
        <v/>
      </c>
      <c r="AH74" s="159" t="str">
        <f t="shared" si="14"/>
        <v/>
      </c>
      <c r="AI74" s="159" t="str">
        <f t="shared" si="14"/>
        <v/>
      </c>
      <c r="AJ74" s="159" t="str">
        <f t="shared" si="14"/>
        <v/>
      </c>
      <c r="AK74" s="159" t="str">
        <f t="shared" si="14"/>
        <v/>
      </c>
      <c r="AL74" s="159" t="str">
        <f t="shared" si="14"/>
        <v/>
      </c>
      <c r="AM74" s="159" t="str">
        <f t="shared" si="14"/>
        <v/>
      </c>
      <c r="AN74" s="159" t="str">
        <f t="shared" si="14"/>
        <v/>
      </c>
      <c r="AO74" s="159" t="str">
        <f t="shared" si="14"/>
        <v/>
      </c>
      <c r="AP74" s="159" t="str">
        <f t="shared" si="14"/>
        <v/>
      </c>
      <c r="AQ74" s="159" t="str">
        <f t="shared" si="14"/>
        <v/>
      </c>
      <c r="AR74" s="159" t="str">
        <f t="shared" si="14"/>
        <v/>
      </c>
      <c r="AS74" s="159" t="str">
        <f t="shared" si="14"/>
        <v/>
      </c>
      <c r="AT74" s="159" t="str">
        <f t="shared" si="14"/>
        <v/>
      </c>
      <c r="AU74" s="159" t="str">
        <f t="shared" si="14"/>
        <v/>
      </c>
      <c r="AV74" s="159" t="str">
        <f t="shared" si="14"/>
        <v/>
      </c>
      <c r="AW74" s="159" t="str">
        <f t="shared" si="14"/>
        <v/>
      </c>
      <c r="AX74" s="159" t="str">
        <f t="shared" si="14"/>
        <v/>
      </c>
      <c r="AY74" s="159" t="str">
        <f t="shared" si="14"/>
        <v/>
      </c>
      <c r="AZ74" s="159" t="str">
        <f t="shared" si="14"/>
        <v/>
      </c>
      <c r="BA74" s="159" t="str">
        <f t="shared" si="14"/>
        <v/>
      </c>
      <c r="BB74" s="159" t="str">
        <f t="shared" si="14"/>
        <v/>
      </c>
      <c r="BC74" s="159" t="str">
        <f t="shared" si="14"/>
        <v/>
      </c>
      <c r="BD74" s="159" t="str">
        <f t="shared" si="14"/>
        <v/>
      </c>
      <c r="BE74" s="159" t="str">
        <f t="shared" si="14"/>
        <v/>
      </c>
      <c r="BF74" s="159" t="str">
        <f t="shared" si="14"/>
        <v/>
      </c>
      <c r="BG74" s="159" t="str">
        <f t="shared" si="14"/>
        <v/>
      </c>
      <c r="BH74" s="159" t="str">
        <f t="shared" si="14"/>
        <v/>
      </c>
      <c r="BI74" s="159" t="str">
        <f t="shared" si="14"/>
        <v/>
      </c>
      <c r="BJ74" s="159" t="str">
        <f t="shared" si="14"/>
        <v/>
      </c>
      <c r="BK74" s="159" t="str">
        <f t="shared" si="14"/>
        <v/>
      </c>
      <c r="BL74" s="159" t="str">
        <f t="shared" si="14"/>
        <v/>
      </c>
      <c r="BM74" s="159" t="str">
        <f t="shared" si="14"/>
        <v/>
      </c>
      <c r="BN74" s="159" t="str">
        <f t="shared" si="14"/>
        <v/>
      </c>
      <c r="BO74" s="159" t="str">
        <f t="shared" si="14"/>
        <v/>
      </c>
      <c r="BP74" s="159" t="str">
        <f t="shared" si="11"/>
        <v/>
      </c>
      <c r="BQ74" s="159" t="str">
        <f t="shared" si="11"/>
        <v/>
      </c>
      <c r="BR74" s="159" t="str">
        <f t="shared" si="11"/>
        <v/>
      </c>
      <c r="BS74" s="159" t="str">
        <f t="shared" si="11"/>
        <v/>
      </c>
      <c r="BT74" s="159" t="str">
        <f t="shared" si="11"/>
        <v/>
      </c>
      <c r="BU74" s="159" t="str">
        <f t="shared" si="11"/>
        <v/>
      </c>
      <c r="BV74" s="159" t="str">
        <f t="shared" si="11"/>
        <v/>
      </c>
      <c r="BW74" s="159" t="str">
        <f t="shared" si="11"/>
        <v/>
      </c>
      <c r="BX74" s="159" t="str">
        <f t="shared" si="11"/>
        <v/>
      </c>
      <c r="BY74" s="159" t="str">
        <f t="shared" si="11"/>
        <v/>
      </c>
      <c r="BZ74" s="159" t="str">
        <f t="shared" si="11"/>
        <v/>
      </c>
      <c r="CA74" s="159" t="str">
        <f t="shared" si="11"/>
        <v/>
      </c>
      <c r="CB74" s="159" t="str">
        <f t="shared" si="11"/>
        <v/>
      </c>
      <c r="CC74" s="159" t="str">
        <f t="shared" si="11"/>
        <v/>
      </c>
      <c r="CD74" s="159" t="str">
        <f t="shared" si="11"/>
        <v/>
      </c>
      <c r="CE74" s="159" t="str">
        <f t="shared" si="11"/>
        <v/>
      </c>
      <c r="CF74" s="159" t="str">
        <f t="shared" si="11"/>
        <v/>
      </c>
      <c r="CG74" s="159" t="str">
        <f t="shared" si="11"/>
        <v/>
      </c>
      <c r="CH74" s="159" t="str">
        <f t="shared" si="11"/>
        <v/>
      </c>
      <c r="CI74" s="159" t="str">
        <f t="shared" si="11"/>
        <v/>
      </c>
      <c r="CJ74" s="159" t="str">
        <f t="shared" si="11"/>
        <v/>
      </c>
      <c r="CK74" s="159" t="str">
        <f t="shared" si="11"/>
        <v/>
      </c>
      <c r="CL74" s="159" t="str">
        <f t="shared" si="11"/>
        <v/>
      </c>
      <c r="CM74" s="159" t="str">
        <f t="shared" si="11"/>
        <v/>
      </c>
      <c r="CN74" s="159" t="str">
        <f t="shared" si="11"/>
        <v/>
      </c>
      <c r="CO74" s="159" t="str">
        <f t="shared" si="11"/>
        <v/>
      </c>
      <c r="CP74" s="159" t="str">
        <f t="shared" si="11"/>
        <v/>
      </c>
      <c r="CQ74" s="159" t="str">
        <f t="shared" si="11"/>
        <v/>
      </c>
      <c r="CR74" s="159" t="str">
        <f t="shared" si="11"/>
        <v/>
      </c>
      <c r="CS74" s="159" t="str">
        <f t="shared" si="11"/>
        <v/>
      </c>
      <c r="CT74" s="225" t="s">
        <v>54</v>
      </c>
      <c r="CU74" s="42"/>
      <c r="CV74" s="42"/>
    </row>
    <row r="75" spans="1:103" x14ac:dyDescent="0.25">
      <c r="A75" s="97">
        <f t="shared" si="12"/>
        <v>0</v>
      </c>
      <c r="B75" s="31">
        <f t="shared" si="12"/>
        <v>2002</v>
      </c>
      <c r="C75" s="158"/>
      <c r="D75" s="159" t="str">
        <f t="shared" si="14"/>
        <v/>
      </c>
      <c r="E75" s="159" t="str">
        <f t="shared" si="14"/>
        <v/>
      </c>
      <c r="F75" s="159" t="str">
        <f t="shared" si="14"/>
        <v/>
      </c>
      <c r="G75" s="159" t="str">
        <f t="shared" si="14"/>
        <v/>
      </c>
      <c r="H75" s="159" t="str">
        <f t="shared" si="14"/>
        <v/>
      </c>
      <c r="I75" s="159" t="str">
        <f t="shared" si="14"/>
        <v/>
      </c>
      <c r="J75" s="159" t="str">
        <f t="shared" si="14"/>
        <v/>
      </c>
      <c r="K75" s="159" t="str">
        <f t="shared" si="14"/>
        <v/>
      </c>
      <c r="L75" s="159" t="str">
        <f t="shared" si="14"/>
        <v/>
      </c>
      <c r="M75" s="159" t="str">
        <f t="shared" si="14"/>
        <v/>
      </c>
      <c r="N75" s="159" t="str">
        <f t="shared" si="14"/>
        <v/>
      </c>
      <c r="O75" s="159" t="str">
        <f t="shared" si="14"/>
        <v/>
      </c>
      <c r="P75" s="159" t="str">
        <f t="shared" si="14"/>
        <v/>
      </c>
      <c r="Q75" s="159" t="str">
        <f t="shared" si="14"/>
        <v/>
      </c>
      <c r="R75" s="159" t="str">
        <f t="shared" si="14"/>
        <v/>
      </c>
      <c r="S75" s="159" t="str">
        <f t="shared" si="14"/>
        <v/>
      </c>
      <c r="T75" s="159" t="str">
        <f t="shared" si="14"/>
        <v/>
      </c>
      <c r="U75" s="159" t="str">
        <f t="shared" si="14"/>
        <v/>
      </c>
      <c r="V75" s="159" t="str">
        <f t="shared" si="14"/>
        <v/>
      </c>
      <c r="W75" s="159" t="str">
        <f t="shared" si="14"/>
        <v/>
      </c>
      <c r="X75" s="159" t="str">
        <f t="shared" si="14"/>
        <v/>
      </c>
      <c r="Y75" s="159" t="str">
        <f t="shared" si="14"/>
        <v/>
      </c>
      <c r="Z75" s="159" t="str">
        <f t="shared" si="14"/>
        <v/>
      </c>
      <c r="AA75" s="159" t="str">
        <f t="shared" si="14"/>
        <v/>
      </c>
      <c r="AB75" s="159" t="str">
        <f t="shared" si="14"/>
        <v/>
      </c>
      <c r="AC75" s="159" t="str">
        <f t="shared" si="14"/>
        <v/>
      </c>
      <c r="AD75" s="159" t="str">
        <f t="shared" si="14"/>
        <v/>
      </c>
      <c r="AE75" s="159" t="str">
        <f t="shared" si="14"/>
        <v/>
      </c>
      <c r="AF75" s="159" t="str">
        <f t="shared" si="14"/>
        <v/>
      </c>
      <c r="AG75" s="159" t="str">
        <f t="shared" si="14"/>
        <v/>
      </c>
      <c r="AH75" s="159" t="str">
        <f t="shared" si="14"/>
        <v/>
      </c>
      <c r="AI75" s="159" t="str">
        <f t="shared" si="14"/>
        <v/>
      </c>
      <c r="AJ75" s="159" t="str">
        <f t="shared" si="14"/>
        <v/>
      </c>
      <c r="AK75" s="159" t="str">
        <f t="shared" si="14"/>
        <v/>
      </c>
      <c r="AL75" s="159" t="str">
        <f t="shared" si="14"/>
        <v/>
      </c>
      <c r="AM75" s="159" t="str">
        <f t="shared" si="14"/>
        <v/>
      </c>
      <c r="AN75" s="159" t="str">
        <f t="shared" si="14"/>
        <v/>
      </c>
      <c r="AO75" s="159" t="str">
        <f t="shared" si="14"/>
        <v/>
      </c>
      <c r="AP75" s="159" t="str">
        <f t="shared" si="14"/>
        <v/>
      </c>
      <c r="AQ75" s="159" t="str">
        <f t="shared" si="14"/>
        <v/>
      </c>
      <c r="AR75" s="159" t="str">
        <f t="shared" si="14"/>
        <v/>
      </c>
      <c r="AS75" s="159" t="str">
        <f t="shared" si="14"/>
        <v/>
      </c>
      <c r="AT75" s="159" t="str">
        <f t="shared" si="14"/>
        <v/>
      </c>
      <c r="AU75" s="159" t="str">
        <f t="shared" si="14"/>
        <v/>
      </c>
      <c r="AV75" s="159" t="str">
        <f t="shared" si="14"/>
        <v/>
      </c>
      <c r="AW75" s="159" t="str">
        <f t="shared" si="14"/>
        <v/>
      </c>
      <c r="AX75" s="159" t="str">
        <f t="shared" si="14"/>
        <v/>
      </c>
      <c r="AY75" s="159" t="str">
        <f t="shared" si="14"/>
        <v/>
      </c>
      <c r="AZ75" s="159" t="str">
        <f t="shared" si="14"/>
        <v/>
      </c>
      <c r="BA75" s="159" t="str">
        <f t="shared" si="14"/>
        <v/>
      </c>
      <c r="BB75" s="159" t="str">
        <f t="shared" si="14"/>
        <v/>
      </c>
      <c r="BC75" s="159" t="str">
        <f t="shared" si="14"/>
        <v/>
      </c>
      <c r="BD75" s="159" t="str">
        <f t="shared" si="14"/>
        <v/>
      </c>
      <c r="BE75" s="159" t="str">
        <f t="shared" si="14"/>
        <v/>
      </c>
      <c r="BF75" s="159" t="str">
        <f t="shared" si="14"/>
        <v/>
      </c>
      <c r="BG75" s="159" t="str">
        <f t="shared" si="14"/>
        <v/>
      </c>
      <c r="BH75" s="159" t="str">
        <f t="shared" si="14"/>
        <v/>
      </c>
      <c r="BI75" s="159" t="str">
        <f t="shared" si="14"/>
        <v/>
      </c>
      <c r="BJ75" s="159" t="str">
        <f t="shared" si="14"/>
        <v/>
      </c>
      <c r="BK75" s="159" t="str">
        <f t="shared" si="14"/>
        <v/>
      </c>
      <c r="BL75" s="159" t="str">
        <f t="shared" si="14"/>
        <v/>
      </c>
      <c r="BM75" s="159" t="str">
        <f t="shared" si="14"/>
        <v/>
      </c>
      <c r="BN75" s="159" t="str">
        <f t="shared" si="14"/>
        <v/>
      </c>
      <c r="BO75" s="159" t="str">
        <f t="shared" si="14"/>
        <v/>
      </c>
      <c r="BP75" s="159" t="str">
        <f t="shared" si="11"/>
        <v/>
      </c>
      <c r="BQ75" s="159" t="str">
        <f t="shared" si="11"/>
        <v/>
      </c>
      <c r="BR75" s="159" t="str">
        <f t="shared" si="11"/>
        <v/>
      </c>
      <c r="BS75" s="159" t="str">
        <f t="shared" si="11"/>
        <v/>
      </c>
      <c r="BT75" s="159" t="str">
        <f t="shared" si="11"/>
        <v/>
      </c>
      <c r="BU75" s="159" t="str">
        <f t="shared" si="11"/>
        <v/>
      </c>
      <c r="BV75" s="159" t="str">
        <f t="shared" si="11"/>
        <v/>
      </c>
      <c r="BW75" s="159" t="str">
        <f t="shared" si="11"/>
        <v/>
      </c>
      <c r="BX75" s="159" t="str">
        <f t="shared" si="11"/>
        <v/>
      </c>
      <c r="BY75" s="159" t="str">
        <f t="shared" si="11"/>
        <v/>
      </c>
      <c r="BZ75" s="159" t="str">
        <f t="shared" si="11"/>
        <v/>
      </c>
      <c r="CA75" s="159" t="str">
        <f t="shared" si="11"/>
        <v/>
      </c>
      <c r="CB75" s="159" t="str">
        <f t="shared" si="11"/>
        <v/>
      </c>
      <c r="CC75" s="159" t="str">
        <f t="shared" si="11"/>
        <v/>
      </c>
      <c r="CD75" s="159" t="str">
        <f t="shared" si="11"/>
        <v/>
      </c>
      <c r="CE75" s="159" t="str">
        <f t="shared" si="11"/>
        <v/>
      </c>
      <c r="CF75" s="159" t="str">
        <f t="shared" si="11"/>
        <v/>
      </c>
      <c r="CG75" s="159" t="str">
        <f t="shared" si="11"/>
        <v/>
      </c>
      <c r="CH75" s="159" t="str">
        <f t="shared" si="11"/>
        <v/>
      </c>
      <c r="CI75" s="159" t="str">
        <f t="shared" si="11"/>
        <v/>
      </c>
      <c r="CJ75" s="159" t="str">
        <f t="shared" si="11"/>
        <v/>
      </c>
      <c r="CK75" s="159" t="str">
        <f t="shared" si="11"/>
        <v/>
      </c>
      <c r="CL75" s="159" t="str">
        <f t="shared" si="11"/>
        <v/>
      </c>
      <c r="CM75" s="159" t="str">
        <f t="shared" si="11"/>
        <v/>
      </c>
      <c r="CN75" s="159" t="str">
        <f t="shared" si="11"/>
        <v/>
      </c>
      <c r="CO75" s="159" t="str">
        <f t="shared" si="11"/>
        <v/>
      </c>
      <c r="CP75" s="159" t="str">
        <f t="shared" si="11"/>
        <v/>
      </c>
      <c r="CQ75" s="159" t="str">
        <f t="shared" si="11"/>
        <v/>
      </c>
      <c r="CR75" s="159" t="str">
        <f t="shared" si="11"/>
        <v/>
      </c>
      <c r="CS75" s="159" t="str">
        <f t="shared" si="11"/>
        <v/>
      </c>
      <c r="CT75" s="225" t="s">
        <v>54</v>
      </c>
      <c r="CU75" s="42"/>
      <c r="CV75" s="42"/>
      <c r="CY75" s="25"/>
    </row>
    <row r="76" spans="1:103" x14ac:dyDescent="0.25">
      <c r="A76" s="97">
        <f t="shared" si="12"/>
        <v>0</v>
      </c>
      <c r="B76" s="31">
        <f t="shared" si="12"/>
        <v>2003</v>
      </c>
      <c r="C76" s="158"/>
      <c r="D76" s="159" t="str">
        <f t="shared" si="14"/>
        <v/>
      </c>
      <c r="E76" s="159" t="str">
        <f t="shared" si="14"/>
        <v/>
      </c>
      <c r="F76" s="159" t="str">
        <f t="shared" si="14"/>
        <v/>
      </c>
      <c r="G76" s="159" t="str">
        <f t="shared" si="14"/>
        <v/>
      </c>
      <c r="H76" s="159" t="str">
        <f t="shared" si="14"/>
        <v/>
      </c>
      <c r="I76" s="159" t="str">
        <f t="shared" si="14"/>
        <v/>
      </c>
      <c r="J76" s="159" t="str">
        <f t="shared" si="14"/>
        <v/>
      </c>
      <c r="K76" s="159" t="str">
        <f t="shared" si="14"/>
        <v/>
      </c>
      <c r="L76" s="159" t="str">
        <f t="shared" si="14"/>
        <v/>
      </c>
      <c r="M76" s="159" t="str">
        <f t="shared" si="14"/>
        <v/>
      </c>
      <c r="N76" s="159" t="str">
        <f t="shared" si="14"/>
        <v/>
      </c>
      <c r="O76" s="159" t="str">
        <f t="shared" si="14"/>
        <v/>
      </c>
      <c r="P76" s="159" t="str">
        <f t="shared" si="14"/>
        <v/>
      </c>
      <c r="Q76" s="159" t="str">
        <f t="shared" si="14"/>
        <v/>
      </c>
      <c r="R76" s="159" t="str">
        <f t="shared" si="14"/>
        <v/>
      </c>
      <c r="S76" s="159" t="str">
        <f t="shared" si="14"/>
        <v/>
      </c>
      <c r="T76" s="159" t="str">
        <f t="shared" si="14"/>
        <v/>
      </c>
      <c r="U76" s="159" t="str">
        <f t="shared" si="14"/>
        <v/>
      </c>
      <c r="V76" s="159" t="str">
        <f t="shared" si="14"/>
        <v/>
      </c>
      <c r="W76" s="159" t="str">
        <f t="shared" si="14"/>
        <v/>
      </c>
      <c r="X76" s="159" t="str">
        <f t="shared" si="14"/>
        <v/>
      </c>
      <c r="Y76" s="159" t="str">
        <f t="shared" si="14"/>
        <v/>
      </c>
      <c r="Z76" s="159" t="str">
        <f t="shared" si="14"/>
        <v/>
      </c>
      <c r="AA76" s="159" t="str">
        <f t="shared" si="14"/>
        <v/>
      </c>
      <c r="AB76" s="159" t="str">
        <f t="shared" si="14"/>
        <v/>
      </c>
      <c r="AC76" s="159" t="str">
        <f t="shared" si="14"/>
        <v/>
      </c>
      <c r="AD76" s="159" t="str">
        <f t="shared" si="14"/>
        <v/>
      </c>
      <c r="AE76" s="159" t="str">
        <f t="shared" si="14"/>
        <v/>
      </c>
      <c r="AF76" s="159" t="str">
        <f t="shared" si="14"/>
        <v/>
      </c>
      <c r="AG76" s="159" t="str">
        <f t="shared" si="14"/>
        <v/>
      </c>
      <c r="AH76" s="159" t="str">
        <f t="shared" si="14"/>
        <v/>
      </c>
      <c r="AI76" s="159" t="str">
        <f t="shared" si="14"/>
        <v/>
      </c>
      <c r="AJ76" s="159" t="str">
        <f t="shared" si="14"/>
        <v/>
      </c>
      <c r="AK76" s="159" t="str">
        <f t="shared" si="14"/>
        <v/>
      </c>
      <c r="AL76" s="159" t="str">
        <f t="shared" si="14"/>
        <v/>
      </c>
      <c r="AM76" s="159" t="str">
        <f t="shared" si="14"/>
        <v/>
      </c>
      <c r="AN76" s="159" t="str">
        <f t="shared" si="14"/>
        <v/>
      </c>
      <c r="AO76" s="159" t="str">
        <f t="shared" si="14"/>
        <v/>
      </c>
      <c r="AP76" s="159" t="str">
        <f t="shared" si="14"/>
        <v/>
      </c>
      <c r="AQ76" s="159" t="str">
        <f t="shared" si="14"/>
        <v/>
      </c>
      <c r="AR76" s="159" t="str">
        <f t="shared" si="14"/>
        <v/>
      </c>
      <c r="AS76" s="159" t="str">
        <f t="shared" si="14"/>
        <v/>
      </c>
      <c r="AT76" s="159" t="str">
        <f t="shared" si="14"/>
        <v/>
      </c>
      <c r="AU76" s="159" t="str">
        <f t="shared" si="14"/>
        <v/>
      </c>
      <c r="AV76" s="159" t="str">
        <f t="shared" si="14"/>
        <v/>
      </c>
      <c r="AW76" s="159" t="str">
        <f t="shared" si="14"/>
        <v/>
      </c>
      <c r="AX76" s="159" t="str">
        <f t="shared" si="14"/>
        <v/>
      </c>
      <c r="AY76" s="159" t="str">
        <f t="shared" si="14"/>
        <v/>
      </c>
      <c r="AZ76" s="159" t="str">
        <f t="shared" si="14"/>
        <v/>
      </c>
      <c r="BA76" s="159" t="str">
        <f t="shared" si="14"/>
        <v/>
      </c>
      <c r="BB76" s="159" t="str">
        <f t="shared" si="14"/>
        <v/>
      </c>
      <c r="BC76" s="159" t="str">
        <f t="shared" si="14"/>
        <v/>
      </c>
      <c r="BD76" s="159" t="str">
        <f t="shared" si="14"/>
        <v/>
      </c>
      <c r="BE76" s="159" t="str">
        <f t="shared" si="14"/>
        <v/>
      </c>
      <c r="BF76" s="159" t="str">
        <f t="shared" si="14"/>
        <v/>
      </c>
      <c r="BG76" s="159" t="str">
        <f t="shared" si="14"/>
        <v/>
      </c>
      <c r="BH76" s="159" t="str">
        <f t="shared" si="14"/>
        <v/>
      </c>
      <c r="BI76" s="159" t="str">
        <f t="shared" si="14"/>
        <v/>
      </c>
      <c r="BJ76" s="159" t="str">
        <f t="shared" si="14"/>
        <v/>
      </c>
      <c r="BK76" s="159" t="str">
        <f t="shared" si="14"/>
        <v/>
      </c>
      <c r="BL76" s="159" t="str">
        <f t="shared" si="14"/>
        <v/>
      </c>
      <c r="BM76" s="159" t="str">
        <f t="shared" si="14"/>
        <v/>
      </c>
      <c r="BN76" s="159" t="str">
        <f t="shared" si="14"/>
        <v/>
      </c>
      <c r="BO76" s="159" t="str">
        <f t="shared" ref="BO76" si="15">IFERROR(IF(BO49=1,BO21/BN21,""),"")</f>
        <v/>
      </c>
      <c r="BP76" s="159" t="str">
        <f t="shared" si="11"/>
        <v/>
      </c>
      <c r="BQ76" s="159" t="str">
        <f t="shared" si="11"/>
        <v/>
      </c>
      <c r="BR76" s="159" t="str">
        <f t="shared" si="11"/>
        <v/>
      </c>
      <c r="BS76" s="159" t="str">
        <f t="shared" si="11"/>
        <v/>
      </c>
      <c r="BT76" s="159" t="str">
        <f t="shared" si="11"/>
        <v/>
      </c>
      <c r="BU76" s="159" t="str">
        <f t="shared" si="11"/>
        <v/>
      </c>
      <c r="BV76" s="159" t="str">
        <f t="shared" si="11"/>
        <v/>
      </c>
      <c r="BW76" s="159" t="str">
        <f t="shared" si="11"/>
        <v/>
      </c>
      <c r="BX76" s="159" t="str">
        <f t="shared" si="11"/>
        <v/>
      </c>
      <c r="BY76" s="159" t="str">
        <f t="shared" si="11"/>
        <v/>
      </c>
      <c r="BZ76" s="159" t="str">
        <f t="shared" si="11"/>
        <v/>
      </c>
      <c r="CA76" s="159" t="str">
        <f t="shared" si="11"/>
        <v/>
      </c>
      <c r="CB76" s="159" t="str">
        <f t="shared" si="11"/>
        <v/>
      </c>
      <c r="CC76" s="159" t="str">
        <f t="shared" si="11"/>
        <v/>
      </c>
      <c r="CD76" s="159" t="str">
        <f t="shared" si="11"/>
        <v/>
      </c>
      <c r="CE76" s="159" t="str">
        <f t="shared" si="11"/>
        <v/>
      </c>
      <c r="CF76" s="159" t="str">
        <f t="shared" si="11"/>
        <v/>
      </c>
      <c r="CG76" s="159" t="str">
        <f t="shared" si="11"/>
        <v/>
      </c>
      <c r="CH76" s="159" t="str">
        <f t="shared" si="11"/>
        <v/>
      </c>
      <c r="CI76" s="159" t="str">
        <f t="shared" si="11"/>
        <v/>
      </c>
      <c r="CJ76" s="159" t="str">
        <f t="shared" si="11"/>
        <v/>
      </c>
      <c r="CK76" s="159" t="str">
        <f t="shared" si="11"/>
        <v/>
      </c>
      <c r="CL76" s="159" t="str">
        <f t="shared" si="11"/>
        <v/>
      </c>
      <c r="CM76" s="159" t="str">
        <f t="shared" si="11"/>
        <v/>
      </c>
      <c r="CN76" s="159" t="str">
        <f t="shared" si="11"/>
        <v/>
      </c>
      <c r="CO76" s="159" t="str">
        <f t="shared" si="11"/>
        <v/>
      </c>
      <c r="CP76" s="159" t="str">
        <f t="shared" si="11"/>
        <v/>
      </c>
      <c r="CQ76" s="159" t="str">
        <f t="shared" si="11"/>
        <v/>
      </c>
      <c r="CR76" s="159" t="str">
        <f t="shared" si="11"/>
        <v/>
      </c>
      <c r="CS76" s="159" t="str">
        <f t="shared" si="11"/>
        <v/>
      </c>
      <c r="CT76" s="225" t="s">
        <v>54</v>
      </c>
      <c r="CU76" s="42"/>
      <c r="CV76" s="42"/>
    </row>
    <row r="77" spans="1:103" x14ac:dyDescent="0.25">
      <c r="A77" s="97">
        <f t="shared" si="12"/>
        <v>0</v>
      </c>
      <c r="B77" s="31">
        <f t="shared" si="12"/>
        <v>2004</v>
      </c>
      <c r="C77" s="158"/>
      <c r="D77" s="159" t="str">
        <f t="shared" ref="D77:BO80" si="16">IFERROR(IF(D50=1,D22/C22,""),"")</f>
        <v/>
      </c>
      <c r="E77" s="159" t="str">
        <f t="shared" si="16"/>
        <v/>
      </c>
      <c r="F77" s="159" t="str">
        <f t="shared" si="16"/>
        <v/>
      </c>
      <c r="G77" s="159" t="str">
        <f t="shared" si="16"/>
        <v/>
      </c>
      <c r="H77" s="159" t="str">
        <f t="shared" si="16"/>
        <v/>
      </c>
      <c r="I77" s="159" t="str">
        <f t="shared" si="16"/>
        <v/>
      </c>
      <c r="J77" s="159" t="str">
        <f t="shared" si="16"/>
        <v/>
      </c>
      <c r="K77" s="159" t="str">
        <f t="shared" si="16"/>
        <v/>
      </c>
      <c r="L77" s="159" t="str">
        <f t="shared" si="16"/>
        <v/>
      </c>
      <c r="M77" s="159" t="str">
        <f t="shared" si="16"/>
        <v/>
      </c>
      <c r="N77" s="159" t="str">
        <f t="shared" si="16"/>
        <v/>
      </c>
      <c r="O77" s="159" t="str">
        <f t="shared" si="16"/>
        <v/>
      </c>
      <c r="P77" s="159" t="str">
        <f t="shared" si="16"/>
        <v/>
      </c>
      <c r="Q77" s="159" t="str">
        <f t="shared" si="16"/>
        <v/>
      </c>
      <c r="R77" s="159" t="str">
        <f t="shared" si="16"/>
        <v/>
      </c>
      <c r="S77" s="159" t="str">
        <f t="shared" si="16"/>
        <v/>
      </c>
      <c r="T77" s="159" t="str">
        <f t="shared" si="16"/>
        <v/>
      </c>
      <c r="U77" s="159" t="str">
        <f t="shared" si="16"/>
        <v/>
      </c>
      <c r="V77" s="159" t="str">
        <f t="shared" si="16"/>
        <v/>
      </c>
      <c r="W77" s="159" t="str">
        <f t="shared" si="16"/>
        <v/>
      </c>
      <c r="X77" s="159" t="str">
        <f t="shared" si="16"/>
        <v/>
      </c>
      <c r="Y77" s="159" t="str">
        <f t="shared" si="16"/>
        <v/>
      </c>
      <c r="Z77" s="159" t="str">
        <f t="shared" si="16"/>
        <v/>
      </c>
      <c r="AA77" s="159" t="str">
        <f t="shared" si="16"/>
        <v/>
      </c>
      <c r="AB77" s="159" t="str">
        <f t="shared" si="16"/>
        <v/>
      </c>
      <c r="AC77" s="159" t="str">
        <f t="shared" si="16"/>
        <v/>
      </c>
      <c r="AD77" s="159" t="str">
        <f t="shared" si="16"/>
        <v/>
      </c>
      <c r="AE77" s="159" t="str">
        <f t="shared" si="16"/>
        <v/>
      </c>
      <c r="AF77" s="159" t="str">
        <f t="shared" si="16"/>
        <v/>
      </c>
      <c r="AG77" s="159" t="str">
        <f t="shared" si="16"/>
        <v/>
      </c>
      <c r="AH77" s="159" t="str">
        <f t="shared" si="16"/>
        <v/>
      </c>
      <c r="AI77" s="159" t="str">
        <f t="shared" si="16"/>
        <v/>
      </c>
      <c r="AJ77" s="159" t="str">
        <f t="shared" si="16"/>
        <v/>
      </c>
      <c r="AK77" s="159" t="str">
        <f t="shared" si="16"/>
        <v/>
      </c>
      <c r="AL77" s="159" t="str">
        <f t="shared" si="16"/>
        <v/>
      </c>
      <c r="AM77" s="159" t="str">
        <f t="shared" si="16"/>
        <v/>
      </c>
      <c r="AN77" s="159" t="str">
        <f t="shared" si="16"/>
        <v/>
      </c>
      <c r="AO77" s="159" t="str">
        <f t="shared" si="16"/>
        <v/>
      </c>
      <c r="AP77" s="159" t="str">
        <f t="shared" si="16"/>
        <v/>
      </c>
      <c r="AQ77" s="159" t="str">
        <f t="shared" si="16"/>
        <v/>
      </c>
      <c r="AR77" s="159" t="str">
        <f t="shared" si="16"/>
        <v/>
      </c>
      <c r="AS77" s="159" t="str">
        <f t="shared" si="16"/>
        <v/>
      </c>
      <c r="AT77" s="159" t="str">
        <f t="shared" si="16"/>
        <v/>
      </c>
      <c r="AU77" s="159" t="str">
        <f t="shared" si="16"/>
        <v/>
      </c>
      <c r="AV77" s="159" t="str">
        <f t="shared" si="16"/>
        <v/>
      </c>
      <c r="AW77" s="159" t="str">
        <f t="shared" si="16"/>
        <v/>
      </c>
      <c r="AX77" s="159" t="str">
        <f t="shared" si="16"/>
        <v/>
      </c>
      <c r="AY77" s="159" t="str">
        <f t="shared" si="16"/>
        <v/>
      </c>
      <c r="AZ77" s="159" t="str">
        <f t="shared" si="16"/>
        <v/>
      </c>
      <c r="BA77" s="159" t="str">
        <f t="shared" si="16"/>
        <v/>
      </c>
      <c r="BB77" s="159" t="str">
        <f t="shared" si="16"/>
        <v/>
      </c>
      <c r="BC77" s="159" t="str">
        <f t="shared" si="16"/>
        <v/>
      </c>
      <c r="BD77" s="159" t="str">
        <f t="shared" si="16"/>
        <v/>
      </c>
      <c r="BE77" s="159" t="str">
        <f t="shared" si="16"/>
        <v/>
      </c>
      <c r="BF77" s="159" t="str">
        <f t="shared" si="16"/>
        <v/>
      </c>
      <c r="BG77" s="159" t="str">
        <f t="shared" si="16"/>
        <v/>
      </c>
      <c r="BH77" s="159" t="str">
        <f t="shared" si="16"/>
        <v/>
      </c>
      <c r="BI77" s="159" t="str">
        <f t="shared" si="16"/>
        <v/>
      </c>
      <c r="BJ77" s="159" t="str">
        <f t="shared" si="16"/>
        <v/>
      </c>
      <c r="BK77" s="159" t="str">
        <f t="shared" si="16"/>
        <v/>
      </c>
      <c r="BL77" s="159" t="str">
        <f t="shared" si="16"/>
        <v/>
      </c>
      <c r="BM77" s="159" t="str">
        <f t="shared" si="16"/>
        <v/>
      </c>
      <c r="BN77" s="159" t="str">
        <f t="shared" si="16"/>
        <v/>
      </c>
      <c r="BO77" s="159" t="str">
        <f t="shared" si="16"/>
        <v/>
      </c>
      <c r="BP77" s="159" t="str">
        <f t="shared" si="11"/>
        <v/>
      </c>
      <c r="BQ77" s="159" t="str">
        <f t="shared" si="11"/>
        <v/>
      </c>
      <c r="BR77" s="159" t="str">
        <f t="shared" si="11"/>
        <v/>
      </c>
      <c r="BS77" s="159" t="str">
        <f t="shared" si="11"/>
        <v/>
      </c>
      <c r="BT77" s="159" t="str">
        <f t="shared" si="11"/>
        <v/>
      </c>
      <c r="BU77" s="159" t="str">
        <f t="shared" si="11"/>
        <v/>
      </c>
      <c r="BV77" s="159" t="str">
        <f t="shared" si="11"/>
        <v/>
      </c>
      <c r="BW77" s="159" t="str">
        <f t="shared" si="11"/>
        <v/>
      </c>
      <c r="BX77" s="159" t="str">
        <f t="shared" si="11"/>
        <v/>
      </c>
      <c r="BY77" s="159" t="str">
        <f t="shared" si="11"/>
        <v/>
      </c>
      <c r="BZ77" s="159" t="str">
        <f t="shared" si="11"/>
        <v/>
      </c>
      <c r="CA77" s="159" t="str">
        <f t="shared" si="11"/>
        <v/>
      </c>
      <c r="CB77" s="159" t="str">
        <f t="shared" si="11"/>
        <v/>
      </c>
      <c r="CC77" s="159" t="str">
        <f t="shared" si="11"/>
        <v/>
      </c>
      <c r="CD77" s="159" t="str">
        <f t="shared" si="11"/>
        <v/>
      </c>
      <c r="CE77" s="159" t="str">
        <f t="shared" ref="CE77:CS77" si="17">IFERROR(IF(CE50=1,CE22/CD22,""),"")</f>
        <v/>
      </c>
      <c r="CF77" s="159" t="str">
        <f t="shared" si="17"/>
        <v/>
      </c>
      <c r="CG77" s="159" t="str">
        <f t="shared" si="17"/>
        <v/>
      </c>
      <c r="CH77" s="159" t="str">
        <f t="shared" si="17"/>
        <v/>
      </c>
      <c r="CI77" s="159" t="str">
        <f t="shared" si="17"/>
        <v/>
      </c>
      <c r="CJ77" s="159" t="str">
        <f t="shared" si="17"/>
        <v/>
      </c>
      <c r="CK77" s="159" t="str">
        <f t="shared" si="17"/>
        <v/>
      </c>
      <c r="CL77" s="159" t="str">
        <f t="shared" si="17"/>
        <v/>
      </c>
      <c r="CM77" s="159" t="str">
        <f t="shared" si="17"/>
        <v/>
      </c>
      <c r="CN77" s="159" t="str">
        <f t="shared" si="17"/>
        <v/>
      </c>
      <c r="CO77" s="159" t="str">
        <f t="shared" si="17"/>
        <v/>
      </c>
      <c r="CP77" s="159" t="str">
        <f t="shared" si="17"/>
        <v/>
      </c>
      <c r="CQ77" s="159" t="str">
        <f t="shared" si="17"/>
        <v/>
      </c>
      <c r="CR77" s="159" t="str">
        <f t="shared" si="17"/>
        <v/>
      </c>
      <c r="CS77" s="159" t="str">
        <f t="shared" si="17"/>
        <v/>
      </c>
      <c r="CT77" s="225" t="s">
        <v>54</v>
      </c>
      <c r="CU77" s="42"/>
      <c r="CV77" s="42"/>
      <c r="CY77" s="43"/>
    </row>
    <row r="78" spans="1:103" x14ac:dyDescent="0.25">
      <c r="A78" s="97">
        <f t="shared" si="12"/>
        <v>0</v>
      </c>
      <c r="B78" s="31">
        <f t="shared" si="12"/>
        <v>2005</v>
      </c>
      <c r="C78" s="158"/>
      <c r="D78" s="159" t="str">
        <f t="shared" si="16"/>
        <v/>
      </c>
      <c r="E78" s="159" t="str">
        <f t="shared" si="16"/>
        <v/>
      </c>
      <c r="F78" s="159" t="str">
        <f t="shared" si="16"/>
        <v/>
      </c>
      <c r="G78" s="159" t="str">
        <f t="shared" si="16"/>
        <v/>
      </c>
      <c r="H78" s="159" t="str">
        <f t="shared" si="16"/>
        <v/>
      </c>
      <c r="I78" s="159" t="str">
        <f t="shared" si="16"/>
        <v/>
      </c>
      <c r="J78" s="159" t="str">
        <f t="shared" si="16"/>
        <v/>
      </c>
      <c r="K78" s="159" t="str">
        <f t="shared" si="16"/>
        <v/>
      </c>
      <c r="L78" s="159" t="str">
        <f t="shared" si="16"/>
        <v/>
      </c>
      <c r="M78" s="159" t="str">
        <f t="shared" si="16"/>
        <v/>
      </c>
      <c r="N78" s="159" t="str">
        <f t="shared" si="16"/>
        <v/>
      </c>
      <c r="O78" s="159" t="str">
        <f t="shared" si="16"/>
        <v/>
      </c>
      <c r="P78" s="159" t="str">
        <f t="shared" si="16"/>
        <v/>
      </c>
      <c r="Q78" s="159" t="str">
        <f t="shared" si="16"/>
        <v/>
      </c>
      <c r="R78" s="159" t="str">
        <f t="shared" si="16"/>
        <v/>
      </c>
      <c r="S78" s="159" t="str">
        <f t="shared" si="16"/>
        <v/>
      </c>
      <c r="T78" s="159" t="str">
        <f t="shared" si="16"/>
        <v/>
      </c>
      <c r="U78" s="159" t="str">
        <f t="shared" si="16"/>
        <v/>
      </c>
      <c r="V78" s="159" t="str">
        <f t="shared" si="16"/>
        <v/>
      </c>
      <c r="W78" s="159" t="str">
        <f t="shared" si="16"/>
        <v/>
      </c>
      <c r="X78" s="159" t="str">
        <f t="shared" si="16"/>
        <v/>
      </c>
      <c r="Y78" s="159" t="str">
        <f t="shared" si="16"/>
        <v/>
      </c>
      <c r="Z78" s="159" t="str">
        <f t="shared" si="16"/>
        <v/>
      </c>
      <c r="AA78" s="159" t="str">
        <f t="shared" si="16"/>
        <v/>
      </c>
      <c r="AB78" s="159" t="str">
        <f t="shared" si="16"/>
        <v/>
      </c>
      <c r="AC78" s="159" t="str">
        <f t="shared" si="16"/>
        <v/>
      </c>
      <c r="AD78" s="159" t="str">
        <f t="shared" si="16"/>
        <v/>
      </c>
      <c r="AE78" s="159" t="str">
        <f t="shared" si="16"/>
        <v/>
      </c>
      <c r="AF78" s="159" t="str">
        <f t="shared" si="16"/>
        <v/>
      </c>
      <c r="AG78" s="159" t="str">
        <f t="shared" si="16"/>
        <v/>
      </c>
      <c r="AH78" s="159" t="str">
        <f t="shared" si="16"/>
        <v/>
      </c>
      <c r="AI78" s="159" t="str">
        <f t="shared" si="16"/>
        <v/>
      </c>
      <c r="AJ78" s="159" t="str">
        <f t="shared" si="16"/>
        <v/>
      </c>
      <c r="AK78" s="159" t="str">
        <f t="shared" si="16"/>
        <v/>
      </c>
      <c r="AL78" s="159" t="str">
        <f t="shared" si="16"/>
        <v/>
      </c>
      <c r="AM78" s="159" t="str">
        <f t="shared" si="16"/>
        <v/>
      </c>
      <c r="AN78" s="159" t="str">
        <f t="shared" si="16"/>
        <v/>
      </c>
      <c r="AO78" s="159" t="str">
        <f t="shared" si="16"/>
        <v/>
      </c>
      <c r="AP78" s="159" t="str">
        <f t="shared" si="16"/>
        <v/>
      </c>
      <c r="AQ78" s="159" t="str">
        <f t="shared" si="16"/>
        <v/>
      </c>
      <c r="AR78" s="159" t="str">
        <f t="shared" si="16"/>
        <v/>
      </c>
      <c r="AS78" s="159" t="str">
        <f t="shared" si="16"/>
        <v/>
      </c>
      <c r="AT78" s="159" t="str">
        <f t="shared" si="16"/>
        <v/>
      </c>
      <c r="AU78" s="159" t="str">
        <f t="shared" si="16"/>
        <v/>
      </c>
      <c r="AV78" s="159" t="str">
        <f t="shared" si="16"/>
        <v/>
      </c>
      <c r="AW78" s="159" t="str">
        <f t="shared" si="16"/>
        <v/>
      </c>
      <c r="AX78" s="159" t="str">
        <f t="shared" si="16"/>
        <v/>
      </c>
      <c r="AY78" s="159" t="str">
        <f t="shared" si="16"/>
        <v/>
      </c>
      <c r="AZ78" s="159" t="str">
        <f t="shared" si="16"/>
        <v/>
      </c>
      <c r="BA78" s="159" t="str">
        <f t="shared" si="16"/>
        <v/>
      </c>
      <c r="BB78" s="159" t="str">
        <f t="shared" si="16"/>
        <v/>
      </c>
      <c r="BC78" s="159" t="str">
        <f t="shared" si="16"/>
        <v/>
      </c>
      <c r="BD78" s="159" t="str">
        <f t="shared" si="16"/>
        <v/>
      </c>
      <c r="BE78" s="159" t="str">
        <f t="shared" si="16"/>
        <v/>
      </c>
      <c r="BF78" s="159" t="str">
        <f t="shared" si="16"/>
        <v/>
      </c>
      <c r="BG78" s="159" t="str">
        <f t="shared" si="16"/>
        <v/>
      </c>
      <c r="BH78" s="159" t="str">
        <f t="shared" si="16"/>
        <v/>
      </c>
      <c r="BI78" s="159" t="str">
        <f t="shared" si="16"/>
        <v/>
      </c>
      <c r="BJ78" s="159" t="str">
        <f t="shared" si="16"/>
        <v/>
      </c>
      <c r="BK78" s="159" t="str">
        <f t="shared" si="16"/>
        <v/>
      </c>
      <c r="BL78" s="159" t="str">
        <f t="shared" si="16"/>
        <v/>
      </c>
      <c r="BM78" s="159" t="str">
        <f t="shared" si="16"/>
        <v/>
      </c>
      <c r="BN78" s="159" t="str">
        <f t="shared" si="16"/>
        <v/>
      </c>
      <c r="BO78" s="159" t="str">
        <f t="shared" si="16"/>
        <v/>
      </c>
      <c r="BP78" s="159" t="str">
        <f t="shared" ref="BP78:CS86" si="18">IFERROR(IF(BP51=1,BP23/BO23,""),"")</f>
        <v/>
      </c>
      <c r="BQ78" s="159" t="str">
        <f t="shared" si="18"/>
        <v/>
      </c>
      <c r="BR78" s="159" t="str">
        <f t="shared" si="18"/>
        <v/>
      </c>
      <c r="BS78" s="159" t="str">
        <f t="shared" si="18"/>
        <v/>
      </c>
      <c r="BT78" s="159" t="str">
        <f t="shared" si="18"/>
        <v/>
      </c>
      <c r="BU78" s="159" t="str">
        <f t="shared" si="18"/>
        <v/>
      </c>
      <c r="BV78" s="159" t="str">
        <f t="shared" si="18"/>
        <v/>
      </c>
      <c r="BW78" s="159" t="str">
        <f t="shared" si="18"/>
        <v/>
      </c>
      <c r="BX78" s="159" t="str">
        <f t="shared" si="18"/>
        <v/>
      </c>
      <c r="BY78" s="159" t="str">
        <f t="shared" si="18"/>
        <v/>
      </c>
      <c r="BZ78" s="159" t="str">
        <f t="shared" si="18"/>
        <v/>
      </c>
      <c r="CA78" s="159" t="str">
        <f t="shared" si="18"/>
        <v/>
      </c>
      <c r="CB78" s="159" t="str">
        <f t="shared" si="18"/>
        <v/>
      </c>
      <c r="CC78" s="159" t="str">
        <f t="shared" si="18"/>
        <v/>
      </c>
      <c r="CD78" s="159" t="str">
        <f t="shared" si="18"/>
        <v/>
      </c>
      <c r="CE78" s="159" t="str">
        <f t="shared" si="18"/>
        <v/>
      </c>
      <c r="CF78" s="159" t="str">
        <f t="shared" si="18"/>
        <v/>
      </c>
      <c r="CG78" s="159" t="str">
        <f t="shared" si="18"/>
        <v/>
      </c>
      <c r="CH78" s="159" t="str">
        <f t="shared" si="18"/>
        <v/>
      </c>
      <c r="CI78" s="159" t="str">
        <f t="shared" si="18"/>
        <v/>
      </c>
      <c r="CJ78" s="159" t="str">
        <f t="shared" si="18"/>
        <v/>
      </c>
      <c r="CK78" s="159" t="str">
        <f t="shared" si="18"/>
        <v/>
      </c>
      <c r="CL78" s="159" t="str">
        <f t="shared" si="18"/>
        <v/>
      </c>
      <c r="CM78" s="159" t="str">
        <f t="shared" si="18"/>
        <v/>
      </c>
      <c r="CN78" s="159" t="str">
        <f t="shared" si="18"/>
        <v/>
      </c>
      <c r="CO78" s="159" t="str">
        <f t="shared" si="18"/>
        <v/>
      </c>
      <c r="CP78" s="159" t="str">
        <f t="shared" si="18"/>
        <v/>
      </c>
      <c r="CQ78" s="159" t="str">
        <f t="shared" si="18"/>
        <v/>
      </c>
      <c r="CR78" s="159" t="str">
        <f t="shared" si="18"/>
        <v/>
      </c>
      <c r="CS78" s="159" t="str">
        <f t="shared" si="18"/>
        <v/>
      </c>
      <c r="CT78" s="225" t="s">
        <v>54</v>
      </c>
      <c r="CU78" s="42"/>
      <c r="CV78" s="42"/>
      <c r="CY78" s="43"/>
    </row>
    <row r="79" spans="1:103" x14ac:dyDescent="0.25">
      <c r="A79" s="97">
        <f t="shared" si="12"/>
        <v>0</v>
      </c>
      <c r="B79" s="31">
        <f t="shared" si="12"/>
        <v>2006</v>
      </c>
      <c r="C79" s="158"/>
      <c r="D79" s="159" t="str">
        <f t="shared" si="16"/>
        <v/>
      </c>
      <c r="E79" s="159" t="str">
        <f t="shared" si="16"/>
        <v/>
      </c>
      <c r="F79" s="159" t="str">
        <f t="shared" si="16"/>
        <v/>
      </c>
      <c r="G79" s="159" t="str">
        <f t="shared" si="16"/>
        <v/>
      </c>
      <c r="H79" s="159" t="str">
        <f t="shared" si="16"/>
        <v/>
      </c>
      <c r="I79" s="159" t="str">
        <f t="shared" si="16"/>
        <v/>
      </c>
      <c r="J79" s="159" t="str">
        <f t="shared" si="16"/>
        <v/>
      </c>
      <c r="K79" s="159" t="str">
        <f t="shared" si="16"/>
        <v/>
      </c>
      <c r="L79" s="159" t="str">
        <f t="shared" si="16"/>
        <v/>
      </c>
      <c r="M79" s="159" t="str">
        <f t="shared" si="16"/>
        <v/>
      </c>
      <c r="N79" s="159" t="str">
        <f t="shared" si="16"/>
        <v/>
      </c>
      <c r="O79" s="159" t="str">
        <f t="shared" si="16"/>
        <v/>
      </c>
      <c r="P79" s="159" t="str">
        <f t="shared" si="16"/>
        <v/>
      </c>
      <c r="Q79" s="159" t="str">
        <f t="shared" si="16"/>
        <v/>
      </c>
      <c r="R79" s="159" t="str">
        <f t="shared" si="16"/>
        <v/>
      </c>
      <c r="S79" s="159" t="str">
        <f t="shared" si="16"/>
        <v/>
      </c>
      <c r="T79" s="159" t="str">
        <f t="shared" si="16"/>
        <v/>
      </c>
      <c r="U79" s="159" t="str">
        <f t="shared" si="16"/>
        <v/>
      </c>
      <c r="V79" s="159" t="str">
        <f t="shared" si="16"/>
        <v/>
      </c>
      <c r="W79" s="159" t="str">
        <f t="shared" si="16"/>
        <v/>
      </c>
      <c r="X79" s="159" t="str">
        <f t="shared" si="16"/>
        <v/>
      </c>
      <c r="Y79" s="159" t="str">
        <f t="shared" si="16"/>
        <v/>
      </c>
      <c r="Z79" s="159" t="str">
        <f t="shared" si="16"/>
        <v/>
      </c>
      <c r="AA79" s="159" t="str">
        <f t="shared" si="16"/>
        <v/>
      </c>
      <c r="AB79" s="159" t="str">
        <f t="shared" si="16"/>
        <v/>
      </c>
      <c r="AC79" s="159" t="str">
        <f t="shared" si="16"/>
        <v/>
      </c>
      <c r="AD79" s="159" t="str">
        <f t="shared" si="16"/>
        <v/>
      </c>
      <c r="AE79" s="159" t="str">
        <f t="shared" si="16"/>
        <v/>
      </c>
      <c r="AF79" s="159" t="str">
        <f t="shared" si="16"/>
        <v/>
      </c>
      <c r="AG79" s="159" t="str">
        <f t="shared" si="16"/>
        <v/>
      </c>
      <c r="AH79" s="159" t="str">
        <f t="shared" si="16"/>
        <v/>
      </c>
      <c r="AI79" s="159" t="str">
        <f t="shared" si="16"/>
        <v/>
      </c>
      <c r="AJ79" s="159" t="str">
        <f t="shared" si="16"/>
        <v/>
      </c>
      <c r="AK79" s="159" t="str">
        <f t="shared" si="16"/>
        <v/>
      </c>
      <c r="AL79" s="159" t="str">
        <f t="shared" si="16"/>
        <v/>
      </c>
      <c r="AM79" s="159" t="str">
        <f t="shared" si="16"/>
        <v/>
      </c>
      <c r="AN79" s="159" t="str">
        <f t="shared" si="16"/>
        <v/>
      </c>
      <c r="AO79" s="159" t="str">
        <f t="shared" si="16"/>
        <v/>
      </c>
      <c r="AP79" s="159" t="str">
        <f t="shared" si="16"/>
        <v/>
      </c>
      <c r="AQ79" s="159" t="str">
        <f t="shared" si="16"/>
        <v/>
      </c>
      <c r="AR79" s="159" t="str">
        <f t="shared" si="16"/>
        <v/>
      </c>
      <c r="AS79" s="159" t="str">
        <f t="shared" si="16"/>
        <v/>
      </c>
      <c r="AT79" s="159" t="str">
        <f t="shared" si="16"/>
        <v/>
      </c>
      <c r="AU79" s="159" t="str">
        <f t="shared" si="16"/>
        <v/>
      </c>
      <c r="AV79" s="159" t="str">
        <f t="shared" si="16"/>
        <v/>
      </c>
      <c r="AW79" s="159" t="str">
        <f t="shared" si="16"/>
        <v/>
      </c>
      <c r="AX79" s="159" t="str">
        <f t="shared" si="16"/>
        <v/>
      </c>
      <c r="AY79" s="159" t="str">
        <f t="shared" si="16"/>
        <v/>
      </c>
      <c r="AZ79" s="159" t="str">
        <f t="shared" si="16"/>
        <v/>
      </c>
      <c r="BA79" s="159" t="str">
        <f t="shared" si="16"/>
        <v/>
      </c>
      <c r="BB79" s="159" t="str">
        <f t="shared" si="16"/>
        <v/>
      </c>
      <c r="BC79" s="159" t="str">
        <f t="shared" si="16"/>
        <v/>
      </c>
      <c r="BD79" s="159" t="str">
        <f t="shared" si="16"/>
        <v/>
      </c>
      <c r="BE79" s="159" t="str">
        <f t="shared" si="16"/>
        <v/>
      </c>
      <c r="BF79" s="159" t="str">
        <f t="shared" si="16"/>
        <v/>
      </c>
      <c r="BG79" s="159" t="str">
        <f t="shared" si="16"/>
        <v/>
      </c>
      <c r="BH79" s="159" t="str">
        <f t="shared" si="16"/>
        <v/>
      </c>
      <c r="BI79" s="159" t="str">
        <f t="shared" si="16"/>
        <v/>
      </c>
      <c r="BJ79" s="159" t="str">
        <f t="shared" si="16"/>
        <v/>
      </c>
      <c r="BK79" s="159" t="str">
        <f t="shared" si="16"/>
        <v/>
      </c>
      <c r="BL79" s="159" t="str">
        <f t="shared" si="16"/>
        <v/>
      </c>
      <c r="BM79" s="159" t="str">
        <f t="shared" si="16"/>
        <v/>
      </c>
      <c r="BN79" s="159" t="str">
        <f t="shared" si="16"/>
        <v/>
      </c>
      <c r="BO79" s="159" t="str">
        <f t="shared" si="16"/>
        <v/>
      </c>
      <c r="BP79" s="159" t="str">
        <f t="shared" si="18"/>
        <v/>
      </c>
      <c r="BQ79" s="159" t="str">
        <f t="shared" si="18"/>
        <v/>
      </c>
      <c r="BR79" s="159" t="str">
        <f t="shared" si="18"/>
        <v/>
      </c>
      <c r="BS79" s="159" t="str">
        <f t="shared" si="18"/>
        <v/>
      </c>
      <c r="BT79" s="159" t="str">
        <f t="shared" si="18"/>
        <v/>
      </c>
      <c r="BU79" s="159" t="str">
        <f t="shared" si="18"/>
        <v/>
      </c>
      <c r="BV79" s="159" t="str">
        <f t="shared" si="18"/>
        <v/>
      </c>
      <c r="BW79" s="159" t="str">
        <f t="shared" si="18"/>
        <v/>
      </c>
      <c r="BX79" s="159" t="str">
        <f t="shared" si="18"/>
        <v/>
      </c>
      <c r="BY79" s="159" t="str">
        <f t="shared" si="18"/>
        <v/>
      </c>
      <c r="BZ79" s="159" t="str">
        <f t="shared" si="18"/>
        <v/>
      </c>
      <c r="CA79" s="159" t="str">
        <f t="shared" si="18"/>
        <v/>
      </c>
      <c r="CB79" s="159" t="str">
        <f t="shared" si="18"/>
        <v/>
      </c>
      <c r="CC79" s="159" t="str">
        <f t="shared" si="18"/>
        <v/>
      </c>
      <c r="CD79" s="159" t="str">
        <f t="shared" si="18"/>
        <v/>
      </c>
      <c r="CE79" s="159" t="str">
        <f t="shared" si="18"/>
        <v/>
      </c>
      <c r="CF79" s="159" t="str">
        <f t="shared" si="18"/>
        <v/>
      </c>
      <c r="CG79" s="159" t="str">
        <f t="shared" si="18"/>
        <v/>
      </c>
      <c r="CH79" s="159" t="str">
        <f t="shared" si="18"/>
        <v/>
      </c>
      <c r="CI79" s="159" t="str">
        <f t="shared" si="18"/>
        <v/>
      </c>
      <c r="CJ79" s="159" t="str">
        <f t="shared" si="18"/>
        <v/>
      </c>
      <c r="CK79" s="159" t="str">
        <f t="shared" si="18"/>
        <v/>
      </c>
      <c r="CL79" s="159" t="str">
        <f t="shared" si="18"/>
        <v/>
      </c>
      <c r="CM79" s="159" t="str">
        <f t="shared" si="18"/>
        <v/>
      </c>
      <c r="CN79" s="159" t="str">
        <f t="shared" si="18"/>
        <v/>
      </c>
      <c r="CO79" s="159" t="str">
        <f t="shared" si="18"/>
        <v/>
      </c>
      <c r="CP79" s="159" t="str">
        <f t="shared" si="18"/>
        <v/>
      </c>
      <c r="CQ79" s="159" t="str">
        <f t="shared" si="18"/>
        <v/>
      </c>
      <c r="CR79" s="159" t="str">
        <f t="shared" si="18"/>
        <v/>
      </c>
      <c r="CS79" s="159" t="str">
        <f t="shared" si="18"/>
        <v/>
      </c>
      <c r="CT79" s="225" t="s">
        <v>54</v>
      </c>
      <c r="CU79" s="42"/>
      <c r="CV79" s="42"/>
      <c r="CY79" s="43"/>
    </row>
    <row r="80" spans="1:103" x14ac:dyDescent="0.25">
      <c r="A80" s="97">
        <f t="shared" si="12"/>
        <v>0</v>
      </c>
      <c r="B80" s="31">
        <f t="shared" si="12"/>
        <v>2007</v>
      </c>
      <c r="C80" s="158"/>
      <c r="D80" s="159" t="str">
        <f t="shared" si="16"/>
        <v/>
      </c>
      <c r="E80" s="159" t="str">
        <f t="shared" si="16"/>
        <v/>
      </c>
      <c r="F80" s="159" t="str">
        <f t="shared" si="16"/>
        <v/>
      </c>
      <c r="G80" s="159" t="str">
        <f t="shared" si="16"/>
        <v/>
      </c>
      <c r="H80" s="159" t="str">
        <f t="shared" si="16"/>
        <v/>
      </c>
      <c r="I80" s="159" t="str">
        <f t="shared" si="16"/>
        <v/>
      </c>
      <c r="J80" s="159" t="str">
        <f t="shared" si="16"/>
        <v/>
      </c>
      <c r="K80" s="159" t="str">
        <f t="shared" si="16"/>
        <v/>
      </c>
      <c r="L80" s="159" t="str">
        <f t="shared" si="16"/>
        <v/>
      </c>
      <c r="M80" s="159" t="str">
        <f t="shared" si="16"/>
        <v/>
      </c>
      <c r="N80" s="159" t="str">
        <f t="shared" si="16"/>
        <v/>
      </c>
      <c r="O80" s="159" t="str">
        <f t="shared" si="16"/>
        <v/>
      </c>
      <c r="P80" s="159" t="str">
        <f t="shared" si="16"/>
        <v/>
      </c>
      <c r="Q80" s="159" t="str">
        <f t="shared" si="16"/>
        <v/>
      </c>
      <c r="R80" s="159" t="str">
        <f t="shared" si="16"/>
        <v/>
      </c>
      <c r="S80" s="159" t="str">
        <f t="shared" si="16"/>
        <v/>
      </c>
      <c r="T80" s="159" t="str">
        <f t="shared" si="16"/>
        <v/>
      </c>
      <c r="U80" s="159" t="str">
        <f t="shared" si="16"/>
        <v/>
      </c>
      <c r="V80" s="159" t="str">
        <f t="shared" si="16"/>
        <v/>
      </c>
      <c r="W80" s="159" t="str">
        <f t="shared" si="16"/>
        <v/>
      </c>
      <c r="X80" s="159" t="str">
        <f t="shared" si="16"/>
        <v/>
      </c>
      <c r="Y80" s="159" t="str">
        <f t="shared" si="16"/>
        <v/>
      </c>
      <c r="Z80" s="159" t="str">
        <f t="shared" si="16"/>
        <v/>
      </c>
      <c r="AA80" s="159" t="str">
        <f t="shared" si="16"/>
        <v/>
      </c>
      <c r="AB80" s="159" t="str">
        <f t="shared" si="16"/>
        <v/>
      </c>
      <c r="AC80" s="159" t="str">
        <f t="shared" si="16"/>
        <v/>
      </c>
      <c r="AD80" s="159" t="str">
        <f t="shared" si="16"/>
        <v/>
      </c>
      <c r="AE80" s="159" t="str">
        <f t="shared" si="16"/>
        <v/>
      </c>
      <c r="AF80" s="159" t="str">
        <f t="shared" si="16"/>
        <v/>
      </c>
      <c r="AG80" s="159" t="str">
        <f t="shared" si="16"/>
        <v/>
      </c>
      <c r="AH80" s="159" t="str">
        <f t="shared" si="16"/>
        <v/>
      </c>
      <c r="AI80" s="159" t="str">
        <f t="shared" si="16"/>
        <v/>
      </c>
      <c r="AJ80" s="159" t="str">
        <f t="shared" si="16"/>
        <v/>
      </c>
      <c r="AK80" s="159" t="str">
        <f t="shared" si="16"/>
        <v/>
      </c>
      <c r="AL80" s="159" t="str">
        <f t="shared" si="16"/>
        <v/>
      </c>
      <c r="AM80" s="159" t="str">
        <f t="shared" si="16"/>
        <v/>
      </c>
      <c r="AN80" s="159" t="str">
        <f t="shared" si="16"/>
        <v/>
      </c>
      <c r="AO80" s="159" t="str">
        <f t="shared" si="16"/>
        <v/>
      </c>
      <c r="AP80" s="159" t="str">
        <f t="shared" si="16"/>
        <v/>
      </c>
      <c r="AQ80" s="159" t="str">
        <f t="shared" si="16"/>
        <v/>
      </c>
      <c r="AR80" s="159" t="str">
        <f t="shared" si="16"/>
        <v/>
      </c>
      <c r="AS80" s="159" t="str">
        <f t="shared" si="16"/>
        <v/>
      </c>
      <c r="AT80" s="159" t="str">
        <f t="shared" si="16"/>
        <v/>
      </c>
      <c r="AU80" s="159" t="str">
        <f t="shared" si="16"/>
        <v/>
      </c>
      <c r="AV80" s="159" t="str">
        <f t="shared" si="16"/>
        <v/>
      </c>
      <c r="AW80" s="159" t="str">
        <f t="shared" si="16"/>
        <v/>
      </c>
      <c r="AX80" s="159" t="str">
        <f t="shared" si="16"/>
        <v/>
      </c>
      <c r="AY80" s="159" t="str">
        <f t="shared" si="16"/>
        <v/>
      </c>
      <c r="AZ80" s="159" t="str">
        <f t="shared" si="16"/>
        <v/>
      </c>
      <c r="BA80" s="159" t="str">
        <f t="shared" si="16"/>
        <v/>
      </c>
      <c r="BB80" s="159" t="str">
        <f t="shared" si="16"/>
        <v/>
      </c>
      <c r="BC80" s="159" t="str">
        <f t="shared" si="16"/>
        <v/>
      </c>
      <c r="BD80" s="159" t="str">
        <f t="shared" si="16"/>
        <v/>
      </c>
      <c r="BE80" s="159" t="str">
        <f t="shared" si="16"/>
        <v/>
      </c>
      <c r="BF80" s="159" t="str">
        <f t="shared" si="16"/>
        <v/>
      </c>
      <c r="BG80" s="159" t="str">
        <f t="shared" si="16"/>
        <v/>
      </c>
      <c r="BH80" s="159" t="str">
        <f t="shared" si="16"/>
        <v/>
      </c>
      <c r="BI80" s="159" t="str">
        <f t="shared" si="16"/>
        <v/>
      </c>
      <c r="BJ80" s="159" t="str">
        <f t="shared" si="16"/>
        <v/>
      </c>
      <c r="BK80" s="159" t="str">
        <f t="shared" si="16"/>
        <v/>
      </c>
      <c r="BL80" s="159" t="str">
        <f t="shared" si="16"/>
        <v/>
      </c>
      <c r="BM80" s="159" t="str">
        <f t="shared" si="16"/>
        <v/>
      </c>
      <c r="BN80" s="159" t="str">
        <f t="shared" si="16"/>
        <v/>
      </c>
      <c r="BO80" s="159" t="str">
        <f t="shared" ref="BO80" si="19">IFERROR(IF(BO53=1,BO25/BN25,""),"")</f>
        <v/>
      </c>
      <c r="BP80" s="159" t="str">
        <f t="shared" si="18"/>
        <v/>
      </c>
      <c r="BQ80" s="159" t="str">
        <f t="shared" si="18"/>
        <v/>
      </c>
      <c r="BR80" s="159" t="str">
        <f t="shared" si="18"/>
        <v/>
      </c>
      <c r="BS80" s="159" t="str">
        <f t="shared" si="18"/>
        <v/>
      </c>
      <c r="BT80" s="159" t="str">
        <f t="shared" si="18"/>
        <v/>
      </c>
      <c r="BU80" s="159" t="str">
        <f t="shared" si="18"/>
        <v/>
      </c>
      <c r="BV80" s="159" t="str">
        <f t="shared" si="18"/>
        <v/>
      </c>
      <c r="BW80" s="159" t="str">
        <f t="shared" si="18"/>
        <v/>
      </c>
      <c r="BX80" s="159" t="str">
        <f t="shared" si="18"/>
        <v/>
      </c>
      <c r="BY80" s="159" t="str">
        <f t="shared" si="18"/>
        <v/>
      </c>
      <c r="BZ80" s="159" t="str">
        <f t="shared" si="18"/>
        <v/>
      </c>
      <c r="CA80" s="159" t="str">
        <f t="shared" si="18"/>
        <v/>
      </c>
      <c r="CB80" s="159" t="str">
        <f t="shared" si="18"/>
        <v/>
      </c>
      <c r="CC80" s="159" t="str">
        <f t="shared" si="18"/>
        <v/>
      </c>
      <c r="CD80" s="159" t="str">
        <f t="shared" si="18"/>
        <v/>
      </c>
      <c r="CE80" s="159" t="str">
        <f t="shared" si="18"/>
        <v/>
      </c>
      <c r="CF80" s="159" t="str">
        <f t="shared" si="18"/>
        <v/>
      </c>
      <c r="CG80" s="159" t="str">
        <f t="shared" si="18"/>
        <v/>
      </c>
      <c r="CH80" s="159" t="str">
        <f t="shared" si="18"/>
        <v/>
      </c>
      <c r="CI80" s="159" t="str">
        <f t="shared" si="18"/>
        <v/>
      </c>
      <c r="CJ80" s="159" t="str">
        <f t="shared" si="18"/>
        <v/>
      </c>
      <c r="CK80" s="159" t="str">
        <f t="shared" si="18"/>
        <v/>
      </c>
      <c r="CL80" s="159" t="str">
        <f t="shared" si="18"/>
        <v/>
      </c>
      <c r="CM80" s="159" t="str">
        <f t="shared" si="18"/>
        <v/>
      </c>
      <c r="CN80" s="159" t="str">
        <f t="shared" si="18"/>
        <v/>
      </c>
      <c r="CO80" s="159" t="str">
        <f t="shared" si="18"/>
        <v/>
      </c>
      <c r="CP80" s="159" t="str">
        <f t="shared" si="18"/>
        <v/>
      </c>
      <c r="CQ80" s="159" t="str">
        <f t="shared" si="18"/>
        <v/>
      </c>
      <c r="CR80" s="159" t="str">
        <f t="shared" si="18"/>
        <v/>
      </c>
      <c r="CS80" s="159" t="str">
        <f t="shared" si="18"/>
        <v/>
      </c>
      <c r="CT80" s="225" t="s">
        <v>54</v>
      </c>
      <c r="CU80" s="42"/>
      <c r="CV80" s="42"/>
      <c r="CY80" s="43"/>
    </row>
    <row r="81" spans="1:103" x14ac:dyDescent="0.25">
      <c r="A81" s="97">
        <f t="shared" si="12"/>
        <v>0</v>
      </c>
      <c r="B81" s="31">
        <f t="shared" si="12"/>
        <v>2008</v>
      </c>
      <c r="C81" s="158"/>
      <c r="D81" s="159" t="str">
        <f t="shared" ref="D81:BO84" si="20">IFERROR(IF(D54=1,D26/C26,""),"")</f>
        <v/>
      </c>
      <c r="E81" s="159" t="str">
        <f t="shared" si="20"/>
        <v/>
      </c>
      <c r="F81" s="159" t="str">
        <f t="shared" si="20"/>
        <v/>
      </c>
      <c r="G81" s="159" t="str">
        <f t="shared" si="20"/>
        <v/>
      </c>
      <c r="H81" s="159" t="str">
        <f t="shared" si="20"/>
        <v/>
      </c>
      <c r="I81" s="159" t="str">
        <f t="shared" si="20"/>
        <v/>
      </c>
      <c r="J81" s="159" t="str">
        <f t="shared" si="20"/>
        <v/>
      </c>
      <c r="K81" s="159" t="str">
        <f t="shared" si="20"/>
        <v/>
      </c>
      <c r="L81" s="159" t="str">
        <f t="shared" si="20"/>
        <v/>
      </c>
      <c r="M81" s="159" t="str">
        <f t="shared" si="20"/>
        <v/>
      </c>
      <c r="N81" s="159" t="str">
        <f t="shared" si="20"/>
        <v/>
      </c>
      <c r="O81" s="159" t="str">
        <f t="shared" si="20"/>
        <v/>
      </c>
      <c r="P81" s="159" t="str">
        <f t="shared" si="20"/>
        <v/>
      </c>
      <c r="Q81" s="159" t="str">
        <f t="shared" si="20"/>
        <v/>
      </c>
      <c r="R81" s="159" t="str">
        <f t="shared" si="20"/>
        <v/>
      </c>
      <c r="S81" s="159" t="str">
        <f t="shared" si="20"/>
        <v/>
      </c>
      <c r="T81" s="159" t="str">
        <f t="shared" si="20"/>
        <v/>
      </c>
      <c r="U81" s="159" t="str">
        <f t="shared" si="20"/>
        <v/>
      </c>
      <c r="V81" s="159" t="str">
        <f t="shared" si="20"/>
        <v/>
      </c>
      <c r="W81" s="159" t="str">
        <f t="shared" si="20"/>
        <v/>
      </c>
      <c r="X81" s="159" t="str">
        <f t="shared" si="20"/>
        <v/>
      </c>
      <c r="Y81" s="159" t="str">
        <f t="shared" si="20"/>
        <v/>
      </c>
      <c r="Z81" s="159" t="str">
        <f t="shared" si="20"/>
        <v/>
      </c>
      <c r="AA81" s="159" t="str">
        <f t="shared" si="20"/>
        <v/>
      </c>
      <c r="AB81" s="159" t="str">
        <f t="shared" si="20"/>
        <v/>
      </c>
      <c r="AC81" s="159" t="str">
        <f t="shared" si="20"/>
        <v/>
      </c>
      <c r="AD81" s="159" t="str">
        <f t="shared" si="20"/>
        <v/>
      </c>
      <c r="AE81" s="159" t="str">
        <f t="shared" si="20"/>
        <v/>
      </c>
      <c r="AF81" s="159" t="str">
        <f t="shared" si="20"/>
        <v/>
      </c>
      <c r="AG81" s="159" t="str">
        <f t="shared" si="20"/>
        <v/>
      </c>
      <c r="AH81" s="159" t="str">
        <f t="shared" si="20"/>
        <v/>
      </c>
      <c r="AI81" s="159" t="str">
        <f t="shared" si="20"/>
        <v/>
      </c>
      <c r="AJ81" s="159" t="str">
        <f t="shared" si="20"/>
        <v/>
      </c>
      <c r="AK81" s="159" t="str">
        <f t="shared" si="20"/>
        <v/>
      </c>
      <c r="AL81" s="159" t="str">
        <f t="shared" si="20"/>
        <v/>
      </c>
      <c r="AM81" s="159" t="str">
        <f t="shared" si="20"/>
        <v/>
      </c>
      <c r="AN81" s="159" t="str">
        <f t="shared" si="20"/>
        <v/>
      </c>
      <c r="AO81" s="159" t="str">
        <f t="shared" si="20"/>
        <v/>
      </c>
      <c r="AP81" s="159" t="str">
        <f t="shared" si="20"/>
        <v/>
      </c>
      <c r="AQ81" s="159" t="str">
        <f t="shared" si="20"/>
        <v/>
      </c>
      <c r="AR81" s="159" t="str">
        <f t="shared" si="20"/>
        <v/>
      </c>
      <c r="AS81" s="159" t="str">
        <f t="shared" si="20"/>
        <v/>
      </c>
      <c r="AT81" s="159" t="str">
        <f t="shared" si="20"/>
        <v/>
      </c>
      <c r="AU81" s="159" t="str">
        <f t="shared" si="20"/>
        <v/>
      </c>
      <c r="AV81" s="159" t="str">
        <f t="shared" si="20"/>
        <v/>
      </c>
      <c r="AW81" s="159" t="str">
        <f t="shared" si="20"/>
        <v/>
      </c>
      <c r="AX81" s="159" t="str">
        <f t="shared" si="20"/>
        <v/>
      </c>
      <c r="AY81" s="159" t="str">
        <f t="shared" si="20"/>
        <v/>
      </c>
      <c r="AZ81" s="159" t="str">
        <f t="shared" si="20"/>
        <v/>
      </c>
      <c r="BA81" s="159" t="str">
        <f t="shared" si="20"/>
        <v/>
      </c>
      <c r="BB81" s="159" t="str">
        <f t="shared" si="20"/>
        <v/>
      </c>
      <c r="BC81" s="159" t="str">
        <f t="shared" si="20"/>
        <v/>
      </c>
      <c r="BD81" s="159" t="str">
        <f t="shared" si="20"/>
        <v/>
      </c>
      <c r="BE81" s="159" t="str">
        <f t="shared" si="20"/>
        <v/>
      </c>
      <c r="BF81" s="159" t="str">
        <f t="shared" si="20"/>
        <v/>
      </c>
      <c r="BG81" s="159" t="str">
        <f t="shared" si="20"/>
        <v/>
      </c>
      <c r="BH81" s="159" t="str">
        <f t="shared" si="20"/>
        <v/>
      </c>
      <c r="BI81" s="159" t="str">
        <f t="shared" si="20"/>
        <v/>
      </c>
      <c r="BJ81" s="159" t="str">
        <f t="shared" si="20"/>
        <v/>
      </c>
      <c r="BK81" s="159" t="str">
        <f t="shared" si="20"/>
        <v/>
      </c>
      <c r="BL81" s="159" t="str">
        <f t="shared" si="20"/>
        <v/>
      </c>
      <c r="BM81" s="159" t="str">
        <f t="shared" si="20"/>
        <v/>
      </c>
      <c r="BN81" s="159" t="str">
        <f t="shared" si="20"/>
        <v/>
      </c>
      <c r="BO81" s="159" t="str">
        <f t="shared" si="20"/>
        <v/>
      </c>
      <c r="BP81" s="159" t="str">
        <f t="shared" si="18"/>
        <v/>
      </c>
      <c r="BQ81" s="159" t="str">
        <f t="shared" si="18"/>
        <v/>
      </c>
      <c r="BR81" s="159" t="str">
        <f t="shared" si="18"/>
        <v/>
      </c>
      <c r="BS81" s="159" t="str">
        <f t="shared" si="18"/>
        <v/>
      </c>
      <c r="BT81" s="159" t="str">
        <f t="shared" si="18"/>
        <v/>
      </c>
      <c r="BU81" s="159" t="str">
        <f t="shared" si="18"/>
        <v/>
      </c>
      <c r="BV81" s="159" t="str">
        <f t="shared" si="18"/>
        <v/>
      </c>
      <c r="BW81" s="159" t="str">
        <f t="shared" si="18"/>
        <v/>
      </c>
      <c r="BX81" s="159" t="str">
        <f t="shared" si="18"/>
        <v/>
      </c>
      <c r="BY81" s="159" t="str">
        <f t="shared" si="18"/>
        <v/>
      </c>
      <c r="BZ81" s="159" t="str">
        <f t="shared" si="18"/>
        <v/>
      </c>
      <c r="CA81" s="159" t="str">
        <f t="shared" si="18"/>
        <v/>
      </c>
      <c r="CB81" s="159" t="str">
        <f t="shared" si="18"/>
        <v/>
      </c>
      <c r="CC81" s="159" t="str">
        <f t="shared" si="18"/>
        <v/>
      </c>
      <c r="CD81" s="159" t="str">
        <f t="shared" si="18"/>
        <v/>
      </c>
      <c r="CE81" s="159" t="str">
        <f t="shared" si="18"/>
        <v/>
      </c>
      <c r="CF81" s="159" t="str">
        <f t="shared" si="18"/>
        <v/>
      </c>
      <c r="CG81" s="159" t="str">
        <f t="shared" si="18"/>
        <v/>
      </c>
      <c r="CH81" s="159" t="str">
        <f t="shared" si="18"/>
        <v/>
      </c>
      <c r="CI81" s="159" t="str">
        <f t="shared" si="18"/>
        <v/>
      </c>
      <c r="CJ81" s="159" t="str">
        <f t="shared" si="18"/>
        <v/>
      </c>
      <c r="CK81" s="159" t="str">
        <f t="shared" si="18"/>
        <v/>
      </c>
      <c r="CL81" s="159" t="str">
        <f t="shared" si="18"/>
        <v/>
      </c>
      <c r="CM81" s="159" t="str">
        <f t="shared" si="18"/>
        <v/>
      </c>
      <c r="CN81" s="159" t="str">
        <f t="shared" si="18"/>
        <v/>
      </c>
      <c r="CO81" s="159" t="str">
        <f t="shared" si="18"/>
        <v/>
      </c>
      <c r="CP81" s="159" t="str">
        <f t="shared" si="18"/>
        <v/>
      </c>
      <c r="CQ81" s="159" t="str">
        <f t="shared" si="18"/>
        <v/>
      </c>
      <c r="CR81" s="159" t="str">
        <f t="shared" si="18"/>
        <v/>
      </c>
      <c r="CS81" s="159" t="str">
        <f t="shared" si="18"/>
        <v/>
      </c>
      <c r="CT81" s="225" t="s">
        <v>54</v>
      </c>
      <c r="CU81" s="42"/>
      <c r="CV81" s="42"/>
      <c r="CY81" s="43"/>
    </row>
    <row r="82" spans="1:103" x14ac:dyDescent="0.25">
      <c r="A82" s="97">
        <f t="shared" si="12"/>
        <v>0</v>
      </c>
      <c r="B82" s="31">
        <f t="shared" si="12"/>
        <v>2009</v>
      </c>
      <c r="C82" s="158"/>
      <c r="D82" s="159" t="str">
        <f t="shared" si="20"/>
        <v/>
      </c>
      <c r="E82" s="159" t="str">
        <f t="shared" si="20"/>
        <v/>
      </c>
      <c r="F82" s="159" t="str">
        <f t="shared" si="20"/>
        <v/>
      </c>
      <c r="G82" s="159" t="str">
        <f t="shared" si="20"/>
        <v/>
      </c>
      <c r="H82" s="159" t="str">
        <f t="shared" si="20"/>
        <v/>
      </c>
      <c r="I82" s="159" t="str">
        <f t="shared" si="20"/>
        <v/>
      </c>
      <c r="J82" s="159" t="str">
        <f t="shared" si="20"/>
        <v/>
      </c>
      <c r="K82" s="159" t="str">
        <f t="shared" si="20"/>
        <v/>
      </c>
      <c r="L82" s="159" t="str">
        <f t="shared" si="20"/>
        <v/>
      </c>
      <c r="M82" s="159" t="str">
        <f t="shared" si="20"/>
        <v/>
      </c>
      <c r="N82" s="159" t="str">
        <f t="shared" si="20"/>
        <v/>
      </c>
      <c r="O82" s="159" t="str">
        <f t="shared" si="20"/>
        <v/>
      </c>
      <c r="P82" s="159" t="str">
        <f t="shared" si="20"/>
        <v/>
      </c>
      <c r="Q82" s="159" t="str">
        <f t="shared" si="20"/>
        <v/>
      </c>
      <c r="R82" s="159" t="str">
        <f t="shared" si="20"/>
        <v/>
      </c>
      <c r="S82" s="159" t="str">
        <f t="shared" si="20"/>
        <v/>
      </c>
      <c r="T82" s="159" t="str">
        <f t="shared" si="20"/>
        <v/>
      </c>
      <c r="U82" s="159" t="str">
        <f t="shared" si="20"/>
        <v/>
      </c>
      <c r="V82" s="159" t="str">
        <f t="shared" si="20"/>
        <v/>
      </c>
      <c r="W82" s="159" t="str">
        <f t="shared" si="20"/>
        <v/>
      </c>
      <c r="X82" s="159" t="str">
        <f t="shared" si="20"/>
        <v/>
      </c>
      <c r="Y82" s="159" t="str">
        <f t="shared" si="20"/>
        <v/>
      </c>
      <c r="Z82" s="159" t="str">
        <f t="shared" si="20"/>
        <v/>
      </c>
      <c r="AA82" s="159" t="str">
        <f t="shared" si="20"/>
        <v/>
      </c>
      <c r="AB82" s="159" t="str">
        <f t="shared" si="20"/>
        <v/>
      </c>
      <c r="AC82" s="159" t="str">
        <f t="shared" si="20"/>
        <v/>
      </c>
      <c r="AD82" s="159" t="str">
        <f t="shared" si="20"/>
        <v/>
      </c>
      <c r="AE82" s="159" t="str">
        <f t="shared" si="20"/>
        <v/>
      </c>
      <c r="AF82" s="159" t="str">
        <f t="shared" si="20"/>
        <v/>
      </c>
      <c r="AG82" s="159" t="str">
        <f t="shared" si="20"/>
        <v/>
      </c>
      <c r="AH82" s="159" t="str">
        <f t="shared" si="20"/>
        <v/>
      </c>
      <c r="AI82" s="159" t="str">
        <f t="shared" si="20"/>
        <v/>
      </c>
      <c r="AJ82" s="159" t="str">
        <f t="shared" si="20"/>
        <v/>
      </c>
      <c r="AK82" s="159" t="str">
        <f t="shared" si="20"/>
        <v/>
      </c>
      <c r="AL82" s="159" t="str">
        <f t="shared" si="20"/>
        <v/>
      </c>
      <c r="AM82" s="159" t="str">
        <f t="shared" si="20"/>
        <v/>
      </c>
      <c r="AN82" s="159" t="str">
        <f t="shared" si="20"/>
        <v/>
      </c>
      <c r="AO82" s="159" t="str">
        <f t="shared" si="20"/>
        <v/>
      </c>
      <c r="AP82" s="159" t="str">
        <f t="shared" si="20"/>
        <v/>
      </c>
      <c r="AQ82" s="159" t="str">
        <f t="shared" si="20"/>
        <v/>
      </c>
      <c r="AR82" s="159" t="str">
        <f t="shared" si="20"/>
        <v/>
      </c>
      <c r="AS82" s="159" t="str">
        <f t="shared" si="20"/>
        <v/>
      </c>
      <c r="AT82" s="159" t="str">
        <f t="shared" si="20"/>
        <v/>
      </c>
      <c r="AU82" s="159" t="str">
        <f t="shared" si="20"/>
        <v/>
      </c>
      <c r="AV82" s="159" t="str">
        <f t="shared" si="20"/>
        <v/>
      </c>
      <c r="AW82" s="159" t="str">
        <f t="shared" si="20"/>
        <v/>
      </c>
      <c r="AX82" s="159" t="str">
        <f t="shared" si="20"/>
        <v/>
      </c>
      <c r="AY82" s="159" t="str">
        <f t="shared" si="20"/>
        <v/>
      </c>
      <c r="AZ82" s="159" t="str">
        <f t="shared" si="20"/>
        <v/>
      </c>
      <c r="BA82" s="159" t="str">
        <f t="shared" si="20"/>
        <v/>
      </c>
      <c r="BB82" s="159" t="str">
        <f t="shared" si="20"/>
        <v/>
      </c>
      <c r="BC82" s="159" t="str">
        <f t="shared" si="20"/>
        <v/>
      </c>
      <c r="BD82" s="159" t="str">
        <f t="shared" si="20"/>
        <v/>
      </c>
      <c r="BE82" s="159" t="str">
        <f t="shared" si="20"/>
        <v/>
      </c>
      <c r="BF82" s="159" t="str">
        <f t="shared" si="20"/>
        <v/>
      </c>
      <c r="BG82" s="159" t="str">
        <f t="shared" si="20"/>
        <v/>
      </c>
      <c r="BH82" s="159" t="str">
        <f t="shared" si="20"/>
        <v/>
      </c>
      <c r="BI82" s="159" t="str">
        <f t="shared" si="20"/>
        <v/>
      </c>
      <c r="BJ82" s="159" t="str">
        <f t="shared" si="20"/>
        <v/>
      </c>
      <c r="BK82" s="159" t="str">
        <f t="shared" si="20"/>
        <v/>
      </c>
      <c r="BL82" s="159" t="str">
        <f t="shared" si="20"/>
        <v/>
      </c>
      <c r="BM82" s="159" t="str">
        <f t="shared" si="20"/>
        <v/>
      </c>
      <c r="BN82" s="159" t="str">
        <f t="shared" si="20"/>
        <v/>
      </c>
      <c r="BO82" s="159" t="str">
        <f t="shared" si="20"/>
        <v/>
      </c>
      <c r="BP82" s="159" t="str">
        <f t="shared" si="18"/>
        <v/>
      </c>
      <c r="BQ82" s="159" t="str">
        <f t="shared" si="18"/>
        <v/>
      </c>
      <c r="BR82" s="159" t="str">
        <f t="shared" si="18"/>
        <v/>
      </c>
      <c r="BS82" s="159" t="str">
        <f t="shared" si="18"/>
        <v/>
      </c>
      <c r="BT82" s="159" t="str">
        <f t="shared" si="18"/>
        <v/>
      </c>
      <c r="BU82" s="159" t="str">
        <f t="shared" si="18"/>
        <v/>
      </c>
      <c r="BV82" s="159" t="str">
        <f t="shared" si="18"/>
        <v/>
      </c>
      <c r="BW82" s="159" t="str">
        <f t="shared" si="18"/>
        <v/>
      </c>
      <c r="BX82" s="159" t="str">
        <f t="shared" si="18"/>
        <v/>
      </c>
      <c r="BY82" s="159" t="str">
        <f t="shared" si="18"/>
        <v/>
      </c>
      <c r="BZ82" s="159" t="str">
        <f t="shared" si="18"/>
        <v/>
      </c>
      <c r="CA82" s="159" t="str">
        <f t="shared" si="18"/>
        <v/>
      </c>
      <c r="CB82" s="159" t="str">
        <f t="shared" si="18"/>
        <v/>
      </c>
      <c r="CC82" s="159" t="str">
        <f t="shared" si="18"/>
        <v/>
      </c>
      <c r="CD82" s="159" t="str">
        <f t="shared" si="18"/>
        <v/>
      </c>
      <c r="CE82" s="159" t="str">
        <f t="shared" si="18"/>
        <v/>
      </c>
      <c r="CF82" s="159" t="str">
        <f t="shared" si="18"/>
        <v/>
      </c>
      <c r="CG82" s="159" t="str">
        <f t="shared" si="18"/>
        <v/>
      </c>
      <c r="CH82" s="159" t="str">
        <f t="shared" si="18"/>
        <v/>
      </c>
      <c r="CI82" s="159" t="str">
        <f t="shared" si="18"/>
        <v/>
      </c>
      <c r="CJ82" s="159" t="str">
        <f t="shared" si="18"/>
        <v/>
      </c>
      <c r="CK82" s="159" t="str">
        <f t="shared" si="18"/>
        <v/>
      </c>
      <c r="CL82" s="159" t="str">
        <f t="shared" si="18"/>
        <v/>
      </c>
      <c r="CM82" s="159" t="str">
        <f t="shared" si="18"/>
        <v/>
      </c>
      <c r="CN82" s="159" t="str">
        <f t="shared" si="18"/>
        <v/>
      </c>
      <c r="CO82" s="159" t="str">
        <f t="shared" si="18"/>
        <v/>
      </c>
      <c r="CP82" s="159" t="str">
        <f t="shared" si="18"/>
        <v/>
      </c>
      <c r="CQ82" s="159" t="str">
        <f t="shared" si="18"/>
        <v/>
      </c>
      <c r="CR82" s="159" t="str">
        <f t="shared" si="18"/>
        <v/>
      </c>
      <c r="CS82" s="159" t="str">
        <f t="shared" si="18"/>
        <v/>
      </c>
      <c r="CT82" s="225" t="s">
        <v>54</v>
      </c>
      <c r="CU82" s="42"/>
      <c r="CV82" s="42"/>
      <c r="CY82" s="43"/>
    </row>
    <row r="83" spans="1:103" x14ac:dyDescent="0.25">
      <c r="A83" s="97">
        <f t="shared" si="12"/>
        <v>1</v>
      </c>
      <c r="B83" s="31">
        <f t="shared" si="12"/>
        <v>2010</v>
      </c>
      <c r="C83" s="158"/>
      <c r="D83" s="159">
        <f t="shared" si="20"/>
        <v>4</v>
      </c>
      <c r="E83" s="159">
        <f t="shared" si="20"/>
        <v>1.5</v>
      </c>
      <c r="F83" s="159">
        <f t="shared" si="20"/>
        <v>1</v>
      </c>
      <c r="G83" s="159">
        <f t="shared" si="20"/>
        <v>1</v>
      </c>
      <c r="H83" s="159">
        <f t="shared" si="20"/>
        <v>1</v>
      </c>
      <c r="I83" s="159">
        <f t="shared" si="20"/>
        <v>1</v>
      </c>
      <c r="J83" s="159">
        <f t="shared" si="20"/>
        <v>1</v>
      </c>
      <c r="K83" s="159">
        <f t="shared" si="20"/>
        <v>1</v>
      </c>
      <c r="L83" s="159">
        <f t="shared" si="20"/>
        <v>1</v>
      </c>
      <c r="M83" s="159" t="str">
        <f t="shared" si="20"/>
        <v/>
      </c>
      <c r="N83" s="159" t="str">
        <f t="shared" si="20"/>
        <v/>
      </c>
      <c r="O83" s="159" t="str">
        <f t="shared" si="20"/>
        <v/>
      </c>
      <c r="P83" s="159" t="str">
        <f t="shared" si="20"/>
        <v/>
      </c>
      <c r="Q83" s="159" t="str">
        <f t="shared" si="20"/>
        <v/>
      </c>
      <c r="R83" s="159" t="str">
        <f t="shared" si="20"/>
        <v/>
      </c>
      <c r="S83" s="159" t="str">
        <f t="shared" si="20"/>
        <v/>
      </c>
      <c r="T83" s="159" t="str">
        <f t="shared" si="20"/>
        <v/>
      </c>
      <c r="U83" s="159" t="str">
        <f t="shared" si="20"/>
        <v/>
      </c>
      <c r="V83" s="159" t="str">
        <f t="shared" si="20"/>
        <v/>
      </c>
      <c r="W83" s="159" t="str">
        <f t="shared" si="20"/>
        <v/>
      </c>
      <c r="X83" s="159" t="str">
        <f t="shared" si="20"/>
        <v/>
      </c>
      <c r="Y83" s="159" t="str">
        <f t="shared" si="20"/>
        <v/>
      </c>
      <c r="Z83" s="159" t="str">
        <f t="shared" si="20"/>
        <v/>
      </c>
      <c r="AA83" s="159" t="str">
        <f t="shared" si="20"/>
        <v/>
      </c>
      <c r="AB83" s="159" t="str">
        <f t="shared" si="20"/>
        <v/>
      </c>
      <c r="AC83" s="159" t="str">
        <f t="shared" si="20"/>
        <v/>
      </c>
      <c r="AD83" s="159" t="str">
        <f t="shared" si="20"/>
        <v/>
      </c>
      <c r="AE83" s="159" t="str">
        <f t="shared" si="20"/>
        <v/>
      </c>
      <c r="AF83" s="159" t="str">
        <f t="shared" si="20"/>
        <v/>
      </c>
      <c r="AG83" s="159" t="str">
        <f t="shared" si="20"/>
        <v/>
      </c>
      <c r="AH83" s="159" t="str">
        <f t="shared" si="20"/>
        <v/>
      </c>
      <c r="AI83" s="159" t="str">
        <f t="shared" si="20"/>
        <v/>
      </c>
      <c r="AJ83" s="159" t="str">
        <f t="shared" si="20"/>
        <v/>
      </c>
      <c r="AK83" s="159" t="str">
        <f t="shared" si="20"/>
        <v/>
      </c>
      <c r="AL83" s="159" t="str">
        <f t="shared" si="20"/>
        <v/>
      </c>
      <c r="AM83" s="159" t="str">
        <f t="shared" si="20"/>
        <v/>
      </c>
      <c r="AN83" s="159" t="str">
        <f t="shared" si="20"/>
        <v/>
      </c>
      <c r="AO83" s="159" t="str">
        <f t="shared" si="20"/>
        <v/>
      </c>
      <c r="AP83" s="159" t="str">
        <f t="shared" si="20"/>
        <v/>
      </c>
      <c r="AQ83" s="159" t="str">
        <f t="shared" si="20"/>
        <v/>
      </c>
      <c r="AR83" s="159" t="str">
        <f t="shared" si="20"/>
        <v/>
      </c>
      <c r="AS83" s="159" t="str">
        <f t="shared" si="20"/>
        <v/>
      </c>
      <c r="AT83" s="159" t="str">
        <f t="shared" si="20"/>
        <v/>
      </c>
      <c r="AU83" s="159" t="str">
        <f t="shared" si="20"/>
        <v/>
      </c>
      <c r="AV83" s="159" t="str">
        <f t="shared" si="20"/>
        <v/>
      </c>
      <c r="AW83" s="159" t="str">
        <f t="shared" si="20"/>
        <v/>
      </c>
      <c r="AX83" s="159" t="str">
        <f t="shared" si="20"/>
        <v/>
      </c>
      <c r="AY83" s="159" t="str">
        <f t="shared" si="20"/>
        <v/>
      </c>
      <c r="AZ83" s="159" t="str">
        <f t="shared" si="20"/>
        <v/>
      </c>
      <c r="BA83" s="159" t="str">
        <f t="shared" si="20"/>
        <v/>
      </c>
      <c r="BB83" s="159" t="str">
        <f t="shared" si="20"/>
        <v/>
      </c>
      <c r="BC83" s="159" t="str">
        <f t="shared" si="20"/>
        <v/>
      </c>
      <c r="BD83" s="159" t="str">
        <f t="shared" si="20"/>
        <v/>
      </c>
      <c r="BE83" s="159" t="str">
        <f t="shared" si="20"/>
        <v/>
      </c>
      <c r="BF83" s="159" t="str">
        <f t="shared" si="20"/>
        <v/>
      </c>
      <c r="BG83" s="159" t="str">
        <f t="shared" si="20"/>
        <v/>
      </c>
      <c r="BH83" s="159" t="str">
        <f t="shared" si="20"/>
        <v/>
      </c>
      <c r="BI83" s="159" t="str">
        <f t="shared" si="20"/>
        <v/>
      </c>
      <c r="BJ83" s="159" t="str">
        <f t="shared" si="20"/>
        <v/>
      </c>
      <c r="BK83" s="159" t="str">
        <f t="shared" si="20"/>
        <v/>
      </c>
      <c r="BL83" s="159" t="str">
        <f t="shared" si="20"/>
        <v/>
      </c>
      <c r="BM83" s="159" t="str">
        <f t="shared" si="20"/>
        <v/>
      </c>
      <c r="BN83" s="159" t="str">
        <f t="shared" si="20"/>
        <v/>
      </c>
      <c r="BO83" s="159" t="str">
        <f t="shared" si="20"/>
        <v/>
      </c>
      <c r="BP83" s="159" t="str">
        <f t="shared" si="18"/>
        <v/>
      </c>
      <c r="BQ83" s="159" t="str">
        <f t="shared" si="18"/>
        <v/>
      </c>
      <c r="BR83" s="159" t="str">
        <f t="shared" si="18"/>
        <v/>
      </c>
      <c r="BS83" s="159" t="str">
        <f t="shared" si="18"/>
        <v/>
      </c>
      <c r="BT83" s="159" t="str">
        <f t="shared" si="18"/>
        <v/>
      </c>
      <c r="BU83" s="159" t="str">
        <f t="shared" si="18"/>
        <v/>
      </c>
      <c r="BV83" s="159" t="str">
        <f t="shared" si="18"/>
        <v/>
      </c>
      <c r="BW83" s="159" t="str">
        <f t="shared" si="18"/>
        <v/>
      </c>
      <c r="BX83" s="159" t="str">
        <f t="shared" si="18"/>
        <v/>
      </c>
      <c r="BY83" s="159" t="str">
        <f t="shared" si="18"/>
        <v/>
      </c>
      <c r="BZ83" s="159" t="str">
        <f t="shared" si="18"/>
        <v/>
      </c>
      <c r="CA83" s="159" t="str">
        <f t="shared" si="18"/>
        <v/>
      </c>
      <c r="CB83" s="159" t="str">
        <f t="shared" si="18"/>
        <v/>
      </c>
      <c r="CC83" s="159" t="str">
        <f t="shared" si="18"/>
        <v/>
      </c>
      <c r="CD83" s="159" t="str">
        <f t="shared" si="18"/>
        <v/>
      </c>
      <c r="CE83" s="159" t="str">
        <f t="shared" si="18"/>
        <v/>
      </c>
      <c r="CF83" s="159" t="str">
        <f t="shared" si="18"/>
        <v/>
      </c>
      <c r="CG83" s="159" t="str">
        <f t="shared" si="18"/>
        <v/>
      </c>
      <c r="CH83" s="159" t="str">
        <f t="shared" si="18"/>
        <v/>
      </c>
      <c r="CI83" s="159" t="str">
        <f t="shared" si="18"/>
        <v/>
      </c>
      <c r="CJ83" s="159" t="str">
        <f t="shared" si="18"/>
        <v/>
      </c>
      <c r="CK83" s="159" t="str">
        <f t="shared" si="18"/>
        <v/>
      </c>
      <c r="CL83" s="159" t="str">
        <f t="shared" si="18"/>
        <v/>
      </c>
      <c r="CM83" s="159" t="str">
        <f t="shared" si="18"/>
        <v/>
      </c>
      <c r="CN83" s="159" t="str">
        <f t="shared" si="18"/>
        <v/>
      </c>
      <c r="CO83" s="159" t="str">
        <f t="shared" si="18"/>
        <v/>
      </c>
      <c r="CP83" s="159" t="str">
        <f t="shared" si="18"/>
        <v/>
      </c>
      <c r="CQ83" s="159" t="str">
        <f t="shared" si="18"/>
        <v/>
      </c>
      <c r="CR83" s="159" t="str">
        <f t="shared" si="18"/>
        <v/>
      </c>
      <c r="CS83" s="159" t="str">
        <f t="shared" si="18"/>
        <v/>
      </c>
      <c r="CT83" s="225" t="s">
        <v>54</v>
      </c>
      <c r="CU83" s="42"/>
      <c r="CV83" s="42"/>
      <c r="CY83" s="43"/>
    </row>
    <row r="84" spans="1:103" x14ac:dyDescent="0.25">
      <c r="A84" s="97">
        <f t="shared" si="12"/>
        <v>1</v>
      </c>
      <c r="B84" s="31">
        <f t="shared" si="12"/>
        <v>2011</v>
      </c>
      <c r="C84" s="158"/>
      <c r="D84" s="159">
        <f t="shared" si="20"/>
        <v>2.5</v>
      </c>
      <c r="E84" s="159">
        <f t="shared" si="20"/>
        <v>1</v>
      </c>
      <c r="F84" s="159">
        <f t="shared" si="20"/>
        <v>1</v>
      </c>
      <c r="G84" s="159">
        <f t="shared" si="20"/>
        <v>1</v>
      </c>
      <c r="H84" s="159">
        <f t="shared" si="20"/>
        <v>1</v>
      </c>
      <c r="I84" s="159">
        <f t="shared" si="20"/>
        <v>1</v>
      </c>
      <c r="J84" s="159">
        <f t="shared" si="20"/>
        <v>1</v>
      </c>
      <c r="K84" s="159">
        <f t="shared" si="20"/>
        <v>1</v>
      </c>
      <c r="L84" s="159" t="str">
        <f t="shared" si="20"/>
        <v/>
      </c>
      <c r="M84" s="159" t="str">
        <f t="shared" si="20"/>
        <v/>
      </c>
      <c r="N84" s="159" t="str">
        <f t="shared" si="20"/>
        <v/>
      </c>
      <c r="O84" s="159" t="str">
        <f t="shared" si="20"/>
        <v/>
      </c>
      <c r="P84" s="159" t="str">
        <f t="shared" si="20"/>
        <v/>
      </c>
      <c r="Q84" s="159" t="str">
        <f t="shared" si="20"/>
        <v/>
      </c>
      <c r="R84" s="159" t="str">
        <f t="shared" si="20"/>
        <v/>
      </c>
      <c r="S84" s="159" t="str">
        <f t="shared" si="20"/>
        <v/>
      </c>
      <c r="T84" s="159" t="str">
        <f t="shared" si="20"/>
        <v/>
      </c>
      <c r="U84" s="159" t="str">
        <f t="shared" si="20"/>
        <v/>
      </c>
      <c r="V84" s="159" t="str">
        <f t="shared" si="20"/>
        <v/>
      </c>
      <c r="W84" s="159" t="str">
        <f t="shared" si="20"/>
        <v/>
      </c>
      <c r="X84" s="159" t="str">
        <f t="shared" si="20"/>
        <v/>
      </c>
      <c r="Y84" s="159" t="str">
        <f t="shared" si="20"/>
        <v/>
      </c>
      <c r="Z84" s="159" t="str">
        <f t="shared" si="20"/>
        <v/>
      </c>
      <c r="AA84" s="159" t="str">
        <f t="shared" si="20"/>
        <v/>
      </c>
      <c r="AB84" s="159" t="str">
        <f t="shared" si="20"/>
        <v/>
      </c>
      <c r="AC84" s="159" t="str">
        <f t="shared" si="20"/>
        <v/>
      </c>
      <c r="AD84" s="159" t="str">
        <f t="shared" si="20"/>
        <v/>
      </c>
      <c r="AE84" s="159" t="str">
        <f t="shared" si="20"/>
        <v/>
      </c>
      <c r="AF84" s="159" t="str">
        <f t="shared" si="20"/>
        <v/>
      </c>
      <c r="AG84" s="159" t="str">
        <f t="shared" si="20"/>
        <v/>
      </c>
      <c r="AH84" s="159" t="str">
        <f t="shared" si="20"/>
        <v/>
      </c>
      <c r="AI84" s="159" t="str">
        <f t="shared" si="20"/>
        <v/>
      </c>
      <c r="AJ84" s="159" t="str">
        <f t="shared" si="20"/>
        <v/>
      </c>
      <c r="AK84" s="159" t="str">
        <f t="shared" si="20"/>
        <v/>
      </c>
      <c r="AL84" s="159" t="str">
        <f t="shared" si="20"/>
        <v/>
      </c>
      <c r="AM84" s="159" t="str">
        <f t="shared" si="20"/>
        <v/>
      </c>
      <c r="AN84" s="159" t="str">
        <f t="shared" si="20"/>
        <v/>
      </c>
      <c r="AO84" s="159" t="str">
        <f t="shared" si="20"/>
        <v/>
      </c>
      <c r="AP84" s="159" t="str">
        <f t="shared" si="20"/>
        <v/>
      </c>
      <c r="AQ84" s="159" t="str">
        <f t="shared" si="20"/>
        <v/>
      </c>
      <c r="AR84" s="159" t="str">
        <f t="shared" si="20"/>
        <v/>
      </c>
      <c r="AS84" s="159" t="str">
        <f t="shared" si="20"/>
        <v/>
      </c>
      <c r="AT84" s="159" t="str">
        <f t="shared" si="20"/>
        <v/>
      </c>
      <c r="AU84" s="159" t="str">
        <f t="shared" si="20"/>
        <v/>
      </c>
      <c r="AV84" s="159" t="str">
        <f t="shared" si="20"/>
        <v/>
      </c>
      <c r="AW84" s="159" t="str">
        <f t="shared" si="20"/>
        <v/>
      </c>
      <c r="AX84" s="159" t="str">
        <f t="shared" si="20"/>
        <v/>
      </c>
      <c r="AY84" s="159" t="str">
        <f t="shared" si="20"/>
        <v/>
      </c>
      <c r="AZ84" s="159" t="str">
        <f t="shared" si="20"/>
        <v/>
      </c>
      <c r="BA84" s="159" t="str">
        <f t="shared" si="20"/>
        <v/>
      </c>
      <c r="BB84" s="159" t="str">
        <f t="shared" si="20"/>
        <v/>
      </c>
      <c r="BC84" s="159" t="str">
        <f t="shared" si="20"/>
        <v/>
      </c>
      <c r="BD84" s="159" t="str">
        <f t="shared" si="20"/>
        <v/>
      </c>
      <c r="BE84" s="159" t="str">
        <f t="shared" si="20"/>
        <v/>
      </c>
      <c r="BF84" s="159" t="str">
        <f t="shared" si="20"/>
        <v/>
      </c>
      <c r="BG84" s="159" t="str">
        <f t="shared" si="20"/>
        <v/>
      </c>
      <c r="BH84" s="159" t="str">
        <f t="shared" si="20"/>
        <v/>
      </c>
      <c r="BI84" s="159" t="str">
        <f t="shared" si="20"/>
        <v/>
      </c>
      <c r="BJ84" s="159" t="str">
        <f t="shared" si="20"/>
        <v/>
      </c>
      <c r="BK84" s="159" t="str">
        <f t="shared" si="20"/>
        <v/>
      </c>
      <c r="BL84" s="159" t="str">
        <f t="shared" si="20"/>
        <v/>
      </c>
      <c r="BM84" s="159" t="str">
        <f t="shared" si="20"/>
        <v/>
      </c>
      <c r="BN84" s="159" t="str">
        <f t="shared" si="20"/>
        <v/>
      </c>
      <c r="BO84" s="159" t="str">
        <f t="shared" ref="BO84" si="21">IFERROR(IF(BO57=1,BO29/BN29,""),"")</f>
        <v/>
      </c>
      <c r="BP84" s="159" t="str">
        <f t="shared" si="18"/>
        <v/>
      </c>
      <c r="BQ84" s="159" t="str">
        <f t="shared" si="18"/>
        <v/>
      </c>
      <c r="BR84" s="159" t="str">
        <f t="shared" si="18"/>
        <v/>
      </c>
      <c r="BS84" s="159" t="str">
        <f t="shared" si="18"/>
        <v/>
      </c>
      <c r="BT84" s="159" t="str">
        <f t="shared" si="18"/>
        <v/>
      </c>
      <c r="BU84" s="159" t="str">
        <f t="shared" si="18"/>
        <v/>
      </c>
      <c r="BV84" s="159" t="str">
        <f t="shared" si="18"/>
        <v/>
      </c>
      <c r="BW84" s="159" t="str">
        <f t="shared" si="18"/>
        <v/>
      </c>
      <c r="BX84" s="159" t="str">
        <f t="shared" si="18"/>
        <v/>
      </c>
      <c r="BY84" s="159" t="str">
        <f t="shared" si="18"/>
        <v/>
      </c>
      <c r="BZ84" s="159" t="str">
        <f t="shared" si="18"/>
        <v/>
      </c>
      <c r="CA84" s="159" t="str">
        <f t="shared" si="18"/>
        <v/>
      </c>
      <c r="CB84" s="159" t="str">
        <f t="shared" si="18"/>
        <v/>
      </c>
      <c r="CC84" s="159" t="str">
        <f t="shared" si="18"/>
        <v/>
      </c>
      <c r="CD84" s="159" t="str">
        <f t="shared" si="18"/>
        <v/>
      </c>
      <c r="CE84" s="159" t="str">
        <f t="shared" si="18"/>
        <v/>
      </c>
      <c r="CF84" s="159" t="str">
        <f t="shared" si="18"/>
        <v/>
      </c>
      <c r="CG84" s="159" t="str">
        <f t="shared" si="18"/>
        <v/>
      </c>
      <c r="CH84" s="159" t="str">
        <f t="shared" si="18"/>
        <v/>
      </c>
      <c r="CI84" s="159" t="str">
        <f t="shared" si="18"/>
        <v/>
      </c>
      <c r="CJ84" s="159" t="str">
        <f t="shared" si="18"/>
        <v/>
      </c>
      <c r="CK84" s="159" t="str">
        <f t="shared" si="18"/>
        <v/>
      </c>
      <c r="CL84" s="159" t="str">
        <f t="shared" si="18"/>
        <v/>
      </c>
      <c r="CM84" s="159" t="str">
        <f t="shared" si="18"/>
        <v/>
      </c>
      <c r="CN84" s="159" t="str">
        <f t="shared" si="18"/>
        <v/>
      </c>
      <c r="CO84" s="159" t="str">
        <f t="shared" si="18"/>
        <v/>
      </c>
      <c r="CP84" s="159" t="str">
        <f t="shared" si="18"/>
        <v/>
      </c>
      <c r="CQ84" s="159" t="str">
        <f t="shared" si="18"/>
        <v/>
      </c>
      <c r="CR84" s="159" t="str">
        <f t="shared" si="18"/>
        <v/>
      </c>
      <c r="CS84" s="159" t="str">
        <f t="shared" si="18"/>
        <v/>
      </c>
      <c r="CT84" s="225" t="s">
        <v>54</v>
      </c>
      <c r="CU84" s="42"/>
      <c r="CV84" s="42"/>
    </row>
    <row r="85" spans="1:103" x14ac:dyDescent="0.25">
      <c r="A85" s="97">
        <f t="shared" si="12"/>
        <v>1</v>
      </c>
      <c r="B85" s="31">
        <f t="shared" si="12"/>
        <v>2012</v>
      </c>
      <c r="C85" s="158"/>
      <c r="D85" s="159">
        <f t="shared" ref="D85:BO89" si="22">IFERROR(IF(D58=1,D30/C30,""),"")</f>
        <v>1.5</v>
      </c>
      <c r="E85" s="159">
        <f t="shared" si="22"/>
        <v>1</v>
      </c>
      <c r="F85" s="159">
        <f>IFERROR(IF(F58=1,F30/E30,""),"")</f>
        <v>1</v>
      </c>
      <c r="G85" s="159">
        <f t="shared" si="22"/>
        <v>1</v>
      </c>
      <c r="H85" s="159">
        <f t="shared" si="22"/>
        <v>1</v>
      </c>
      <c r="I85" s="159">
        <f t="shared" si="22"/>
        <v>1</v>
      </c>
      <c r="J85" s="159">
        <f t="shared" si="22"/>
        <v>1</v>
      </c>
      <c r="K85" s="159" t="str">
        <f t="shared" si="22"/>
        <v/>
      </c>
      <c r="L85" s="159" t="str">
        <f t="shared" si="22"/>
        <v/>
      </c>
      <c r="M85" s="159" t="str">
        <f t="shared" si="22"/>
        <v/>
      </c>
      <c r="N85" s="159" t="str">
        <f t="shared" si="22"/>
        <v/>
      </c>
      <c r="O85" s="159" t="str">
        <f t="shared" si="22"/>
        <v/>
      </c>
      <c r="P85" s="159" t="str">
        <f t="shared" si="22"/>
        <v/>
      </c>
      <c r="Q85" s="159" t="str">
        <f t="shared" si="22"/>
        <v/>
      </c>
      <c r="R85" s="159" t="str">
        <f t="shared" si="22"/>
        <v/>
      </c>
      <c r="S85" s="159" t="str">
        <f t="shared" si="22"/>
        <v/>
      </c>
      <c r="T85" s="159" t="str">
        <f t="shared" si="22"/>
        <v/>
      </c>
      <c r="U85" s="159" t="str">
        <f t="shared" si="22"/>
        <v/>
      </c>
      <c r="V85" s="159" t="str">
        <f t="shared" si="22"/>
        <v/>
      </c>
      <c r="W85" s="159" t="str">
        <f t="shared" si="22"/>
        <v/>
      </c>
      <c r="X85" s="159" t="str">
        <f t="shared" si="22"/>
        <v/>
      </c>
      <c r="Y85" s="159" t="str">
        <f t="shared" si="22"/>
        <v/>
      </c>
      <c r="Z85" s="159" t="str">
        <f t="shared" si="22"/>
        <v/>
      </c>
      <c r="AA85" s="159" t="str">
        <f t="shared" si="22"/>
        <v/>
      </c>
      <c r="AB85" s="159" t="str">
        <f t="shared" si="22"/>
        <v/>
      </c>
      <c r="AC85" s="159" t="str">
        <f t="shared" si="22"/>
        <v/>
      </c>
      <c r="AD85" s="159" t="str">
        <f t="shared" si="22"/>
        <v/>
      </c>
      <c r="AE85" s="159" t="str">
        <f t="shared" si="22"/>
        <v/>
      </c>
      <c r="AF85" s="159" t="str">
        <f t="shared" si="22"/>
        <v/>
      </c>
      <c r="AG85" s="159" t="str">
        <f t="shared" si="22"/>
        <v/>
      </c>
      <c r="AH85" s="159" t="str">
        <f t="shared" si="22"/>
        <v/>
      </c>
      <c r="AI85" s="159" t="str">
        <f t="shared" si="22"/>
        <v/>
      </c>
      <c r="AJ85" s="159" t="str">
        <f t="shared" si="22"/>
        <v/>
      </c>
      <c r="AK85" s="159" t="str">
        <f t="shared" si="22"/>
        <v/>
      </c>
      <c r="AL85" s="159" t="str">
        <f t="shared" si="22"/>
        <v/>
      </c>
      <c r="AM85" s="159" t="str">
        <f t="shared" si="22"/>
        <v/>
      </c>
      <c r="AN85" s="159" t="str">
        <f t="shared" si="22"/>
        <v/>
      </c>
      <c r="AO85" s="159" t="str">
        <f t="shared" si="22"/>
        <v/>
      </c>
      <c r="AP85" s="159" t="str">
        <f t="shared" si="22"/>
        <v/>
      </c>
      <c r="AQ85" s="159" t="str">
        <f t="shared" si="22"/>
        <v/>
      </c>
      <c r="AR85" s="159" t="str">
        <f t="shared" si="22"/>
        <v/>
      </c>
      <c r="AS85" s="159" t="str">
        <f t="shared" si="22"/>
        <v/>
      </c>
      <c r="AT85" s="159" t="str">
        <f t="shared" si="22"/>
        <v/>
      </c>
      <c r="AU85" s="159" t="str">
        <f t="shared" si="22"/>
        <v/>
      </c>
      <c r="AV85" s="159" t="str">
        <f t="shared" si="22"/>
        <v/>
      </c>
      <c r="AW85" s="159" t="str">
        <f t="shared" si="22"/>
        <v/>
      </c>
      <c r="AX85" s="159" t="str">
        <f t="shared" si="22"/>
        <v/>
      </c>
      <c r="AY85" s="159" t="str">
        <f t="shared" si="22"/>
        <v/>
      </c>
      <c r="AZ85" s="159" t="str">
        <f t="shared" si="22"/>
        <v/>
      </c>
      <c r="BA85" s="159" t="str">
        <f t="shared" si="22"/>
        <v/>
      </c>
      <c r="BB85" s="159" t="str">
        <f t="shared" si="22"/>
        <v/>
      </c>
      <c r="BC85" s="159" t="str">
        <f t="shared" si="22"/>
        <v/>
      </c>
      <c r="BD85" s="159" t="str">
        <f t="shared" si="22"/>
        <v/>
      </c>
      <c r="BE85" s="159" t="str">
        <f t="shared" si="22"/>
        <v/>
      </c>
      <c r="BF85" s="159" t="str">
        <f t="shared" si="22"/>
        <v/>
      </c>
      <c r="BG85" s="159" t="str">
        <f t="shared" si="22"/>
        <v/>
      </c>
      <c r="BH85" s="159" t="str">
        <f t="shared" si="22"/>
        <v/>
      </c>
      <c r="BI85" s="159" t="str">
        <f t="shared" si="22"/>
        <v/>
      </c>
      <c r="BJ85" s="159" t="str">
        <f t="shared" si="22"/>
        <v/>
      </c>
      <c r="BK85" s="159" t="str">
        <f t="shared" si="22"/>
        <v/>
      </c>
      <c r="BL85" s="159" t="str">
        <f t="shared" si="22"/>
        <v/>
      </c>
      <c r="BM85" s="159" t="str">
        <f t="shared" si="22"/>
        <v/>
      </c>
      <c r="BN85" s="159" t="str">
        <f t="shared" si="22"/>
        <v/>
      </c>
      <c r="BO85" s="159" t="str">
        <f t="shared" si="22"/>
        <v/>
      </c>
      <c r="BP85" s="159" t="str">
        <f t="shared" si="18"/>
        <v/>
      </c>
      <c r="BQ85" s="159" t="str">
        <f t="shared" si="18"/>
        <v/>
      </c>
      <c r="BR85" s="159" t="str">
        <f t="shared" si="18"/>
        <v/>
      </c>
      <c r="BS85" s="159" t="str">
        <f t="shared" si="18"/>
        <v/>
      </c>
      <c r="BT85" s="159" t="str">
        <f t="shared" si="18"/>
        <v/>
      </c>
      <c r="BU85" s="159" t="str">
        <f t="shared" si="18"/>
        <v/>
      </c>
      <c r="BV85" s="159" t="str">
        <f t="shared" si="18"/>
        <v/>
      </c>
      <c r="BW85" s="159" t="str">
        <f t="shared" si="18"/>
        <v/>
      </c>
      <c r="BX85" s="159" t="str">
        <f t="shared" si="18"/>
        <v/>
      </c>
      <c r="BY85" s="159" t="str">
        <f t="shared" si="18"/>
        <v/>
      </c>
      <c r="BZ85" s="159" t="str">
        <f t="shared" si="18"/>
        <v/>
      </c>
      <c r="CA85" s="159" t="str">
        <f t="shared" si="18"/>
        <v/>
      </c>
      <c r="CB85" s="159" t="str">
        <f t="shared" si="18"/>
        <v/>
      </c>
      <c r="CC85" s="159" t="str">
        <f t="shared" si="18"/>
        <v/>
      </c>
      <c r="CD85" s="159" t="str">
        <f t="shared" si="18"/>
        <v/>
      </c>
      <c r="CE85" s="159" t="str">
        <f t="shared" si="18"/>
        <v/>
      </c>
      <c r="CF85" s="159" t="str">
        <f t="shared" si="18"/>
        <v/>
      </c>
      <c r="CG85" s="159" t="str">
        <f t="shared" si="18"/>
        <v/>
      </c>
      <c r="CH85" s="159" t="str">
        <f t="shared" si="18"/>
        <v/>
      </c>
      <c r="CI85" s="159" t="str">
        <f t="shared" si="18"/>
        <v/>
      </c>
      <c r="CJ85" s="159" t="str">
        <f t="shared" si="18"/>
        <v/>
      </c>
      <c r="CK85" s="159" t="str">
        <f t="shared" si="18"/>
        <v/>
      </c>
      <c r="CL85" s="159" t="str">
        <f t="shared" si="18"/>
        <v/>
      </c>
      <c r="CM85" s="159" t="str">
        <f t="shared" si="18"/>
        <v/>
      </c>
      <c r="CN85" s="159" t="str">
        <f t="shared" si="18"/>
        <v/>
      </c>
      <c r="CO85" s="159" t="str">
        <f t="shared" si="18"/>
        <v/>
      </c>
      <c r="CP85" s="159" t="str">
        <f t="shared" si="18"/>
        <v/>
      </c>
      <c r="CQ85" s="159" t="str">
        <f t="shared" si="18"/>
        <v/>
      </c>
      <c r="CR85" s="159" t="str">
        <f t="shared" si="18"/>
        <v/>
      </c>
      <c r="CS85" s="159" t="str">
        <f t="shared" si="18"/>
        <v/>
      </c>
      <c r="CT85" s="225" t="s">
        <v>54</v>
      </c>
      <c r="CU85" s="42"/>
      <c r="CV85" s="42"/>
    </row>
    <row r="86" spans="1:103" x14ac:dyDescent="0.25">
      <c r="A86" s="97">
        <f t="shared" ref="A86:B92" si="23">A31</f>
        <v>1</v>
      </c>
      <c r="B86" s="31">
        <f t="shared" si="23"/>
        <v>2013</v>
      </c>
      <c r="C86" s="158"/>
      <c r="D86" s="159" t="str">
        <f t="shared" si="22"/>
        <v/>
      </c>
      <c r="E86" s="159" t="str">
        <f t="shared" si="22"/>
        <v/>
      </c>
      <c r="F86" s="159" t="str">
        <f t="shared" si="22"/>
        <v/>
      </c>
      <c r="G86" s="159" t="str">
        <f t="shared" si="22"/>
        <v/>
      </c>
      <c r="H86" s="159" t="str">
        <f t="shared" si="22"/>
        <v/>
      </c>
      <c r="I86" s="159" t="str">
        <f t="shared" si="22"/>
        <v/>
      </c>
      <c r="J86" s="159" t="str">
        <f t="shared" si="22"/>
        <v/>
      </c>
      <c r="K86" s="159" t="str">
        <f t="shared" si="22"/>
        <v/>
      </c>
      <c r="L86" s="159" t="str">
        <f t="shared" si="22"/>
        <v/>
      </c>
      <c r="M86" s="159" t="str">
        <f t="shared" si="22"/>
        <v/>
      </c>
      <c r="N86" s="159" t="str">
        <f t="shared" si="22"/>
        <v/>
      </c>
      <c r="O86" s="159" t="str">
        <f t="shared" si="22"/>
        <v/>
      </c>
      <c r="P86" s="159" t="str">
        <f t="shared" si="22"/>
        <v/>
      </c>
      <c r="Q86" s="159" t="str">
        <f t="shared" si="22"/>
        <v/>
      </c>
      <c r="R86" s="159" t="str">
        <f t="shared" si="22"/>
        <v/>
      </c>
      <c r="S86" s="159" t="str">
        <f t="shared" si="22"/>
        <v/>
      </c>
      <c r="T86" s="159" t="str">
        <f t="shared" si="22"/>
        <v/>
      </c>
      <c r="U86" s="159" t="str">
        <f t="shared" si="22"/>
        <v/>
      </c>
      <c r="V86" s="159" t="str">
        <f t="shared" si="22"/>
        <v/>
      </c>
      <c r="W86" s="159" t="str">
        <f t="shared" si="22"/>
        <v/>
      </c>
      <c r="X86" s="159" t="str">
        <f t="shared" si="22"/>
        <v/>
      </c>
      <c r="Y86" s="159" t="str">
        <f t="shared" si="22"/>
        <v/>
      </c>
      <c r="Z86" s="159" t="str">
        <f t="shared" si="22"/>
        <v/>
      </c>
      <c r="AA86" s="159" t="str">
        <f t="shared" si="22"/>
        <v/>
      </c>
      <c r="AB86" s="159" t="str">
        <f t="shared" si="22"/>
        <v/>
      </c>
      <c r="AC86" s="159" t="str">
        <f t="shared" si="22"/>
        <v/>
      </c>
      <c r="AD86" s="159" t="str">
        <f t="shared" si="22"/>
        <v/>
      </c>
      <c r="AE86" s="159" t="str">
        <f t="shared" si="22"/>
        <v/>
      </c>
      <c r="AF86" s="159" t="str">
        <f t="shared" si="22"/>
        <v/>
      </c>
      <c r="AG86" s="159" t="str">
        <f t="shared" si="22"/>
        <v/>
      </c>
      <c r="AH86" s="159" t="str">
        <f t="shared" si="22"/>
        <v/>
      </c>
      <c r="AI86" s="159" t="str">
        <f t="shared" si="22"/>
        <v/>
      </c>
      <c r="AJ86" s="159" t="str">
        <f t="shared" si="22"/>
        <v/>
      </c>
      <c r="AK86" s="159" t="str">
        <f t="shared" si="22"/>
        <v/>
      </c>
      <c r="AL86" s="159" t="str">
        <f t="shared" si="22"/>
        <v/>
      </c>
      <c r="AM86" s="159" t="str">
        <f t="shared" si="22"/>
        <v/>
      </c>
      <c r="AN86" s="159" t="str">
        <f t="shared" si="22"/>
        <v/>
      </c>
      <c r="AO86" s="159" t="str">
        <f t="shared" si="22"/>
        <v/>
      </c>
      <c r="AP86" s="159" t="str">
        <f t="shared" si="22"/>
        <v/>
      </c>
      <c r="AQ86" s="159" t="str">
        <f t="shared" si="22"/>
        <v/>
      </c>
      <c r="AR86" s="159" t="str">
        <f t="shared" si="22"/>
        <v/>
      </c>
      <c r="AS86" s="159" t="str">
        <f t="shared" si="22"/>
        <v/>
      </c>
      <c r="AT86" s="159" t="str">
        <f t="shared" si="22"/>
        <v/>
      </c>
      <c r="AU86" s="159" t="str">
        <f t="shared" si="22"/>
        <v/>
      </c>
      <c r="AV86" s="159" t="str">
        <f t="shared" si="22"/>
        <v/>
      </c>
      <c r="AW86" s="159" t="str">
        <f t="shared" si="22"/>
        <v/>
      </c>
      <c r="AX86" s="159" t="str">
        <f t="shared" si="22"/>
        <v/>
      </c>
      <c r="AY86" s="159" t="str">
        <f t="shared" si="22"/>
        <v/>
      </c>
      <c r="AZ86" s="159" t="str">
        <f t="shared" si="22"/>
        <v/>
      </c>
      <c r="BA86" s="159" t="str">
        <f t="shared" si="22"/>
        <v/>
      </c>
      <c r="BB86" s="159" t="str">
        <f t="shared" si="22"/>
        <v/>
      </c>
      <c r="BC86" s="159" t="str">
        <f t="shared" si="22"/>
        <v/>
      </c>
      <c r="BD86" s="159" t="str">
        <f t="shared" si="22"/>
        <v/>
      </c>
      <c r="BE86" s="159" t="str">
        <f t="shared" si="22"/>
        <v/>
      </c>
      <c r="BF86" s="159" t="str">
        <f t="shared" si="22"/>
        <v/>
      </c>
      <c r="BG86" s="159" t="str">
        <f t="shared" si="22"/>
        <v/>
      </c>
      <c r="BH86" s="159" t="str">
        <f t="shared" si="22"/>
        <v/>
      </c>
      <c r="BI86" s="159" t="str">
        <f t="shared" si="22"/>
        <v/>
      </c>
      <c r="BJ86" s="159" t="str">
        <f t="shared" si="22"/>
        <v/>
      </c>
      <c r="BK86" s="159" t="str">
        <f t="shared" si="22"/>
        <v/>
      </c>
      <c r="BL86" s="159" t="str">
        <f t="shared" si="22"/>
        <v/>
      </c>
      <c r="BM86" s="159" t="str">
        <f t="shared" si="22"/>
        <v/>
      </c>
      <c r="BN86" s="159" t="str">
        <f t="shared" si="22"/>
        <v/>
      </c>
      <c r="BO86" s="159" t="str">
        <f t="shared" si="22"/>
        <v/>
      </c>
      <c r="BP86" s="159" t="str">
        <f t="shared" si="18"/>
        <v/>
      </c>
      <c r="BQ86" s="159" t="str">
        <f t="shared" si="18"/>
        <v/>
      </c>
      <c r="BR86" s="159" t="str">
        <f t="shared" si="18"/>
        <v/>
      </c>
      <c r="BS86" s="159" t="str">
        <f t="shared" si="18"/>
        <v/>
      </c>
      <c r="BT86" s="159" t="str">
        <f t="shared" si="18"/>
        <v/>
      </c>
      <c r="BU86" s="159" t="str">
        <f t="shared" si="18"/>
        <v/>
      </c>
      <c r="BV86" s="159" t="str">
        <f t="shared" si="18"/>
        <v/>
      </c>
      <c r="BW86" s="159" t="str">
        <f t="shared" si="18"/>
        <v/>
      </c>
      <c r="BX86" s="159" t="str">
        <f t="shared" si="18"/>
        <v/>
      </c>
      <c r="BY86" s="159" t="str">
        <f t="shared" si="18"/>
        <v/>
      </c>
      <c r="BZ86" s="159" t="str">
        <f t="shared" si="18"/>
        <v/>
      </c>
      <c r="CA86" s="159" t="str">
        <f t="shared" si="18"/>
        <v/>
      </c>
      <c r="CB86" s="159" t="str">
        <f t="shared" si="18"/>
        <v/>
      </c>
      <c r="CC86" s="159" t="str">
        <f t="shared" si="18"/>
        <v/>
      </c>
      <c r="CD86" s="159" t="str">
        <f t="shared" si="18"/>
        <v/>
      </c>
      <c r="CE86" s="159" t="str">
        <f t="shared" ref="CE86:CS86" si="24">IFERROR(IF(CE59=1,CE31/CD31,""),"")</f>
        <v/>
      </c>
      <c r="CF86" s="159" t="str">
        <f t="shared" si="24"/>
        <v/>
      </c>
      <c r="CG86" s="159" t="str">
        <f t="shared" si="24"/>
        <v/>
      </c>
      <c r="CH86" s="159" t="str">
        <f t="shared" si="24"/>
        <v/>
      </c>
      <c r="CI86" s="159" t="str">
        <f t="shared" si="24"/>
        <v/>
      </c>
      <c r="CJ86" s="159" t="str">
        <f t="shared" si="24"/>
        <v/>
      </c>
      <c r="CK86" s="159" t="str">
        <f t="shared" si="24"/>
        <v/>
      </c>
      <c r="CL86" s="159" t="str">
        <f t="shared" si="24"/>
        <v/>
      </c>
      <c r="CM86" s="159" t="str">
        <f t="shared" si="24"/>
        <v/>
      </c>
      <c r="CN86" s="159" t="str">
        <f t="shared" si="24"/>
        <v/>
      </c>
      <c r="CO86" s="159" t="str">
        <f t="shared" si="24"/>
        <v/>
      </c>
      <c r="CP86" s="159" t="str">
        <f t="shared" si="24"/>
        <v/>
      </c>
      <c r="CQ86" s="159" t="str">
        <f t="shared" si="24"/>
        <v/>
      </c>
      <c r="CR86" s="159" t="str">
        <f t="shared" si="24"/>
        <v/>
      </c>
      <c r="CS86" s="159" t="str">
        <f t="shared" si="24"/>
        <v/>
      </c>
      <c r="CT86" s="226" t="s">
        <v>54</v>
      </c>
      <c r="CU86" s="42"/>
      <c r="CV86" s="42"/>
      <c r="CW86" s="44"/>
    </row>
    <row r="87" spans="1:103" x14ac:dyDescent="0.25">
      <c r="A87" s="97">
        <f t="shared" si="23"/>
        <v>1</v>
      </c>
      <c r="B87" s="31">
        <f t="shared" si="23"/>
        <v>2014</v>
      </c>
      <c r="C87" s="158"/>
      <c r="D87" s="159">
        <f t="shared" si="22"/>
        <v>1</v>
      </c>
      <c r="E87" s="159">
        <f>IFERROR(IF(E60=1,E32/D32,""),"")</f>
        <v>1</v>
      </c>
      <c r="F87" s="159">
        <f t="shared" si="22"/>
        <v>1</v>
      </c>
      <c r="G87" s="159">
        <f t="shared" si="22"/>
        <v>1</v>
      </c>
      <c r="H87" s="159">
        <f>IFERROR(IF(H60=1,H32/G32,""),"")</f>
        <v>1</v>
      </c>
      <c r="I87" s="159" t="str">
        <f t="shared" si="22"/>
        <v/>
      </c>
      <c r="J87" s="159" t="str">
        <f t="shared" si="22"/>
        <v/>
      </c>
      <c r="K87" s="159" t="str">
        <f t="shared" si="22"/>
        <v/>
      </c>
      <c r="L87" s="159" t="str">
        <f t="shared" si="22"/>
        <v/>
      </c>
      <c r="M87" s="159" t="str">
        <f t="shared" si="22"/>
        <v/>
      </c>
      <c r="N87" s="159" t="str">
        <f t="shared" si="22"/>
        <v/>
      </c>
      <c r="O87" s="159" t="str">
        <f t="shared" si="22"/>
        <v/>
      </c>
      <c r="P87" s="159" t="str">
        <f t="shared" si="22"/>
        <v/>
      </c>
      <c r="Q87" s="159" t="str">
        <f t="shared" si="22"/>
        <v/>
      </c>
      <c r="R87" s="159" t="str">
        <f t="shared" si="22"/>
        <v/>
      </c>
      <c r="S87" s="159" t="str">
        <f t="shared" si="22"/>
        <v/>
      </c>
      <c r="T87" s="159" t="str">
        <f t="shared" si="22"/>
        <v/>
      </c>
      <c r="U87" s="159" t="str">
        <f t="shared" si="22"/>
        <v/>
      </c>
      <c r="V87" s="159" t="str">
        <f t="shared" si="22"/>
        <v/>
      </c>
      <c r="W87" s="159" t="str">
        <f t="shared" si="22"/>
        <v/>
      </c>
      <c r="X87" s="159" t="str">
        <f t="shared" si="22"/>
        <v/>
      </c>
      <c r="Y87" s="159" t="str">
        <f t="shared" si="22"/>
        <v/>
      </c>
      <c r="Z87" s="159" t="str">
        <f t="shared" si="22"/>
        <v/>
      </c>
      <c r="AA87" s="159" t="str">
        <f t="shared" si="22"/>
        <v/>
      </c>
      <c r="AB87" s="159" t="str">
        <f t="shared" si="22"/>
        <v/>
      </c>
      <c r="AC87" s="159" t="str">
        <f t="shared" si="22"/>
        <v/>
      </c>
      <c r="AD87" s="159" t="str">
        <f t="shared" si="22"/>
        <v/>
      </c>
      <c r="AE87" s="159" t="str">
        <f t="shared" si="22"/>
        <v/>
      </c>
      <c r="AF87" s="159" t="str">
        <f t="shared" si="22"/>
        <v/>
      </c>
      <c r="AG87" s="159" t="str">
        <f t="shared" si="22"/>
        <v/>
      </c>
      <c r="AH87" s="159" t="str">
        <f t="shared" si="22"/>
        <v/>
      </c>
      <c r="AI87" s="159" t="str">
        <f t="shared" si="22"/>
        <v/>
      </c>
      <c r="AJ87" s="159" t="str">
        <f t="shared" si="22"/>
        <v/>
      </c>
      <c r="AK87" s="159" t="str">
        <f t="shared" si="22"/>
        <v/>
      </c>
      <c r="AL87" s="159" t="str">
        <f t="shared" si="22"/>
        <v/>
      </c>
      <c r="AM87" s="159" t="str">
        <f t="shared" si="22"/>
        <v/>
      </c>
      <c r="AN87" s="159" t="str">
        <f t="shared" si="22"/>
        <v/>
      </c>
      <c r="AO87" s="159" t="str">
        <f t="shared" si="22"/>
        <v/>
      </c>
      <c r="AP87" s="159" t="str">
        <f t="shared" si="22"/>
        <v/>
      </c>
      <c r="AQ87" s="159" t="str">
        <f t="shared" si="22"/>
        <v/>
      </c>
      <c r="AR87" s="159" t="str">
        <f t="shared" si="22"/>
        <v/>
      </c>
      <c r="AS87" s="159" t="str">
        <f t="shared" si="22"/>
        <v/>
      </c>
      <c r="AT87" s="159" t="str">
        <f t="shared" si="22"/>
        <v/>
      </c>
      <c r="AU87" s="159" t="str">
        <f t="shared" si="22"/>
        <v/>
      </c>
      <c r="AV87" s="159" t="str">
        <f t="shared" si="22"/>
        <v/>
      </c>
      <c r="AW87" s="159" t="str">
        <f t="shared" si="22"/>
        <v/>
      </c>
      <c r="AX87" s="159" t="str">
        <f t="shared" si="22"/>
        <v/>
      </c>
      <c r="AY87" s="159" t="str">
        <f t="shared" si="22"/>
        <v/>
      </c>
      <c r="AZ87" s="159" t="str">
        <f t="shared" si="22"/>
        <v/>
      </c>
      <c r="BA87" s="159" t="str">
        <f t="shared" si="22"/>
        <v/>
      </c>
      <c r="BB87" s="159" t="str">
        <f t="shared" si="22"/>
        <v/>
      </c>
      <c r="BC87" s="159" t="str">
        <f t="shared" si="22"/>
        <v/>
      </c>
      <c r="BD87" s="159" t="str">
        <f t="shared" si="22"/>
        <v/>
      </c>
      <c r="BE87" s="159" t="str">
        <f t="shared" si="22"/>
        <v/>
      </c>
      <c r="BF87" s="159" t="str">
        <f t="shared" si="22"/>
        <v/>
      </c>
      <c r="BG87" s="159" t="str">
        <f t="shared" si="22"/>
        <v/>
      </c>
      <c r="BH87" s="159" t="str">
        <f t="shared" si="22"/>
        <v/>
      </c>
      <c r="BI87" s="159" t="str">
        <f t="shared" si="22"/>
        <v/>
      </c>
      <c r="BJ87" s="159" t="str">
        <f t="shared" si="22"/>
        <v/>
      </c>
      <c r="BK87" s="159" t="str">
        <f t="shared" si="22"/>
        <v/>
      </c>
      <c r="BL87" s="159" t="str">
        <f t="shared" si="22"/>
        <v/>
      </c>
      <c r="BM87" s="159" t="str">
        <f t="shared" si="22"/>
        <v/>
      </c>
      <c r="BN87" s="159" t="str">
        <f t="shared" si="22"/>
        <v/>
      </c>
      <c r="BO87" s="159" t="str">
        <f t="shared" si="22"/>
        <v/>
      </c>
      <c r="BP87" s="159" t="str">
        <f t="shared" ref="BP87:CS92" si="25">IFERROR(IF(BP60=1,BP32/BO32,""),"")</f>
        <v/>
      </c>
      <c r="BQ87" s="159" t="str">
        <f t="shared" si="25"/>
        <v/>
      </c>
      <c r="BR87" s="159" t="str">
        <f t="shared" si="25"/>
        <v/>
      </c>
      <c r="BS87" s="159" t="str">
        <f t="shared" si="25"/>
        <v/>
      </c>
      <c r="BT87" s="159" t="str">
        <f t="shared" si="25"/>
        <v/>
      </c>
      <c r="BU87" s="159" t="str">
        <f t="shared" si="25"/>
        <v/>
      </c>
      <c r="BV87" s="159" t="str">
        <f t="shared" si="25"/>
        <v/>
      </c>
      <c r="BW87" s="159" t="str">
        <f t="shared" si="25"/>
        <v/>
      </c>
      <c r="BX87" s="159" t="str">
        <f t="shared" si="25"/>
        <v/>
      </c>
      <c r="BY87" s="159" t="str">
        <f t="shared" si="25"/>
        <v/>
      </c>
      <c r="BZ87" s="159" t="str">
        <f t="shared" si="25"/>
        <v/>
      </c>
      <c r="CA87" s="159" t="str">
        <f t="shared" si="25"/>
        <v/>
      </c>
      <c r="CB87" s="159" t="str">
        <f t="shared" si="25"/>
        <v/>
      </c>
      <c r="CC87" s="159" t="str">
        <f t="shared" si="25"/>
        <v/>
      </c>
      <c r="CD87" s="159" t="str">
        <f t="shared" si="25"/>
        <v/>
      </c>
      <c r="CE87" s="159" t="str">
        <f t="shared" si="25"/>
        <v/>
      </c>
      <c r="CF87" s="159" t="str">
        <f t="shared" si="25"/>
        <v/>
      </c>
      <c r="CG87" s="159" t="str">
        <f t="shared" si="25"/>
        <v/>
      </c>
      <c r="CH87" s="159" t="str">
        <f t="shared" si="25"/>
        <v/>
      </c>
      <c r="CI87" s="159" t="str">
        <f t="shared" si="25"/>
        <v/>
      </c>
      <c r="CJ87" s="159" t="str">
        <f t="shared" si="25"/>
        <v/>
      </c>
      <c r="CK87" s="159" t="str">
        <f t="shared" si="25"/>
        <v/>
      </c>
      <c r="CL87" s="159" t="str">
        <f t="shared" si="25"/>
        <v/>
      </c>
      <c r="CM87" s="159" t="str">
        <f t="shared" si="25"/>
        <v/>
      </c>
      <c r="CN87" s="159" t="str">
        <f t="shared" si="25"/>
        <v/>
      </c>
      <c r="CO87" s="159" t="str">
        <f t="shared" si="25"/>
        <v/>
      </c>
      <c r="CP87" s="159" t="str">
        <f t="shared" si="25"/>
        <v/>
      </c>
      <c r="CQ87" s="159" t="str">
        <f t="shared" si="25"/>
        <v/>
      </c>
      <c r="CR87" s="159" t="str">
        <f t="shared" si="25"/>
        <v/>
      </c>
      <c r="CS87" s="159" t="str">
        <f t="shared" si="25"/>
        <v/>
      </c>
      <c r="CT87" s="226" t="s">
        <v>54</v>
      </c>
      <c r="CU87" s="42"/>
      <c r="CV87" s="42"/>
    </row>
    <row r="88" spans="1:103" x14ac:dyDescent="0.25">
      <c r="A88" s="97">
        <f t="shared" si="23"/>
        <v>1</v>
      </c>
      <c r="B88" s="31">
        <f t="shared" si="23"/>
        <v>2015</v>
      </c>
      <c r="C88" s="158"/>
      <c r="D88" s="159" t="str">
        <f t="shared" si="22"/>
        <v/>
      </c>
      <c r="E88" s="159" t="str">
        <f t="shared" si="22"/>
        <v/>
      </c>
      <c r="F88" s="159" t="str">
        <f t="shared" si="22"/>
        <v/>
      </c>
      <c r="G88" s="159" t="str">
        <f>IFERROR(IF(G61=1,G33/F33,""),"")</f>
        <v/>
      </c>
      <c r="H88" s="159" t="str">
        <f t="shared" si="22"/>
        <v/>
      </c>
      <c r="I88" s="159" t="str">
        <f t="shared" si="22"/>
        <v/>
      </c>
      <c r="J88" s="159" t="str">
        <f t="shared" si="22"/>
        <v/>
      </c>
      <c r="K88" s="159" t="str">
        <f t="shared" si="22"/>
        <v/>
      </c>
      <c r="L88" s="159" t="str">
        <f t="shared" si="22"/>
        <v/>
      </c>
      <c r="M88" s="159" t="str">
        <f t="shared" si="22"/>
        <v/>
      </c>
      <c r="N88" s="159" t="str">
        <f t="shared" si="22"/>
        <v/>
      </c>
      <c r="O88" s="159" t="str">
        <f t="shared" si="22"/>
        <v/>
      </c>
      <c r="P88" s="159" t="str">
        <f t="shared" si="22"/>
        <v/>
      </c>
      <c r="Q88" s="159" t="str">
        <f t="shared" si="22"/>
        <v/>
      </c>
      <c r="R88" s="159" t="str">
        <f t="shared" si="22"/>
        <v/>
      </c>
      <c r="S88" s="159" t="str">
        <f t="shared" si="22"/>
        <v/>
      </c>
      <c r="T88" s="159" t="str">
        <f t="shared" si="22"/>
        <v/>
      </c>
      <c r="U88" s="159" t="str">
        <f t="shared" si="22"/>
        <v/>
      </c>
      <c r="V88" s="159" t="str">
        <f t="shared" si="22"/>
        <v/>
      </c>
      <c r="W88" s="159" t="str">
        <f t="shared" si="22"/>
        <v/>
      </c>
      <c r="X88" s="159" t="str">
        <f t="shared" si="22"/>
        <v/>
      </c>
      <c r="Y88" s="159" t="str">
        <f t="shared" si="22"/>
        <v/>
      </c>
      <c r="Z88" s="159" t="str">
        <f t="shared" si="22"/>
        <v/>
      </c>
      <c r="AA88" s="159" t="str">
        <f t="shared" si="22"/>
        <v/>
      </c>
      <c r="AB88" s="159" t="str">
        <f t="shared" si="22"/>
        <v/>
      </c>
      <c r="AC88" s="159" t="str">
        <f t="shared" si="22"/>
        <v/>
      </c>
      <c r="AD88" s="159" t="str">
        <f t="shared" si="22"/>
        <v/>
      </c>
      <c r="AE88" s="159" t="str">
        <f t="shared" si="22"/>
        <v/>
      </c>
      <c r="AF88" s="159" t="str">
        <f t="shared" si="22"/>
        <v/>
      </c>
      <c r="AG88" s="159" t="str">
        <f t="shared" si="22"/>
        <v/>
      </c>
      <c r="AH88" s="159" t="str">
        <f t="shared" si="22"/>
        <v/>
      </c>
      <c r="AI88" s="159" t="str">
        <f t="shared" si="22"/>
        <v/>
      </c>
      <c r="AJ88" s="159" t="str">
        <f t="shared" si="22"/>
        <v/>
      </c>
      <c r="AK88" s="159" t="str">
        <f t="shared" si="22"/>
        <v/>
      </c>
      <c r="AL88" s="159" t="str">
        <f t="shared" si="22"/>
        <v/>
      </c>
      <c r="AM88" s="159" t="str">
        <f t="shared" si="22"/>
        <v/>
      </c>
      <c r="AN88" s="159" t="str">
        <f t="shared" si="22"/>
        <v/>
      </c>
      <c r="AO88" s="159" t="str">
        <f t="shared" si="22"/>
        <v/>
      </c>
      <c r="AP88" s="159" t="str">
        <f t="shared" si="22"/>
        <v/>
      </c>
      <c r="AQ88" s="159" t="str">
        <f t="shared" si="22"/>
        <v/>
      </c>
      <c r="AR88" s="159" t="str">
        <f t="shared" si="22"/>
        <v/>
      </c>
      <c r="AS88" s="159" t="str">
        <f t="shared" si="22"/>
        <v/>
      </c>
      <c r="AT88" s="159" t="str">
        <f t="shared" si="22"/>
        <v/>
      </c>
      <c r="AU88" s="159" t="str">
        <f t="shared" si="22"/>
        <v/>
      </c>
      <c r="AV88" s="159" t="str">
        <f t="shared" si="22"/>
        <v/>
      </c>
      <c r="AW88" s="159" t="str">
        <f t="shared" si="22"/>
        <v/>
      </c>
      <c r="AX88" s="159" t="str">
        <f t="shared" si="22"/>
        <v/>
      </c>
      <c r="AY88" s="159" t="str">
        <f t="shared" si="22"/>
        <v/>
      </c>
      <c r="AZ88" s="159" t="str">
        <f t="shared" si="22"/>
        <v/>
      </c>
      <c r="BA88" s="159" t="str">
        <f t="shared" si="22"/>
        <v/>
      </c>
      <c r="BB88" s="159" t="str">
        <f t="shared" si="22"/>
        <v/>
      </c>
      <c r="BC88" s="159" t="str">
        <f t="shared" si="22"/>
        <v/>
      </c>
      <c r="BD88" s="159" t="str">
        <f t="shared" si="22"/>
        <v/>
      </c>
      <c r="BE88" s="159" t="str">
        <f t="shared" si="22"/>
        <v/>
      </c>
      <c r="BF88" s="159" t="str">
        <f t="shared" si="22"/>
        <v/>
      </c>
      <c r="BG88" s="159" t="str">
        <f t="shared" si="22"/>
        <v/>
      </c>
      <c r="BH88" s="159" t="str">
        <f t="shared" si="22"/>
        <v/>
      </c>
      <c r="BI88" s="159" t="str">
        <f t="shared" si="22"/>
        <v/>
      </c>
      <c r="BJ88" s="159" t="str">
        <f t="shared" si="22"/>
        <v/>
      </c>
      <c r="BK88" s="159" t="str">
        <f t="shared" si="22"/>
        <v/>
      </c>
      <c r="BL88" s="159" t="str">
        <f t="shared" si="22"/>
        <v/>
      </c>
      <c r="BM88" s="159" t="str">
        <f t="shared" si="22"/>
        <v/>
      </c>
      <c r="BN88" s="159" t="str">
        <f t="shared" si="22"/>
        <v/>
      </c>
      <c r="BO88" s="159" t="str">
        <f t="shared" si="22"/>
        <v/>
      </c>
      <c r="BP88" s="159" t="str">
        <f t="shared" si="25"/>
        <v/>
      </c>
      <c r="BQ88" s="159" t="str">
        <f t="shared" si="25"/>
        <v/>
      </c>
      <c r="BR88" s="159" t="str">
        <f t="shared" si="25"/>
        <v/>
      </c>
      <c r="BS88" s="159" t="str">
        <f t="shared" si="25"/>
        <v/>
      </c>
      <c r="BT88" s="159" t="str">
        <f t="shared" si="25"/>
        <v/>
      </c>
      <c r="BU88" s="159" t="str">
        <f t="shared" si="25"/>
        <v/>
      </c>
      <c r="BV88" s="159" t="str">
        <f t="shared" si="25"/>
        <v/>
      </c>
      <c r="BW88" s="159" t="str">
        <f t="shared" si="25"/>
        <v/>
      </c>
      <c r="BX88" s="159" t="str">
        <f t="shared" si="25"/>
        <v/>
      </c>
      <c r="BY88" s="159" t="str">
        <f t="shared" si="25"/>
        <v/>
      </c>
      <c r="BZ88" s="159" t="str">
        <f t="shared" si="25"/>
        <v/>
      </c>
      <c r="CA88" s="159" t="str">
        <f t="shared" si="25"/>
        <v/>
      </c>
      <c r="CB88" s="159" t="str">
        <f t="shared" si="25"/>
        <v/>
      </c>
      <c r="CC88" s="159" t="str">
        <f t="shared" si="25"/>
        <v/>
      </c>
      <c r="CD88" s="159" t="str">
        <f t="shared" si="25"/>
        <v/>
      </c>
      <c r="CE88" s="159" t="str">
        <f t="shared" si="25"/>
        <v/>
      </c>
      <c r="CF88" s="159" t="str">
        <f t="shared" si="25"/>
        <v/>
      </c>
      <c r="CG88" s="159" t="str">
        <f t="shared" si="25"/>
        <v/>
      </c>
      <c r="CH88" s="159" t="str">
        <f t="shared" si="25"/>
        <v/>
      </c>
      <c r="CI88" s="159" t="str">
        <f t="shared" si="25"/>
        <v/>
      </c>
      <c r="CJ88" s="159" t="str">
        <f t="shared" si="25"/>
        <v/>
      </c>
      <c r="CK88" s="159" t="str">
        <f t="shared" si="25"/>
        <v/>
      </c>
      <c r="CL88" s="159" t="str">
        <f t="shared" si="25"/>
        <v/>
      </c>
      <c r="CM88" s="159" t="str">
        <f t="shared" si="25"/>
        <v/>
      </c>
      <c r="CN88" s="159" t="str">
        <f t="shared" si="25"/>
        <v/>
      </c>
      <c r="CO88" s="159" t="str">
        <f t="shared" si="25"/>
        <v/>
      </c>
      <c r="CP88" s="159" t="str">
        <f t="shared" si="25"/>
        <v/>
      </c>
      <c r="CQ88" s="159" t="str">
        <f t="shared" si="25"/>
        <v/>
      </c>
      <c r="CR88" s="159" t="str">
        <f t="shared" si="25"/>
        <v/>
      </c>
      <c r="CS88" s="159" t="str">
        <f t="shared" si="25"/>
        <v/>
      </c>
      <c r="CT88" s="226" t="s">
        <v>54</v>
      </c>
      <c r="CU88" s="42"/>
      <c r="CV88" s="42"/>
    </row>
    <row r="89" spans="1:103" x14ac:dyDescent="0.25">
      <c r="A89" s="97">
        <f t="shared" si="23"/>
        <v>1</v>
      </c>
      <c r="B89" s="31">
        <f t="shared" si="23"/>
        <v>2016</v>
      </c>
      <c r="C89" s="158"/>
      <c r="D89" s="159">
        <f t="shared" si="22"/>
        <v>2</v>
      </c>
      <c r="E89" s="159">
        <f t="shared" si="22"/>
        <v>1</v>
      </c>
      <c r="F89" s="159">
        <f t="shared" si="22"/>
        <v>1</v>
      </c>
      <c r="G89" s="159" t="str">
        <f t="shared" ref="G89:BO89" si="26">IFERROR(IF(G62=1,G34/F34,""),"")</f>
        <v/>
      </c>
      <c r="H89" s="159" t="str">
        <f t="shared" si="26"/>
        <v/>
      </c>
      <c r="I89" s="159" t="str">
        <f t="shared" si="26"/>
        <v/>
      </c>
      <c r="J89" s="159" t="str">
        <f t="shared" si="26"/>
        <v/>
      </c>
      <c r="K89" s="159" t="str">
        <f t="shared" si="26"/>
        <v/>
      </c>
      <c r="L89" s="159" t="str">
        <f t="shared" si="26"/>
        <v/>
      </c>
      <c r="M89" s="159" t="str">
        <f t="shared" si="26"/>
        <v/>
      </c>
      <c r="N89" s="159" t="str">
        <f t="shared" si="26"/>
        <v/>
      </c>
      <c r="O89" s="159" t="str">
        <f t="shared" si="26"/>
        <v/>
      </c>
      <c r="P89" s="159" t="str">
        <f t="shared" si="26"/>
        <v/>
      </c>
      <c r="Q89" s="159" t="str">
        <f t="shared" si="26"/>
        <v/>
      </c>
      <c r="R89" s="159" t="str">
        <f t="shared" si="26"/>
        <v/>
      </c>
      <c r="S89" s="159" t="str">
        <f t="shared" si="26"/>
        <v/>
      </c>
      <c r="T89" s="159" t="str">
        <f t="shared" si="26"/>
        <v/>
      </c>
      <c r="U89" s="159" t="str">
        <f t="shared" si="26"/>
        <v/>
      </c>
      <c r="V89" s="159" t="str">
        <f t="shared" si="26"/>
        <v/>
      </c>
      <c r="W89" s="159" t="str">
        <f t="shared" si="26"/>
        <v/>
      </c>
      <c r="X89" s="159" t="str">
        <f t="shared" si="26"/>
        <v/>
      </c>
      <c r="Y89" s="159" t="str">
        <f t="shared" si="26"/>
        <v/>
      </c>
      <c r="Z89" s="159" t="str">
        <f t="shared" si="26"/>
        <v/>
      </c>
      <c r="AA89" s="159" t="str">
        <f t="shared" si="26"/>
        <v/>
      </c>
      <c r="AB89" s="159" t="str">
        <f t="shared" si="26"/>
        <v/>
      </c>
      <c r="AC89" s="159" t="str">
        <f t="shared" si="26"/>
        <v/>
      </c>
      <c r="AD89" s="159" t="str">
        <f t="shared" si="26"/>
        <v/>
      </c>
      <c r="AE89" s="159" t="str">
        <f t="shared" si="26"/>
        <v/>
      </c>
      <c r="AF89" s="159" t="str">
        <f t="shared" si="26"/>
        <v/>
      </c>
      <c r="AG89" s="159" t="str">
        <f t="shared" si="26"/>
        <v/>
      </c>
      <c r="AH89" s="159" t="str">
        <f t="shared" si="26"/>
        <v/>
      </c>
      <c r="AI89" s="159" t="str">
        <f t="shared" si="26"/>
        <v/>
      </c>
      <c r="AJ89" s="159" t="str">
        <f t="shared" si="26"/>
        <v/>
      </c>
      <c r="AK89" s="159" t="str">
        <f t="shared" si="26"/>
        <v/>
      </c>
      <c r="AL89" s="159" t="str">
        <f t="shared" si="26"/>
        <v/>
      </c>
      <c r="AM89" s="159" t="str">
        <f t="shared" si="26"/>
        <v/>
      </c>
      <c r="AN89" s="159" t="str">
        <f t="shared" si="26"/>
        <v/>
      </c>
      <c r="AO89" s="159" t="str">
        <f t="shared" si="26"/>
        <v/>
      </c>
      <c r="AP89" s="159" t="str">
        <f t="shared" si="26"/>
        <v/>
      </c>
      <c r="AQ89" s="159" t="str">
        <f t="shared" si="26"/>
        <v/>
      </c>
      <c r="AR89" s="159" t="str">
        <f t="shared" si="26"/>
        <v/>
      </c>
      <c r="AS89" s="159" t="str">
        <f t="shared" si="26"/>
        <v/>
      </c>
      <c r="AT89" s="159" t="str">
        <f t="shared" si="26"/>
        <v/>
      </c>
      <c r="AU89" s="159" t="str">
        <f t="shared" si="26"/>
        <v/>
      </c>
      <c r="AV89" s="159" t="str">
        <f t="shared" si="26"/>
        <v/>
      </c>
      <c r="AW89" s="159" t="str">
        <f t="shared" si="26"/>
        <v/>
      </c>
      <c r="AX89" s="159" t="str">
        <f t="shared" si="26"/>
        <v/>
      </c>
      <c r="AY89" s="159" t="str">
        <f t="shared" si="26"/>
        <v/>
      </c>
      <c r="AZ89" s="159" t="str">
        <f t="shared" si="26"/>
        <v/>
      </c>
      <c r="BA89" s="159" t="str">
        <f t="shared" si="26"/>
        <v/>
      </c>
      <c r="BB89" s="159" t="str">
        <f t="shared" si="26"/>
        <v/>
      </c>
      <c r="BC89" s="159" t="str">
        <f t="shared" si="26"/>
        <v/>
      </c>
      <c r="BD89" s="159" t="str">
        <f t="shared" si="26"/>
        <v/>
      </c>
      <c r="BE89" s="159" t="str">
        <f t="shared" si="26"/>
        <v/>
      </c>
      <c r="BF89" s="159" t="str">
        <f t="shared" si="26"/>
        <v/>
      </c>
      <c r="BG89" s="159" t="str">
        <f t="shared" si="26"/>
        <v/>
      </c>
      <c r="BH89" s="159" t="str">
        <f t="shared" si="26"/>
        <v/>
      </c>
      <c r="BI89" s="159" t="str">
        <f t="shared" si="26"/>
        <v/>
      </c>
      <c r="BJ89" s="159" t="str">
        <f t="shared" si="26"/>
        <v/>
      </c>
      <c r="BK89" s="159" t="str">
        <f t="shared" si="26"/>
        <v/>
      </c>
      <c r="BL89" s="159" t="str">
        <f t="shared" si="26"/>
        <v/>
      </c>
      <c r="BM89" s="159" t="str">
        <f t="shared" si="26"/>
        <v/>
      </c>
      <c r="BN89" s="159" t="str">
        <f t="shared" si="26"/>
        <v/>
      </c>
      <c r="BO89" s="159" t="str">
        <f t="shared" si="26"/>
        <v/>
      </c>
      <c r="BP89" s="159" t="str">
        <f t="shared" si="25"/>
        <v/>
      </c>
      <c r="BQ89" s="159" t="str">
        <f t="shared" si="25"/>
        <v/>
      </c>
      <c r="BR89" s="159" t="str">
        <f t="shared" si="25"/>
        <v/>
      </c>
      <c r="BS89" s="159" t="str">
        <f t="shared" si="25"/>
        <v/>
      </c>
      <c r="BT89" s="159" t="str">
        <f t="shared" si="25"/>
        <v/>
      </c>
      <c r="BU89" s="159" t="str">
        <f t="shared" si="25"/>
        <v/>
      </c>
      <c r="BV89" s="159" t="str">
        <f t="shared" si="25"/>
        <v/>
      </c>
      <c r="BW89" s="159" t="str">
        <f t="shared" si="25"/>
        <v/>
      </c>
      <c r="BX89" s="159" t="str">
        <f t="shared" si="25"/>
        <v/>
      </c>
      <c r="BY89" s="159" t="str">
        <f t="shared" si="25"/>
        <v/>
      </c>
      <c r="BZ89" s="159" t="str">
        <f t="shared" si="25"/>
        <v/>
      </c>
      <c r="CA89" s="159" t="str">
        <f t="shared" si="25"/>
        <v/>
      </c>
      <c r="CB89" s="159" t="str">
        <f t="shared" si="25"/>
        <v/>
      </c>
      <c r="CC89" s="159" t="str">
        <f t="shared" si="25"/>
        <v/>
      </c>
      <c r="CD89" s="159" t="str">
        <f t="shared" si="25"/>
        <v/>
      </c>
      <c r="CE89" s="159" t="str">
        <f t="shared" si="25"/>
        <v/>
      </c>
      <c r="CF89" s="159" t="str">
        <f t="shared" si="25"/>
        <v/>
      </c>
      <c r="CG89" s="159" t="str">
        <f t="shared" si="25"/>
        <v/>
      </c>
      <c r="CH89" s="159" t="str">
        <f t="shared" si="25"/>
        <v/>
      </c>
      <c r="CI89" s="159" t="str">
        <f t="shared" si="25"/>
        <v/>
      </c>
      <c r="CJ89" s="159" t="str">
        <f t="shared" si="25"/>
        <v/>
      </c>
      <c r="CK89" s="159" t="str">
        <f t="shared" si="25"/>
        <v/>
      </c>
      <c r="CL89" s="159" t="str">
        <f t="shared" si="25"/>
        <v/>
      </c>
      <c r="CM89" s="159" t="str">
        <f t="shared" si="25"/>
        <v/>
      </c>
      <c r="CN89" s="159" t="str">
        <f t="shared" si="25"/>
        <v/>
      </c>
      <c r="CO89" s="159" t="str">
        <f t="shared" si="25"/>
        <v/>
      </c>
      <c r="CP89" s="159" t="str">
        <f t="shared" si="25"/>
        <v/>
      </c>
      <c r="CQ89" s="159" t="str">
        <f t="shared" si="25"/>
        <v/>
      </c>
      <c r="CR89" s="159" t="str">
        <f t="shared" si="25"/>
        <v/>
      </c>
      <c r="CS89" s="159" t="str">
        <f t="shared" si="25"/>
        <v/>
      </c>
      <c r="CT89" s="226" t="s">
        <v>54</v>
      </c>
      <c r="CU89" s="42"/>
      <c r="CV89" s="42"/>
    </row>
    <row r="90" spans="1:103" x14ac:dyDescent="0.25">
      <c r="A90" s="97">
        <f t="shared" si="23"/>
        <v>1</v>
      </c>
      <c r="B90" s="31">
        <f t="shared" si="23"/>
        <v>2017</v>
      </c>
      <c r="C90" s="158"/>
      <c r="D90" s="159">
        <f t="shared" ref="D90:BO92" si="27">IFERROR(IF(D63=1,D35/C35,""),"")</f>
        <v>1</v>
      </c>
      <c r="E90" s="159">
        <f t="shared" si="27"/>
        <v>1</v>
      </c>
      <c r="F90" s="159" t="str">
        <f t="shared" si="27"/>
        <v/>
      </c>
      <c r="G90" s="159" t="str">
        <f t="shared" si="27"/>
        <v/>
      </c>
      <c r="H90" s="159" t="str">
        <f t="shared" si="27"/>
        <v/>
      </c>
      <c r="I90" s="159" t="str">
        <f t="shared" si="27"/>
        <v/>
      </c>
      <c r="J90" s="159" t="str">
        <f t="shared" si="27"/>
        <v/>
      </c>
      <c r="K90" s="159" t="str">
        <f t="shared" si="27"/>
        <v/>
      </c>
      <c r="L90" s="159" t="str">
        <f t="shared" si="27"/>
        <v/>
      </c>
      <c r="M90" s="159" t="str">
        <f t="shared" si="27"/>
        <v/>
      </c>
      <c r="N90" s="159" t="str">
        <f t="shared" si="27"/>
        <v/>
      </c>
      <c r="O90" s="159" t="str">
        <f t="shared" si="27"/>
        <v/>
      </c>
      <c r="P90" s="159" t="str">
        <f t="shared" si="27"/>
        <v/>
      </c>
      <c r="Q90" s="159" t="str">
        <f t="shared" si="27"/>
        <v/>
      </c>
      <c r="R90" s="159" t="str">
        <f t="shared" si="27"/>
        <v/>
      </c>
      <c r="S90" s="159" t="str">
        <f t="shared" si="27"/>
        <v/>
      </c>
      <c r="T90" s="159" t="str">
        <f t="shared" si="27"/>
        <v/>
      </c>
      <c r="U90" s="159" t="str">
        <f t="shared" si="27"/>
        <v/>
      </c>
      <c r="V90" s="159" t="str">
        <f t="shared" si="27"/>
        <v/>
      </c>
      <c r="W90" s="159" t="str">
        <f t="shared" si="27"/>
        <v/>
      </c>
      <c r="X90" s="159" t="str">
        <f t="shared" si="27"/>
        <v/>
      </c>
      <c r="Y90" s="159" t="str">
        <f t="shared" si="27"/>
        <v/>
      </c>
      <c r="Z90" s="159" t="str">
        <f t="shared" si="27"/>
        <v/>
      </c>
      <c r="AA90" s="159" t="str">
        <f t="shared" si="27"/>
        <v/>
      </c>
      <c r="AB90" s="159" t="str">
        <f t="shared" si="27"/>
        <v/>
      </c>
      <c r="AC90" s="159" t="str">
        <f t="shared" si="27"/>
        <v/>
      </c>
      <c r="AD90" s="159" t="str">
        <f t="shared" si="27"/>
        <v/>
      </c>
      <c r="AE90" s="159" t="str">
        <f t="shared" si="27"/>
        <v/>
      </c>
      <c r="AF90" s="159" t="str">
        <f t="shared" si="27"/>
        <v/>
      </c>
      <c r="AG90" s="159" t="str">
        <f t="shared" si="27"/>
        <v/>
      </c>
      <c r="AH90" s="159" t="str">
        <f t="shared" si="27"/>
        <v/>
      </c>
      <c r="AI90" s="159" t="str">
        <f t="shared" si="27"/>
        <v/>
      </c>
      <c r="AJ90" s="159" t="str">
        <f t="shared" si="27"/>
        <v/>
      </c>
      <c r="AK90" s="159" t="str">
        <f t="shared" si="27"/>
        <v/>
      </c>
      <c r="AL90" s="159" t="str">
        <f t="shared" si="27"/>
        <v/>
      </c>
      <c r="AM90" s="159" t="str">
        <f t="shared" si="27"/>
        <v/>
      </c>
      <c r="AN90" s="159" t="str">
        <f t="shared" si="27"/>
        <v/>
      </c>
      <c r="AO90" s="159" t="str">
        <f t="shared" si="27"/>
        <v/>
      </c>
      <c r="AP90" s="159" t="str">
        <f t="shared" si="27"/>
        <v/>
      </c>
      <c r="AQ90" s="159" t="str">
        <f t="shared" si="27"/>
        <v/>
      </c>
      <c r="AR90" s="159" t="str">
        <f t="shared" si="27"/>
        <v/>
      </c>
      <c r="AS90" s="159" t="str">
        <f t="shared" si="27"/>
        <v/>
      </c>
      <c r="AT90" s="159" t="str">
        <f t="shared" si="27"/>
        <v/>
      </c>
      <c r="AU90" s="159" t="str">
        <f t="shared" si="27"/>
        <v/>
      </c>
      <c r="AV90" s="159" t="str">
        <f t="shared" si="27"/>
        <v/>
      </c>
      <c r="AW90" s="159" t="str">
        <f t="shared" si="27"/>
        <v/>
      </c>
      <c r="AX90" s="159" t="str">
        <f t="shared" si="27"/>
        <v/>
      </c>
      <c r="AY90" s="159" t="str">
        <f t="shared" si="27"/>
        <v/>
      </c>
      <c r="AZ90" s="159" t="str">
        <f t="shared" si="27"/>
        <v/>
      </c>
      <c r="BA90" s="159" t="str">
        <f t="shared" si="27"/>
        <v/>
      </c>
      <c r="BB90" s="159" t="str">
        <f t="shared" si="27"/>
        <v/>
      </c>
      <c r="BC90" s="159" t="str">
        <f t="shared" si="27"/>
        <v/>
      </c>
      <c r="BD90" s="159" t="str">
        <f t="shared" si="27"/>
        <v/>
      </c>
      <c r="BE90" s="159" t="str">
        <f t="shared" si="27"/>
        <v/>
      </c>
      <c r="BF90" s="159" t="str">
        <f t="shared" si="27"/>
        <v/>
      </c>
      <c r="BG90" s="159" t="str">
        <f t="shared" si="27"/>
        <v/>
      </c>
      <c r="BH90" s="159" t="str">
        <f t="shared" si="27"/>
        <v/>
      </c>
      <c r="BI90" s="159" t="str">
        <f t="shared" si="27"/>
        <v/>
      </c>
      <c r="BJ90" s="159" t="str">
        <f t="shared" si="27"/>
        <v/>
      </c>
      <c r="BK90" s="159" t="str">
        <f t="shared" si="27"/>
        <v/>
      </c>
      <c r="BL90" s="159" t="str">
        <f t="shared" si="27"/>
        <v/>
      </c>
      <c r="BM90" s="159" t="str">
        <f t="shared" si="27"/>
        <v/>
      </c>
      <c r="BN90" s="159" t="str">
        <f t="shared" si="27"/>
        <v/>
      </c>
      <c r="BO90" s="159" t="str">
        <f t="shared" si="27"/>
        <v/>
      </c>
      <c r="BP90" s="159" t="str">
        <f t="shared" si="25"/>
        <v/>
      </c>
      <c r="BQ90" s="159" t="str">
        <f t="shared" si="25"/>
        <v/>
      </c>
      <c r="BR90" s="159" t="str">
        <f t="shared" si="25"/>
        <v/>
      </c>
      <c r="BS90" s="159" t="str">
        <f t="shared" si="25"/>
        <v/>
      </c>
      <c r="BT90" s="159" t="str">
        <f t="shared" si="25"/>
        <v/>
      </c>
      <c r="BU90" s="159" t="str">
        <f t="shared" si="25"/>
        <v/>
      </c>
      <c r="BV90" s="159" t="str">
        <f t="shared" si="25"/>
        <v/>
      </c>
      <c r="BW90" s="159" t="str">
        <f t="shared" si="25"/>
        <v/>
      </c>
      <c r="BX90" s="159" t="str">
        <f t="shared" si="25"/>
        <v/>
      </c>
      <c r="BY90" s="159" t="str">
        <f t="shared" si="25"/>
        <v/>
      </c>
      <c r="BZ90" s="159" t="str">
        <f t="shared" si="25"/>
        <v/>
      </c>
      <c r="CA90" s="159" t="str">
        <f t="shared" si="25"/>
        <v/>
      </c>
      <c r="CB90" s="159" t="str">
        <f t="shared" si="25"/>
        <v/>
      </c>
      <c r="CC90" s="159" t="str">
        <f t="shared" si="25"/>
        <v/>
      </c>
      <c r="CD90" s="159" t="str">
        <f t="shared" si="25"/>
        <v/>
      </c>
      <c r="CE90" s="159" t="str">
        <f t="shared" si="25"/>
        <v/>
      </c>
      <c r="CF90" s="159" t="str">
        <f t="shared" si="25"/>
        <v/>
      </c>
      <c r="CG90" s="159" t="str">
        <f t="shared" si="25"/>
        <v/>
      </c>
      <c r="CH90" s="159" t="str">
        <f t="shared" si="25"/>
        <v/>
      </c>
      <c r="CI90" s="159" t="str">
        <f t="shared" si="25"/>
        <v/>
      </c>
      <c r="CJ90" s="159" t="str">
        <f t="shared" si="25"/>
        <v/>
      </c>
      <c r="CK90" s="159" t="str">
        <f t="shared" si="25"/>
        <v/>
      </c>
      <c r="CL90" s="159" t="str">
        <f t="shared" si="25"/>
        <v/>
      </c>
      <c r="CM90" s="159" t="str">
        <f t="shared" si="25"/>
        <v/>
      </c>
      <c r="CN90" s="159" t="str">
        <f t="shared" si="25"/>
        <v/>
      </c>
      <c r="CO90" s="159" t="str">
        <f t="shared" si="25"/>
        <v/>
      </c>
      <c r="CP90" s="159" t="str">
        <f t="shared" si="25"/>
        <v/>
      </c>
      <c r="CQ90" s="159" t="str">
        <f t="shared" si="25"/>
        <v/>
      </c>
      <c r="CR90" s="159" t="str">
        <f t="shared" si="25"/>
        <v/>
      </c>
      <c r="CS90" s="159" t="str">
        <f t="shared" si="25"/>
        <v/>
      </c>
      <c r="CT90" s="226" t="s">
        <v>54</v>
      </c>
      <c r="CU90" s="42"/>
      <c r="CV90" s="42"/>
      <c r="CW90" s="44"/>
    </row>
    <row r="91" spans="1:103" x14ac:dyDescent="0.25">
      <c r="A91" s="97">
        <f t="shared" si="23"/>
        <v>1</v>
      </c>
      <c r="B91" s="31">
        <f t="shared" si="23"/>
        <v>2018</v>
      </c>
      <c r="C91" s="158"/>
      <c r="D91" s="159">
        <f t="shared" si="27"/>
        <v>1</v>
      </c>
      <c r="E91" s="159" t="str">
        <f t="shared" si="27"/>
        <v/>
      </c>
      <c r="F91" s="159" t="str">
        <f t="shared" si="27"/>
        <v/>
      </c>
      <c r="G91" s="159" t="str">
        <f t="shared" si="27"/>
        <v/>
      </c>
      <c r="H91" s="159" t="str">
        <f t="shared" si="27"/>
        <v/>
      </c>
      <c r="I91" s="159" t="str">
        <f t="shared" si="27"/>
        <v/>
      </c>
      <c r="J91" s="159" t="str">
        <f t="shared" si="27"/>
        <v/>
      </c>
      <c r="K91" s="159" t="str">
        <f t="shared" si="27"/>
        <v/>
      </c>
      <c r="L91" s="159" t="str">
        <f t="shared" si="27"/>
        <v/>
      </c>
      <c r="M91" s="159" t="str">
        <f t="shared" si="27"/>
        <v/>
      </c>
      <c r="N91" s="159" t="str">
        <f t="shared" si="27"/>
        <v/>
      </c>
      <c r="O91" s="159" t="str">
        <f t="shared" si="27"/>
        <v/>
      </c>
      <c r="P91" s="159" t="str">
        <f t="shared" si="27"/>
        <v/>
      </c>
      <c r="Q91" s="159" t="str">
        <f t="shared" si="27"/>
        <v/>
      </c>
      <c r="R91" s="159" t="str">
        <f t="shared" si="27"/>
        <v/>
      </c>
      <c r="S91" s="159" t="str">
        <f t="shared" si="27"/>
        <v/>
      </c>
      <c r="T91" s="159" t="str">
        <f t="shared" si="27"/>
        <v/>
      </c>
      <c r="U91" s="159" t="str">
        <f t="shared" si="27"/>
        <v/>
      </c>
      <c r="V91" s="159" t="str">
        <f t="shared" si="27"/>
        <v/>
      </c>
      <c r="W91" s="159" t="str">
        <f t="shared" si="27"/>
        <v/>
      </c>
      <c r="X91" s="159" t="str">
        <f t="shared" si="27"/>
        <v/>
      </c>
      <c r="Y91" s="159" t="str">
        <f t="shared" si="27"/>
        <v/>
      </c>
      <c r="Z91" s="159" t="str">
        <f t="shared" si="27"/>
        <v/>
      </c>
      <c r="AA91" s="159" t="str">
        <f t="shared" si="27"/>
        <v/>
      </c>
      <c r="AB91" s="159" t="str">
        <f t="shared" si="27"/>
        <v/>
      </c>
      <c r="AC91" s="159" t="str">
        <f t="shared" si="27"/>
        <v/>
      </c>
      <c r="AD91" s="159" t="str">
        <f t="shared" si="27"/>
        <v/>
      </c>
      <c r="AE91" s="159" t="str">
        <f t="shared" si="27"/>
        <v/>
      </c>
      <c r="AF91" s="159" t="str">
        <f t="shared" si="27"/>
        <v/>
      </c>
      <c r="AG91" s="159" t="str">
        <f t="shared" si="27"/>
        <v/>
      </c>
      <c r="AH91" s="159" t="str">
        <f t="shared" si="27"/>
        <v/>
      </c>
      <c r="AI91" s="159" t="str">
        <f t="shared" si="27"/>
        <v/>
      </c>
      <c r="AJ91" s="159" t="str">
        <f t="shared" si="27"/>
        <v/>
      </c>
      <c r="AK91" s="159" t="str">
        <f t="shared" si="27"/>
        <v/>
      </c>
      <c r="AL91" s="159" t="str">
        <f t="shared" si="27"/>
        <v/>
      </c>
      <c r="AM91" s="159" t="str">
        <f t="shared" si="27"/>
        <v/>
      </c>
      <c r="AN91" s="159" t="str">
        <f t="shared" si="27"/>
        <v/>
      </c>
      <c r="AO91" s="159" t="str">
        <f t="shared" si="27"/>
        <v/>
      </c>
      <c r="AP91" s="159" t="str">
        <f t="shared" si="27"/>
        <v/>
      </c>
      <c r="AQ91" s="159" t="str">
        <f t="shared" si="27"/>
        <v/>
      </c>
      <c r="AR91" s="159" t="str">
        <f t="shared" si="27"/>
        <v/>
      </c>
      <c r="AS91" s="159" t="str">
        <f t="shared" si="27"/>
        <v/>
      </c>
      <c r="AT91" s="159" t="str">
        <f t="shared" si="27"/>
        <v/>
      </c>
      <c r="AU91" s="159" t="str">
        <f t="shared" si="27"/>
        <v/>
      </c>
      <c r="AV91" s="159" t="str">
        <f t="shared" si="27"/>
        <v/>
      </c>
      <c r="AW91" s="159" t="str">
        <f t="shared" si="27"/>
        <v/>
      </c>
      <c r="AX91" s="159" t="str">
        <f t="shared" si="27"/>
        <v/>
      </c>
      <c r="AY91" s="159" t="str">
        <f t="shared" si="27"/>
        <v/>
      </c>
      <c r="AZ91" s="159" t="str">
        <f t="shared" si="27"/>
        <v/>
      </c>
      <c r="BA91" s="159" t="str">
        <f t="shared" si="27"/>
        <v/>
      </c>
      <c r="BB91" s="159" t="str">
        <f t="shared" si="27"/>
        <v/>
      </c>
      <c r="BC91" s="159" t="str">
        <f t="shared" si="27"/>
        <v/>
      </c>
      <c r="BD91" s="159" t="str">
        <f t="shared" si="27"/>
        <v/>
      </c>
      <c r="BE91" s="159" t="str">
        <f t="shared" si="27"/>
        <v/>
      </c>
      <c r="BF91" s="159" t="str">
        <f t="shared" si="27"/>
        <v/>
      </c>
      <c r="BG91" s="159" t="str">
        <f t="shared" si="27"/>
        <v/>
      </c>
      <c r="BH91" s="159" t="str">
        <f t="shared" si="27"/>
        <v/>
      </c>
      <c r="BI91" s="159" t="str">
        <f t="shared" si="27"/>
        <v/>
      </c>
      <c r="BJ91" s="159" t="str">
        <f t="shared" si="27"/>
        <v/>
      </c>
      <c r="BK91" s="159" t="str">
        <f t="shared" si="27"/>
        <v/>
      </c>
      <c r="BL91" s="159" t="str">
        <f t="shared" si="27"/>
        <v/>
      </c>
      <c r="BM91" s="159" t="str">
        <f t="shared" si="27"/>
        <v/>
      </c>
      <c r="BN91" s="159" t="str">
        <f t="shared" si="27"/>
        <v/>
      </c>
      <c r="BO91" s="159" t="str">
        <f t="shared" si="27"/>
        <v/>
      </c>
      <c r="BP91" s="159" t="str">
        <f t="shared" si="25"/>
        <v/>
      </c>
      <c r="BQ91" s="159" t="str">
        <f t="shared" si="25"/>
        <v/>
      </c>
      <c r="BR91" s="159" t="str">
        <f t="shared" si="25"/>
        <v/>
      </c>
      <c r="BS91" s="159" t="str">
        <f t="shared" si="25"/>
        <v/>
      </c>
      <c r="BT91" s="159" t="str">
        <f t="shared" si="25"/>
        <v/>
      </c>
      <c r="BU91" s="159" t="str">
        <f t="shared" si="25"/>
        <v/>
      </c>
      <c r="BV91" s="159" t="str">
        <f t="shared" si="25"/>
        <v/>
      </c>
      <c r="BW91" s="159" t="str">
        <f t="shared" si="25"/>
        <v/>
      </c>
      <c r="BX91" s="159" t="str">
        <f t="shared" si="25"/>
        <v/>
      </c>
      <c r="BY91" s="159" t="str">
        <f t="shared" si="25"/>
        <v/>
      </c>
      <c r="BZ91" s="159" t="str">
        <f t="shared" si="25"/>
        <v/>
      </c>
      <c r="CA91" s="159" t="str">
        <f t="shared" si="25"/>
        <v/>
      </c>
      <c r="CB91" s="159" t="str">
        <f t="shared" si="25"/>
        <v/>
      </c>
      <c r="CC91" s="159" t="str">
        <f t="shared" si="25"/>
        <v/>
      </c>
      <c r="CD91" s="159" t="str">
        <f t="shared" si="25"/>
        <v/>
      </c>
      <c r="CE91" s="159" t="str">
        <f t="shared" si="25"/>
        <v/>
      </c>
      <c r="CF91" s="159" t="str">
        <f t="shared" si="25"/>
        <v/>
      </c>
      <c r="CG91" s="159" t="str">
        <f t="shared" si="25"/>
        <v/>
      </c>
      <c r="CH91" s="159" t="str">
        <f t="shared" si="25"/>
        <v/>
      </c>
      <c r="CI91" s="159" t="str">
        <f t="shared" si="25"/>
        <v/>
      </c>
      <c r="CJ91" s="159" t="str">
        <f t="shared" si="25"/>
        <v/>
      </c>
      <c r="CK91" s="159" t="str">
        <f t="shared" si="25"/>
        <v/>
      </c>
      <c r="CL91" s="159" t="str">
        <f t="shared" si="25"/>
        <v/>
      </c>
      <c r="CM91" s="159" t="str">
        <f t="shared" si="25"/>
        <v/>
      </c>
      <c r="CN91" s="159" t="str">
        <f t="shared" si="25"/>
        <v/>
      </c>
      <c r="CO91" s="159" t="str">
        <f t="shared" si="25"/>
        <v/>
      </c>
      <c r="CP91" s="159" t="str">
        <f t="shared" si="25"/>
        <v/>
      </c>
      <c r="CQ91" s="159" t="str">
        <f t="shared" si="25"/>
        <v/>
      </c>
      <c r="CR91" s="159" t="str">
        <f t="shared" si="25"/>
        <v/>
      </c>
      <c r="CS91" s="159" t="str">
        <f t="shared" si="25"/>
        <v/>
      </c>
      <c r="CT91" s="226" t="s">
        <v>54</v>
      </c>
      <c r="CU91" s="42"/>
      <c r="CV91" s="42"/>
      <c r="CW91" s="44"/>
    </row>
    <row r="92" spans="1:103" x14ac:dyDescent="0.25">
      <c r="A92" s="97">
        <f t="shared" si="23"/>
        <v>1</v>
      </c>
      <c r="B92" s="80">
        <f t="shared" si="23"/>
        <v>2019</v>
      </c>
      <c r="C92" s="161"/>
      <c r="D92" s="162" t="str">
        <f>IFERROR(IF(D65=1,D37/C37,""),"")</f>
        <v/>
      </c>
      <c r="E92" s="162" t="str">
        <f t="shared" si="27"/>
        <v/>
      </c>
      <c r="F92" s="162" t="str">
        <f t="shared" si="27"/>
        <v/>
      </c>
      <c r="G92" s="162" t="str">
        <f t="shared" si="27"/>
        <v/>
      </c>
      <c r="H92" s="162" t="str">
        <f t="shared" si="27"/>
        <v/>
      </c>
      <c r="I92" s="162" t="str">
        <f t="shared" si="27"/>
        <v/>
      </c>
      <c r="J92" s="162" t="str">
        <f t="shared" si="27"/>
        <v/>
      </c>
      <c r="K92" s="162" t="str">
        <f t="shared" si="27"/>
        <v/>
      </c>
      <c r="L92" s="162" t="str">
        <f t="shared" si="27"/>
        <v/>
      </c>
      <c r="M92" s="162" t="str">
        <f t="shared" si="27"/>
        <v/>
      </c>
      <c r="N92" s="162" t="str">
        <f t="shared" si="27"/>
        <v/>
      </c>
      <c r="O92" s="162" t="str">
        <f t="shared" si="27"/>
        <v/>
      </c>
      <c r="P92" s="162" t="str">
        <f t="shared" si="27"/>
        <v/>
      </c>
      <c r="Q92" s="162" t="str">
        <f t="shared" si="27"/>
        <v/>
      </c>
      <c r="R92" s="162" t="str">
        <f t="shared" si="27"/>
        <v/>
      </c>
      <c r="S92" s="162" t="str">
        <f t="shared" si="27"/>
        <v/>
      </c>
      <c r="T92" s="162" t="str">
        <f t="shared" si="27"/>
        <v/>
      </c>
      <c r="U92" s="162" t="str">
        <f t="shared" si="27"/>
        <v/>
      </c>
      <c r="V92" s="162" t="str">
        <f t="shared" si="27"/>
        <v/>
      </c>
      <c r="W92" s="162" t="str">
        <f t="shared" si="27"/>
        <v/>
      </c>
      <c r="X92" s="162" t="str">
        <f t="shared" si="27"/>
        <v/>
      </c>
      <c r="Y92" s="162" t="str">
        <f t="shared" si="27"/>
        <v/>
      </c>
      <c r="Z92" s="162" t="str">
        <f t="shared" si="27"/>
        <v/>
      </c>
      <c r="AA92" s="162" t="str">
        <f t="shared" si="27"/>
        <v/>
      </c>
      <c r="AB92" s="162" t="str">
        <f t="shared" si="27"/>
        <v/>
      </c>
      <c r="AC92" s="162" t="str">
        <f t="shared" si="27"/>
        <v/>
      </c>
      <c r="AD92" s="162" t="str">
        <f t="shared" si="27"/>
        <v/>
      </c>
      <c r="AE92" s="162" t="str">
        <f t="shared" si="27"/>
        <v/>
      </c>
      <c r="AF92" s="162" t="str">
        <f t="shared" si="27"/>
        <v/>
      </c>
      <c r="AG92" s="162" t="str">
        <f t="shared" si="27"/>
        <v/>
      </c>
      <c r="AH92" s="162" t="str">
        <f t="shared" si="27"/>
        <v/>
      </c>
      <c r="AI92" s="162" t="str">
        <f t="shared" si="27"/>
        <v/>
      </c>
      <c r="AJ92" s="162" t="str">
        <f t="shared" si="27"/>
        <v/>
      </c>
      <c r="AK92" s="162" t="str">
        <f t="shared" si="27"/>
        <v/>
      </c>
      <c r="AL92" s="162" t="str">
        <f t="shared" si="27"/>
        <v/>
      </c>
      <c r="AM92" s="162" t="str">
        <f t="shared" si="27"/>
        <v/>
      </c>
      <c r="AN92" s="162" t="str">
        <f t="shared" si="27"/>
        <v/>
      </c>
      <c r="AO92" s="162" t="str">
        <f t="shared" si="27"/>
        <v/>
      </c>
      <c r="AP92" s="162" t="str">
        <f t="shared" si="27"/>
        <v/>
      </c>
      <c r="AQ92" s="162" t="str">
        <f t="shared" si="27"/>
        <v/>
      </c>
      <c r="AR92" s="162" t="str">
        <f t="shared" si="27"/>
        <v/>
      </c>
      <c r="AS92" s="162" t="str">
        <f t="shared" si="27"/>
        <v/>
      </c>
      <c r="AT92" s="162" t="str">
        <f t="shared" si="27"/>
        <v/>
      </c>
      <c r="AU92" s="162" t="str">
        <f t="shared" si="27"/>
        <v/>
      </c>
      <c r="AV92" s="162" t="str">
        <f t="shared" si="27"/>
        <v/>
      </c>
      <c r="AW92" s="162" t="str">
        <f t="shared" si="27"/>
        <v/>
      </c>
      <c r="AX92" s="162" t="str">
        <f t="shared" si="27"/>
        <v/>
      </c>
      <c r="AY92" s="162" t="str">
        <f t="shared" si="27"/>
        <v/>
      </c>
      <c r="AZ92" s="162" t="str">
        <f t="shared" si="27"/>
        <v/>
      </c>
      <c r="BA92" s="162" t="str">
        <f t="shared" si="27"/>
        <v/>
      </c>
      <c r="BB92" s="162" t="str">
        <f t="shared" si="27"/>
        <v/>
      </c>
      <c r="BC92" s="162" t="str">
        <f t="shared" si="27"/>
        <v/>
      </c>
      <c r="BD92" s="162" t="str">
        <f t="shared" si="27"/>
        <v/>
      </c>
      <c r="BE92" s="162" t="str">
        <f t="shared" si="27"/>
        <v/>
      </c>
      <c r="BF92" s="162" t="str">
        <f t="shared" si="27"/>
        <v/>
      </c>
      <c r="BG92" s="162" t="str">
        <f t="shared" si="27"/>
        <v/>
      </c>
      <c r="BH92" s="162" t="str">
        <f t="shared" si="27"/>
        <v/>
      </c>
      <c r="BI92" s="162" t="str">
        <f t="shared" si="27"/>
        <v/>
      </c>
      <c r="BJ92" s="162" t="str">
        <f t="shared" si="27"/>
        <v/>
      </c>
      <c r="BK92" s="162" t="str">
        <f t="shared" si="27"/>
        <v/>
      </c>
      <c r="BL92" s="162" t="str">
        <f t="shared" si="27"/>
        <v/>
      </c>
      <c r="BM92" s="162" t="str">
        <f t="shared" si="27"/>
        <v/>
      </c>
      <c r="BN92" s="162" t="str">
        <f t="shared" si="27"/>
        <v/>
      </c>
      <c r="BO92" s="162" t="str">
        <f t="shared" si="27"/>
        <v/>
      </c>
      <c r="BP92" s="162" t="str">
        <f t="shared" si="25"/>
        <v/>
      </c>
      <c r="BQ92" s="162" t="str">
        <f t="shared" si="25"/>
        <v/>
      </c>
      <c r="BR92" s="162" t="str">
        <f t="shared" si="25"/>
        <v/>
      </c>
      <c r="BS92" s="162" t="str">
        <f t="shared" si="25"/>
        <v/>
      </c>
      <c r="BT92" s="162" t="str">
        <f t="shared" si="25"/>
        <v/>
      </c>
      <c r="BU92" s="162" t="str">
        <f t="shared" si="25"/>
        <v/>
      </c>
      <c r="BV92" s="162" t="str">
        <f t="shared" si="25"/>
        <v/>
      </c>
      <c r="BW92" s="162" t="str">
        <f t="shared" si="25"/>
        <v/>
      </c>
      <c r="BX92" s="162" t="str">
        <f t="shared" si="25"/>
        <v/>
      </c>
      <c r="BY92" s="162" t="str">
        <f t="shared" si="25"/>
        <v/>
      </c>
      <c r="BZ92" s="162" t="str">
        <f t="shared" si="25"/>
        <v/>
      </c>
      <c r="CA92" s="162" t="str">
        <f t="shared" si="25"/>
        <v/>
      </c>
      <c r="CB92" s="162" t="str">
        <f t="shared" si="25"/>
        <v/>
      </c>
      <c r="CC92" s="162" t="str">
        <f t="shared" si="25"/>
        <v/>
      </c>
      <c r="CD92" s="162" t="str">
        <f t="shared" si="25"/>
        <v/>
      </c>
      <c r="CE92" s="162" t="str">
        <f t="shared" si="25"/>
        <v/>
      </c>
      <c r="CF92" s="162" t="str">
        <f t="shared" si="25"/>
        <v/>
      </c>
      <c r="CG92" s="162" t="str">
        <f t="shared" si="25"/>
        <v/>
      </c>
      <c r="CH92" s="162" t="str">
        <f t="shared" si="25"/>
        <v/>
      </c>
      <c r="CI92" s="162" t="str">
        <f t="shared" si="25"/>
        <v/>
      </c>
      <c r="CJ92" s="162" t="str">
        <f t="shared" si="25"/>
        <v/>
      </c>
      <c r="CK92" s="162" t="str">
        <f t="shared" si="25"/>
        <v/>
      </c>
      <c r="CL92" s="162" t="str">
        <f t="shared" si="25"/>
        <v/>
      </c>
      <c r="CM92" s="162" t="str">
        <f t="shared" si="25"/>
        <v/>
      </c>
      <c r="CN92" s="162" t="str">
        <f t="shared" si="25"/>
        <v/>
      </c>
      <c r="CO92" s="162" t="str">
        <f t="shared" si="25"/>
        <v/>
      </c>
      <c r="CP92" s="162" t="str">
        <f t="shared" si="25"/>
        <v/>
      </c>
      <c r="CQ92" s="162" t="str">
        <f t="shared" si="25"/>
        <v/>
      </c>
      <c r="CR92" s="162" t="str">
        <f t="shared" si="25"/>
        <v/>
      </c>
      <c r="CS92" s="162" t="str">
        <f t="shared" si="25"/>
        <v/>
      </c>
      <c r="CT92" s="227" t="s">
        <v>54</v>
      </c>
      <c r="CU92" s="42"/>
      <c r="CV92" s="42"/>
      <c r="CW92" s="44"/>
    </row>
    <row r="93" spans="1:103" hidden="1" x14ac:dyDescent="0.25">
      <c r="A93" s="97">
        <v>0</v>
      </c>
      <c r="B93" s="25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U93" s="42"/>
      <c r="CV93" s="42"/>
      <c r="CW93" s="44"/>
    </row>
    <row r="94" spans="1:103" hidden="1" x14ac:dyDescent="0.25">
      <c r="A94" s="97">
        <v>0</v>
      </c>
      <c r="B94" s="19" t="s">
        <v>50</v>
      </c>
    </row>
    <row r="95" spans="1:103" hidden="1" x14ac:dyDescent="0.25">
      <c r="A95" s="97">
        <v>0</v>
      </c>
      <c r="B95" s="21" t="s">
        <v>2</v>
      </c>
      <c r="C95" s="163"/>
      <c r="D95" s="164" t="str">
        <f t="shared" ref="D95:BO95" si="28">D68</f>
        <v>2 / 1</v>
      </c>
      <c r="E95" s="164" t="str">
        <f t="shared" si="28"/>
        <v>3 / 2</v>
      </c>
      <c r="F95" s="164" t="str">
        <f t="shared" si="28"/>
        <v>4 / 3</v>
      </c>
      <c r="G95" s="164" t="str">
        <f t="shared" si="28"/>
        <v>5 / 4</v>
      </c>
      <c r="H95" s="164" t="str">
        <f t="shared" si="28"/>
        <v>6 / 5</v>
      </c>
      <c r="I95" s="164" t="str">
        <f t="shared" si="28"/>
        <v>7 / 6</v>
      </c>
      <c r="J95" s="164" t="str">
        <f t="shared" si="28"/>
        <v>8 / 7</v>
      </c>
      <c r="K95" s="164" t="str">
        <f t="shared" si="28"/>
        <v>9 / 8</v>
      </c>
      <c r="L95" s="164" t="str">
        <f t="shared" si="28"/>
        <v>10 / 9</v>
      </c>
      <c r="M95" s="164" t="str">
        <f t="shared" si="28"/>
        <v>11 / 10</v>
      </c>
      <c r="N95" s="164" t="str">
        <f t="shared" si="28"/>
        <v>12 / 11</v>
      </c>
      <c r="O95" s="164" t="str">
        <f t="shared" si="28"/>
        <v>13 / 12</v>
      </c>
      <c r="P95" s="164" t="str">
        <f t="shared" si="28"/>
        <v>14 / 13</v>
      </c>
      <c r="Q95" s="164" t="str">
        <f t="shared" si="28"/>
        <v>15 / 14</v>
      </c>
      <c r="R95" s="164" t="str">
        <f t="shared" si="28"/>
        <v>16 / 15</v>
      </c>
      <c r="S95" s="164" t="str">
        <f t="shared" si="28"/>
        <v>17 / 16</v>
      </c>
      <c r="T95" s="164" t="str">
        <f t="shared" si="28"/>
        <v>18 / 17</v>
      </c>
      <c r="U95" s="164" t="str">
        <f t="shared" si="28"/>
        <v>19 / 18</v>
      </c>
      <c r="V95" s="164" t="str">
        <f t="shared" si="28"/>
        <v>20 / 19</v>
      </c>
      <c r="W95" s="164" t="str">
        <f t="shared" si="28"/>
        <v>21 / 20</v>
      </c>
      <c r="X95" s="164" t="str">
        <f t="shared" si="28"/>
        <v>22 / 21</v>
      </c>
      <c r="Y95" s="164" t="str">
        <f t="shared" si="28"/>
        <v>23 / 22</v>
      </c>
      <c r="Z95" s="164" t="str">
        <f t="shared" si="28"/>
        <v>24 / 23</v>
      </c>
      <c r="AA95" s="164" t="str">
        <f t="shared" si="28"/>
        <v>25 / 24</v>
      </c>
      <c r="AB95" s="164" t="str">
        <f t="shared" si="28"/>
        <v>26 / 25</v>
      </c>
      <c r="AC95" s="164" t="str">
        <f t="shared" si="28"/>
        <v>27 / 26</v>
      </c>
      <c r="AD95" s="164" t="str">
        <f t="shared" si="28"/>
        <v>28 / 27</v>
      </c>
      <c r="AE95" s="164" t="str">
        <f t="shared" si="28"/>
        <v>29 / 28</v>
      </c>
      <c r="AF95" s="164" t="str">
        <f t="shared" si="28"/>
        <v>30 / 29</v>
      </c>
      <c r="AG95" s="164" t="str">
        <f t="shared" si="28"/>
        <v>31 / 30</v>
      </c>
      <c r="AH95" s="164" t="str">
        <f t="shared" si="28"/>
        <v>32 / 31</v>
      </c>
      <c r="AI95" s="164" t="str">
        <f t="shared" si="28"/>
        <v>33 / 32</v>
      </c>
      <c r="AJ95" s="164" t="str">
        <f t="shared" si="28"/>
        <v>34 / 33</v>
      </c>
      <c r="AK95" s="164" t="str">
        <f t="shared" si="28"/>
        <v>35 / 34</v>
      </c>
      <c r="AL95" s="164" t="str">
        <f t="shared" si="28"/>
        <v>36 / 35</v>
      </c>
      <c r="AM95" s="164" t="str">
        <f t="shared" si="28"/>
        <v>37 / 36</v>
      </c>
      <c r="AN95" s="164" t="str">
        <f t="shared" si="28"/>
        <v>38 / 37</v>
      </c>
      <c r="AO95" s="164" t="str">
        <f t="shared" si="28"/>
        <v>39 / 38</v>
      </c>
      <c r="AP95" s="164" t="str">
        <f t="shared" si="28"/>
        <v>40 / 39</v>
      </c>
      <c r="AQ95" s="164" t="str">
        <f t="shared" si="28"/>
        <v>41 / 40</v>
      </c>
      <c r="AR95" s="164" t="str">
        <f t="shared" si="28"/>
        <v>42 / 41</v>
      </c>
      <c r="AS95" s="164" t="str">
        <f t="shared" si="28"/>
        <v>43 / 42</v>
      </c>
      <c r="AT95" s="164" t="str">
        <f t="shared" si="28"/>
        <v>44 / 43</v>
      </c>
      <c r="AU95" s="164" t="str">
        <f t="shared" si="28"/>
        <v>45 / 44</v>
      </c>
      <c r="AV95" s="164" t="str">
        <f t="shared" si="28"/>
        <v>46 / 45</v>
      </c>
      <c r="AW95" s="164" t="str">
        <f t="shared" si="28"/>
        <v>47 / 46</v>
      </c>
      <c r="AX95" s="164" t="str">
        <f t="shared" si="28"/>
        <v>48 / 47</v>
      </c>
      <c r="AY95" s="164" t="str">
        <f t="shared" si="28"/>
        <v>49 / 48</v>
      </c>
      <c r="AZ95" s="164" t="str">
        <f t="shared" si="28"/>
        <v>50 / 49</v>
      </c>
      <c r="BA95" s="164" t="str">
        <f t="shared" si="28"/>
        <v>51 / 50</v>
      </c>
      <c r="BB95" s="164" t="str">
        <f t="shared" si="28"/>
        <v>52 / 51</v>
      </c>
      <c r="BC95" s="164" t="str">
        <f t="shared" si="28"/>
        <v>53 / 52</v>
      </c>
      <c r="BD95" s="164" t="str">
        <f t="shared" si="28"/>
        <v>54 / 53</v>
      </c>
      <c r="BE95" s="164" t="str">
        <f t="shared" si="28"/>
        <v>55 / 54</v>
      </c>
      <c r="BF95" s="164" t="str">
        <f t="shared" si="28"/>
        <v>56 / 55</v>
      </c>
      <c r="BG95" s="164" t="str">
        <f t="shared" si="28"/>
        <v>57 / 56</v>
      </c>
      <c r="BH95" s="164" t="str">
        <f t="shared" si="28"/>
        <v>58 / 57</v>
      </c>
      <c r="BI95" s="164" t="str">
        <f t="shared" si="28"/>
        <v>59 / 58</v>
      </c>
      <c r="BJ95" s="164" t="str">
        <f t="shared" si="28"/>
        <v>60 / 59</v>
      </c>
      <c r="BK95" s="164" t="str">
        <f t="shared" si="28"/>
        <v>61 / 60</v>
      </c>
      <c r="BL95" s="164" t="str">
        <f t="shared" si="28"/>
        <v>62 / 61</v>
      </c>
      <c r="BM95" s="164" t="str">
        <f t="shared" si="28"/>
        <v>63 / 62</v>
      </c>
      <c r="BN95" s="164" t="str">
        <f t="shared" si="28"/>
        <v>64 / 63</v>
      </c>
      <c r="BO95" s="164" t="str">
        <f t="shared" si="28"/>
        <v>65 / 64</v>
      </c>
      <c r="BP95" s="164" t="str">
        <f t="shared" ref="BP95:CS95" si="29">BP68</f>
        <v>66 / 65</v>
      </c>
      <c r="BQ95" s="164" t="str">
        <f t="shared" si="29"/>
        <v>67 / 66</v>
      </c>
      <c r="BR95" s="164" t="str">
        <f t="shared" si="29"/>
        <v>68 / 67</v>
      </c>
      <c r="BS95" s="164" t="str">
        <f t="shared" si="29"/>
        <v>69 / 68</v>
      </c>
      <c r="BT95" s="164" t="str">
        <f t="shared" si="29"/>
        <v>70 / 69</v>
      </c>
      <c r="BU95" s="164" t="str">
        <f t="shared" si="29"/>
        <v>71 / 70</v>
      </c>
      <c r="BV95" s="164" t="str">
        <f t="shared" si="29"/>
        <v>72 / 71</v>
      </c>
      <c r="BW95" s="164" t="str">
        <f t="shared" si="29"/>
        <v>73 / 72</v>
      </c>
      <c r="BX95" s="164" t="str">
        <f t="shared" si="29"/>
        <v>74 / 73</v>
      </c>
      <c r="BY95" s="164" t="str">
        <f t="shared" si="29"/>
        <v>75 / 74</v>
      </c>
      <c r="BZ95" s="164" t="str">
        <f t="shared" si="29"/>
        <v>76 / 75</v>
      </c>
      <c r="CA95" s="164" t="str">
        <f t="shared" si="29"/>
        <v>77 / 76</v>
      </c>
      <c r="CB95" s="164" t="str">
        <f t="shared" si="29"/>
        <v>78 / 77</v>
      </c>
      <c r="CC95" s="164" t="str">
        <f t="shared" si="29"/>
        <v>79 / 78</v>
      </c>
      <c r="CD95" s="164" t="str">
        <f t="shared" si="29"/>
        <v>80 / 79</v>
      </c>
      <c r="CE95" s="164" t="str">
        <f t="shared" si="29"/>
        <v>81 / 80</v>
      </c>
      <c r="CF95" s="164" t="str">
        <f t="shared" si="29"/>
        <v>82 / 81</v>
      </c>
      <c r="CG95" s="164" t="str">
        <f t="shared" si="29"/>
        <v>83 / 82</v>
      </c>
      <c r="CH95" s="164" t="str">
        <f t="shared" si="29"/>
        <v>84 / 83</v>
      </c>
      <c r="CI95" s="164" t="str">
        <f t="shared" si="29"/>
        <v>85 / 84</v>
      </c>
      <c r="CJ95" s="164" t="str">
        <f t="shared" si="29"/>
        <v>86 / 85</v>
      </c>
      <c r="CK95" s="164" t="str">
        <f t="shared" si="29"/>
        <v>87 / 86</v>
      </c>
      <c r="CL95" s="164" t="str">
        <f t="shared" si="29"/>
        <v>88 / 87</v>
      </c>
      <c r="CM95" s="164" t="str">
        <f t="shared" si="29"/>
        <v>89 / 88</v>
      </c>
      <c r="CN95" s="164" t="str">
        <f t="shared" si="29"/>
        <v>90 / 89</v>
      </c>
      <c r="CO95" s="164" t="str">
        <f t="shared" si="29"/>
        <v>91 / 90</v>
      </c>
      <c r="CP95" s="164" t="str">
        <f t="shared" si="29"/>
        <v>92 / 91</v>
      </c>
      <c r="CQ95" s="164" t="str">
        <f t="shared" si="29"/>
        <v>93 / 92</v>
      </c>
      <c r="CR95" s="164" t="str">
        <f t="shared" si="29"/>
        <v>94 / 93</v>
      </c>
      <c r="CS95" s="165" t="str">
        <f t="shared" si="29"/>
        <v>95 / 94</v>
      </c>
      <c r="CT95" s="11" t="s">
        <v>54</v>
      </c>
    </row>
    <row r="96" spans="1:103" hidden="1" x14ac:dyDescent="0.25">
      <c r="A96" s="97">
        <v>0</v>
      </c>
      <c r="B96" s="31">
        <f t="shared" ref="B96:B119" si="30">B42</f>
        <v>1996</v>
      </c>
      <c r="C96" s="101"/>
      <c r="D96" s="166"/>
      <c r="E96" s="166"/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6"/>
      <c r="BD96" s="166"/>
      <c r="BE96" s="166"/>
      <c r="BF96" s="166"/>
      <c r="BG96" s="166"/>
      <c r="BH96" s="166"/>
      <c r="BI96" s="166"/>
      <c r="BJ96" s="166"/>
      <c r="BK96" s="166"/>
      <c r="BL96" s="166"/>
      <c r="BM96" s="166"/>
      <c r="BN96" s="166"/>
      <c r="BO96" s="166"/>
      <c r="BP96" s="166"/>
      <c r="BQ96" s="166"/>
      <c r="BR96" s="166"/>
      <c r="BS96" s="166"/>
      <c r="BT96" s="166"/>
      <c r="BU96" s="166"/>
      <c r="BV96" s="166"/>
      <c r="BW96" s="166"/>
      <c r="BX96" s="166"/>
      <c r="BY96" s="166"/>
      <c r="BZ96" s="166"/>
      <c r="CA96" s="166"/>
      <c r="CB96" s="166"/>
      <c r="CC96" s="166"/>
      <c r="CD96" s="166"/>
      <c r="CE96" s="166"/>
      <c r="CF96" s="166"/>
      <c r="CG96" s="166"/>
      <c r="CH96" s="166"/>
      <c r="CI96" s="166"/>
      <c r="CJ96" s="166"/>
      <c r="CK96" s="166"/>
      <c r="CL96" s="166"/>
      <c r="CM96" s="166"/>
      <c r="CN96" s="166"/>
      <c r="CO96" s="166"/>
      <c r="CP96" s="166"/>
      <c r="CQ96" s="166"/>
      <c r="CR96" s="166"/>
      <c r="CS96" s="160"/>
      <c r="CT96" s="85" t="s">
        <v>54</v>
      </c>
    </row>
    <row r="97" spans="1:98" hidden="1" x14ac:dyDescent="0.25">
      <c r="A97" s="97">
        <v>0</v>
      </c>
      <c r="B97" s="31">
        <f t="shared" si="30"/>
        <v>1997</v>
      </c>
      <c r="C97" s="101"/>
      <c r="D97" s="166"/>
      <c r="E97" s="166"/>
      <c r="F97" s="166"/>
      <c r="G97" s="166"/>
      <c r="H97" s="166"/>
      <c r="I97" s="166"/>
      <c r="J97" s="166"/>
      <c r="K97" s="166"/>
      <c r="L97" s="166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6"/>
      <c r="BD97" s="166"/>
      <c r="BE97" s="166"/>
      <c r="BF97" s="166"/>
      <c r="BG97" s="166"/>
      <c r="BH97" s="166"/>
      <c r="BI97" s="166"/>
      <c r="BJ97" s="166"/>
      <c r="BK97" s="166"/>
      <c r="BL97" s="166"/>
      <c r="BM97" s="166"/>
      <c r="BN97" s="166"/>
      <c r="BO97" s="166"/>
      <c r="BP97" s="166"/>
      <c r="BQ97" s="166"/>
      <c r="BR97" s="166"/>
      <c r="BS97" s="166"/>
      <c r="BT97" s="166"/>
      <c r="BU97" s="166"/>
      <c r="BV97" s="166"/>
      <c r="BW97" s="166"/>
      <c r="BX97" s="166"/>
      <c r="BY97" s="166"/>
      <c r="BZ97" s="166"/>
      <c r="CA97" s="166"/>
      <c r="CB97" s="166"/>
      <c r="CC97" s="166"/>
      <c r="CD97" s="166"/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66"/>
      <c r="CR97" s="166"/>
      <c r="CS97" s="160"/>
      <c r="CT97" s="85" t="s">
        <v>54</v>
      </c>
    </row>
    <row r="98" spans="1:98" hidden="1" x14ac:dyDescent="0.25">
      <c r="A98" s="97">
        <v>0</v>
      </c>
      <c r="B98" s="31">
        <f t="shared" si="30"/>
        <v>1998</v>
      </c>
      <c r="C98" s="101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6"/>
      <c r="P98" s="166"/>
      <c r="Q98" s="166"/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166"/>
      <c r="AO98" s="166"/>
      <c r="AP98" s="166"/>
      <c r="AQ98" s="166"/>
      <c r="AR98" s="166"/>
      <c r="AS98" s="166"/>
      <c r="AT98" s="166"/>
      <c r="AU98" s="166"/>
      <c r="AV98" s="166"/>
      <c r="AW98" s="166"/>
      <c r="AX98" s="166"/>
      <c r="AY98" s="166"/>
      <c r="AZ98" s="166"/>
      <c r="BA98" s="166"/>
      <c r="BB98" s="166"/>
      <c r="BC98" s="166"/>
      <c r="BD98" s="166"/>
      <c r="BE98" s="166"/>
      <c r="BF98" s="166"/>
      <c r="BG98" s="166"/>
      <c r="BH98" s="166"/>
      <c r="BI98" s="166"/>
      <c r="BJ98" s="166"/>
      <c r="BK98" s="166"/>
      <c r="BL98" s="166"/>
      <c r="BM98" s="166"/>
      <c r="BN98" s="166"/>
      <c r="BO98" s="166"/>
      <c r="BP98" s="166"/>
      <c r="BQ98" s="166"/>
      <c r="BR98" s="166"/>
      <c r="BS98" s="166"/>
      <c r="BT98" s="166"/>
      <c r="BU98" s="166"/>
      <c r="BV98" s="166"/>
      <c r="BW98" s="166"/>
      <c r="BX98" s="166"/>
      <c r="BY98" s="166"/>
      <c r="BZ98" s="166"/>
      <c r="CA98" s="166"/>
      <c r="CB98" s="166"/>
      <c r="CC98" s="166"/>
      <c r="CD98" s="166"/>
      <c r="CE98" s="166"/>
      <c r="CF98" s="166"/>
      <c r="CG98" s="166"/>
      <c r="CH98" s="166"/>
      <c r="CI98" s="166"/>
      <c r="CJ98" s="166"/>
      <c r="CK98" s="166"/>
      <c r="CL98" s="166"/>
      <c r="CM98" s="166"/>
      <c r="CN98" s="166"/>
      <c r="CO98" s="166"/>
      <c r="CP98" s="166"/>
      <c r="CQ98" s="166"/>
      <c r="CR98" s="166"/>
      <c r="CS98" s="160"/>
      <c r="CT98" s="85" t="s">
        <v>54</v>
      </c>
    </row>
    <row r="99" spans="1:98" hidden="1" x14ac:dyDescent="0.25">
      <c r="A99" s="97">
        <v>0</v>
      </c>
      <c r="B99" s="31">
        <f t="shared" si="30"/>
        <v>1999</v>
      </c>
      <c r="C99" s="101"/>
      <c r="D99" s="166"/>
      <c r="E99" s="166"/>
      <c r="F99" s="166"/>
      <c r="G99" s="166"/>
      <c r="H99" s="166"/>
      <c r="I99" s="166"/>
      <c r="J99" s="166"/>
      <c r="K99" s="166"/>
      <c r="L99" s="166"/>
      <c r="M99" s="166"/>
      <c r="N99" s="166"/>
      <c r="O99" s="166"/>
      <c r="P99" s="166"/>
      <c r="Q99" s="166"/>
      <c r="R99" s="166"/>
      <c r="S99" s="166"/>
      <c r="T99" s="166"/>
      <c r="U99" s="166"/>
      <c r="V99" s="166"/>
      <c r="W99" s="166"/>
      <c r="X99" s="166"/>
      <c r="Y99" s="166"/>
      <c r="Z99" s="166"/>
      <c r="AA99" s="166"/>
      <c r="AB99" s="166"/>
      <c r="AC99" s="166"/>
      <c r="AD99" s="166"/>
      <c r="AE99" s="166"/>
      <c r="AF99" s="166"/>
      <c r="AG99" s="166"/>
      <c r="AH99" s="166"/>
      <c r="AI99" s="166"/>
      <c r="AJ99" s="166"/>
      <c r="AK99" s="166"/>
      <c r="AL99" s="166"/>
      <c r="AM99" s="166"/>
      <c r="AN99" s="166"/>
      <c r="AO99" s="166"/>
      <c r="AP99" s="166"/>
      <c r="AQ99" s="166"/>
      <c r="AR99" s="166"/>
      <c r="AS99" s="166"/>
      <c r="AT99" s="166"/>
      <c r="AU99" s="166"/>
      <c r="AV99" s="166"/>
      <c r="AW99" s="166"/>
      <c r="AX99" s="166"/>
      <c r="AY99" s="166"/>
      <c r="AZ99" s="166"/>
      <c r="BA99" s="166"/>
      <c r="BB99" s="166"/>
      <c r="BC99" s="166"/>
      <c r="BD99" s="166"/>
      <c r="BE99" s="166"/>
      <c r="BF99" s="166"/>
      <c r="BG99" s="166"/>
      <c r="BH99" s="166"/>
      <c r="BI99" s="166"/>
      <c r="BJ99" s="166"/>
      <c r="BK99" s="166"/>
      <c r="BL99" s="166"/>
      <c r="BM99" s="166"/>
      <c r="BN99" s="166"/>
      <c r="BO99" s="166"/>
      <c r="BP99" s="166"/>
      <c r="BQ99" s="166"/>
      <c r="BR99" s="166"/>
      <c r="BS99" s="166"/>
      <c r="BT99" s="166"/>
      <c r="BU99" s="166"/>
      <c r="BV99" s="166"/>
      <c r="BW99" s="166"/>
      <c r="BX99" s="166"/>
      <c r="BY99" s="166"/>
      <c r="BZ99" s="166"/>
      <c r="CA99" s="166"/>
      <c r="CB99" s="166"/>
      <c r="CC99" s="166"/>
      <c r="CD99" s="166"/>
      <c r="CE99" s="166"/>
      <c r="CF99" s="166"/>
      <c r="CG99" s="166"/>
      <c r="CH99" s="166"/>
      <c r="CI99" s="166"/>
      <c r="CJ99" s="166"/>
      <c r="CK99" s="166"/>
      <c r="CL99" s="166"/>
      <c r="CM99" s="166"/>
      <c r="CN99" s="166"/>
      <c r="CO99" s="166"/>
      <c r="CP99" s="166"/>
      <c r="CQ99" s="166"/>
      <c r="CR99" s="166"/>
      <c r="CS99" s="160"/>
      <c r="CT99" s="85" t="s">
        <v>54</v>
      </c>
    </row>
    <row r="100" spans="1:98" hidden="1" x14ac:dyDescent="0.25">
      <c r="A100" s="97">
        <v>0</v>
      </c>
      <c r="B100" s="31">
        <f t="shared" si="30"/>
        <v>2000</v>
      </c>
      <c r="C100" s="101"/>
      <c r="D100" s="166"/>
      <c r="E100" s="166"/>
      <c r="F100" s="16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6"/>
      <c r="AU100" s="166"/>
      <c r="AV100" s="166"/>
      <c r="AW100" s="166"/>
      <c r="AX100" s="166"/>
      <c r="AY100" s="166"/>
      <c r="AZ100" s="166"/>
      <c r="BA100" s="166"/>
      <c r="BB100" s="166"/>
      <c r="BC100" s="166"/>
      <c r="BD100" s="166"/>
      <c r="BE100" s="166"/>
      <c r="BF100" s="166"/>
      <c r="BG100" s="166"/>
      <c r="BH100" s="166"/>
      <c r="BI100" s="166"/>
      <c r="BJ100" s="166"/>
      <c r="BK100" s="166"/>
      <c r="BL100" s="166"/>
      <c r="BM100" s="166"/>
      <c r="BN100" s="166"/>
      <c r="BO100" s="166"/>
      <c r="BP100" s="166"/>
      <c r="BQ100" s="166"/>
      <c r="BR100" s="166"/>
      <c r="BS100" s="166"/>
      <c r="BT100" s="166"/>
      <c r="BU100" s="166"/>
      <c r="BV100" s="166"/>
      <c r="BW100" s="166"/>
      <c r="BX100" s="166"/>
      <c r="BY100" s="166"/>
      <c r="BZ100" s="166"/>
      <c r="CA100" s="166"/>
      <c r="CB100" s="166"/>
      <c r="CC100" s="166"/>
      <c r="CD100" s="166"/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66"/>
      <c r="CR100" s="166"/>
      <c r="CS100" s="160"/>
      <c r="CT100" s="85" t="s">
        <v>54</v>
      </c>
    </row>
    <row r="101" spans="1:98" hidden="1" x14ac:dyDescent="0.25">
      <c r="A101" s="97">
        <v>0</v>
      </c>
      <c r="B101" s="31">
        <f t="shared" si="30"/>
        <v>2001</v>
      </c>
      <c r="C101" s="101"/>
      <c r="D101" s="166"/>
      <c r="E101" s="166"/>
      <c r="F101" s="166"/>
      <c r="G101" s="166"/>
      <c r="H101" s="166"/>
      <c r="I101" s="166"/>
      <c r="J101" s="166"/>
      <c r="K101" s="166"/>
      <c r="L101" s="166"/>
      <c r="M101" s="166"/>
      <c r="N101" s="166"/>
      <c r="O101" s="166"/>
      <c r="P101" s="166"/>
      <c r="Q101" s="166"/>
      <c r="R101" s="166"/>
      <c r="S101" s="166"/>
      <c r="T101" s="166"/>
      <c r="U101" s="166"/>
      <c r="V101" s="166"/>
      <c r="W101" s="166"/>
      <c r="X101" s="166"/>
      <c r="Y101" s="166"/>
      <c r="Z101" s="166"/>
      <c r="AA101" s="166"/>
      <c r="AB101" s="166"/>
      <c r="AC101" s="166"/>
      <c r="AD101" s="166"/>
      <c r="AE101" s="166"/>
      <c r="AF101" s="166"/>
      <c r="AG101" s="166"/>
      <c r="AH101" s="166"/>
      <c r="AI101" s="166"/>
      <c r="AJ101" s="166"/>
      <c r="AK101" s="166"/>
      <c r="AL101" s="166"/>
      <c r="AM101" s="166"/>
      <c r="AN101" s="166"/>
      <c r="AO101" s="166"/>
      <c r="AP101" s="166"/>
      <c r="AQ101" s="166"/>
      <c r="AR101" s="166"/>
      <c r="AS101" s="166"/>
      <c r="AT101" s="166"/>
      <c r="AU101" s="166"/>
      <c r="AV101" s="166"/>
      <c r="AW101" s="166"/>
      <c r="AX101" s="166"/>
      <c r="AY101" s="166"/>
      <c r="AZ101" s="166"/>
      <c r="BA101" s="166"/>
      <c r="BB101" s="166"/>
      <c r="BC101" s="166"/>
      <c r="BD101" s="166"/>
      <c r="BE101" s="166"/>
      <c r="BF101" s="166"/>
      <c r="BG101" s="166"/>
      <c r="BH101" s="166"/>
      <c r="BI101" s="166"/>
      <c r="BJ101" s="166"/>
      <c r="BK101" s="166"/>
      <c r="BL101" s="166"/>
      <c r="BM101" s="166"/>
      <c r="BN101" s="166"/>
      <c r="BO101" s="166"/>
      <c r="BP101" s="166"/>
      <c r="BQ101" s="166"/>
      <c r="BR101" s="166"/>
      <c r="BS101" s="166"/>
      <c r="BT101" s="166"/>
      <c r="BU101" s="166"/>
      <c r="BV101" s="166"/>
      <c r="BW101" s="166"/>
      <c r="BX101" s="166"/>
      <c r="BY101" s="166"/>
      <c r="BZ101" s="166"/>
      <c r="CA101" s="166"/>
      <c r="CB101" s="166"/>
      <c r="CC101" s="166"/>
      <c r="CD101" s="166"/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66"/>
      <c r="CR101" s="166"/>
      <c r="CS101" s="160"/>
      <c r="CT101" s="85" t="s">
        <v>54</v>
      </c>
    </row>
    <row r="102" spans="1:98" hidden="1" x14ac:dyDescent="0.25">
      <c r="A102" s="97">
        <v>0</v>
      </c>
      <c r="B102" s="31">
        <f t="shared" si="30"/>
        <v>2002</v>
      </c>
      <c r="C102" s="101"/>
      <c r="D102" s="166"/>
      <c r="E102" s="166"/>
      <c r="F102" s="166"/>
      <c r="G102" s="166"/>
      <c r="H102" s="166"/>
      <c r="I102" s="166"/>
      <c r="J102" s="166"/>
      <c r="K102" s="166"/>
      <c r="L102" s="166"/>
      <c r="M102" s="166"/>
      <c r="N102" s="166"/>
      <c r="O102" s="166"/>
      <c r="P102" s="166"/>
      <c r="Q102" s="166"/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166"/>
      <c r="AO102" s="166"/>
      <c r="AP102" s="166"/>
      <c r="AQ102" s="166"/>
      <c r="AR102" s="166"/>
      <c r="AS102" s="166"/>
      <c r="AT102" s="166"/>
      <c r="AU102" s="166"/>
      <c r="AV102" s="166"/>
      <c r="AW102" s="166"/>
      <c r="AX102" s="166"/>
      <c r="AY102" s="166"/>
      <c r="AZ102" s="166"/>
      <c r="BA102" s="166"/>
      <c r="BB102" s="166"/>
      <c r="BC102" s="166"/>
      <c r="BD102" s="166"/>
      <c r="BE102" s="166"/>
      <c r="BF102" s="166"/>
      <c r="BG102" s="166"/>
      <c r="BH102" s="166"/>
      <c r="BI102" s="166"/>
      <c r="BJ102" s="166"/>
      <c r="BK102" s="166"/>
      <c r="BL102" s="166"/>
      <c r="BM102" s="166"/>
      <c r="BN102" s="166"/>
      <c r="BO102" s="166"/>
      <c r="BP102" s="166"/>
      <c r="BQ102" s="166"/>
      <c r="BR102" s="166"/>
      <c r="BS102" s="166"/>
      <c r="BT102" s="166"/>
      <c r="BU102" s="166"/>
      <c r="BV102" s="166"/>
      <c r="BW102" s="166"/>
      <c r="BX102" s="166"/>
      <c r="BY102" s="166"/>
      <c r="BZ102" s="166"/>
      <c r="CA102" s="166"/>
      <c r="CB102" s="166"/>
      <c r="CC102" s="166"/>
      <c r="CD102" s="166"/>
      <c r="CE102" s="166"/>
      <c r="CF102" s="166"/>
      <c r="CG102" s="166"/>
      <c r="CH102" s="166"/>
      <c r="CI102" s="166"/>
      <c r="CJ102" s="166"/>
      <c r="CK102" s="166"/>
      <c r="CL102" s="166"/>
      <c r="CM102" s="166"/>
      <c r="CN102" s="166"/>
      <c r="CO102" s="166"/>
      <c r="CP102" s="166"/>
      <c r="CQ102" s="166"/>
      <c r="CR102" s="166"/>
      <c r="CS102" s="160"/>
      <c r="CT102" s="85" t="s">
        <v>54</v>
      </c>
    </row>
    <row r="103" spans="1:98" hidden="1" x14ac:dyDescent="0.25">
      <c r="A103" s="97">
        <v>0</v>
      </c>
      <c r="B103" s="31">
        <f t="shared" si="30"/>
        <v>2003</v>
      </c>
      <c r="C103" s="101"/>
      <c r="D103" s="166"/>
      <c r="E103" s="166"/>
      <c r="F103" s="166"/>
      <c r="G103" s="166"/>
      <c r="H103" s="166"/>
      <c r="I103" s="166"/>
      <c r="J103" s="166"/>
      <c r="K103" s="166"/>
      <c r="L103" s="166"/>
      <c r="M103" s="166"/>
      <c r="N103" s="166"/>
      <c r="O103" s="166"/>
      <c r="P103" s="166"/>
      <c r="Q103" s="166"/>
      <c r="R103" s="166"/>
      <c r="S103" s="166"/>
      <c r="T103" s="166"/>
      <c r="U103" s="166"/>
      <c r="V103" s="166"/>
      <c r="W103" s="166"/>
      <c r="X103" s="166"/>
      <c r="Y103" s="166"/>
      <c r="Z103" s="166"/>
      <c r="AA103" s="166"/>
      <c r="AB103" s="166"/>
      <c r="AC103" s="166"/>
      <c r="AD103" s="166"/>
      <c r="AE103" s="166"/>
      <c r="AF103" s="166"/>
      <c r="AG103" s="166"/>
      <c r="AH103" s="166"/>
      <c r="AI103" s="166"/>
      <c r="AJ103" s="166"/>
      <c r="AK103" s="166"/>
      <c r="AL103" s="166"/>
      <c r="AM103" s="166"/>
      <c r="AN103" s="166"/>
      <c r="AO103" s="166"/>
      <c r="AP103" s="166"/>
      <c r="AQ103" s="166"/>
      <c r="AR103" s="166"/>
      <c r="AS103" s="166"/>
      <c r="AT103" s="166"/>
      <c r="AU103" s="166"/>
      <c r="AV103" s="166"/>
      <c r="AW103" s="166"/>
      <c r="AX103" s="166"/>
      <c r="AY103" s="166"/>
      <c r="AZ103" s="166"/>
      <c r="BA103" s="166"/>
      <c r="BB103" s="166"/>
      <c r="BC103" s="166"/>
      <c r="BD103" s="166"/>
      <c r="BE103" s="166"/>
      <c r="BF103" s="166"/>
      <c r="BG103" s="166"/>
      <c r="BH103" s="166"/>
      <c r="BI103" s="166"/>
      <c r="BJ103" s="166"/>
      <c r="BK103" s="166"/>
      <c r="BL103" s="166"/>
      <c r="BM103" s="166"/>
      <c r="BN103" s="166"/>
      <c r="BO103" s="166"/>
      <c r="BP103" s="166"/>
      <c r="BQ103" s="166"/>
      <c r="BR103" s="166"/>
      <c r="BS103" s="166"/>
      <c r="BT103" s="166"/>
      <c r="BU103" s="166"/>
      <c r="BV103" s="166"/>
      <c r="BW103" s="166"/>
      <c r="BX103" s="166"/>
      <c r="BY103" s="166"/>
      <c r="BZ103" s="166"/>
      <c r="CA103" s="166"/>
      <c r="CB103" s="166"/>
      <c r="CC103" s="166"/>
      <c r="CD103" s="166"/>
      <c r="CE103" s="166"/>
      <c r="CF103" s="166"/>
      <c r="CG103" s="166"/>
      <c r="CH103" s="166"/>
      <c r="CI103" s="166"/>
      <c r="CJ103" s="166"/>
      <c r="CK103" s="166"/>
      <c r="CL103" s="166"/>
      <c r="CM103" s="166"/>
      <c r="CN103" s="166"/>
      <c r="CO103" s="166"/>
      <c r="CP103" s="166"/>
      <c r="CQ103" s="166"/>
      <c r="CR103" s="166"/>
      <c r="CS103" s="160"/>
      <c r="CT103" s="85" t="s">
        <v>54</v>
      </c>
    </row>
    <row r="104" spans="1:98" hidden="1" x14ac:dyDescent="0.25">
      <c r="A104" s="97">
        <v>0</v>
      </c>
      <c r="B104" s="31">
        <f t="shared" si="30"/>
        <v>2004</v>
      </c>
      <c r="C104" s="101"/>
      <c r="D104" s="166"/>
      <c r="E104" s="166"/>
      <c r="F104" s="166"/>
      <c r="G104" s="166"/>
      <c r="H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66"/>
      <c r="Y104" s="166"/>
      <c r="Z104" s="166"/>
      <c r="AA104" s="166"/>
      <c r="AB104" s="16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  <c r="AN104" s="166"/>
      <c r="AO104" s="166"/>
      <c r="AP104" s="166"/>
      <c r="AQ104" s="166"/>
      <c r="AR104" s="166"/>
      <c r="AS104" s="166"/>
      <c r="AT104" s="166"/>
      <c r="AU104" s="166"/>
      <c r="AV104" s="166"/>
      <c r="AW104" s="166"/>
      <c r="AX104" s="166"/>
      <c r="AY104" s="166"/>
      <c r="AZ104" s="166"/>
      <c r="BA104" s="166"/>
      <c r="BB104" s="166"/>
      <c r="BC104" s="166"/>
      <c r="BD104" s="166"/>
      <c r="BE104" s="166"/>
      <c r="BF104" s="166"/>
      <c r="BG104" s="166"/>
      <c r="BH104" s="166"/>
      <c r="BI104" s="166"/>
      <c r="BJ104" s="166"/>
      <c r="BK104" s="166"/>
      <c r="BL104" s="166"/>
      <c r="BM104" s="166"/>
      <c r="BN104" s="166"/>
      <c r="BO104" s="166"/>
      <c r="BP104" s="166"/>
      <c r="BQ104" s="166"/>
      <c r="BR104" s="166"/>
      <c r="BS104" s="166"/>
      <c r="BT104" s="166"/>
      <c r="BU104" s="166"/>
      <c r="BV104" s="166"/>
      <c r="BW104" s="166"/>
      <c r="BX104" s="166"/>
      <c r="BY104" s="166"/>
      <c r="BZ104" s="166"/>
      <c r="CA104" s="166"/>
      <c r="CB104" s="166"/>
      <c r="CC104" s="166"/>
      <c r="CD104" s="166"/>
      <c r="CE104" s="166"/>
      <c r="CF104" s="166"/>
      <c r="CG104" s="166"/>
      <c r="CH104" s="166"/>
      <c r="CI104" s="166"/>
      <c r="CJ104" s="166"/>
      <c r="CK104" s="166"/>
      <c r="CL104" s="166"/>
      <c r="CM104" s="166"/>
      <c r="CN104" s="166"/>
      <c r="CO104" s="166"/>
      <c r="CP104" s="166"/>
      <c r="CQ104" s="166"/>
      <c r="CR104" s="166"/>
      <c r="CS104" s="160"/>
      <c r="CT104" s="85" t="s">
        <v>54</v>
      </c>
    </row>
    <row r="105" spans="1:98" hidden="1" x14ac:dyDescent="0.25">
      <c r="A105" s="97">
        <v>0</v>
      </c>
      <c r="B105" s="31">
        <f t="shared" si="30"/>
        <v>2005</v>
      </c>
      <c r="C105" s="101"/>
      <c r="D105" s="166"/>
      <c r="E105" s="166"/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66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0"/>
      <c r="CT105" s="85" t="s">
        <v>54</v>
      </c>
    </row>
    <row r="106" spans="1:98" hidden="1" x14ac:dyDescent="0.25">
      <c r="A106" s="97">
        <v>0</v>
      </c>
      <c r="B106" s="31">
        <f t="shared" si="30"/>
        <v>2006</v>
      </c>
      <c r="C106" s="101"/>
      <c r="D106" s="166"/>
      <c r="E106" s="166"/>
      <c r="F106" s="166"/>
      <c r="G106" s="166"/>
      <c r="H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66"/>
      <c r="Y106" s="166"/>
      <c r="Z106" s="166"/>
      <c r="AA106" s="166"/>
      <c r="AB106" s="16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  <c r="AN106" s="166"/>
      <c r="AO106" s="166"/>
      <c r="AP106" s="166"/>
      <c r="AQ106" s="166"/>
      <c r="AR106" s="166"/>
      <c r="AS106" s="166"/>
      <c r="AT106" s="166"/>
      <c r="AU106" s="166"/>
      <c r="AV106" s="166"/>
      <c r="AW106" s="166"/>
      <c r="AX106" s="166"/>
      <c r="AY106" s="166"/>
      <c r="AZ106" s="166"/>
      <c r="BA106" s="166"/>
      <c r="BB106" s="166"/>
      <c r="BC106" s="166"/>
      <c r="BD106" s="166"/>
      <c r="BE106" s="166"/>
      <c r="BF106" s="166"/>
      <c r="BG106" s="166"/>
      <c r="BH106" s="166"/>
      <c r="BI106" s="166"/>
      <c r="BJ106" s="166"/>
      <c r="BK106" s="166"/>
      <c r="BL106" s="166"/>
      <c r="BM106" s="166"/>
      <c r="BN106" s="166"/>
      <c r="BO106" s="166"/>
      <c r="BP106" s="166"/>
      <c r="BQ106" s="166"/>
      <c r="BR106" s="166"/>
      <c r="BS106" s="166"/>
      <c r="BT106" s="166"/>
      <c r="BU106" s="166"/>
      <c r="BV106" s="166"/>
      <c r="BW106" s="166"/>
      <c r="BX106" s="166"/>
      <c r="BY106" s="166"/>
      <c r="BZ106" s="166"/>
      <c r="CA106" s="166"/>
      <c r="CB106" s="166"/>
      <c r="CC106" s="166"/>
      <c r="CD106" s="166"/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66"/>
      <c r="CR106" s="166"/>
      <c r="CS106" s="160"/>
      <c r="CT106" s="85" t="s">
        <v>54</v>
      </c>
    </row>
    <row r="107" spans="1:98" hidden="1" x14ac:dyDescent="0.25">
      <c r="A107" s="97">
        <v>0</v>
      </c>
      <c r="B107" s="31">
        <f t="shared" si="30"/>
        <v>2007</v>
      </c>
      <c r="C107" s="101"/>
      <c r="D107" s="166"/>
      <c r="E107" s="166"/>
      <c r="F107" s="166"/>
      <c r="G107" s="166"/>
      <c r="H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66"/>
      <c r="Y107" s="166"/>
      <c r="Z107" s="166"/>
      <c r="AA107" s="166"/>
      <c r="AB107" s="16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  <c r="AN107" s="166"/>
      <c r="AO107" s="166"/>
      <c r="AP107" s="166"/>
      <c r="AQ107" s="166"/>
      <c r="AR107" s="166"/>
      <c r="AS107" s="166"/>
      <c r="AT107" s="166"/>
      <c r="AU107" s="166"/>
      <c r="AV107" s="166"/>
      <c r="AW107" s="166"/>
      <c r="AX107" s="166"/>
      <c r="AY107" s="166"/>
      <c r="AZ107" s="166"/>
      <c r="BA107" s="166"/>
      <c r="BB107" s="166"/>
      <c r="BC107" s="166"/>
      <c r="BD107" s="166"/>
      <c r="BE107" s="166"/>
      <c r="BF107" s="166"/>
      <c r="BG107" s="166"/>
      <c r="BH107" s="166"/>
      <c r="BI107" s="166"/>
      <c r="BJ107" s="166"/>
      <c r="BK107" s="166"/>
      <c r="BL107" s="166"/>
      <c r="BM107" s="166"/>
      <c r="BN107" s="166"/>
      <c r="BO107" s="166"/>
      <c r="BP107" s="166"/>
      <c r="BQ107" s="166"/>
      <c r="BR107" s="166"/>
      <c r="BS107" s="166"/>
      <c r="BT107" s="166"/>
      <c r="BU107" s="166"/>
      <c r="BV107" s="166"/>
      <c r="BW107" s="166"/>
      <c r="BX107" s="166"/>
      <c r="BY107" s="166"/>
      <c r="BZ107" s="166"/>
      <c r="CA107" s="166"/>
      <c r="CB107" s="166"/>
      <c r="CC107" s="166"/>
      <c r="CD107" s="166"/>
      <c r="CE107" s="166"/>
      <c r="CF107" s="166"/>
      <c r="CG107" s="166"/>
      <c r="CH107" s="166"/>
      <c r="CI107" s="166"/>
      <c r="CJ107" s="166"/>
      <c r="CK107" s="166"/>
      <c r="CL107" s="166"/>
      <c r="CM107" s="166"/>
      <c r="CN107" s="166"/>
      <c r="CO107" s="166"/>
      <c r="CP107" s="166"/>
      <c r="CQ107" s="166"/>
      <c r="CR107" s="166"/>
      <c r="CS107" s="160"/>
      <c r="CT107" s="85" t="s">
        <v>54</v>
      </c>
    </row>
    <row r="108" spans="1:98" hidden="1" x14ac:dyDescent="0.25">
      <c r="A108" s="97">
        <v>0</v>
      </c>
      <c r="B108" s="31">
        <f t="shared" si="30"/>
        <v>2008</v>
      </c>
      <c r="C108" s="101"/>
      <c r="D108" s="166"/>
      <c r="E108" s="166"/>
      <c r="F108" s="166"/>
      <c r="G108" s="166"/>
      <c r="H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66"/>
      <c r="Y108" s="166"/>
      <c r="Z108" s="166"/>
      <c r="AA108" s="166"/>
      <c r="AB108" s="16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  <c r="AN108" s="166"/>
      <c r="AO108" s="166"/>
      <c r="AP108" s="166"/>
      <c r="AQ108" s="166"/>
      <c r="AR108" s="166"/>
      <c r="AS108" s="166"/>
      <c r="AT108" s="166"/>
      <c r="AU108" s="166"/>
      <c r="AV108" s="166"/>
      <c r="AW108" s="166"/>
      <c r="AX108" s="166"/>
      <c r="AY108" s="166"/>
      <c r="AZ108" s="166"/>
      <c r="BA108" s="166"/>
      <c r="BB108" s="166"/>
      <c r="BC108" s="166"/>
      <c r="BD108" s="166"/>
      <c r="BE108" s="166"/>
      <c r="BF108" s="166"/>
      <c r="BG108" s="166"/>
      <c r="BH108" s="166"/>
      <c r="BI108" s="166"/>
      <c r="BJ108" s="166"/>
      <c r="BK108" s="166"/>
      <c r="BL108" s="166"/>
      <c r="BM108" s="166"/>
      <c r="BN108" s="166"/>
      <c r="BO108" s="166"/>
      <c r="BP108" s="166"/>
      <c r="BQ108" s="166"/>
      <c r="BR108" s="166"/>
      <c r="BS108" s="166"/>
      <c r="BT108" s="166"/>
      <c r="BU108" s="166"/>
      <c r="BV108" s="166"/>
      <c r="BW108" s="166"/>
      <c r="BX108" s="166"/>
      <c r="BY108" s="166"/>
      <c r="BZ108" s="166"/>
      <c r="CA108" s="166"/>
      <c r="CB108" s="166"/>
      <c r="CC108" s="166"/>
      <c r="CD108" s="166"/>
      <c r="CE108" s="166"/>
      <c r="CF108" s="166"/>
      <c r="CG108" s="166"/>
      <c r="CH108" s="166"/>
      <c r="CI108" s="166"/>
      <c r="CJ108" s="166"/>
      <c r="CK108" s="166"/>
      <c r="CL108" s="166"/>
      <c r="CM108" s="166"/>
      <c r="CN108" s="166"/>
      <c r="CO108" s="166"/>
      <c r="CP108" s="166"/>
      <c r="CQ108" s="166"/>
      <c r="CR108" s="166"/>
      <c r="CS108" s="160"/>
      <c r="CT108" s="85" t="s">
        <v>54</v>
      </c>
    </row>
    <row r="109" spans="1:98" hidden="1" x14ac:dyDescent="0.25">
      <c r="A109" s="97">
        <v>0</v>
      </c>
      <c r="B109" s="31">
        <f t="shared" si="30"/>
        <v>2009</v>
      </c>
      <c r="C109" s="101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0"/>
      <c r="CT109" s="85" t="s">
        <v>54</v>
      </c>
    </row>
    <row r="110" spans="1:98" hidden="1" x14ac:dyDescent="0.25">
      <c r="A110" s="97">
        <v>0</v>
      </c>
      <c r="B110" s="31">
        <f t="shared" si="30"/>
        <v>2010</v>
      </c>
      <c r="C110" s="101"/>
      <c r="D110" s="166"/>
      <c r="E110" s="166"/>
      <c r="F110" s="166"/>
      <c r="G110" s="166"/>
      <c r="H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66"/>
      <c r="Y110" s="166"/>
      <c r="Z110" s="166"/>
      <c r="AA110" s="166"/>
      <c r="AB110" s="16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  <c r="AN110" s="166"/>
      <c r="AO110" s="166"/>
      <c r="AP110" s="166"/>
      <c r="AQ110" s="166"/>
      <c r="AR110" s="166"/>
      <c r="AS110" s="166"/>
      <c r="AT110" s="166"/>
      <c r="AU110" s="166"/>
      <c r="AV110" s="166"/>
      <c r="AW110" s="166"/>
      <c r="AX110" s="166"/>
      <c r="AY110" s="166"/>
      <c r="AZ110" s="166"/>
      <c r="BA110" s="166"/>
      <c r="BB110" s="166"/>
      <c r="BC110" s="166"/>
      <c r="BD110" s="166"/>
      <c r="BE110" s="166"/>
      <c r="BF110" s="166"/>
      <c r="BG110" s="166"/>
      <c r="BH110" s="166"/>
      <c r="BI110" s="166"/>
      <c r="BJ110" s="166"/>
      <c r="BK110" s="166"/>
      <c r="BL110" s="166"/>
      <c r="BM110" s="166"/>
      <c r="BN110" s="166"/>
      <c r="BO110" s="166"/>
      <c r="BP110" s="166"/>
      <c r="BQ110" s="166"/>
      <c r="BR110" s="166"/>
      <c r="BS110" s="166"/>
      <c r="BT110" s="166"/>
      <c r="BU110" s="166"/>
      <c r="BV110" s="166"/>
      <c r="BW110" s="166"/>
      <c r="BX110" s="166"/>
      <c r="BY110" s="166"/>
      <c r="BZ110" s="166"/>
      <c r="CA110" s="166"/>
      <c r="CB110" s="166"/>
      <c r="CC110" s="166"/>
      <c r="CD110" s="166"/>
      <c r="CE110" s="166"/>
      <c r="CF110" s="166"/>
      <c r="CG110" s="166"/>
      <c r="CH110" s="166"/>
      <c r="CI110" s="166"/>
      <c r="CJ110" s="166"/>
      <c r="CK110" s="166"/>
      <c r="CL110" s="166"/>
      <c r="CM110" s="166"/>
      <c r="CN110" s="166"/>
      <c r="CO110" s="166"/>
      <c r="CP110" s="166"/>
      <c r="CQ110" s="166"/>
      <c r="CR110" s="166"/>
      <c r="CS110" s="160"/>
      <c r="CT110" s="85" t="s">
        <v>54</v>
      </c>
    </row>
    <row r="111" spans="1:98" hidden="1" x14ac:dyDescent="0.25">
      <c r="A111" s="97">
        <v>0</v>
      </c>
      <c r="B111" s="31">
        <f t="shared" si="30"/>
        <v>2011</v>
      </c>
      <c r="C111" s="101"/>
      <c r="D111" s="166"/>
      <c r="E111" s="166"/>
      <c r="F111" s="166"/>
      <c r="G111" s="166"/>
      <c r="H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66"/>
      <c r="Y111" s="166"/>
      <c r="Z111" s="166"/>
      <c r="AA111" s="166"/>
      <c r="AB111" s="16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  <c r="AN111" s="166"/>
      <c r="AO111" s="166"/>
      <c r="AP111" s="166"/>
      <c r="AQ111" s="166"/>
      <c r="AR111" s="166"/>
      <c r="AS111" s="166"/>
      <c r="AT111" s="166"/>
      <c r="AU111" s="166"/>
      <c r="AV111" s="166"/>
      <c r="AW111" s="166"/>
      <c r="AX111" s="166"/>
      <c r="AY111" s="166"/>
      <c r="AZ111" s="166"/>
      <c r="BA111" s="166"/>
      <c r="BB111" s="166"/>
      <c r="BC111" s="166"/>
      <c r="BD111" s="166"/>
      <c r="BE111" s="166"/>
      <c r="BF111" s="166"/>
      <c r="BG111" s="166"/>
      <c r="BH111" s="166"/>
      <c r="BI111" s="166"/>
      <c r="BJ111" s="166"/>
      <c r="BK111" s="166"/>
      <c r="BL111" s="166"/>
      <c r="BM111" s="166"/>
      <c r="BN111" s="166"/>
      <c r="BO111" s="166"/>
      <c r="BP111" s="166"/>
      <c r="BQ111" s="166"/>
      <c r="BR111" s="166"/>
      <c r="BS111" s="166"/>
      <c r="BT111" s="166"/>
      <c r="BU111" s="166"/>
      <c r="BV111" s="166"/>
      <c r="BW111" s="166"/>
      <c r="BX111" s="166"/>
      <c r="BY111" s="166"/>
      <c r="BZ111" s="166"/>
      <c r="CA111" s="166"/>
      <c r="CB111" s="166"/>
      <c r="CC111" s="166"/>
      <c r="CD111" s="166"/>
      <c r="CE111" s="166"/>
      <c r="CF111" s="166"/>
      <c r="CG111" s="166"/>
      <c r="CH111" s="166"/>
      <c r="CI111" s="166"/>
      <c r="CJ111" s="166"/>
      <c r="CK111" s="166"/>
      <c r="CL111" s="166"/>
      <c r="CM111" s="166"/>
      <c r="CN111" s="166"/>
      <c r="CO111" s="166"/>
      <c r="CP111" s="166"/>
      <c r="CQ111" s="166"/>
      <c r="CR111" s="166"/>
      <c r="CS111" s="160"/>
      <c r="CT111" s="85" t="s">
        <v>54</v>
      </c>
    </row>
    <row r="112" spans="1:98" hidden="1" x14ac:dyDescent="0.25">
      <c r="A112" s="97">
        <v>0</v>
      </c>
      <c r="B112" s="31">
        <f t="shared" si="30"/>
        <v>2012</v>
      </c>
      <c r="C112" s="101"/>
      <c r="D112" s="166"/>
      <c r="E112" s="166"/>
      <c r="F112" s="166"/>
      <c r="G112" s="166"/>
      <c r="H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66"/>
      <c r="Y112" s="166"/>
      <c r="Z112" s="166"/>
      <c r="AA112" s="166"/>
      <c r="AB112" s="16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  <c r="AN112" s="166"/>
      <c r="AO112" s="166"/>
      <c r="AP112" s="166"/>
      <c r="AQ112" s="166"/>
      <c r="AR112" s="166"/>
      <c r="AS112" s="166"/>
      <c r="AT112" s="166"/>
      <c r="AU112" s="166"/>
      <c r="AV112" s="166"/>
      <c r="AW112" s="166"/>
      <c r="AX112" s="166"/>
      <c r="AY112" s="166"/>
      <c r="AZ112" s="166"/>
      <c r="BA112" s="166"/>
      <c r="BB112" s="166"/>
      <c r="BC112" s="166"/>
      <c r="BD112" s="166"/>
      <c r="BE112" s="166"/>
      <c r="BF112" s="166"/>
      <c r="BG112" s="166"/>
      <c r="BH112" s="166"/>
      <c r="BI112" s="166"/>
      <c r="BJ112" s="166"/>
      <c r="BK112" s="166"/>
      <c r="BL112" s="166"/>
      <c r="BM112" s="166"/>
      <c r="BN112" s="166"/>
      <c r="BO112" s="166"/>
      <c r="BP112" s="166"/>
      <c r="BQ112" s="166"/>
      <c r="BR112" s="166"/>
      <c r="BS112" s="166"/>
      <c r="BT112" s="166"/>
      <c r="BU112" s="166"/>
      <c r="BV112" s="166"/>
      <c r="BW112" s="166"/>
      <c r="BX112" s="166"/>
      <c r="BY112" s="166"/>
      <c r="BZ112" s="166"/>
      <c r="CA112" s="166"/>
      <c r="CB112" s="166"/>
      <c r="CC112" s="166"/>
      <c r="CD112" s="166"/>
      <c r="CE112" s="166"/>
      <c r="CF112" s="166"/>
      <c r="CG112" s="166"/>
      <c r="CH112" s="166"/>
      <c r="CI112" s="166"/>
      <c r="CJ112" s="166"/>
      <c r="CK112" s="166"/>
      <c r="CL112" s="166"/>
      <c r="CM112" s="166"/>
      <c r="CN112" s="166"/>
      <c r="CO112" s="166"/>
      <c r="CP112" s="166"/>
      <c r="CQ112" s="166"/>
      <c r="CR112" s="166"/>
      <c r="CS112" s="160"/>
      <c r="CT112" s="85" t="s">
        <v>54</v>
      </c>
    </row>
    <row r="113" spans="1:98" hidden="1" x14ac:dyDescent="0.25">
      <c r="A113" s="97">
        <v>0</v>
      </c>
      <c r="B113" s="31">
        <f t="shared" si="30"/>
        <v>2013</v>
      </c>
      <c r="C113" s="101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59"/>
      <c r="AU113" s="159"/>
      <c r="AV113" s="159"/>
      <c r="AW113" s="159"/>
      <c r="AX113" s="159"/>
      <c r="AY113" s="159"/>
      <c r="AZ113" s="159"/>
      <c r="BA113" s="159"/>
      <c r="BB113" s="159"/>
      <c r="BC113" s="159"/>
      <c r="BD113" s="159"/>
      <c r="BE113" s="159"/>
      <c r="BF113" s="159"/>
      <c r="BG113" s="159"/>
      <c r="BH113" s="159"/>
      <c r="BI113" s="159"/>
      <c r="BJ113" s="159"/>
      <c r="BK113" s="159"/>
      <c r="BL113" s="159"/>
      <c r="BM113" s="159"/>
      <c r="BN113" s="159"/>
      <c r="BO113" s="159"/>
      <c r="BP113" s="159"/>
      <c r="BQ113" s="159"/>
      <c r="BR113" s="159"/>
      <c r="BS113" s="159"/>
      <c r="BT113" s="159"/>
      <c r="BU113" s="159"/>
      <c r="BV113" s="159"/>
      <c r="BW113" s="159"/>
      <c r="BX113" s="159"/>
      <c r="BY113" s="159"/>
      <c r="BZ113" s="159"/>
      <c r="CA113" s="159"/>
      <c r="CB113" s="159"/>
      <c r="CC113" s="159"/>
      <c r="CD113" s="159"/>
      <c r="CE113" s="159"/>
      <c r="CF113" s="159"/>
      <c r="CG113" s="159"/>
      <c r="CH113" s="159"/>
      <c r="CI113" s="159"/>
      <c r="CJ113" s="159"/>
      <c r="CK113" s="159"/>
      <c r="CL113" s="159"/>
      <c r="CM113" s="159"/>
      <c r="CN113" s="159"/>
      <c r="CO113" s="159"/>
      <c r="CP113" s="159"/>
      <c r="CQ113" s="159"/>
      <c r="CR113" s="159"/>
      <c r="CS113" s="167"/>
      <c r="CT113" s="11" t="s">
        <v>54</v>
      </c>
    </row>
    <row r="114" spans="1:98" hidden="1" x14ac:dyDescent="0.25">
      <c r="A114" s="97">
        <v>0</v>
      </c>
      <c r="B114" s="31">
        <f t="shared" si="30"/>
        <v>2014</v>
      </c>
      <c r="C114" s="101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9"/>
      <c r="AR114" s="159"/>
      <c r="AS114" s="159"/>
      <c r="AT114" s="159"/>
      <c r="AU114" s="159"/>
      <c r="AV114" s="159"/>
      <c r="AW114" s="159"/>
      <c r="AX114" s="159"/>
      <c r="AY114" s="159"/>
      <c r="AZ114" s="159"/>
      <c r="BA114" s="159"/>
      <c r="BB114" s="159"/>
      <c r="BC114" s="159"/>
      <c r="BD114" s="159"/>
      <c r="BE114" s="159"/>
      <c r="BF114" s="159"/>
      <c r="BG114" s="159"/>
      <c r="BH114" s="159"/>
      <c r="BI114" s="159"/>
      <c r="BJ114" s="159"/>
      <c r="BK114" s="159"/>
      <c r="BL114" s="159"/>
      <c r="BM114" s="159"/>
      <c r="BN114" s="159"/>
      <c r="BO114" s="159"/>
      <c r="BP114" s="159"/>
      <c r="BQ114" s="159"/>
      <c r="BR114" s="159"/>
      <c r="BS114" s="159"/>
      <c r="BT114" s="159"/>
      <c r="BU114" s="159"/>
      <c r="BV114" s="159"/>
      <c r="BW114" s="159"/>
      <c r="BX114" s="159"/>
      <c r="BY114" s="159"/>
      <c r="BZ114" s="159"/>
      <c r="CA114" s="159"/>
      <c r="CB114" s="159"/>
      <c r="CC114" s="159"/>
      <c r="CD114" s="159"/>
      <c r="CE114" s="159"/>
      <c r="CF114" s="159"/>
      <c r="CG114" s="159"/>
      <c r="CH114" s="159"/>
      <c r="CI114" s="159"/>
      <c r="CJ114" s="159"/>
      <c r="CK114" s="159"/>
      <c r="CL114" s="159"/>
      <c r="CM114" s="159"/>
      <c r="CN114" s="159"/>
      <c r="CO114" s="159"/>
      <c r="CP114" s="159"/>
      <c r="CQ114" s="159"/>
      <c r="CR114" s="159"/>
      <c r="CS114" s="167"/>
      <c r="CT114" s="11" t="s">
        <v>54</v>
      </c>
    </row>
    <row r="115" spans="1:98" hidden="1" x14ac:dyDescent="0.25">
      <c r="A115" s="97">
        <v>0</v>
      </c>
      <c r="B115" s="31">
        <f t="shared" si="30"/>
        <v>2015</v>
      </c>
      <c r="C115" s="101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  <c r="AI115" s="159"/>
      <c r="AJ115" s="159"/>
      <c r="AK115" s="159"/>
      <c r="AL115" s="159"/>
      <c r="AM115" s="159"/>
      <c r="AN115" s="159"/>
      <c r="AO115" s="159"/>
      <c r="AP115" s="159"/>
      <c r="AQ115" s="159"/>
      <c r="AR115" s="159"/>
      <c r="AS115" s="159"/>
      <c r="AT115" s="159"/>
      <c r="AU115" s="159"/>
      <c r="AV115" s="159"/>
      <c r="AW115" s="159"/>
      <c r="AX115" s="159"/>
      <c r="AY115" s="159"/>
      <c r="AZ115" s="159"/>
      <c r="BA115" s="159"/>
      <c r="BB115" s="159"/>
      <c r="BC115" s="159"/>
      <c r="BD115" s="159"/>
      <c r="BE115" s="159"/>
      <c r="BF115" s="159"/>
      <c r="BG115" s="159"/>
      <c r="BH115" s="159"/>
      <c r="BI115" s="159"/>
      <c r="BJ115" s="159"/>
      <c r="BK115" s="159"/>
      <c r="BL115" s="159"/>
      <c r="BM115" s="159"/>
      <c r="BN115" s="159"/>
      <c r="BO115" s="159"/>
      <c r="BP115" s="159"/>
      <c r="BQ115" s="159"/>
      <c r="BR115" s="159"/>
      <c r="BS115" s="159"/>
      <c r="BT115" s="159"/>
      <c r="BU115" s="159"/>
      <c r="BV115" s="159"/>
      <c r="BW115" s="159"/>
      <c r="BX115" s="159"/>
      <c r="BY115" s="159"/>
      <c r="BZ115" s="159"/>
      <c r="CA115" s="159"/>
      <c r="CB115" s="159"/>
      <c r="CC115" s="159"/>
      <c r="CD115" s="159"/>
      <c r="CE115" s="159"/>
      <c r="CF115" s="159"/>
      <c r="CG115" s="159"/>
      <c r="CH115" s="159"/>
      <c r="CI115" s="159"/>
      <c r="CJ115" s="159"/>
      <c r="CK115" s="159"/>
      <c r="CL115" s="159"/>
      <c r="CM115" s="159"/>
      <c r="CN115" s="159"/>
      <c r="CO115" s="159"/>
      <c r="CP115" s="159"/>
      <c r="CQ115" s="159"/>
      <c r="CR115" s="159"/>
      <c r="CS115" s="167"/>
      <c r="CT115" s="11" t="s">
        <v>54</v>
      </c>
    </row>
    <row r="116" spans="1:98" hidden="1" x14ac:dyDescent="0.25">
      <c r="A116" s="97">
        <v>0</v>
      </c>
      <c r="B116" s="31">
        <f t="shared" si="30"/>
        <v>2016</v>
      </c>
      <c r="C116" s="101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9"/>
      <c r="AR116" s="159"/>
      <c r="AS116" s="159"/>
      <c r="AT116" s="159"/>
      <c r="AU116" s="159"/>
      <c r="AV116" s="159"/>
      <c r="AW116" s="159"/>
      <c r="AX116" s="159"/>
      <c r="AY116" s="159"/>
      <c r="AZ116" s="159"/>
      <c r="BA116" s="159"/>
      <c r="BB116" s="159"/>
      <c r="BC116" s="159"/>
      <c r="BD116" s="159"/>
      <c r="BE116" s="159"/>
      <c r="BF116" s="159"/>
      <c r="BG116" s="159"/>
      <c r="BH116" s="159"/>
      <c r="BI116" s="159"/>
      <c r="BJ116" s="159"/>
      <c r="BK116" s="159"/>
      <c r="BL116" s="159"/>
      <c r="BM116" s="159"/>
      <c r="BN116" s="159"/>
      <c r="BO116" s="159"/>
      <c r="BP116" s="159"/>
      <c r="BQ116" s="159"/>
      <c r="BR116" s="159"/>
      <c r="BS116" s="159"/>
      <c r="BT116" s="159"/>
      <c r="BU116" s="159"/>
      <c r="BV116" s="159"/>
      <c r="BW116" s="159"/>
      <c r="BX116" s="159"/>
      <c r="BY116" s="159"/>
      <c r="BZ116" s="159"/>
      <c r="CA116" s="159"/>
      <c r="CB116" s="159"/>
      <c r="CC116" s="159"/>
      <c r="CD116" s="159"/>
      <c r="CE116" s="159"/>
      <c r="CF116" s="159"/>
      <c r="CG116" s="159"/>
      <c r="CH116" s="159"/>
      <c r="CI116" s="159"/>
      <c r="CJ116" s="159"/>
      <c r="CK116" s="159"/>
      <c r="CL116" s="159"/>
      <c r="CM116" s="159"/>
      <c r="CN116" s="159"/>
      <c r="CO116" s="159"/>
      <c r="CP116" s="159"/>
      <c r="CQ116" s="159"/>
      <c r="CR116" s="159"/>
      <c r="CS116" s="167"/>
      <c r="CT116" s="11" t="s">
        <v>54</v>
      </c>
    </row>
    <row r="117" spans="1:98" hidden="1" x14ac:dyDescent="0.25">
      <c r="A117" s="97">
        <v>0</v>
      </c>
      <c r="B117" s="31">
        <f t="shared" si="30"/>
        <v>2017</v>
      </c>
      <c r="C117" s="101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AV117" s="159"/>
      <c r="AW117" s="159"/>
      <c r="AX117" s="159"/>
      <c r="AY117" s="159"/>
      <c r="AZ117" s="159"/>
      <c r="BA117" s="159"/>
      <c r="BB117" s="159"/>
      <c r="BC117" s="159"/>
      <c r="BD117" s="159"/>
      <c r="BE117" s="159"/>
      <c r="BF117" s="159"/>
      <c r="BG117" s="159"/>
      <c r="BH117" s="159"/>
      <c r="BI117" s="159"/>
      <c r="BJ117" s="159"/>
      <c r="BK117" s="159"/>
      <c r="BL117" s="159"/>
      <c r="BM117" s="159"/>
      <c r="BN117" s="159"/>
      <c r="BO117" s="159"/>
      <c r="BP117" s="159"/>
      <c r="BQ117" s="159"/>
      <c r="BR117" s="159"/>
      <c r="BS117" s="159"/>
      <c r="BT117" s="159"/>
      <c r="BU117" s="159"/>
      <c r="BV117" s="159"/>
      <c r="BW117" s="159"/>
      <c r="BX117" s="159"/>
      <c r="BY117" s="159"/>
      <c r="BZ117" s="159"/>
      <c r="CA117" s="159"/>
      <c r="CB117" s="159"/>
      <c r="CC117" s="159"/>
      <c r="CD117" s="159"/>
      <c r="CE117" s="159"/>
      <c r="CF117" s="159"/>
      <c r="CG117" s="159"/>
      <c r="CH117" s="159"/>
      <c r="CI117" s="159"/>
      <c r="CJ117" s="159"/>
      <c r="CK117" s="159"/>
      <c r="CL117" s="159"/>
      <c r="CM117" s="159"/>
      <c r="CN117" s="159"/>
      <c r="CO117" s="159"/>
      <c r="CP117" s="159"/>
      <c r="CQ117" s="159"/>
      <c r="CR117" s="159"/>
      <c r="CS117" s="167"/>
      <c r="CT117" s="11" t="s">
        <v>54</v>
      </c>
    </row>
    <row r="118" spans="1:98" hidden="1" x14ac:dyDescent="0.25">
      <c r="A118" s="97">
        <v>0</v>
      </c>
      <c r="B118" s="31">
        <f t="shared" si="30"/>
        <v>2018</v>
      </c>
      <c r="C118" s="101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9"/>
      <c r="AR118" s="159"/>
      <c r="AS118" s="159"/>
      <c r="AT118" s="159"/>
      <c r="AU118" s="159"/>
      <c r="AV118" s="159"/>
      <c r="AW118" s="159"/>
      <c r="AX118" s="159"/>
      <c r="AY118" s="159"/>
      <c r="AZ118" s="159"/>
      <c r="BA118" s="159"/>
      <c r="BB118" s="159"/>
      <c r="BC118" s="159"/>
      <c r="BD118" s="159"/>
      <c r="BE118" s="159"/>
      <c r="BF118" s="159"/>
      <c r="BG118" s="159"/>
      <c r="BH118" s="159"/>
      <c r="BI118" s="159"/>
      <c r="BJ118" s="159"/>
      <c r="BK118" s="159"/>
      <c r="BL118" s="159"/>
      <c r="BM118" s="159"/>
      <c r="BN118" s="159"/>
      <c r="BO118" s="159"/>
      <c r="BP118" s="159"/>
      <c r="BQ118" s="159"/>
      <c r="BR118" s="159"/>
      <c r="BS118" s="159"/>
      <c r="BT118" s="159"/>
      <c r="BU118" s="159"/>
      <c r="BV118" s="159"/>
      <c r="BW118" s="159"/>
      <c r="BX118" s="159"/>
      <c r="BY118" s="159"/>
      <c r="BZ118" s="159"/>
      <c r="CA118" s="159"/>
      <c r="CB118" s="159"/>
      <c r="CC118" s="159"/>
      <c r="CD118" s="159"/>
      <c r="CE118" s="159"/>
      <c r="CF118" s="159"/>
      <c r="CG118" s="159"/>
      <c r="CH118" s="159"/>
      <c r="CI118" s="159"/>
      <c r="CJ118" s="159"/>
      <c r="CK118" s="159"/>
      <c r="CL118" s="159"/>
      <c r="CM118" s="159"/>
      <c r="CN118" s="159"/>
      <c r="CO118" s="159"/>
      <c r="CP118" s="159"/>
      <c r="CQ118" s="159"/>
      <c r="CR118" s="159"/>
      <c r="CS118" s="167"/>
      <c r="CT118" s="11" t="s">
        <v>54</v>
      </c>
    </row>
    <row r="119" spans="1:98" hidden="1" x14ac:dyDescent="0.25">
      <c r="A119" s="97">
        <v>0</v>
      </c>
      <c r="B119" s="80">
        <f t="shared" si="30"/>
        <v>2019</v>
      </c>
      <c r="C119" s="168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9"/>
      <c r="CT119" s="11" t="s">
        <v>54</v>
      </c>
    </row>
    <row r="120" spans="1:98" x14ac:dyDescent="0.25">
      <c r="A120" s="97">
        <v>1</v>
      </c>
      <c r="D120" s="42"/>
      <c r="E120" s="42"/>
      <c r="F120" s="42"/>
      <c r="G120" s="42"/>
      <c r="H120" s="42"/>
      <c r="I120" s="42"/>
    </row>
    <row r="121" spans="1:98" hidden="1" x14ac:dyDescent="0.25">
      <c r="A121" s="97">
        <f>A94</f>
        <v>0</v>
      </c>
      <c r="B121" s="19" t="s">
        <v>51</v>
      </c>
      <c r="E121" s="86">
        <f>MAX(D123:CS146)</f>
        <v>0</v>
      </c>
    </row>
    <row r="122" spans="1:98" hidden="1" x14ac:dyDescent="0.25">
      <c r="A122" s="97">
        <f>A95</f>
        <v>0</v>
      </c>
      <c r="B122" s="21" t="s">
        <v>2</v>
      </c>
      <c r="C122" s="163"/>
      <c r="D122" s="164" t="str">
        <f>D95</f>
        <v>2 / 1</v>
      </c>
      <c r="E122" s="164" t="str">
        <f t="shared" ref="E122:BP122" si="31">E95</f>
        <v>3 / 2</v>
      </c>
      <c r="F122" s="164" t="str">
        <f t="shared" si="31"/>
        <v>4 / 3</v>
      </c>
      <c r="G122" s="164" t="str">
        <f t="shared" si="31"/>
        <v>5 / 4</v>
      </c>
      <c r="H122" s="164" t="str">
        <f t="shared" si="31"/>
        <v>6 / 5</v>
      </c>
      <c r="I122" s="164" t="str">
        <f t="shared" si="31"/>
        <v>7 / 6</v>
      </c>
      <c r="J122" s="164" t="str">
        <f t="shared" si="31"/>
        <v>8 / 7</v>
      </c>
      <c r="K122" s="164" t="str">
        <f t="shared" si="31"/>
        <v>9 / 8</v>
      </c>
      <c r="L122" s="164" t="str">
        <f t="shared" si="31"/>
        <v>10 / 9</v>
      </c>
      <c r="M122" s="164" t="str">
        <f t="shared" si="31"/>
        <v>11 / 10</v>
      </c>
      <c r="N122" s="164" t="str">
        <f t="shared" si="31"/>
        <v>12 / 11</v>
      </c>
      <c r="O122" s="164" t="str">
        <f t="shared" si="31"/>
        <v>13 / 12</v>
      </c>
      <c r="P122" s="164" t="str">
        <f t="shared" si="31"/>
        <v>14 / 13</v>
      </c>
      <c r="Q122" s="164" t="str">
        <f t="shared" si="31"/>
        <v>15 / 14</v>
      </c>
      <c r="R122" s="164" t="str">
        <f t="shared" si="31"/>
        <v>16 / 15</v>
      </c>
      <c r="S122" s="164" t="str">
        <f t="shared" si="31"/>
        <v>17 / 16</v>
      </c>
      <c r="T122" s="164" t="str">
        <f t="shared" si="31"/>
        <v>18 / 17</v>
      </c>
      <c r="U122" s="164" t="str">
        <f t="shared" si="31"/>
        <v>19 / 18</v>
      </c>
      <c r="V122" s="164" t="str">
        <f t="shared" si="31"/>
        <v>20 / 19</v>
      </c>
      <c r="W122" s="164" t="str">
        <f t="shared" si="31"/>
        <v>21 / 20</v>
      </c>
      <c r="X122" s="164" t="str">
        <f t="shared" si="31"/>
        <v>22 / 21</v>
      </c>
      <c r="Y122" s="164" t="str">
        <f t="shared" si="31"/>
        <v>23 / 22</v>
      </c>
      <c r="Z122" s="164" t="str">
        <f t="shared" si="31"/>
        <v>24 / 23</v>
      </c>
      <c r="AA122" s="164" t="str">
        <f t="shared" si="31"/>
        <v>25 / 24</v>
      </c>
      <c r="AB122" s="164" t="str">
        <f t="shared" si="31"/>
        <v>26 / 25</v>
      </c>
      <c r="AC122" s="164" t="str">
        <f t="shared" si="31"/>
        <v>27 / 26</v>
      </c>
      <c r="AD122" s="164" t="str">
        <f t="shared" si="31"/>
        <v>28 / 27</v>
      </c>
      <c r="AE122" s="164" t="str">
        <f t="shared" si="31"/>
        <v>29 / 28</v>
      </c>
      <c r="AF122" s="164" t="str">
        <f t="shared" si="31"/>
        <v>30 / 29</v>
      </c>
      <c r="AG122" s="164" t="str">
        <f t="shared" si="31"/>
        <v>31 / 30</v>
      </c>
      <c r="AH122" s="164" t="str">
        <f t="shared" si="31"/>
        <v>32 / 31</v>
      </c>
      <c r="AI122" s="164" t="str">
        <f t="shared" si="31"/>
        <v>33 / 32</v>
      </c>
      <c r="AJ122" s="164" t="str">
        <f t="shared" si="31"/>
        <v>34 / 33</v>
      </c>
      <c r="AK122" s="164" t="str">
        <f t="shared" si="31"/>
        <v>35 / 34</v>
      </c>
      <c r="AL122" s="164" t="str">
        <f t="shared" si="31"/>
        <v>36 / 35</v>
      </c>
      <c r="AM122" s="164" t="str">
        <f t="shared" si="31"/>
        <v>37 / 36</v>
      </c>
      <c r="AN122" s="164" t="str">
        <f t="shared" si="31"/>
        <v>38 / 37</v>
      </c>
      <c r="AO122" s="164" t="str">
        <f t="shared" si="31"/>
        <v>39 / 38</v>
      </c>
      <c r="AP122" s="164" t="str">
        <f t="shared" si="31"/>
        <v>40 / 39</v>
      </c>
      <c r="AQ122" s="164" t="str">
        <f t="shared" si="31"/>
        <v>41 / 40</v>
      </c>
      <c r="AR122" s="164" t="str">
        <f t="shared" si="31"/>
        <v>42 / 41</v>
      </c>
      <c r="AS122" s="164" t="str">
        <f t="shared" si="31"/>
        <v>43 / 42</v>
      </c>
      <c r="AT122" s="164" t="str">
        <f t="shared" si="31"/>
        <v>44 / 43</v>
      </c>
      <c r="AU122" s="164" t="str">
        <f t="shared" si="31"/>
        <v>45 / 44</v>
      </c>
      <c r="AV122" s="164" t="str">
        <f t="shared" si="31"/>
        <v>46 / 45</v>
      </c>
      <c r="AW122" s="164" t="str">
        <f t="shared" si="31"/>
        <v>47 / 46</v>
      </c>
      <c r="AX122" s="164" t="str">
        <f t="shared" si="31"/>
        <v>48 / 47</v>
      </c>
      <c r="AY122" s="164" t="str">
        <f t="shared" si="31"/>
        <v>49 / 48</v>
      </c>
      <c r="AZ122" s="164" t="str">
        <f t="shared" si="31"/>
        <v>50 / 49</v>
      </c>
      <c r="BA122" s="164" t="str">
        <f t="shared" si="31"/>
        <v>51 / 50</v>
      </c>
      <c r="BB122" s="164" t="str">
        <f t="shared" si="31"/>
        <v>52 / 51</v>
      </c>
      <c r="BC122" s="164" t="str">
        <f t="shared" si="31"/>
        <v>53 / 52</v>
      </c>
      <c r="BD122" s="164" t="str">
        <f t="shared" si="31"/>
        <v>54 / 53</v>
      </c>
      <c r="BE122" s="164" t="str">
        <f t="shared" si="31"/>
        <v>55 / 54</v>
      </c>
      <c r="BF122" s="164" t="str">
        <f t="shared" si="31"/>
        <v>56 / 55</v>
      </c>
      <c r="BG122" s="164" t="str">
        <f t="shared" si="31"/>
        <v>57 / 56</v>
      </c>
      <c r="BH122" s="164" t="str">
        <f t="shared" si="31"/>
        <v>58 / 57</v>
      </c>
      <c r="BI122" s="164" t="str">
        <f t="shared" si="31"/>
        <v>59 / 58</v>
      </c>
      <c r="BJ122" s="164" t="str">
        <f t="shared" si="31"/>
        <v>60 / 59</v>
      </c>
      <c r="BK122" s="164" t="str">
        <f t="shared" si="31"/>
        <v>61 / 60</v>
      </c>
      <c r="BL122" s="164" t="str">
        <f t="shared" si="31"/>
        <v>62 / 61</v>
      </c>
      <c r="BM122" s="164" t="str">
        <f t="shared" si="31"/>
        <v>63 / 62</v>
      </c>
      <c r="BN122" s="164" t="str">
        <f t="shared" si="31"/>
        <v>64 / 63</v>
      </c>
      <c r="BO122" s="164" t="str">
        <f t="shared" si="31"/>
        <v>65 / 64</v>
      </c>
      <c r="BP122" s="164" t="str">
        <f t="shared" si="31"/>
        <v>66 / 65</v>
      </c>
      <c r="BQ122" s="164" t="str">
        <f t="shared" ref="BQ122:CS122" si="32">BQ95</f>
        <v>67 / 66</v>
      </c>
      <c r="BR122" s="164" t="str">
        <f t="shared" si="32"/>
        <v>68 / 67</v>
      </c>
      <c r="BS122" s="164" t="str">
        <f t="shared" si="32"/>
        <v>69 / 68</v>
      </c>
      <c r="BT122" s="164" t="str">
        <f t="shared" si="32"/>
        <v>70 / 69</v>
      </c>
      <c r="BU122" s="164" t="str">
        <f t="shared" si="32"/>
        <v>71 / 70</v>
      </c>
      <c r="BV122" s="164" t="str">
        <f t="shared" si="32"/>
        <v>72 / 71</v>
      </c>
      <c r="BW122" s="164" t="str">
        <f t="shared" si="32"/>
        <v>73 / 72</v>
      </c>
      <c r="BX122" s="164" t="str">
        <f t="shared" si="32"/>
        <v>74 / 73</v>
      </c>
      <c r="BY122" s="164" t="str">
        <f t="shared" si="32"/>
        <v>75 / 74</v>
      </c>
      <c r="BZ122" s="164" t="str">
        <f t="shared" si="32"/>
        <v>76 / 75</v>
      </c>
      <c r="CA122" s="164" t="str">
        <f t="shared" si="32"/>
        <v>77 / 76</v>
      </c>
      <c r="CB122" s="164" t="str">
        <f t="shared" si="32"/>
        <v>78 / 77</v>
      </c>
      <c r="CC122" s="164" t="str">
        <f t="shared" si="32"/>
        <v>79 / 78</v>
      </c>
      <c r="CD122" s="164" t="str">
        <f t="shared" si="32"/>
        <v>80 / 79</v>
      </c>
      <c r="CE122" s="164" t="str">
        <f t="shared" si="32"/>
        <v>81 / 80</v>
      </c>
      <c r="CF122" s="164" t="str">
        <f t="shared" si="32"/>
        <v>82 / 81</v>
      </c>
      <c r="CG122" s="164" t="str">
        <f t="shared" si="32"/>
        <v>83 / 82</v>
      </c>
      <c r="CH122" s="164" t="str">
        <f t="shared" si="32"/>
        <v>84 / 83</v>
      </c>
      <c r="CI122" s="164" t="str">
        <f t="shared" si="32"/>
        <v>85 / 84</v>
      </c>
      <c r="CJ122" s="164" t="str">
        <f t="shared" si="32"/>
        <v>86 / 85</v>
      </c>
      <c r="CK122" s="164" t="str">
        <f t="shared" si="32"/>
        <v>87 / 86</v>
      </c>
      <c r="CL122" s="164" t="str">
        <f t="shared" si="32"/>
        <v>88 / 87</v>
      </c>
      <c r="CM122" s="164" t="str">
        <f t="shared" si="32"/>
        <v>89 / 88</v>
      </c>
      <c r="CN122" s="164" t="str">
        <f t="shared" si="32"/>
        <v>90 / 89</v>
      </c>
      <c r="CO122" s="164" t="str">
        <f t="shared" si="32"/>
        <v>91 / 90</v>
      </c>
      <c r="CP122" s="164" t="str">
        <f t="shared" si="32"/>
        <v>92 / 91</v>
      </c>
      <c r="CQ122" s="164" t="str">
        <f t="shared" si="32"/>
        <v>93 / 92</v>
      </c>
      <c r="CR122" s="164" t="str">
        <f t="shared" si="32"/>
        <v>94 / 93</v>
      </c>
      <c r="CS122" s="165" t="str">
        <f t="shared" si="32"/>
        <v>95 / 94</v>
      </c>
      <c r="CT122" s="11" t="s">
        <v>54</v>
      </c>
    </row>
    <row r="123" spans="1:98" hidden="1" x14ac:dyDescent="0.25">
      <c r="A123" s="97">
        <f>A94</f>
        <v>0</v>
      </c>
      <c r="B123" s="31">
        <f t="shared" ref="B123:B146" si="33">B150</f>
        <v>1996</v>
      </c>
      <c r="C123" s="101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  <c r="CN123" s="33"/>
      <c r="CO123" s="33"/>
      <c r="CP123" s="33"/>
      <c r="CQ123" s="33"/>
      <c r="CR123" s="33"/>
      <c r="CS123" s="32"/>
      <c r="CT123" s="85" t="s">
        <v>54</v>
      </c>
    </row>
    <row r="124" spans="1:98" hidden="1" x14ac:dyDescent="0.25">
      <c r="A124" s="97">
        <f>A95</f>
        <v>0</v>
      </c>
      <c r="B124" s="31">
        <f t="shared" si="33"/>
        <v>1997</v>
      </c>
      <c r="C124" s="101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  <c r="CN124" s="33"/>
      <c r="CO124" s="33"/>
      <c r="CP124" s="33"/>
      <c r="CQ124" s="33"/>
      <c r="CR124" s="33"/>
      <c r="CS124" s="32"/>
      <c r="CT124" s="85" t="s">
        <v>54</v>
      </c>
    </row>
    <row r="125" spans="1:98" hidden="1" x14ac:dyDescent="0.25">
      <c r="A125" s="97">
        <f>A96</f>
        <v>0</v>
      </c>
      <c r="B125" s="31">
        <f t="shared" si="33"/>
        <v>1998</v>
      </c>
      <c r="C125" s="101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2"/>
      <c r="CT125" s="85" t="s">
        <v>54</v>
      </c>
    </row>
    <row r="126" spans="1:98" hidden="1" x14ac:dyDescent="0.25">
      <c r="A126" s="97">
        <f>A97</f>
        <v>0</v>
      </c>
      <c r="B126" s="31">
        <f t="shared" si="33"/>
        <v>1999</v>
      </c>
      <c r="C126" s="101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2"/>
      <c r="CT126" s="85" t="s">
        <v>54</v>
      </c>
    </row>
    <row r="127" spans="1:98" hidden="1" x14ac:dyDescent="0.25">
      <c r="A127" s="97">
        <f>A98</f>
        <v>0</v>
      </c>
      <c r="B127" s="31">
        <f t="shared" si="33"/>
        <v>2000</v>
      </c>
      <c r="C127" s="101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2"/>
      <c r="CT127" s="85" t="s">
        <v>54</v>
      </c>
    </row>
    <row r="128" spans="1:98" hidden="1" x14ac:dyDescent="0.25">
      <c r="A128" s="97">
        <f t="shared" ref="A128:A144" si="34">A101</f>
        <v>0</v>
      </c>
      <c r="B128" s="31">
        <f t="shared" si="33"/>
        <v>2001</v>
      </c>
      <c r="C128" s="101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2"/>
      <c r="CT128" s="85" t="s">
        <v>54</v>
      </c>
    </row>
    <row r="129" spans="1:98" hidden="1" x14ac:dyDescent="0.25">
      <c r="A129" s="97">
        <f t="shared" si="34"/>
        <v>0</v>
      </c>
      <c r="B129" s="31">
        <f t="shared" si="33"/>
        <v>2002</v>
      </c>
      <c r="C129" s="101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2"/>
      <c r="CT129" s="85" t="s">
        <v>54</v>
      </c>
    </row>
    <row r="130" spans="1:98" hidden="1" x14ac:dyDescent="0.25">
      <c r="A130" s="97">
        <f t="shared" si="34"/>
        <v>0</v>
      </c>
      <c r="B130" s="31">
        <f t="shared" si="33"/>
        <v>2003</v>
      </c>
      <c r="C130" s="101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2"/>
      <c r="CT130" s="85" t="s">
        <v>54</v>
      </c>
    </row>
    <row r="131" spans="1:98" hidden="1" x14ac:dyDescent="0.25">
      <c r="A131" s="97">
        <f t="shared" si="34"/>
        <v>0</v>
      </c>
      <c r="B131" s="31">
        <f t="shared" si="33"/>
        <v>2004</v>
      </c>
      <c r="C131" s="101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2"/>
      <c r="CT131" s="85" t="s">
        <v>54</v>
      </c>
    </row>
    <row r="132" spans="1:98" hidden="1" x14ac:dyDescent="0.25">
      <c r="A132" s="97">
        <f t="shared" si="34"/>
        <v>0</v>
      </c>
      <c r="B132" s="31">
        <f t="shared" si="33"/>
        <v>2005</v>
      </c>
      <c r="C132" s="101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2"/>
      <c r="CT132" s="85" t="s">
        <v>54</v>
      </c>
    </row>
    <row r="133" spans="1:98" hidden="1" x14ac:dyDescent="0.25">
      <c r="A133" s="97">
        <f t="shared" si="34"/>
        <v>0</v>
      </c>
      <c r="B133" s="31">
        <f t="shared" si="33"/>
        <v>2006</v>
      </c>
      <c r="C133" s="101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2"/>
      <c r="CT133" s="85" t="s">
        <v>54</v>
      </c>
    </row>
    <row r="134" spans="1:98" hidden="1" x14ac:dyDescent="0.25">
      <c r="A134" s="97">
        <f t="shared" si="34"/>
        <v>0</v>
      </c>
      <c r="B134" s="31">
        <f t="shared" si="33"/>
        <v>2007</v>
      </c>
      <c r="C134" s="101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2"/>
      <c r="CT134" s="85" t="s">
        <v>54</v>
      </c>
    </row>
    <row r="135" spans="1:98" hidden="1" x14ac:dyDescent="0.25">
      <c r="A135" s="97">
        <f t="shared" si="34"/>
        <v>0</v>
      </c>
      <c r="B135" s="31">
        <f t="shared" si="33"/>
        <v>2008</v>
      </c>
      <c r="C135" s="101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2"/>
      <c r="CT135" s="85" t="s">
        <v>54</v>
      </c>
    </row>
    <row r="136" spans="1:98" hidden="1" x14ac:dyDescent="0.25">
      <c r="A136" s="97">
        <f t="shared" si="34"/>
        <v>0</v>
      </c>
      <c r="B136" s="31">
        <f t="shared" si="33"/>
        <v>2009</v>
      </c>
      <c r="C136" s="101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2"/>
      <c r="CT136" s="85" t="s">
        <v>54</v>
      </c>
    </row>
    <row r="137" spans="1:98" hidden="1" x14ac:dyDescent="0.25">
      <c r="A137" s="97">
        <f t="shared" si="34"/>
        <v>0</v>
      </c>
      <c r="B137" s="31">
        <f t="shared" si="33"/>
        <v>2010</v>
      </c>
      <c r="C137" s="101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2"/>
      <c r="CT137" s="85" t="s">
        <v>54</v>
      </c>
    </row>
    <row r="138" spans="1:98" hidden="1" x14ac:dyDescent="0.25">
      <c r="A138" s="97">
        <f t="shared" si="34"/>
        <v>0</v>
      </c>
      <c r="B138" s="31">
        <f t="shared" si="33"/>
        <v>2011</v>
      </c>
      <c r="C138" s="101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2"/>
      <c r="CT138" s="85" t="s">
        <v>54</v>
      </c>
    </row>
    <row r="139" spans="1:98" hidden="1" x14ac:dyDescent="0.25">
      <c r="A139" s="97">
        <f t="shared" si="34"/>
        <v>0</v>
      </c>
      <c r="B139" s="31">
        <f t="shared" si="33"/>
        <v>2012</v>
      </c>
      <c r="C139" s="101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2"/>
      <c r="CT139" s="85" t="s">
        <v>54</v>
      </c>
    </row>
    <row r="140" spans="1:98" hidden="1" x14ac:dyDescent="0.25">
      <c r="A140" s="97">
        <f t="shared" si="34"/>
        <v>0</v>
      </c>
      <c r="B140" s="31">
        <f t="shared" si="33"/>
        <v>2013</v>
      </c>
      <c r="C140" s="101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2"/>
      <c r="CT140" s="11" t="s">
        <v>54</v>
      </c>
    </row>
    <row r="141" spans="1:98" hidden="1" x14ac:dyDescent="0.25">
      <c r="A141" s="97">
        <f t="shared" si="34"/>
        <v>0</v>
      </c>
      <c r="B141" s="31">
        <f t="shared" si="33"/>
        <v>2014</v>
      </c>
      <c r="C141" s="101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2"/>
      <c r="CT141" s="11" t="s">
        <v>54</v>
      </c>
    </row>
    <row r="142" spans="1:98" hidden="1" x14ac:dyDescent="0.25">
      <c r="A142" s="97">
        <f t="shared" si="34"/>
        <v>0</v>
      </c>
      <c r="B142" s="31">
        <f t="shared" si="33"/>
        <v>2015</v>
      </c>
      <c r="C142" s="101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2"/>
      <c r="CT142" s="11" t="s">
        <v>54</v>
      </c>
    </row>
    <row r="143" spans="1:98" hidden="1" x14ac:dyDescent="0.25">
      <c r="A143" s="97">
        <f t="shared" si="34"/>
        <v>0</v>
      </c>
      <c r="B143" s="31">
        <f t="shared" si="33"/>
        <v>2016</v>
      </c>
      <c r="C143" s="101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2"/>
      <c r="CT143" s="11" t="s">
        <v>54</v>
      </c>
    </row>
    <row r="144" spans="1:98" hidden="1" x14ac:dyDescent="0.25">
      <c r="A144" s="97">
        <f t="shared" si="34"/>
        <v>0</v>
      </c>
      <c r="B144" s="31">
        <f t="shared" si="33"/>
        <v>2017</v>
      </c>
      <c r="C144" s="101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2"/>
      <c r="CT144" s="11" t="s">
        <v>54</v>
      </c>
    </row>
    <row r="145" spans="1:98" ht="15.75" hidden="1" customHeight="1" x14ac:dyDescent="0.25">
      <c r="A145" s="97">
        <v>0</v>
      </c>
      <c r="B145" s="31">
        <f t="shared" si="33"/>
        <v>2018</v>
      </c>
      <c r="C145" s="101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2"/>
      <c r="CT145" s="11" t="s">
        <v>54</v>
      </c>
    </row>
    <row r="146" spans="1:98" ht="15.75" hidden="1" customHeight="1" x14ac:dyDescent="0.25">
      <c r="A146" s="97">
        <f>A118</f>
        <v>0</v>
      </c>
      <c r="B146" s="80">
        <f t="shared" si="33"/>
        <v>2019</v>
      </c>
      <c r="C146" s="168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7"/>
      <c r="CT146" s="11" t="s">
        <v>54</v>
      </c>
    </row>
    <row r="147" spans="1:98" ht="15.75" hidden="1" customHeight="1" x14ac:dyDescent="0.25">
      <c r="A147" s="97">
        <f>A119</f>
        <v>0</v>
      </c>
      <c r="B147" s="25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</row>
    <row r="148" spans="1:98" hidden="1" x14ac:dyDescent="0.25">
      <c r="A148" s="97">
        <f>A14</f>
        <v>0</v>
      </c>
      <c r="B148" s="19" t="s">
        <v>53</v>
      </c>
    </row>
    <row r="149" spans="1:98" hidden="1" x14ac:dyDescent="0.25">
      <c r="A149" s="97">
        <v>0</v>
      </c>
      <c r="B149" s="170" t="str">
        <f>B68</f>
        <v>UY</v>
      </c>
      <c r="C149" s="163"/>
      <c r="D149" s="164" t="str">
        <f t="shared" ref="D149:BO149" si="35">D68</f>
        <v>2 / 1</v>
      </c>
      <c r="E149" s="164" t="str">
        <f t="shared" si="35"/>
        <v>3 / 2</v>
      </c>
      <c r="F149" s="164" t="str">
        <f t="shared" si="35"/>
        <v>4 / 3</v>
      </c>
      <c r="G149" s="164" t="str">
        <f t="shared" si="35"/>
        <v>5 / 4</v>
      </c>
      <c r="H149" s="164" t="str">
        <f t="shared" si="35"/>
        <v>6 / 5</v>
      </c>
      <c r="I149" s="164" t="str">
        <f t="shared" si="35"/>
        <v>7 / 6</v>
      </c>
      <c r="J149" s="164" t="str">
        <f t="shared" si="35"/>
        <v>8 / 7</v>
      </c>
      <c r="K149" s="164" t="str">
        <f t="shared" si="35"/>
        <v>9 / 8</v>
      </c>
      <c r="L149" s="164" t="str">
        <f t="shared" si="35"/>
        <v>10 / 9</v>
      </c>
      <c r="M149" s="164" t="str">
        <f t="shared" si="35"/>
        <v>11 / 10</v>
      </c>
      <c r="N149" s="164" t="str">
        <f t="shared" si="35"/>
        <v>12 / 11</v>
      </c>
      <c r="O149" s="164" t="str">
        <f t="shared" si="35"/>
        <v>13 / 12</v>
      </c>
      <c r="P149" s="164" t="str">
        <f t="shared" si="35"/>
        <v>14 / 13</v>
      </c>
      <c r="Q149" s="164" t="str">
        <f t="shared" si="35"/>
        <v>15 / 14</v>
      </c>
      <c r="R149" s="164" t="str">
        <f t="shared" si="35"/>
        <v>16 / 15</v>
      </c>
      <c r="S149" s="164" t="str">
        <f t="shared" si="35"/>
        <v>17 / 16</v>
      </c>
      <c r="T149" s="164" t="str">
        <f t="shared" si="35"/>
        <v>18 / 17</v>
      </c>
      <c r="U149" s="164" t="str">
        <f t="shared" si="35"/>
        <v>19 / 18</v>
      </c>
      <c r="V149" s="164" t="str">
        <f t="shared" si="35"/>
        <v>20 / 19</v>
      </c>
      <c r="W149" s="164" t="str">
        <f t="shared" si="35"/>
        <v>21 / 20</v>
      </c>
      <c r="X149" s="164" t="str">
        <f t="shared" si="35"/>
        <v>22 / 21</v>
      </c>
      <c r="Y149" s="164" t="str">
        <f t="shared" si="35"/>
        <v>23 / 22</v>
      </c>
      <c r="Z149" s="164" t="str">
        <f t="shared" si="35"/>
        <v>24 / 23</v>
      </c>
      <c r="AA149" s="164" t="str">
        <f t="shared" si="35"/>
        <v>25 / 24</v>
      </c>
      <c r="AB149" s="164" t="str">
        <f t="shared" si="35"/>
        <v>26 / 25</v>
      </c>
      <c r="AC149" s="164" t="str">
        <f t="shared" si="35"/>
        <v>27 / 26</v>
      </c>
      <c r="AD149" s="164" t="str">
        <f t="shared" si="35"/>
        <v>28 / 27</v>
      </c>
      <c r="AE149" s="164" t="str">
        <f t="shared" si="35"/>
        <v>29 / 28</v>
      </c>
      <c r="AF149" s="164" t="str">
        <f t="shared" si="35"/>
        <v>30 / 29</v>
      </c>
      <c r="AG149" s="164" t="str">
        <f t="shared" si="35"/>
        <v>31 / 30</v>
      </c>
      <c r="AH149" s="164" t="str">
        <f t="shared" si="35"/>
        <v>32 / 31</v>
      </c>
      <c r="AI149" s="164" t="str">
        <f t="shared" si="35"/>
        <v>33 / 32</v>
      </c>
      <c r="AJ149" s="164" t="str">
        <f t="shared" si="35"/>
        <v>34 / 33</v>
      </c>
      <c r="AK149" s="164" t="str">
        <f t="shared" si="35"/>
        <v>35 / 34</v>
      </c>
      <c r="AL149" s="164" t="str">
        <f t="shared" si="35"/>
        <v>36 / 35</v>
      </c>
      <c r="AM149" s="164" t="str">
        <f t="shared" si="35"/>
        <v>37 / 36</v>
      </c>
      <c r="AN149" s="164" t="str">
        <f t="shared" si="35"/>
        <v>38 / 37</v>
      </c>
      <c r="AO149" s="164" t="str">
        <f t="shared" si="35"/>
        <v>39 / 38</v>
      </c>
      <c r="AP149" s="164" t="str">
        <f t="shared" si="35"/>
        <v>40 / 39</v>
      </c>
      <c r="AQ149" s="164" t="str">
        <f t="shared" si="35"/>
        <v>41 / 40</v>
      </c>
      <c r="AR149" s="164" t="str">
        <f t="shared" si="35"/>
        <v>42 / 41</v>
      </c>
      <c r="AS149" s="164" t="str">
        <f t="shared" si="35"/>
        <v>43 / 42</v>
      </c>
      <c r="AT149" s="164" t="str">
        <f t="shared" si="35"/>
        <v>44 / 43</v>
      </c>
      <c r="AU149" s="164" t="str">
        <f t="shared" si="35"/>
        <v>45 / 44</v>
      </c>
      <c r="AV149" s="164" t="str">
        <f t="shared" si="35"/>
        <v>46 / 45</v>
      </c>
      <c r="AW149" s="164" t="str">
        <f t="shared" si="35"/>
        <v>47 / 46</v>
      </c>
      <c r="AX149" s="164" t="str">
        <f t="shared" si="35"/>
        <v>48 / 47</v>
      </c>
      <c r="AY149" s="164" t="str">
        <f t="shared" si="35"/>
        <v>49 / 48</v>
      </c>
      <c r="AZ149" s="164" t="str">
        <f t="shared" si="35"/>
        <v>50 / 49</v>
      </c>
      <c r="BA149" s="164" t="str">
        <f t="shared" si="35"/>
        <v>51 / 50</v>
      </c>
      <c r="BB149" s="164" t="str">
        <f t="shared" si="35"/>
        <v>52 / 51</v>
      </c>
      <c r="BC149" s="164" t="str">
        <f t="shared" si="35"/>
        <v>53 / 52</v>
      </c>
      <c r="BD149" s="164" t="str">
        <f t="shared" si="35"/>
        <v>54 / 53</v>
      </c>
      <c r="BE149" s="164" t="str">
        <f t="shared" si="35"/>
        <v>55 / 54</v>
      </c>
      <c r="BF149" s="164" t="str">
        <f t="shared" si="35"/>
        <v>56 / 55</v>
      </c>
      <c r="BG149" s="164" t="str">
        <f t="shared" si="35"/>
        <v>57 / 56</v>
      </c>
      <c r="BH149" s="164" t="str">
        <f t="shared" si="35"/>
        <v>58 / 57</v>
      </c>
      <c r="BI149" s="164" t="str">
        <f t="shared" si="35"/>
        <v>59 / 58</v>
      </c>
      <c r="BJ149" s="164" t="str">
        <f t="shared" si="35"/>
        <v>60 / 59</v>
      </c>
      <c r="BK149" s="164" t="str">
        <f t="shared" si="35"/>
        <v>61 / 60</v>
      </c>
      <c r="BL149" s="164" t="str">
        <f t="shared" si="35"/>
        <v>62 / 61</v>
      </c>
      <c r="BM149" s="164" t="str">
        <f t="shared" si="35"/>
        <v>63 / 62</v>
      </c>
      <c r="BN149" s="164" t="str">
        <f t="shared" si="35"/>
        <v>64 / 63</v>
      </c>
      <c r="BO149" s="164" t="str">
        <f t="shared" si="35"/>
        <v>65 / 64</v>
      </c>
      <c r="BP149" s="164" t="str">
        <f t="shared" ref="BP149:CS149" si="36">BP68</f>
        <v>66 / 65</v>
      </c>
      <c r="BQ149" s="164" t="str">
        <f t="shared" si="36"/>
        <v>67 / 66</v>
      </c>
      <c r="BR149" s="164" t="str">
        <f t="shared" si="36"/>
        <v>68 / 67</v>
      </c>
      <c r="BS149" s="164" t="str">
        <f t="shared" si="36"/>
        <v>69 / 68</v>
      </c>
      <c r="BT149" s="164" t="str">
        <f t="shared" si="36"/>
        <v>70 / 69</v>
      </c>
      <c r="BU149" s="164" t="str">
        <f t="shared" si="36"/>
        <v>71 / 70</v>
      </c>
      <c r="BV149" s="164" t="str">
        <f t="shared" si="36"/>
        <v>72 / 71</v>
      </c>
      <c r="BW149" s="164" t="str">
        <f t="shared" si="36"/>
        <v>73 / 72</v>
      </c>
      <c r="BX149" s="164" t="str">
        <f t="shared" si="36"/>
        <v>74 / 73</v>
      </c>
      <c r="BY149" s="164" t="str">
        <f t="shared" si="36"/>
        <v>75 / 74</v>
      </c>
      <c r="BZ149" s="164" t="str">
        <f t="shared" si="36"/>
        <v>76 / 75</v>
      </c>
      <c r="CA149" s="164" t="str">
        <f t="shared" si="36"/>
        <v>77 / 76</v>
      </c>
      <c r="CB149" s="164" t="str">
        <f t="shared" si="36"/>
        <v>78 / 77</v>
      </c>
      <c r="CC149" s="164" t="str">
        <f t="shared" si="36"/>
        <v>79 / 78</v>
      </c>
      <c r="CD149" s="164" t="str">
        <f t="shared" si="36"/>
        <v>80 / 79</v>
      </c>
      <c r="CE149" s="164" t="str">
        <f t="shared" si="36"/>
        <v>81 / 80</v>
      </c>
      <c r="CF149" s="164" t="str">
        <f t="shared" si="36"/>
        <v>82 / 81</v>
      </c>
      <c r="CG149" s="164" t="str">
        <f t="shared" si="36"/>
        <v>83 / 82</v>
      </c>
      <c r="CH149" s="164" t="str">
        <f t="shared" si="36"/>
        <v>84 / 83</v>
      </c>
      <c r="CI149" s="164" t="str">
        <f t="shared" si="36"/>
        <v>85 / 84</v>
      </c>
      <c r="CJ149" s="164" t="str">
        <f t="shared" si="36"/>
        <v>86 / 85</v>
      </c>
      <c r="CK149" s="164" t="str">
        <f t="shared" si="36"/>
        <v>87 / 86</v>
      </c>
      <c r="CL149" s="164" t="str">
        <f t="shared" si="36"/>
        <v>88 / 87</v>
      </c>
      <c r="CM149" s="164" t="str">
        <f t="shared" si="36"/>
        <v>89 / 88</v>
      </c>
      <c r="CN149" s="164" t="str">
        <f t="shared" si="36"/>
        <v>90 / 89</v>
      </c>
      <c r="CO149" s="164" t="str">
        <f t="shared" si="36"/>
        <v>91 / 90</v>
      </c>
      <c r="CP149" s="164" t="str">
        <f t="shared" si="36"/>
        <v>92 / 91</v>
      </c>
      <c r="CQ149" s="164" t="str">
        <f t="shared" si="36"/>
        <v>93 / 92</v>
      </c>
      <c r="CR149" s="164" t="str">
        <f t="shared" si="36"/>
        <v>94 / 93</v>
      </c>
      <c r="CS149" s="165" t="str">
        <f t="shared" si="36"/>
        <v>95 / 94</v>
      </c>
      <c r="CT149" s="11" t="s">
        <v>54</v>
      </c>
    </row>
    <row r="150" spans="1:98" hidden="1" x14ac:dyDescent="0.25">
      <c r="A150" s="97">
        <v>0</v>
      </c>
      <c r="B150" s="90">
        <f t="shared" ref="B150:B173" si="37">B14</f>
        <v>1996</v>
      </c>
      <c r="C150" s="101"/>
      <c r="D150" s="171">
        <f t="shared" ref="D150:AI150" si="38">IF(D123="",1,0)*IF(D96="",1,0)*SUM(D42)*IF(D69="",0,1)</f>
        <v>0</v>
      </c>
      <c r="E150" s="171">
        <f t="shared" si="38"/>
        <v>0</v>
      </c>
      <c r="F150" s="171">
        <f t="shared" si="38"/>
        <v>0</v>
      </c>
      <c r="G150" s="171">
        <f t="shared" si="38"/>
        <v>0</v>
      </c>
      <c r="H150" s="171">
        <f t="shared" si="38"/>
        <v>0</v>
      </c>
      <c r="I150" s="171">
        <f t="shared" si="38"/>
        <v>0</v>
      </c>
      <c r="J150" s="171">
        <f t="shared" si="38"/>
        <v>0</v>
      </c>
      <c r="K150" s="171">
        <f t="shared" si="38"/>
        <v>0</v>
      </c>
      <c r="L150" s="171">
        <f t="shared" si="38"/>
        <v>0</v>
      </c>
      <c r="M150" s="171">
        <f t="shared" si="38"/>
        <v>0</v>
      </c>
      <c r="N150" s="171">
        <f t="shared" si="38"/>
        <v>0</v>
      </c>
      <c r="O150" s="171">
        <f t="shared" si="38"/>
        <v>0</v>
      </c>
      <c r="P150" s="171">
        <f t="shared" si="38"/>
        <v>0</v>
      </c>
      <c r="Q150" s="171">
        <f t="shared" si="38"/>
        <v>0</v>
      </c>
      <c r="R150" s="171">
        <f t="shared" si="38"/>
        <v>0</v>
      </c>
      <c r="S150" s="171">
        <f t="shared" si="38"/>
        <v>0</v>
      </c>
      <c r="T150" s="171">
        <f t="shared" si="38"/>
        <v>0</v>
      </c>
      <c r="U150" s="171">
        <f t="shared" si="38"/>
        <v>0</v>
      </c>
      <c r="V150" s="171">
        <f t="shared" si="38"/>
        <v>0</v>
      </c>
      <c r="W150" s="171">
        <f t="shared" si="38"/>
        <v>0</v>
      </c>
      <c r="X150" s="171">
        <f t="shared" si="38"/>
        <v>0</v>
      </c>
      <c r="Y150" s="171">
        <f t="shared" si="38"/>
        <v>0</v>
      </c>
      <c r="Z150" s="171">
        <f t="shared" si="38"/>
        <v>0</v>
      </c>
      <c r="AA150" s="171">
        <f t="shared" si="38"/>
        <v>0</v>
      </c>
      <c r="AB150" s="171">
        <f t="shared" si="38"/>
        <v>0</v>
      </c>
      <c r="AC150" s="171">
        <f t="shared" si="38"/>
        <v>0</v>
      </c>
      <c r="AD150" s="171">
        <f t="shared" si="38"/>
        <v>0</v>
      </c>
      <c r="AE150" s="171">
        <f t="shared" si="38"/>
        <v>0</v>
      </c>
      <c r="AF150" s="171">
        <f t="shared" si="38"/>
        <v>0</v>
      </c>
      <c r="AG150" s="171">
        <f t="shared" si="38"/>
        <v>0</v>
      </c>
      <c r="AH150" s="171">
        <f t="shared" si="38"/>
        <v>0</v>
      </c>
      <c r="AI150" s="171">
        <f t="shared" si="38"/>
        <v>0</v>
      </c>
      <c r="AJ150" s="171">
        <f t="shared" ref="AJ150:CS154" si="39">IF(AJ123="",1,0)*IF(AJ96="",1,0)*SUM(AJ42)*IF(AJ69="",0,1)</f>
        <v>0</v>
      </c>
      <c r="AK150" s="171">
        <f t="shared" si="39"/>
        <v>0</v>
      </c>
      <c r="AL150" s="171">
        <f t="shared" si="39"/>
        <v>0</v>
      </c>
      <c r="AM150" s="171">
        <f t="shared" si="39"/>
        <v>0</v>
      </c>
      <c r="AN150" s="171">
        <f t="shared" si="39"/>
        <v>0</v>
      </c>
      <c r="AO150" s="171">
        <f t="shared" si="39"/>
        <v>0</v>
      </c>
      <c r="AP150" s="171">
        <f t="shared" si="39"/>
        <v>0</v>
      </c>
      <c r="AQ150" s="171">
        <f t="shared" si="39"/>
        <v>0</v>
      </c>
      <c r="AR150" s="171">
        <f t="shared" si="39"/>
        <v>0</v>
      </c>
      <c r="AS150" s="171">
        <f t="shared" si="39"/>
        <v>0</v>
      </c>
      <c r="AT150" s="171">
        <f t="shared" si="39"/>
        <v>0</v>
      </c>
      <c r="AU150" s="171">
        <f t="shared" si="39"/>
        <v>0</v>
      </c>
      <c r="AV150" s="171">
        <f t="shared" si="39"/>
        <v>0</v>
      </c>
      <c r="AW150" s="171">
        <f t="shared" si="39"/>
        <v>0</v>
      </c>
      <c r="AX150" s="171">
        <f t="shared" si="39"/>
        <v>0</v>
      </c>
      <c r="AY150" s="171">
        <f t="shared" si="39"/>
        <v>0</v>
      </c>
      <c r="AZ150" s="171">
        <f t="shared" si="39"/>
        <v>0</v>
      </c>
      <c r="BA150" s="171">
        <f t="shared" si="39"/>
        <v>0</v>
      </c>
      <c r="BB150" s="171">
        <f t="shared" si="39"/>
        <v>0</v>
      </c>
      <c r="BC150" s="171">
        <f t="shared" si="39"/>
        <v>0</v>
      </c>
      <c r="BD150" s="171">
        <f t="shared" si="39"/>
        <v>0</v>
      </c>
      <c r="BE150" s="171">
        <f t="shared" si="39"/>
        <v>0</v>
      </c>
      <c r="BF150" s="171">
        <f t="shared" si="39"/>
        <v>0</v>
      </c>
      <c r="BG150" s="171">
        <f t="shared" si="39"/>
        <v>0</v>
      </c>
      <c r="BH150" s="171">
        <f t="shared" si="39"/>
        <v>0</v>
      </c>
      <c r="BI150" s="171">
        <f t="shared" si="39"/>
        <v>0</v>
      </c>
      <c r="BJ150" s="171">
        <f t="shared" si="39"/>
        <v>0</v>
      </c>
      <c r="BK150" s="171">
        <f t="shared" si="39"/>
        <v>0</v>
      </c>
      <c r="BL150" s="171">
        <f t="shared" si="39"/>
        <v>0</v>
      </c>
      <c r="BM150" s="171">
        <f t="shared" si="39"/>
        <v>0</v>
      </c>
      <c r="BN150" s="171">
        <f t="shared" si="39"/>
        <v>0</v>
      </c>
      <c r="BO150" s="171">
        <f t="shared" si="39"/>
        <v>0</v>
      </c>
      <c r="BP150" s="171">
        <f t="shared" si="39"/>
        <v>0</v>
      </c>
      <c r="BQ150" s="171">
        <f t="shared" si="39"/>
        <v>0</v>
      </c>
      <c r="BR150" s="171">
        <f t="shared" si="39"/>
        <v>0</v>
      </c>
      <c r="BS150" s="171">
        <f t="shared" si="39"/>
        <v>0</v>
      </c>
      <c r="BT150" s="171">
        <f t="shared" si="39"/>
        <v>0</v>
      </c>
      <c r="BU150" s="171">
        <f t="shared" si="39"/>
        <v>0</v>
      </c>
      <c r="BV150" s="171">
        <f t="shared" si="39"/>
        <v>0</v>
      </c>
      <c r="BW150" s="171">
        <f t="shared" si="39"/>
        <v>0</v>
      </c>
      <c r="BX150" s="171">
        <f t="shared" si="39"/>
        <v>0</v>
      </c>
      <c r="BY150" s="171">
        <f t="shared" si="39"/>
        <v>0</v>
      </c>
      <c r="BZ150" s="171">
        <f t="shared" si="39"/>
        <v>0</v>
      </c>
      <c r="CA150" s="171">
        <f t="shared" si="39"/>
        <v>0</v>
      </c>
      <c r="CB150" s="171">
        <f t="shared" si="39"/>
        <v>0</v>
      </c>
      <c r="CC150" s="171">
        <f t="shared" si="39"/>
        <v>0</v>
      </c>
      <c r="CD150" s="171">
        <f t="shared" si="39"/>
        <v>0</v>
      </c>
      <c r="CE150" s="171">
        <f t="shared" si="39"/>
        <v>0</v>
      </c>
      <c r="CF150" s="171">
        <f t="shared" si="39"/>
        <v>0</v>
      </c>
      <c r="CG150" s="171">
        <f t="shared" si="39"/>
        <v>0</v>
      </c>
      <c r="CH150" s="171">
        <f t="shared" si="39"/>
        <v>0</v>
      </c>
      <c r="CI150" s="171">
        <f t="shared" si="39"/>
        <v>0</v>
      </c>
      <c r="CJ150" s="171">
        <f t="shared" si="39"/>
        <v>0</v>
      </c>
      <c r="CK150" s="171">
        <f t="shared" si="39"/>
        <v>0</v>
      </c>
      <c r="CL150" s="171">
        <f t="shared" si="39"/>
        <v>0</v>
      </c>
      <c r="CM150" s="171">
        <f t="shared" si="39"/>
        <v>0</v>
      </c>
      <c r="CN150" s="171">
        <f t="shared" si="39"/>
        <v>0</v>
      </c>
      <c r="CO150" s="171">
        <f t="shared" si="39"/>
        <v>0</v>
      </c>
      <c r="CP150" s="171">
        <f t="shared" si="39"/>
        <v>0</v>
      </c>
      <c r="CQ150" s="171">
        <f t="shared" si="39"/>
        <v>0</v>
      </c>
      <c r="CR150" s="171">
        <f t="shared" si="39"/>
        <v>0</v>
      </c>
      <c r="CS150" s="172">
        <f t="shared" si="39"/>
        <v>0</v>
      </c>
      <c r="CT150" s="85" t="s">
        <v>54</v>
      </c>
    </row>
    <row r="151" spans="1:98" hidden="1" x14ac:dyDescent="0.25">
      <c r="A151" s="97">
        <v>0</v>
      </c>
      <c r="B151" s="90">
        <f t="shared" si="37"/>
        <v>1997</v>
      </c>
      <c r="C151" s="101"/>
      <c r="D151" s="171">
        <f t="shared" ref="D151:AI158" si="40">IF(D124="",1,0)*IF(D97="",1,0)*SUM(D43)*IF(D70="",0,1)</f>
        <v>0</v>
      </c>
      <c r="E151" s="171">
        <f t="shared" si="40"/>
        <v>0</v>
      </c>
      <c r="F151" s="171">
        <f t="shared" si="40"/>
        <v>0</v>
      </c>
      <c r="G151" s="171">
        <f t="shared" si="40"/>
        <v>0</v>
      </c>
      <c r="H151" s="171">
        <f t="shared" si="40"/>
        <v>0</v>
      </c>
      <c r="I151" s="171">
        <f t="shared" si="40"/>
        <v>0</v>
      </c>
      <c r="J151" s="171">
        <f t="shared" si="40"/>
        <v>0</v>
      </c>
      <c r="K151" s="171">
        <f t="shared" si="40"/>
        <v>0</v>
      </c>
      <c r="L151" s="171">
        <f t="shared" si="40"/>
        <v>0</v>
      </c>
      <c r="M151" s="171">
        <f t="shared" si="40"/>
        <v>0</v>
      </c>
      <c r="N151" s="171">
        <f t="shared" si="40"/>
        <v>0</v>
      </c>
      <c r="O151" s="171">
        <f t="shared" si="40"/>
        <v>0</v>
      </c>
      <c r="P151" s="171">
        <f t="shared" si="40"/>
        <v>0</v>
      </c>
      <c r="Q151" s="171">
        <f t="shared" si="40"/>
        <v>0</v>
      </c>
      <c r="R151" s="171">
        <f t="shared" si="40"/>
        <v>0</v>
      </c>
      <c r="S151" s="171">
        <f t="shared" si="40"/>
        <v>0</v>
      </c>
      <c r="T151" s="171">
        <f t="shared" si="40"/>
        <v>0</v>
      </c>
      <c r="U151" s="171">
        <f t="shared" si="40"/>
        <v>0</v>
      </c>
      <c r="V151" s="171">
        <f t="shared" si="40"/>
        <v>0</v>
      </c>
      <c r="W151" s="171">
        <f t="shared" si="40"/>
        <v>0</v>
      </c>
      <c r="X151" s="171">
        <f t="shared" si="40"/>
        <v>0</v>
      </c>
      <c r="Y151" s="171">
        <f t="shared" si="40"/>
        <v>0</v>
      </c>
      <c r="Z151" s="171">
        <f t="shared" si="40"/>
        <v>0</v>
      </c>
      <c r="AA151" s="171">
        <f t="shared" si="40"/>
        <v>0</v>
      </c>
      <c r="AB151" s="171">
        <f t="shared" si="40"/>
        <v>0</v>
      </c>
      <c r="AC151" s="171">
        <f t="shared" si="40"/>
        <v>0</v>
      </c>
      <c r="AD151" s="171">
        <f t="shared" si="40"/>
        <v>0</v>
      </c>
      <c r="AE151" s="171">
        <f t="shared" si="40"/>
        <v>0</v>
      </c>
      <c r="AF151" s="171">
        <f t="shared" si="40"/>
        <v>0</v>
      </c>
      <c r="AG151" s="171">
        <f t="shared" si="40"/>
        <v>0</v>
      </c>
      <c r="AH151" s="171">
        <f t="shared" si="40"/>
        <v>0</v>
      </c>
      <c r="AI151" s="171">
        <f t="shared" si="40"/>
        <v>0</v>
      </c>
      <c r="AJ151" s="171">
        <f t="shared" si="39"/>
        <v>0</v>
      </c>
      <c r="AK151" s="171">
        <f t="shared" si="39"/>
        <v>0</v>
      </c>
      <c r="AL151" s="171">
        <f t="shared" si="39"/>
        <v>0</v>
      </c>
      <c r="AM151" s="171">
        <f t="shared" si="39"/>
        <v>0</v>
      </c>
      <c r="AN151" s="171">
        <f t="shared" si="39"/>
        <v>0</v>
      </c>
      <c r="AO151" s="171">
        <f t="shared" si="39"/>
        <v>0</v>
      </c>
      <c r="AP151" s="171">
        <f t="shared" si="39"/>
        <v>0</v>
      </c>
      <c r="AQ151" s="171">
        <f t="shared" si="39"/>
        <v>0</v>
      </c>
      <c r="AR151" s="171">
        <f t="shared" si="39"/>
        <v>0</v>
      </c>
      <c r="AS151" s="171">
        <f t="shared" si="39"/>
        <v>0</v>
      </c>
      <c r="AT151" s="171">
        <f t="shared" si="39"/>
        <v>0</v>
      </c>
      <c r="AU151" s="171">
        <f t="shared" si="39"/>
        <v>0</v>
      </c>
      <c r="AV151" s="171">
        <f t="shared" si="39"/>
        <v>0</v>
      </c>
      <c r="AW151" s="171">
        <f t="shared" si="39"/>
        <v>0</v>
      </c>
      <c r="AX151" s="171">
        <f t="shared" si="39"/>
        <v>0</v>
      </c>
      <c r="AY151" s="171">
        <f t="shared" si="39"/>
        <v>0</v>
      </c>
      <c r="AZ151" s="171">
        <f t="shared" si="39"/>
        <v>0</v>
      </c>
      <c r="BA151" s="171">
        <f t="shared" si="39"/>
        <v>0</v>
      </c>
      <c r="BB151" s="171">
        <f t="shared" si="39"/>
        <v>0</v>
      </c>
      <c r="BC151" s="171">
        <f t="shared" si="39"/>
        <v>0</v>
      </c>
      <c r="BD151" s="171">
        <f t="shared" si="39"/>
        <v>0</v>
      </c>
      <c r="BE151" s="171">
        <f t="shared" si="39"/>
        <v>0</v>
      </c>
      <c r="BF151" s="171">
        <f t="shared" si="39"/>
        <v>0</v>
      </c>
      <c r="BG151" s="171">
        <f t="shared" si="39"/>
        <v>0</v>
      </c>
      <c r="BH151" s="171">
        <f t="shared" si="39"/>
        <v>0</v>
      </c>
      <c r="BI151" s="171">
        <f t="shared" si="39"/>
        <v>0</v>
      </c>
      <c r="BJ151" s="171">
        <f t="shared" si="39"/>
        <v>0</v>
      </c>
      <c r="BK151" s="171">
        <f t="shared" si="39"/>
        <v>0</v>
      </c>
      <c r="BL151" s="171">
        <f t="shared" si="39"/>
        <v>0</v>
      </c>
      <c r="BM151" s="171">
        <f t="shared" si="39"/>
        <v>0</v>
      </c>
      <c r="BN151" s="171">
        <f t="shared" si="39"/>
        <v>0</v>
      </c>
      <c r="BO151" s="171">
        <f t="shared" si="39"/>
        <v>0</v>
      </c>
      <c r="BP151" s="171">
        <f t="shared" si="39"/>
        <v>0</v>
      </c>
      <c r="BQ151" s="171">
        <f t="shared" si="39"/>
        <v>0</v>
      </c>
      <c r="BR151" s="171">
        <f t="shared" si="39"/>
        <v>0</v>
      </c>
      <c r="BS151" s="171">
        <f t="shared" si="39"/>
        <v>0</v>
      </c>
      <c r="BT151" s="171">
        <f t="shared" si="39"/>
        <v>0</v>
      </c>
      <c r="BU151" s="171">
        <f t="shared" si="39"/>
        <v>0</v>
      </c>
      <c r="BV151" s="171">
        <f t="shared" si="39"/>
        <v>0</v>
      </c>
      <c r="BW151" s="171">
        <f t="shared" si="39"/>
        <v>0</v>
      </c>
      <c r="BX151" s="171">
        <f t="shared" si="39"/>
        <v>0</v>
      </c>
      <c r="BY151" s="171">
        <f t="shared" si="39"/>
        <v>0</v>
      </c>
      <c r="BZ151" s="171">
        <f t="shared" si="39"/>
        <v>0</v>
      </c>
      <c r="CA151" s="171">
        <f t="shared" si="39"/>
        <v>0</v>
      </c>
      <c r="CB151" s="171">
        <f t="shared" si="39"/>
        <v>0</v>
      </c>
      <c r="CC151" s="171">
        <f t="shared" si="39"/>
        <v>0</v>
      </c>
      <c r="CD151" s="171">
        <f t="shared" si="39"/>
        <v>0</v>
      </c>
      <c r="CE151" s="171">
        <f t="shared" si="39"/>
        <v>0</v>
      </c>
      <c r="CF151" s="171">
        <f t="shared" si="39"/>
        <v>0</v>
      </c>
      <c r="CG151" s="171">
        <f t="shared" si="39"/>
        <v>0</v>
      </c>
      <c r="CH151" s="171">
        <f t="shared" si="39"/>
        <v>0</v>
      </c>
      <c r="CI151" s="171">
        <f t="shared" si="39"/>
        <v>0</v>
      </c>
      <c r="CJ151" s="171">
        <f t="shared" si="39"/>
        <v>0</v>
      </c>
      <c r="CK151" s="171">
        <f t="shared" si="39"/>
        <v>0</v>
      </c>
      <c r="CL151" s="171">
        <f t="shared" si="39"/>
        <v>0</v>
      </c>
      <c r="CM151" s="171">
        <f t="shared" si="39"/>
        <v>0</v>
      </c>
      <c r="CN151" s="171">
        <f t="shared" si="39"/>
        <v>0</v>
      </c>
      <c r="CO151" s="171">
        <f t="shared" si="39"/>
        <v>0</v>
      </c>
      <c r="CP151" s="171">
        <f t="shared" si="39"/>
        <v>0</v>
      </c>
      <c r="CQ151" s="171">
        <f t="shared" si="39"/>
        <v>0</v>
      </c>
      <c r="CR151" s="171">
        <f t="shared" si="39"/>
        <v>0</v>
      </c>
      <c r="CS151" s="172">
        <f t="shared" si="39"/>
        <v>0</v>
      </c>
      <c r="CT151" s="85" t="s">
        <v>54</v>
      </c>
    </row>
    <row r="152" spans="1:98" hidden="1" x14ac:dyDescent="0.25">
      <c r="A152" s="97">
        <v>0</v>
      </c>
      <c r="B152" s="90">
        <f t="shared" si="37"/>
        <v>1998</v>
      </c>
      <c r="C152" s="101"/>
      <c r="D152" s="171">
        <f t="shared" si="40"/>
        <v>0</v>
      </c>
      <c r="E152" s="171">
        <f t="shared" si="40"/>
        <v>0</v>
      </c>
      <c r="F152" s="171">
        <f t="shared" si="40"/>
        <v>0</v>
      </c>
      <c r="G152" s="171">
        <f t="shared" si="40"/>
        <v>0</v>
      </c>
      <c r="H152" s="171">
        <f t="shared" si="40"/>
        <v>0</v>
      </c>
      <c r="I152" s="171">
        <f t="shared" si="40"/>
        <v>0</v>
      </c>
      <c r="J152" s="171">
        <f t="shared" si="40"/>
        <v>0</v>
      </c>
      <c r="K152" s="171">
        <f t="shared" si="40"/>
        <v>0</v>
      </c>
      <c r="L152" s="171">
        <f t="shared" si="40"/>
        <v>0</v>
      </c>
      <c r="M152" s="171">
        <f t="shared" si="40"/>
        <v>0</v>
      </c>
      <c r="N152" s="171">
        <f t="shared" si="40"/>
        <v>0</v>
      </c>
      <c r="O152" s="171">
        <f t="shared" si="40"/>
        <v>0</v>
      </c>
      <c r="P152" s="171">
        <f t="shared" si="40"/>
        <v>0</v>
      </c>
      <c r="Q152" s="171">
        <f t="shared" si="40"/>
        <v>0</v>
      </c>
      <c r="R152" s="171">
        <f t="shared" si="40"/>
        <v>0</v>
      </c>
      <c r="S152" s="171">
        <f t="shared" si="40"/>
        <v>0</v>
      </c>
      <c r="T152" s="171">
        <f t="shared" si="40"/>
        <v>0</v>
      </c>
      <c r="U152" s="171">
        <f t="shared" si="40"/>
        <v>0</v>
      </c>
      <c r="V152" s="171">
        <f t="shared" si="40"/>
        <v>0</v>
      </c>
      <c r="W152" s="171">
        <f t="shared" si="40"/>
        <v>0</v>
      </c>
      <c r="X152" s="171">
        <f t="shared" si="40"/>
        <v>0</v>
      </c>
      <c r="Y152" s="171">
        <f t="shared" si="40"/>
        <v>0</v>
      </c>
      <c r="Z152" s="171">
        <f t="shared" si="40"/>
        <v>0</v>
      </c>
      <c r="AA152" s="171">
        <f t="shared" si="40"/>
        <v>0</v>
      </c>
      <c r="AB152" s="171">
        <f t="shared" si="40"/>
        <v>0</v>
      </c>
      <c r="AC152" s="171">
        <f t="shared" si="40"/>
        <v>0</v>
      </c>
      <c r="AD152" s="171">
        <f t="shared" si="40"/>
        <v>0</v>
      </c>
      <c r="AE152" s="171">
        <f t="shared" si="40"/>
        <v>0</v>
      </c>
      <c r="AF152" s="171">
        <f t="shared" si="40"/>
        <v>0</v>
      </c>
      <c r="AG152" s="171">
        <f t="shared" si="40"/>
        <v>0</v>
      </c>
      <c r="AH152" s="171">
        <f t="shared" si="40"/>
        <v>0</v>
      </c>
      <c r="AI152" s="171">
        <f t="shared" si="40"/>
        <v>0</v>
      </c>
      <c r="AJ152" s="171">
        <f t="shared" si="39"/>
        <v>0</v>
      </c>
      <c r="AK152" s="171">
        <f t="shared" si="39"/>
        <v>0</v>
      </c>
      <c r="AL152" s="171">
        <f t="shared" si="39"/>
        <v>0</v>
      </c>
      <c r="AM152" s="171">
        <f t="shared" si="39"/>
        <v>0</v>
      </c>
      <c r="AN152" s="171">
        <f t="shared" si="39"/>
        <v>0</v>
      </c>
      <c r="AO152" s="171">
        <f t="shared" si="39"/>
        <v>0</v>
      </c>
      <c r="AP152" s="171">
        <f t="shared" si="39"/>
        <v>0</v>
      </c>
      <c r="AQ152" s="171">
        <f t="shared" si="39"/>
        <v>0</v>
      </c>
      <c r="AR152" s="171">
        <f t="shared" si="39"/>
        <v>0</v>
      </c>
      <c r="AS152" s="171">
        <f t="shared" si="39"/>
        <v>0</v>
      </c>
      <c r="AT152" s="171">
        <f t="shared" si="39"/>
        <v>0</v>
      </c>
      <c r="AU152" s="171">
        <f t="shared" si="39"/>
        <v>0</v>
      </c>
      <c r="AV152" s="171">
        <f t="shared" si="39"/>
        <v>0</v>
      </c>
      <c r="AW152" s="171">
        <f t="shared" si="39"/>
        <v>0</v>
      </c>
      <c r="AX152" s="171">
        <f t="shared" si="39"/>
        <v>0</v>
      </c>
      <c r="AY152" s="171">
        <f t="shared" si="39"/>
        <v>0</v>
      </c>
      <c r="AZ152" s="171">
        <f t="shared" si="39"/>
        <v>0</v>
      </c>
      <c r="BA152" s="171">
        <f t="shared" si="39"/>
        <v>0</v>
      </c>
      <c r="BB152" s="171">
        <f t="shared" si="39"/>
        <v>0</v>
      </c>
      <c r="BC152" s="171">
        <f t="shared" si="39"/>
        <v>0</v>
      </c>
      <c r="BD152" s="171">
        <f t="shared" si="39"/>
        <v>0</v>
      </c>
      <c r="BE152" s="171">
        <f t="shared" si="39"/>
        <v>0</v>
      </c>
      <c r="BF152" s="171">
        <f t="shared" si="39"/>
        <v>0</v>
      </c>
      <c r="BG152" s="171">
        <f t="shared" si="39"/>
        <v>0</v>
      </c>
      <c r="BH152" s="171">
        <f t="shared" si="39"/>
        <v>0</v>
      </c>
      <c r="BI152" s="171">
        <f t="shared" si="39"/>
        <v>0</v>
      </c>
      <c r="BJ152" s="171">
        <f t="shared" si="39"/>
        <v>0</v>
      </c>
      <c r="BK152" s="171">
        <f t="shared" si="39"/>
        <v>0</v>
      </c>
      <c r="BL152" s="171">
        <f t="shared" si="39"/>
        <v>0</v>
      </c>
      <c r="BM152" s="171">
        <f t="shared" si="39"/>
        <v>0</v>
      </c>
      <c r="BN152" s="171">
        <f t="shared" si="39"/>
        <v>0</v>
      </c>
      <c r="BO152" s="171">
        <f t="shared" si="39"/>
        <v>0</v>
      </c>
      <c r="BP152" s="171">
        <f t="shared" si="39"/>
        <v>0</v>
      </c>
      <c r="BQ152" s="171">
        <f t="shared" si="39"/>
        <v>0</v>
      </c>
      <c r="BR152" s="171">
        <f t="shared" si="39"/>
        <v>0</v>
      </c>
      <c r="BS152" s="171">
        <f t="shared" si="39"/>
        <v>0</v>
      </c>
      <c r="BT152" s="171">
        <f t="shared" si="39"/>
        <v>0</v>
      </c>
      <c r="BU152" s="171">
        <f t="shared" si="39"/>
        <v>0</v>
      </c>
      <c r="BV152" s="171">
        <f t="shared" si="39"/>
        <v>0</v>
      </c>
      <c r="BW152" s="171">
        <f t="shared" si="39"/>
        <v>0</v>
      </c>
      <c r="BX152" s="171">
        <f t="shared" si="39"/>
        <v>0</v>
      </c>
      <c r="BY152" s="171">
        <f t="shared" si="39"/>
        <v>0</v>
      </c>
      <c r="BZ152" s="171">
        <f t="shared" si="39"/>
        <v>0</v>
      </c>
      <c r="CA152" s="171">
        <f t="shared" si="39"/>
        <v>0</v>
      </c>
      <c r="CB152" s="171">
        <f t="shared" si="39"/>
        <v>0</v>
      </c>
      <c r="CC152" s="171">
        <f t="shared" si="39"/>
        <v>0</v>
      </c>
      <c r="CD152" s="171">
        <f t="shared" si="39"/>
        <v>0</v>
      </c>
      <c r="CE152" s="171">
        <f t="shared" si="39"/>
        <v>0</v>
      </c>
      <c r="CF152" s="171">
        <f t="shared" si="39"/>
        <v>0</v>
      </c>
      <c r="CG152" s="171">
        <f t="shared" si="39"/>
        <v>0</v>
      </c>
      <c r="CH152" s="171">
        <f t="shared" si="39"/>
        <v>0</v>
      </c>
      <c r="CI152" s="171">
        <f t="shared" si="39"/>
        <v>0</v>
      </c>
      <c r="CJ152" s="171">
        <f t="shared" si="39"/>
        <v>0</v>
      </c>
      <c r="CK152" s="171">
        <f t="shared" si="39"/>
        <v>0</v>
      </c>
      <c r="CL152" s="171">
        <f t="shared" si="39"/>
        <v>0</v>
      </c>
      <c r="CM152" s="171">
        <f t="shared" si="39"/>
        <v>0</v>
      </c>
      <c r="CN152" s="171">
        <f t="shared" si="39"/>
        <v>0</v>
      </c>
      <c r="CO152" s="171">
        <f t="shared" si="39"/>
        <v>0</v>
      </c>
      <c r="CP152" s="171">
        <f t="shared" si="39"/>
        <v>0</v>
      </c>
      <c r="CQ152" s="171">
        <f t="shared" si="39"/>
        <v>0</v>
      </c>
      <c r="CR152" s="171">
        <f t="shared" si="39"/>
        <v>0</v>
      </c>
      <c r="CS152" s="172">
        <f t="shared" si="39"/>
        <v>0</v>
      </c>
      <c r="CT152" s="85" t="s">
        <v>54</v>
      </c>
    </row>
    <row r="153" spans="1:98" hidden="1" x14ac:dyDescent="0.25">
      <c r="A153" s="97">
        <v>0</v>
      </c>
      <c r="B153" s="90">
        <f t="shared" si="37"/>
        <v>1999</v>
      </c>
      <c r="C153" s="101"/>
      <c r="D153" s="171">
        <f t="shared" si="40"/>
        <v>0</v>
      </c>
      <c r="E153" s="171">
        <f t="shared" si="40"/>
        <v>0</v>
      </c>
      <c r="F153" s="171">
        <f t="shared" si="40"/>
        <v>0</v>
      </c>
      <c r="G153" s="171">
        <f t="shared" si="40"/>
        <v>0</v>
      </c>
      <c r="H153" s="171">
        <f t="shared" si="40"/>
        <v>0</v>
      </c>
      <c r="I153" s="171">
        <f t="shared" si="40"/>
        <v>0</v>
      </c>
      <c r="J153" s="171">
        <f t="shared" si="40"/>
        <v>0</v>
      </c>
      <c r="K153" s="171">
        <f t="shared" si="40"/>
        <v>0</v>
      </c>
      <c r="L153" s="171">
        <f t="shared" si="40"/>
        <v>0</v>
      </c>
      <c r="M153" s="171">
        <f t="shared" si="40"/>
        <v>0</v>
      </c>
      <c r="N153" s="171">
        <f t="shared" si="40"/>
        <v>0</v>
      </c>
      <c r="O153" s="171">
        <f t="shared" si="40"/>
        <v>0</v>
      </c>
      <c r="P153" s="171">
        <f t="shared" si="40"/>
        <v>0</v>
      </c>
      <c r="Q153" s="171">
        <f t="shared" si="40"/>
        <v>0</v>
      </c>
      <c r="R153" s="171">
        <f t="shared" si="40"/>
        <v>0</v>
      </c>
      <c r="S153" s="171">
        <f t="shared" si="40"/>
        <v>0</v>
      </c>
      <c r="T153" s="171">
        <f t="shared" si="40"/>
        <v>0</v>
      </c>
      <c r="U153" s="171">
        <f t="shared" si="40"/>
        <v>0</v>
      </c>
      <c r="V153" s="171">
        <f t="shared" si="40"/>
        <v>0</v>
      </c>
      <c r="W153" s="171">
        <f t="shared" si="40"/>
        <v>0</v>
      </c>
      <c r="X153" s="171">
        <f t="shared" si="40"/>
        <v>0</v>
      </c>
      <c r="Y153" s="171">
        <f t="shared" si="40"/>
        <v>0</v>
      </c>
      <c r="Z153" s="171">
        <f t="shared" si="40"/>
        <v>0</v>
      </c>
      <c r="AA153" s="171">
        <f t="shared" si="40"/>
        <v>0</v>
      </c>
      <c r="AB153" s="171">
        <f t="shared" si="40"/>
        <v>0</v>
      </c>
      <c r="AC153" s="171">
        <f t="shared" si="40"/>
        <v>0</v>
      </c>
      <c r="AD153" s="171">
        <f t="shared" si="40"/>
        <v>0</v>
      </c>
      <c r="AE153" s="171">
        <f t="shared" si="40"/>
        <v>0</v>
      </c>
      <c r="AF153" s="171">
        <f t="shared" si="40"/>
        <v>0</v>
      </c>
      <c r="AG153" s="171">
        <f t="shared" si="40"/>
        <v>0</v>
      </c>
      <c r="AH153" s="171">
        <f t="shared" si="40"/>
        <v>0</v>
      </c>
      <c r="AI153" s="171">
        <f t="shared" si="40"/>
        <v>0</v>
      </c>
      <c r="AJ153" s="171">
        <f t="shared" si="39"/>
        <v>0</v>
      </c>
      <c r="AK153" s="171">
        <f t="shared" si="39"/>
        <v>0</v>
      </c>
      <c r="AL153" s="171">
        <f t="shared" si="39"/>
        <v>0</v>
      </c>
      <c r="AM153" s="171">
        <f t="shared" si="39"/>
        <v>0</v>
      </c>
      <c r="AN153" s="171">
        <f t="shared" si="39"/>
        <v>0</v>
      </c>
      <c r="AO153" s="171">
        <f t="shared" si="39"/>
        <v>0</v>
      </c>
      <c r="AP153" s="171">
        <f t="shared" si="39"/>
        <v>0</v>
      </c>
      <c r="AQ153" s="171">
        <f t="shared" si="39"/>
        <v>0</v>
      </c>
      <c r="AR153" s="171">
        <f t="shared" si="39"/>
        <v>0</v>
      </c>
      <c r="AS153" s="171">
        <f t="shared" si="39"/>
        <v>0</v>
      </c>
      <c r="AT153" s="171">
        <f t="shared" si="39"/>
        <v>0</v>
      </c>
      <c r="AU153" s="171">
        <f t="shared" si="39"/>
        <v>0</v>
      </c>
      <c r="AV153" s="171">
        <f t="shared" si="39"/>
        <v>0</v>
      </c>
      <c r="AW153" s="171">
        <f t="shared" si="39"/>
        <v>0</v>
      </c>
      <c r="AX153" s="171">
        <f t="shared" si="39"/>
        <v>0</v>
      </c>
      <c r="AY153" s="171">
        <f t="shared" si="39"/>
        <v>0</v>
      </c>
      <c r="AZ153" s="171">
        <f t="shared" si="39"/>
        <v>0</v>
      </c>
      <c r="BA153" s="171">
        <f t="shared" si="39"/>
        <v>0</v>
      </c>
      <c r="BB153" s="171">
        <f t="shared" si="39"/>
        <v>0</v>
      </c>
      <c r="BC153" s="171">
        <f t="shared" si="39"/>
        <v>0</v>
      </c>
      <c r="BD153" s="171">
        <f t="shared" si="39"/>
        <v>0</v>
      </c>
      <c r="BE153" s="171">
        <f t="shared" si="39"/>
        <v>0</v>
      </c>
      <c r="BF153" s="171">
        <f t="shared" si="39"/>
        <v>0</v>
      </c>
      <c r="BG153" s="171">
        <f t="shared" si="39"/>
        <v>0</v>
      </c>
      <c r="BH153" s="171">
        <f t="shared" si="39"/>
        <v>0</v>
      </c>
      <c r="BI153" s="171">
        <f t="shared" si="39"/>
        <v>0</v>
      </c>
      <c r="BJ153" s="171">
        <f t="shared" si="39"/>
        <v>0</v>
      </c>
      <c r="BK153" s="171">
        <f t="shared" si="39"/>
        <v>0</v>
      </c>
      <c r="BL153" s="171">
        <f t="shared" si="39"/>
        <v>0</v>
      </c>
      <c r="BM153" s="171">
        <f t="shared" si="39"/>
        <v>0</v>
      </c>
      <c r="BN153" s="171">
        <f t="shared" si="39"/>
        <v>0</v>
      </c>
      <c r="BO153" s="171">
        <f t="shared" si="39"/>
        <v>0</v>
      </c>
      <c r="BP153" s="171">
        <f t="shared" si="39"/>
        <v>0</v>
      </c>
      <c r="BQ153" s="171">
        <f t="shared" si="39"/>
        <v>0</v>
      </c>
      <c r="BR153" s="171">
        <f t="shared" si="39"/>
        <v>0</v>
      </c>
      <c r="BS153" s="171">
        <f t="shared" si="39"/>
        <v>0</v>
      </c>
      <c r="BT153" s="171">
        <f t="shared" si="39"/>
        <v>0</v>
      </c>
      <c r="BU153" s="171">
        <f t="shared" si="39"/>
        <v>0</v>
      </c>
      <c r="BV153" s="171">
        <f t="shared" si="39"/>
        <v>0</v>
      </c>
      <c r="BW153" s="171">
        <f t="shared" si="39"/>
        <v>0</v>
      </c>
      <c r="BX153" s="171">
        <f t="shared" si="39"/>
        <v>0</v>
      </c>
      <c r="BY153" s="171">
        <f t="shared" si="39"/>
        <v>0</v>
      </c>
      <c r="BZ153" s="171">
        <f t="shared" si="39"/>
        <v>0</v>
      </c>
      <c r="CA153" s="171">
        <f t="shared" si="39"/>
        <v>0</v>
      </c>
      <c r="CB153" s="171">
        <f t="shared" si="39"/>
        <v>0</v>
      </c>
      <c r="CC153" s="171">
        <f t="shared" si="39"/>
        <v>0</v>
      </c>
      <c r="CD153" s="171">
        <f t="shared" si="39"/>
        <v>0</v>
      </c>
      <c r="CE153" s="171">
        <f t="shared" si="39"/>
        <v>0</v>
      </c>
      <c r="CF153" s="171">
        <f t="shared" si="39"/>
        <v>0</v>
      </c>
      <c r="CG153" s="171">
        <f t="shared" si="39"/>
        <v>0</v>
      </c>
      <c r="CH153" s="171">
        <f t="shared" si="39"/>
        <v>0</v>
      </c>
      <c r="CI153" s="171">
        <f t="shared" si="39"/>
        <v>0</v>
      </c>
      <c r="CJ153" s="171">
        <f t="shared" si="39"/>
        <v>0</v>
      </c>
      <c r="CK153" s="171">
        <f t="shared" si="39"/>
        <v>0</v>
      </c>
      <c r="CL153" s="171">
        <f t="shared" si="39"/>
        <v>0</v>
      </c>
      <c r="CM153" s="171">
        <f t="shared" si="39"/>
        <v>0</v>
      </c>
      <c r="CN153" s="171">
        <f t="shared" si="39"/>
        <v>0</v>
      </c>
      <c r="CO153" s="171">
        <f t="shared" si="39"/>
        <v>0</v>
      </c>
      <c r="CP153" s="171">
        <f t="shared" si="39"/>
        <v>0</v>
      </c>
      <c r="CQ153" s="171">
        <f t="shared" si="39"/>
        <v>0</v>
      </c>
      <c r="CR153" s="171">
        <f t="shared" si="39"/>
        <v>0</v>
      </c>
      <c r="CS153" s="172">
        <f t="shared" si="39"/>
        <v>0</v>
      </c>
      <c r="CT153" s="85" t="s">
        <v>54</v>
      </c>
    </row>
    <row r="154" spans="1:98" hidden="1" x14ac:dyDescent="0.25">
      <c r="A154" s="97">
        <v>0</v>
      </c>
      <c r="B154" s="90">
        <f t="shared" si="37"/>
        <v>2000</v>
      </c>
      <c r="C154" s="101"/>
      <c r="D154" s="171">
        <f t="shared" si="40"/>
        <v>0</v>
      </c>
      <c r="E154" s="171">
        <f t="shared" si="40"/>
        <v>0</v>
      </c>
      <c r="F154" s="171">
        <f t="shared" si="40"/>
        <v>0</v>
      </c>
      <c r="G154" s="171">
        <f t="shared" si="40"/>
        <v>0</v>
      </c>
      <c r="H154" s="171">
        <f t="shared" si="40"/>
        <v>0</v>
      </c>
      <c r="I154" s="171">
        <f t="shared" si="40"/>
        <v>0</v>
      </c>
      <c r="J154" s="171">
        <f t="shared" si="40"/>
        <v>0</v>
      </c>
      <c r="K154" s="171">
        <f t="shared" si="40"/>
        <v>0</v>
      </c>
      <c r="L154" s="171">
        <f t="shared" si="40"/>
        <v>0</v>
      </c>
      <c r="M154" s="171">
        <f t="shared" si="40"/>
        <v>0</v>
      </c>
      <c r="N154" s="171">
        <f t="shared" si="40"/>
        <v>0</v>
      </c>
      <c r="O154" s="171">
        <f t="shared" si="40"/>
        <v>0</v>
      </c>
      <c r="P154" s="171">
        <f t="shared" si="40"/>
        <v>0</v>
      </c>
      <c r="Q154" s="171">
        <f t="shared" si="40"/>
        <v>0</v>
      </c>
      <c r="R154" s="171">
        <f t="shared" si="40"/>
        <v>0</v>
      </c>
      <c r="S154" s="171">
        <f t="shared" si="40"/>
        <v>0</v>
      </c>
      <c r="T154" s="171">
        <f t="shared" si="40"/>
        <v>0</v>
      </c>
      <c r="U154" s="171">
        <f t="shared" si="40"/>
        <v>0</v>
      </c>
      <c r="V154" s="171">
        <f t="shared" si="40"/>
        <v>0</v>
      </c>
      <c r="W154" s="171">
        <f t="shared" si="40"/>
        <v>0</v>
      </c>
      <c r="X154" s="171">
        <f t="shared" si="40"/>
        <v>0</v>
      </c>
      <c r="Y154" s="171">
        <f t="shared" si="40"/>
        <v>0</v>
      </c>
      <c r="Z154" s="171">
        <f t="shared" si="40"/>
        <v>0</v>
      </c>
      <c r="AA154" s="171">
        <f t="shared" si="40"/>
        <v>0</v>
      </c>
      <c r="AB154" s="171">
        <f t="shared" si="40"/>
        <v>0</v>
      </c>
      <c r="AC154" s="171">
        <f t="shared" si="40"/>
        <v>0</v>
      </c>
      <c r="AD154" s="171">
        <f t="shared" si="40"/>
        <v>0</v>
      </c>
      <c r="AE154" s="171">
        <f t="shared" si="40"/>
        <v>0</v>
      </c>
      <c r="AF154" s="171">
        <f t="shared" si="40"/>
        <v>0</v>
      </c>
      <c r="AG154" s="171">
        <f t="shared" si="40"/>
        <v>0</v>
      </c>
      <c r="AH154" s="171">
        <f t="shared" si="40"/>
        <v>0</v>
      </c>
      <c r="AI154" s="171">
        <f t="shared" si="40"/>
        <v>0</v>
      </c>
      <c r="AJ154" s="171">
        <f t="shared" si="39"/>
        <v>0</v>
      </c>
      <c r="AK154" s="171">
        <f t="shared" si="39"/>
        <v>0</v>
      </c>
      <c r="AL154" s="171">
        <f t="shared" si="39"/>
        <v>0</v>
      </c>
      <c r="AM154" s="171">
        <f t="shared" si="39"/>
        <v>0</v>
      </c>
      <c r="AN154" s="171">
        <f t="shared" si="39"/>
        <v>0</v>
      </c>
      <c r="AO154" s="171">
        <f t="shared" si="39"/>
        <v>0</v>
      </c>
      <c r="AP154" s="171">
        <f t="shared" si="39"/>
        <v>0</v>
      </c>
      <c r="AQ154" s="171">
        <f t="shared" ref="AQ154:CS161" si="41">IF(AQ127="",1,0)*IF(AQ100="",1,0)*SUM(AQ46)*IF(AQ73="",0,1)</f>
        <v>0</v>
      </c>
      <c r="AR154" s="171">
        <f t="shared" si="41"/>
        <v>0</v>
      </c>
      <c r="AS154" s="171">
        <f t="shared" si="41"/>
        <v>0</v>
      </c>
      <c r="AT154" s="171">
        <f t="shared" si="41"/>
        <v>0</v>
      </c>
      <c r="AU154" s="171">
        <f t="shared" si="41"/>
        <v>0</v>
      </c>
      <c r="AV154" s="171">
        <f t="shared" si="41"/>
        <v>0</v>
      </c>
      <c r="AW154" s="171">
        <f t="shared" si="41"/>
        <v>0</v>
      </c>
      <c r="AX154" s="171">
        <f t="shared" si="41"/>
        <v>0</v>
      </c>
      <c r="AY154" s="171">
        <f t="shared" si="41"/>
        <v>0</v>
      </c>
      <c r="AZ154" s="171">
        <f t="shared" si="41"/>
        <v>0</v>
      </c>
      <c r="BA154" s="171">
        <f t="shared" si="41"/>
        <v>0</v>
      </c>
      <c r="BB154" s="171">
        <f t="shared" si="41"/>
        <v>0</v>
      </c>
      <c r="BC154" s="171">
        <f t="shared" si="41"/>
        <v>0</v>
      </c>
      <c r="BD154" s="171">
        <f t="shared" si="41"/>
        <v>0</v>
      </c>
      <c r="BE154" s="171">
        <f t="shared" si="41"/>
        <v>0</v>
      </c>
      <c r="BF154" s="171">
        <f t="shared" si="41"/>
        <v>0</v>
      </c>
      <c r="BG154" s="171">
        <f t="shared" si="41"/>
        <v>0</v>
      </c>
      <c r="BH154" s="171">
        <f t="shared" si="41"/>
        <v>0</v>
      </c>
      <c r="BI154" s="171">
        <f t="shared" si="41"/>
        <v>0</v>
      </c>
      <c r="BJ154" s="171">
        <f t="shared" si="41"/>
        <v>0</v>
      </c>
      <c r="BK154" s="171">
        <f t="shared" si="41"/>
        <v>0</v>
      </c>
      <c r="BL154" s="171">
        <f t="shared" si="41"/>
        <v>0</v>
      </c>
      <c r="BM154" s="171">
        <f t="shared" si="41"/>
        <v>0</v>
      </c>
      <c r="BN154" s="171">
        <f t="shared" si="41"/>
        <v>0</v>
      </c>
      <c r="BO154" s="171">
        <f t="shared" si="41"/>
        <v>0</v>
      </c>
      <c r="BP154" s="171">
        <f t="shared" si="41"/>
        <v>0</v>
      </c>
      <c r="BQ154" s="171">
        <f t="shared" si="41"/>
        <v>0</v>
      </c>
      <c r="BR154" s="171">
        <f t="shared" si="41"/>
        <v>0</v>
      </c>
      <c r="BS154" s="171">
        <f t="shared" si="41"/>
        <v>0</v>
      </c>
      <c r="BT154" s="171">
        <f t="shared" si="41"/>
        <v>0</v>
      </c>
      <c r="BU154" s="171">
        <f t="shared" si="41"/>
        <v>0</v>
      </c>
      <c r="BV154" s="171">
        <f t="shared" si="41"/>
        <v>0</v>
      </c>
      <c r="BW154" s="171">
        <f t="shared" si="41"/>
        <v>0</v>
      </c>
      <c r="BX154" s="171">
        <f t="shared" si="41"/>
        <v>0</v>
      </c>
      <c r="BY154" s="171">
        <f t="shared" si="41"/>
        <v>0</v>
      </c>
      <c r="BZ154" s="171">
        <f t="shared" si="41"/>
        <v>0</v>
      </c>
      <c r="CA154" s="171">
        <f t="shared" si="41"/>
        <v>0</v>
      </c>
      <c r="CB154" s="171">
        <f t="shared" si="41"/>
        <v>0</v>
      </c>
      <c r="CC154" s="171">
        <f t="shared" si="41"/>
        <v>0</v>
      </c>
      <c r="CD154" s="171">
        <f t="shared" si="41"/>
        <v>0</v>
      </c>
      <c r="CE154" s="171">
        <f t="shared" si="41"/>
        <v>0</v>
      </c>
      <c r="CF154" s="171">
        <f t="shared" si="41"/>
        <v>0</v>
      </c>
      <c r="CG154" s="171">
        <f t="shared" si="41"/>
        <v>0</v>
      </c>
      <c r="CH154" s="171">
        <f t="shared" si="41"/>
        <v>0</v>
      </c>
      <c r="CI154" s="171">
        <f t="shared" si="41"/>
        <v>0</v>
      </c>
      <c r="CJ154" s="171">
        <f t="shared" si="41"/>
        <v>0</v>
      </c>
      <c r="CK154" s="171">
        <f t="shared" si="41"/>
        <v>0</v>
      </c>
      <c r="CL154" s="171">
        <f t="shared" si="41"/>
        <v>0</v>
      </c>
      <c r="CM154" s="171">
        <f t="shared" si="41"/>
        <v>0</v>
      </c>
      <c r="CN154" s="171">
        <f t="shared" si="41"/>
        <v>0</v>
      </c>
      <c r="CO154" s="171">
        <f t="shared" si="41"/>
        <v>0</v>
      </c>
      <c r="CP154" s="171">
        <f t="shared" si="41"/>
        <v>0</v>
      </c>
      <c r="CQ154" s="171">
        <f t="shared" si="41"/>
        <v>0</v>
      </c>
      <c r="CR154" s="171">
        <f t="shared" si="41"/>
        <v>0</v>
      </c>
      <c r="CS154" s="172">
        <f t="shared" si="41"/>
        <v>0</v>
      </c>
      <c r="CT154" s="85" t="s">
        <v>54</v>
      </c>
    </row>
    <row r="155" spans="1:98" hidden="1" x14ac:dyDescent="0.25">
      <c r="A155" s="97">
        <v>0</v>
      </c>
      <c r="B155" s="90">
        <f t="shared" si="37"/>
        <v>2001</v>
      </c>
      <c r="C155" s="101"/>
      <c r="D155" s="171">
        <f t="shared" si="40"/>
        <v>0</v>
      </c>
      <c r="E155" s="171">
        <f t="shared" si="40"/>
        <v>0</v>
      </c>
      <c r="F155" s="171">
        <f t="shared" si="40"/>
        <v>0</v>
      </c>
      <c r="G155" s="171">
        <f t="shared" si="40"/>
        <v>0</v>
      </c>
      <c r="H155" s="171">
        <f t="shared" si="40"/>
        <v>0</v>
      </c>
      <c r="I155" s="171">
        <f t="shared" si="40"/>
        <v>0</v>
      </c>
      <c r="J155" s="171">
        <f t="shared" si="40"/>
        <v>0</v>
      </c>
      <c r="K155" s="171">
        <f t="shared" si="40"/>
        <v>0</v>
      </c>
      <c r="L155" s="171">
        <f t="shared" si="40"/>
        <v>0</v>
      </c>
      <c r="M155" s="171">
        <f t="shared" si="40"/>
        <v>0</v>
      </c>
      <c r="N155" s="171">
        <f t="shared" si="40"/>
        <v>0</v>
      </c>
      <c r="O155" s="171">
        <f t="shared" si="40"/>
        <v>0</v>
      </c>
      <c r="P155" s="171">
        <f t="shared" si="40"/>
        <v>0</v>
      </c>
      <c r="Q155" s="171">
        <f t="shared" si="40"/>
        <v>0</v>
      </c>
      <c r="R155" s="171">
        <f t="shared" si="40"/>
        <v>0</v>
      </c>
      <c r="S155" s="171">
        <f t="shared" si="40"/>
        <v>0</v>
      </c>
      <c r="T155" s="171">
        <f t="shared" si="40"/>
        <v>0</v>
      </c>
      <c r="U155" s="171">
        <f t="shared" si="40"/>
        <v>0</v>
      </c>
      <c r="V155" s="171">
        <f t="shared" si="40"/>
        <v>0</v>
      </c>
      <c r="W155" s="171">
        <f t="shared" si="40"/>
        <v>0</v>
      </c>
      <c r="X155" s="171">
        <f t="shared" si="40"/>
        <v>0</v>
      </c>
      <c r="Y155" s="171">
        <f t="shared" si="40"/>
        <v>0</v>
      </c>
      <c r="Z155" s="171">
        <f t="shared" si="40"/>
        <v>0</v>
      </c>
      <c r="AA155" s="171">
        <f t="shared" si="40"/>
        <v>0</v>
      </c>
      <c r="AB155" s="171">
        <f t="shared" si="40"/>
        <v>0</v>
      </c>
      <c r="AC155" s="171">
        <f t="shared" si="40"/>
        <v>0</v>
      </c>
      <c r="AD155" s="171">
        <f t="shared" si="40"/>
        <v>0</v>
      </c>
      <c r="AE155" s="171">
        <f t="shared" si="40"/>
        <v>0</v>
      </c>
      <c r="AF155" s="171">
        <f t="shared" si="40"/>
        <v>0</v>
      </c>
      <c r="AG155" s="171">
        <f t="shared" si="40"/>
        <v>0</v>
      </c>
      <c r="AH155" s="171">
        <f t="shared" si="40"/>
        <v>0</v>
      </c>
      <c r="AI155" s="171">
        <f t="shared" si="40"/>
        <v>0</v>
      </c>
      <c r="AJ155" s="171">
        <f t="shared" ref="AJ155:BO162" si="42">IF(AJ128="",1,0)*IF(AJ101="",1,0)*SUM(AJ47)*IF(AJ74="",0,1)</f>
        <v>0</v>
      </c>
      <c r="AK155" s="171">
        <f t="shared" si="42"/>
        <v>0</v>
      </c>
      <c r="AL155" s="171">
        <f t="shared" si="42"/>
        <v>0</v>
      </c>
      <c r="AM155" s="171">
        <f t="shared" si="42"/>
        <v>0</v>
      </c>
      <c r="AN155" s="171">
        <f t="shared" si="42"/>
        <v>0</v>
      </c>
      <c r="AO155" s="171">
        <f t="shared" si="42"/>
        <v>0</v>
      </c>
      <c r="AP155" s="171">
        <f t="shared" si="42"/>
        <v>0</v>
      </c>
      <c r="AQ155" s="171">
        <f t="shared" si="42"/>
        <v>0</v>
      </c>
      <c r="AR155" s="171">
        <f t="shared" si="42"/>
        <v>0</v>
      </c>
      <c r="AS155" s="171">
        <f t="shared" si="42"/>
        <v>0</v>
      </c>
      <c r="AT155" s="171">
        <f t="shared" si="42"/>
        <v>0</v>
      </c>
      <c r="AU155" s="171">
        <f t="shared" si="42"/>
        <v>0</v>
      </c>
      <c r="AV155" s="171">
        <f t="shared" si="42"/>
        <v>0</v>
      </c>
      <c r="AW155" s="171">
        <f t="shared" si="42"/>
        <v>0</v>
      </c>
      <c r="AX155" s="171">
        <f t="shared" si="42"/>
        <v>0</v>
      </c>
      <c r="AY155" s="171">
        <f t="shared" si="42"/>
        <v>0</v>
      </c>
      <c r="AZ155" s="171">
        <f t="shared" si="42"/>
        <v>0</v>
      </c>
      <c r="BA155" s="171">
        <f t="shared" si="42"/>
        <v>0</v>
      </c>
      <c r="BB155" s="171">
        <f t="shared" si="42"/>
        <v>0</v>
      </c>
      <c r="BC155" s="171">
        <f t="shared" si="42"/>
        <v>0</v>
      </c>
      <c r="BD155" s="171">
        <f t="shared" si="42"/>
        <v>0</v>
      </c>
      <c r="BE155" s="171">
        <f t="shared" si="42"/>
        <v>0</v>
      </c>
      <c r="BF155" s="171">
        <f t="shared" si="42"/>
        <v>0</v>
      </c>
      <c r="BG155" s="171">
        <f t="shared" si="42"/>
        <v>0</v>
      </c>
      <c r="BH155" s="171">
        <f t="shared" si="42"/>
        <v>0</v>
      </c>
      <c r="BI155" s="171">
        <f t="shared" si="42"/>
        <v>0</v>
      </c>
      <c r="BJ155" s="171">
        <f t="shared" si="42"/>
        <v>0</v>
      </c>
      <c r="BK155" s="171">
        <f t="shared" si="42"/>
        <v>0</v>
      </c>
      <c r="BL155" s="171">
        <f t="shared" si="42"/>
        <v>0</v>
      </c>
      <c r="BM155" s="171">
        <f t="shared" si="42"/>
        <v>0</v>
      </c>
      <c r="BN155" s="171">
        <f t="shared" si="42"/>
        <v>0</v>
      </c>
      <c r="BO155" s="171">
        <f t="shared" si="42"/>
        <v>0</v>
      </c>
      <c r="BP155" s="171">
        <f t="shared" si="41"/>
        <v>0</v>
      </c>
      <c r="BQ155" s="171">
        <f t="shared" si="41"/>
        <v>0</v>
      </c>
      <c r="BR155" s="171">
        <f t="shared" si="41"/>
        <v>0</v>
      </c>
      <c r="BS155" s="171">
        <f t="shared" si="41"/>
        <v>0</v>
      </c>
      <c r="BT155" s="171">
        <f t="shared" si="41"/>
        <v>0</v>
      </c>
      <c r="BU155" s="171">
        <f t="shared" si="41"/>
        <v>0</v>
      </c>
      <c r="BV155" s="171">
        <f t="shared" si="41"/>
        <v>0</v>
      </c>
      <c r="BW155" s="171">
        <f t="shared" si="41"/>
        <v>0</v>
      </c>
      <c r="BX155" s="171">
        <f t="shared" si="41"/>
        <v>0</v>
      </c>
      <c r="BY155" s="171">
        <f t="shared" si="41"/>
        <v>0</v>
      </c>
      <c r="BZ155" s="171">
        <f t="shared" si="41"/>
        <v>0</v>
      </c>
      <c r="CA155" s="171">
        <f t="shared" si="41"/>
        <v>0</v>
      </c>
      <c r="CB155" s="171">
        <f t="shared" si="41"/>
        <v>0</v>
      </c>
      <c r="CC155" s="171">
        <f t="shared" si="41"/>
        <v>0</v>
      </c>
      <c r="CD155" s="171">
        <f t="shared" si="41"/>
        <v>0</v>
      </c>
      <c r="CE155" s="171">
        <f t="shared" si="41"/>
        <v>0</v>
      </c>
      <c r="CF155" s="171">
        <f t="shared" si="41"/>
        <v>0</v>
      </c>
      <c r="CG155" s="171">
        <f t="shared" si="41"/>
        <v>0</v>
      </c>
      <c r="CH155" s="171">
        <f t="shared" si="41"/>
        <v>0</v>
      </c>
      <c r="CI155" s="171">
        <f t="shared" si="41"/>
        <v>0</v>
      </c>
      <c r="CJ155" s="171">
        <f t="shared" si="41"/>
        <v>0</v>
      </c>
      <c r="CK155" s="171">
        <f t="shared" si="41"/>
        <v>0</v>
      </c>
      <c r="CL155" s="171">
        <f t="shared" si="41"/>
        <v>0</v>
      </c>
      <c r="CM155" s="171">
        <f t="shared" si="41"/>
        <v>0</v>
      </c>
      <c r="CN155" s="171">
        <f t="shared" si="41"/>
        <v>0</v>
      </c>
      <c r="CO155" s="171">
        <f t="shared" si="41"/>
        <v>0</v>
      </c>
      <c r="CP155" s="171">
        <f t="shared" si="41"/>
        <v>0</v>
      </c>
      <c r="CQ155" s="171">
        <f t="shared" si="41"/>
        <v>0</v>
      </c>
      <c r="CR155" s="171">
        <f t="shared" si="41"/>
        <v>0</v>
      </c>
      <c r="CS155" s="172">
        <f t="shared" si="41"/>
        <v>0</v>
      </c>
      <c r="CT155" s="85" t="s">
        <v>54</v>
      </c>
    </row>
    <row r="156" spans="1:98" hidden="1" x14ac:dyDescent="0.25">
      <c r="A156" s="97">
        <v>0</v>
      </c>
      <c r="B156" s="90">
        <f t="shared" si="37"/>
        <v>2002</v>
      </c>
      <c r="C156" s="101"/>
      <c r="D156" s="171">
        <f t="shared" si="40"/>
        <v>0</v>
      </c>
      <c r="E156" s="171">
        <f t="shared" si="40"/>
        <v>0</v>
      </c>
      <c r="F156" s="171">
        <f t="shared" si="40"/>
        <v>0</v>
      </c>
      <c r="G156" s="171">
        <f t="shared" si="40"/>
        <v>0</v>
      </c>
      <c r="H156" s="171">
        <f t="shared" si="40"/>
        <v>0</v>
      </c>
      <c r="I156" s="171">
        <f t="shared" si="40"/>
        <v>0</v>
      </c>
      <c r="J156" s="171">
        <f t="shared" si="40"/>
        <v>0</v>
      </c>
      <c r="K156" s="171">
        <f t="shared" si="40"/>
        <v>0</v>
      </c>
      <c r="L156" s="171">
        <f t="shared" si="40"/>
        <v>0</v>
      </c>
      <c r="M156" s="171">
        <f t="shared" si="40"/>
        <v>0</v>
      </c>
      <c r="N156" s="171">
        <f t="shared" si="40"/>
        <v>0</v>
      </c>
      <c r="O156" s="171">
        <f t="shared" si="40"/>
        <v>0</v>
      </c>
      <c r="P156" s="171">
        <f t="shared" si="40"/>
        <v>0</v>
      </c>
      <c r="Q156" s="171">
        <f t="shared" si="40"/>
        <v>0</v>
      </c>
      <c r="R156" s="171">
        <f t="shared" si="40"/>
        <v>0</v>
      </c>
      <c r="S156" s="171">
        <f t="shared" si="40"/>
        <v>0</v>
      </c>
      <c r="T156" s="171">
        <f t="shared" si="40"/>
        <v>0</v>
      </c>
      <c r="U156" s="171">
        <f t="shared" si="40"/>
        <v>0</v>
      </c>
      <c r="V156" s="171">
        <f t="shared" si="40"/>
        <v>0</v>
      </c>
      <c r="W156" s="171">
        <f t="shared" si="40"/>
        <v>0</v>
      </c>
      <c r="X156" s="171">
        <f t="shared" si="40"/>
        <v>0</v>
      </c>
      <c r="Y156" s="171">
        <f t="shared" si="40"/>
        <v>0</v>
      </c>
      <c r="Z156" s="171">
        <f t="shared" si="40"/>
        <v>0</v>
      </c>
      <c r="AA156" s="171">
        <f t="shared" si="40"/>
        <v>0</v>
      </c>
      <c r="AB156" s="171">
        <f t="shared" si="40"/>
        <v>0</v>
      </c>
      <c r="AC156" s="171">
        <f t="shared" si="40"/>
        <v>0</v>
      </c>
      <c r="AD156" s="171">
        <f t="shared" si="40"/>
        <v>0</v>
      </c>
      <c r="AE156" s="171">
        <f t="shared" si="40"/>
        <v>0</v>
      </c>
      <c r="AF156" s="171">
        <f t="shared" si="40"/>
        <v>0</v>
      </c>
      <c r="AG156" s="171">
        <f t="shared" si="40"/>
        <v>0</v>
      </c>
      <c r="AH156" s="171">
        <f t="shared" si="40"/>
        <v>0</v>
      </c>
      <c r="AI156" s="171">
        <f t="shared" si="40"/>
        <v>0</v>
      </c>
      <c r="AJ156" s="171">
        <f t="shared" si="42"/>
        <v>0</v>
      </c>
      <c r="AK156" s="171">
        <f t="shared" si="42"/>
        <v>0</v>
      </c>
      <c r="AL156" s="171">
        <f t="shared" si="42"/>
        <v>0</v>
      </c>
      <c r="AM156" s="171">
        <f t="shared" si="42"/>
        <v>0</v>
      </c>
      <c r="AN156" s="171">
        <f t="shared" si="42"/>
        <v>0</v>
      </c>
      <c r="AO156" s="171">
        <f t="shared" si="42"/>
        <v>0</v>
      </c>
      <c r="AP156" s="171">
        <f t="shared" si="42"/>
        <v>0</v>
      </c>
      <c r="AQ156" s="171">
        <f t="shared" si="42"/>
        <v>0</v>
      </c>
      <c r="AR156" s="171">
        <f t="shared" si="42"/>
        <v>0</v>
      </c>
      <c r="AS156" s="171">
        <f t="shared" si="42"/>
        <v>0</v>
      </c>
      <c r="AT156" s="171">
        <f t="shared" si="42"/>
        <v>0</v>
      </c>
      <c r="AU156" s="171">
        <f t="shared" si="42"/>
        <v>0</v>
      </c>
      <c r="AV156" s="171">
        <f t="shared" si="42"/>
        <v>0</v>
      </c>
      <c r="AW156" s="171">
        <f t="shared" si="42"/>
        <v>0</v>
      </c>
      <c r="AX156" s="171">
        <f t="shared" si="42"/>
        <v>0</v>
      </c>
      <c r="AY156" s="171">
        <f t="shared" si="42"/>
        <v>0</v>
      </c>
      <c r="AZ156" s="171">
        <f t="shared" si="42"/>
        <v>0</v>
      </c>
      <c r="BA156" s="171">
        <f t="shared" si="42"/>
        <v>0</v>
      </c>
      <c r="BB156" s="171">
        <f t="shared" si="42"/>
        <v>0</v>
      </c>
      <c r="BC156" s="171">
        <f t="shared" si="42"/>
        <v>0</v>
      </c>
      <c r="BD156" s="171">
        <f t="shared" si="42"/>
        <v>0</v>
      </c>
      <c r="BE156" s="171">
        <f t="shared" si="42"/>
        <v>0</v>
      </c>
      <c r="BF156" s="171">
        <f t="shared" si="42"/>
        <v>0</v>
      </c>
      <c r="BG156" s="171">
        <f t="shared" si="42"/>
        <v>0</v>
      </c>
      <c r="BH156" s="171">
        <f t="shared" si="42"/>
        <v>0</v>
      </c>
      <c r="BI156" s="171">
        <f t="shared" si="42"/>
        <v>0</v>
      </c>
      <c r="BJ156" s="171">
        <f t="shared" si="42"/>
        <v>0</v>
      </c>
      <c r="BK156" s="171">
        <f t="shared" si="42"/>
        <v>0</v>
      </c>
      <c r="BL156" s="171">
        <f t="shared" si="42"/>
        <v>0</v>
      </c>
      <c r="BM156" s="171">
        <f t="shared" si="42"/>
        <v>0</v>
      </c>
      <c r="BN156" s="171">
        <f t="shared" si="42"/>
        <v>0</v>
      </c>
      <c r="BO156" s="171">
        <f t="shared" si="42"/>
        <v>0</v>
      </c>
      <c r="BP156" s="171">
        <f t="shared" si="41"/>
        <v>0</v>
      </c>
      <c r="BQ156" s="171">
        <f t="shared" si="41"/>
        <v>0</v>
      </c>
      <c r="BR156" s="171">
        <f t="shared" si="41"/>
        <v>0</v>
      </c>
      <c r="BS156" s="171">
        <f t="shared" si="41"/>
        <v>0</v>
      </c>
      <c r="BT156" s="171">
        <f t="shared" si="41"/>
        <v>0</v>
      </c>
      <c r="BU156" s="171">
        <f t="shared" si="41"/>
        <v>0</v>
      </c>
      <c r="BV156" s="171">
        <f t="shared" si="41"/>
        <v>0</v>
      </c>
      <c r="BW156" s="171">
        <f t="shared" si="41"/>
        <v>0</v>
      </c>
      <c r="BX156" s="171">
        <f t="shared" si="41"/>
        <v>0</v>
      </c>
      <c r="BY156" s="171">
        <f t="shared" si="41"/>
        <v>0</v>
      </c>
      <c r="BZ156" s="171">
        <f t="shared" si="41"/>
        <v>0</v>
      </c>
      <c r="CA156" s="171">
        <f t="shared" si="41"/>
        <v>0</v>
      </c>
      <c r="CB156" s="171">
        <f t="shared" si="41"/>
        <v>0</v>
      </c>
      <c r="CC156" s="171">
        <f t="shared" si="41"/>
        <v>0</v>
      </c>
      <c r="CD156" s="171">
        <f t="shared" si="41"/>
        <v>0</v>
      </c>
      <c r="CE156" s="171">
        <f t="shared" si="41"/>
        <v>0</v>
      </c>
      <c r="CF156" s="171">
        <f t="shared" si="41"/>
        <v>0</v>
      </c>
      <c r="CG156" s="171">
        <f t="shared" si="41"/>
        <v>0</v>
      </c>
      <c r="CH156" s="171">
        <f t="shared" si="41"/>
        <v>0</v>
      </c>
      <c r="CI156" s="171">
        <f t="shared" si="41"/>
        <v>0</v>
      </c>
      <c r="CJ156" s="171">
        <f t="shared" si="41"/>
        <v>0</v>
      </c>
      <c r="CK156" s="171">
        <f t="shared" si="41"/>
        <v>0</v>
      </c>
      <c r="CL156" s="171">
        <f t="shared" si="41"/>
        <v>0</v>
      </c>
      <c r="CM156" s="171">
        <f t="shared" si="41"/>
        <v>0</v>
      </c>
      <c r="CN156" s="171">
        <f t="shared" si="41"/>
        <v>0</v>
      </c>
      <c r="CO156" s="171">
        <f t="shared" si="41"/>
        <v>0</v>
      </c>
      <c r="CP156" s="171">
        <f t="shared" si="41"/>
        <v>0</v>
      </c>
      <c r="CQ156" s="171">
        <f t="shared" si="41"/>
        <v>0</v>
      </c>
      <c r="CR156" s="171">
        <f t="shared" si="41"/>
        <v>0</v>
      </c>
      <c r="CS156" s="172">
        <f t="shared" si="41"/>
        <v>0</v>
      </c>
      <c r="CT156" s="85" t="s">
        <v>54</v>
      </c>
    </row>
    <row r="157" spans="1:98" hidden="1" x14ac:dyDescent="0.25">
      <c r="A157" s="97">
        <v>0</v>
      </c>
      <c r="B157" s="90">
        <f t="shared" si="37"/>
        <v>2003</v>
      </c>
      <c r="C157" s="101"/>
      <c r="D157" s="171">
        <f t="shared" si="40"/>
        <v>0</v>
      </c>
      <c r="E157" s="171">
        <f t="shared" si="40"/>
        <v>0</v>
      </c>
      <c r="F157" s="171">
        <f t="shared" si="40"/>
        <v>0</v>
      </c>
      <c r="G157" s="171">
        <f t="shared" si="40"/>
        <v>0</v>
      </c>
      <c r="H157" s="171">
        <f t="shared" si="40"/>
        <v>0</v>
      </c>
      <c r="I157" s="171">
        <f t="shared" si="40"/>
        <v>0</v>
      </c>
      <c r="J157" s="171">
        <f t="shared" si="40"/>
        <v>0</v>
      </c>
      <c r="K157" s="171">
        <f t="shared" si="40"/>
        <v>0</v>
      </c>
      <c r="L157" s="171">
        <f t="shared" si="40"/>
        <v>0</v>
      </c>
      <c r="M157" s="171">
        <f t="shared" si="40"/>
        <v>0</v>
      </c>
      <c r="N157" s="171">
        <f t="shared" si="40"/>
        <v>0</v>
      </c>
      <c r="O157" s="171">
        <f t="shared" si="40"/>
        <v>0</v>
      </c>
      <c r="P157" s="171">
        <f t="shared" si="40"/>
        <v>0</v>
      </c>
      <c r="Q157" s="171">
        <f t="shared" si="40"/>
        <v>0</v>
      </c>
      <c r="R157" s="171">
        <f t="shared" si="40"/>
        <v>0</v>
      </c>
      <c r="S157" s="171">
        <f t="shared" si="40"/>
        <v>0</v>
      </c>
      <c r="T157" s="171">
        <f t="shared" si="40"/>
        <v>0</v>
      </c>
      <c r="U157" s="171">
        <f t="shared" si="40"/>
        <v>0</v>
      </c>
      <c r="V157" s="171">
        <f t="shared" si="40"/>
        <v>0</v>
      </c>
      <c r="W157" s="171">
        <f t="shared" si="40"/>
        <v>0</v>
      </c>
      <c r="X157" s="171">
        <f t="shared" si="40"/>
        <v>0</v>
      </c>
      <c r="Y157" s="171">
        <f t="shared" si="40"/>
        <v>0</v>
      </c>
      <c r="Z157" s="171">
        <f t="shared" si="40"/>
        <v>0</v>
      </c>
      <c r="AA157" s="171">
        <f t="shared" si="40"/>
        <v>0</v>
      </c>
      <c r="AB157" s="171">
        <f t="shared" si="40"/>
        <v>0</v>
      </c>
      <c r="AC157" s="171">
        <f t="shared" si="40"/>
        <v>0</v>
      </c>
      <c r="AD157" s="171">
        <f t="shared" si="40"/>
        <v>0</v>
      </c>
      <c r="AE157" s="171">
        <f t="shared" si="40"/>
        <v>0</v>
      </c>
      <c r="AF157" s="171">
        <f t="shared" si="40"/>
        <v>0</v>
      </c>
      <c r="AG157" s="171">
        <f t="shared" si="40"/>
        <v>0</v>
      </c>
      <c r="AH157" s="171">
        <f t="shared" si="40"/>
        <v>0</v>
      </c>
      <c r="AI157" s="171">
        <f t="shared" si="40"/>
        <v>0</v>
      </c>
      <c r="AJ157" s="171">
        <f t="shared" si="42"/>
        <v>0</v>
      </c>
      <c r="AK157" s="171">
        <f t="shared" si="42"/>
        <v>0</v>
      </c>
      <c r="AL157" s="171">
        <f t="shared" si="42"/>
        <v>0</v>
      </c>
      <c r="AM157" s="171">
        <f t="shared" si="42"/>
        <v>0</v>
      </c>
      <c r="AN157" s="171">
        <f t="shared" si="42"/>
        <v>0</v>
      </c>
      <c r="AO157" s="171">
        <f t="shared" si="42"/>
        <v>0</v>
      </c>
      <c r="AP157" s="171">
        <f t="shared" si="42"/>
        <v>0</v>
      </c>
      <c r="AQ157" s="171">
        <f t="shared" si="42"/>
        <v>0</v>
      </c>
      <c r="AR157" s="171">
        <f t="shared" si="42"/>
        <v>0</v>
      </c>
      <c r="AS157" s="171">
        <f t="shared" si="42"/>
        <v>0</v>
      </c>
      <c r="AT157" s="171">
        <f t="shared" si="42"/>
        <v>0</v>
      </c>
      <c r="AU157" s="171">
        <f t="shared" si="42"/>
        <v>0</v>
      </c>
      <c r="AV157" s="171">
        <f t="shared" si="42"/>
        <v>0</v>
      </c>
      <c r="AW157" s="171">
        <f t="shared" si="42"/>
        <v>0</v>
      </c>
      <c r="AX157" s="171">
        <f t="shared" si="42"/>
        <v>0</v>
      </c>
      <c r="AY157" s="171">
        <f t="shared" si="42"/>
        <v>0</v>
      </c>
      <c r="AZ157" s="171">
        <f t="shared" si="42"/>
        <v>0</v>
      </c>
      <c r="BA157" s="171">
        <f t="shared" si="42"/>
        <v>0</v>
      </c>
      <c r="BB157" s="171">
        <f t="shared" si="42"/>
        <v>0</v>
      </c>
      <c r="BC157" s="171">
        <f t="shared" si="42"/>
        <v>0</v>
      </c>
      <c r="BD157" s="171">
        <f t="shared" si="42"/>
        <v>0</v>
      </c>
      <c r="BE157" s="171">
        <f t="shared" si="42"/>
        <v>0</v>
      </c>
      <c r="BF157" s="171">
        <f t="shared" si="42"/>
        <v>0</v>
      </c>
      <c r="BG157" s="171">
        <f t="shared" si="42"/>
        <v>0</v>
      </c>
      <c r="BH157" s="171">
        <f t="shared" si="42"/>
        <v>0</v>
      </c>
      <c r="BI157" s="171">
        <f t="shared" si="42"/>
        <v>0</v>
      </c>
      <c r="BJ157" s="171">
        <f t="shared" si="42"/>
        <v>0</v>
      </c>
      <c r="BK157" s="171">
        <f t="shared" si="42"/>
        <v>0</v>
      </c>
      <c r="BL157" s="171">
        <f t="shared" si="42"/>
        <v>0</v>
      </c>
      <c r="BM157" s="171">
        <f t="shared" si="42"/>
        <v>0</v>
      </c>
      <c r="BN157" s="171">
        <f t="shared" si="42"/>
        <v>0</v>
      </c>
      <c r="BO157" s="171">
        <f t="shared" si="42"/>
        <v>0</v>
      </c>
      <c r="BP157" s="171">
        <f t="shared" si="41"/>
        <v>0</v>
      </c>
      <c r="BQ157" s="171">
        <f t="shared" si="41"/>
        <v>0</v>
      </c>
      <c r="BR157" s="171">
        <f t="shared" si="41"/>
        <v>0</v>
      </c>
      <c r="BS157" s="171">
        <f t="shared" si="41"/>
        <v>0</v>
      </c>
      <c r="BT157" s="171">
        <f t="shared" si="41"/>
        <v>0</v>
      </c>
      <c r="BU157" s="171">
        <f t="shared" si="41"/>
        <v>0</v>
      </c>
      <c r="BV157" s="171">
        <f t="shared" si="41"/>
        <v>0</v>
      </c>
      <c r="BW157" s="171">
        <f t="shared" si="41"/>
        <v>0</v>
      </c>
      <c r="BX157" s="171">
        <f t="shared" si="41"/>
        <v>0</v>
      </c>
      <c r="BY157" s="171">
        <f t="shared" si="41"/>
        <v>0</v>
      </c>
      <c r="BZ157" s="171">
        <f t="shared" si="41"/>
        <v>0</v>
      </c>
      <c r="CA157" s="171">
        <f t="shared" si="41"/>
        <v>0</v>
      </c>
      <c r="CB157" s="171">
        <f t="shared" si="41"/>
        <v>0</v>
      </c>
      <c r="CC157" s="171">
        <f t="shared" si="41"/>
        <v>0</v>
      </c>
      <c r="CD157" s="171">
        <f t="shared" si="41"/>
        <v>0</v>
      </c>
      <c r="CE157" s="171">
        <f t="shared" si="41"/>
        <v>0</v>
      </c>
      <c r="CF157" s="171">
        <f t="shared" si="41"/>
        <v>0</v>
      </c>
      <c r="CG157" s="171">
        <f t="shared" si="41"/>
        <v>0</v>
      </c>
      <c r="CH157" s="171">
        <f t="shared" si="41"/>
        <v>0</v>
      </c>
      <c r="CI157" s="171">
        <f t="shared" si="41"/>
        <v>0</v>
      </c>
      <c r="CJ157" s="171">
        <f t="shared" si="41"/>
        <v>0</v>
      </c>
      <c r="CK157" s="171">
        <f t="shared" si="41"/>
        <v>0</v>
      </c>
      <c r="CL157" s="171">
        <f t="shared" si="41"/>
        <v>0</v>
      </c>
      <c r="CM157" s="171">
        <f t="shared" si="41"/>
        <v>0</v>
      </c>
      <c r="CN157" s="171">
        <f t="shared" si="41"/>
        <v>0</v>
      </c>
      <c r="CO157" s="171">
        <f t="shared" si="41"/>
        <v>0</v>
      </c>
      <c r="CP157" s="171">
        <f t="shared" si="41"/>
        <v>0</v>
      </c>
      <c r="CQ157" s="171">
        <f t="shared" si="41"/>
        <v>0</v>
      </c>
      <c r="CR157" s="171">
        <f t="shared" si="41"/>
        <v>0</v>
      </c>
      <c r="CS157" s="172">
        <f t="shared" si="41"/>
        <v>0</v>
      </c>
      <c r="CT157" s="85" t="s">
        <v>54</v>
      </c>
    </row>
    <row r="158" spans="1:98" hidden="1" x14ac:dyDescent="0.25">
      <c r="A158" s="97">
        <v>0</v>
      </c>
      <c r="B158" s="90">
        <f t="shared" si="37"/>
        <v>2004</v>
      </c>
      <c r="C158" s="101"/>
      <c r="D158" s="171">
        <f t="shared" si="40"/>
        <v>0</v>
      </c>
      <c r="E158" s="171">
        <f t="shared" si="40"/>
        <v>0</v>
      </c>
      <c r="F158" s="171">
        <f t="shared" si="40"/>
        <v>0</v>
      </c>
      <c r="G158" s="171">
        <f t="shared" si="40"/>
        <v>0</v>
      </c>
      <c r="H158" s="171">
        <f t="shared" si="40"/>
        <v>0</v>
      </c>
      <c r="I158" s="171">
        <f t="shared" si="40"/>
        <v>0</v>
      </c>
      <c r="J158" s="171">
        <f t="shared" si="40"/>
        <v>0</v>
      </c>
      <c r="K158" s="171">
        <f t="shared" si="40"/>
        <v>0</v>
      </c>
      <c r="L158" s="171">
        <f t="shared" si="40"/>
        <v>0</v>
      </c>
      <c r="M158" s="171">
        <f t="shared" si="40"/>
        <v>0</v>
      </c>
      <c r="N158" s="171">
        <f t="shared" si="40"/>
        <v>0</v>
      </c>
      <c r="O158" s="171">
        <f t="shared" si="40"/>
        <v>0</v>
      </c>
      <c r="P158" s="171">
        <f t="shared" si="40"/>
        <v>0</v>
      </c>
      <c r="Q158" s="171">
        <f t="shared" si="40"/>
        <v>0</v>
      </c>
      <c r="R158" s="171">
        <f t="shared" si="40"/>
        <v>0</v>
      </c>
      <c r="S158" s="171">
        <f t="shared" si="40"/>
        <v>0</v>
      </c>
      <c r="T158" s="171">
        <f t="shared" si="40"/>
        <v>0</v>
      </c>
      <c r="U158" s="171">
        <f t="shared" si="40"/>
        <v>0</v>
      </c>
      <c r="V158" s="171">
        <f t="shared" si="40"/>
        <v>0</v>
      </c>
      <c r="W158" s="171">
        <f t="shared" si="40"/>
        <v>0</v>
      </c>
      <c r="X158" s="171">
        <f t="shared" si="40"/>
        <v>0</v>
      </c>
      <c r="Y158" s="171">
        <f t="shared" si="40"/>
        <v>0</v>
      </c>
      <c r="Z158" s="171">
        <f t="shared" si="40"/>
        <v>0</v>
      </c>
      <c r="AA158" s="171">
        <f t="shared" si="40"/>
        <v>0</v>
      </c>
      <c r="AB158" s="171">
        <f t="shared" si="40"/>
        <v>0</v>
      </c>
      <c r="AC158" s="171">
        <f t="shared" si="40"/>
        <v>0</v>
      </c>
      <c r="AD158" s="171">
        <f t="shared" si="40"/>
        <v>0</v>
      </c>
      <c r="AE158" s="171">
        <f t="shared" si="40"/>
        <v>0</v>
      </c>
      <c r="AF158" s="171">
        <f t="shared" si="40"/>
        <v>0</v>
      </c>
      <c r="AG158" s="171">
        <f t="shared" si="40"/>
        <v>0</v>
      </c>
      <c r="AH158" s="171">
        <f t="shared" si="40"/>
        <v>0</v>
      </c>
      <c r="AI158" s="171">
        <f t="shared" ref="AI158" si="43">IF(AI131="",1,0)*IF(AI104="",1,0)*SUM(AI50)*IF(AI77="",0,1)</f>
        <v>0</v>
      </c>
      <c r="AJ158" s="171">
        <f t="shared" si="42"/>
        <v>0</v>
      </c>
      <c r="AK158" s="171">
        <f t="shared" si="42"/>
        <v>0</v>
      </c>
      <c r="AL158" s="171">
        <f t="shared" si="42"/>
        <v>0</v>
      </c>
      <c r="AM158" s="171">
        <f t="shared" si="42"/>
        <v>0</v>
      </c>
      <c r="AN158" s="171">
        <f t="shared" si="42"/>
        <v>0</v>
      </c>
      <c r="AO158" s="171">
        <f t="shared" si="42"/>
        <v>0</v>
      </c>
      <c r="AP158" s="171">
        <f t="shared" si="42"/>
        <v>0</v>
      </c>
      <c r="AQ158" s="171">
        <f t="shared" si="42"/>
        <v>0</v>
      </c>
      <c r="AR158" s="171">
        <f t="shared" si="42"/>
        <v>0</v>
      </c>
      <c r="AS158" s="171">
        <f t="shared" si="42"/>
        <v>0</v>
      </c>
      <c r="AT158" s="171">
        <f t="shared" si="42"/>
        <v>0</v>
      </c>
      <c r="AU158" s="171">
        <f t="shared" si="42"/>
        <v>0</v>
      </c>
      <c r="AV158" s="171">
        <f t="shared" si="42"/>
        <v>0</v>
      </c>
      <c r="AW158" s="171">
        <f t="shared" si="42"/>
        <v>0</v>
      </c>
      <c r="AX158" s="171">
        <f t="shared" si="42"/>
        <v>0</v>
      </c>
      <c r="AY158" s="171">
        <f t="shared" si="42"/>
        <v>0</v>
      </c>
      <c r="AZ158" s="171">
        <f t="shared" si="42"/>
        <v>0</v>
      </c>
      <c r="BA158" s="171">
        <f t="shared" si="42"/>
        <v>0</v>
      </c>
      <c r="BB158" s="171">
        <f t="shared" si="42"/>
        <v>0</v>
      </c>
      <c r="BC158" s="171">
        <f t="shared" si="42"/>
        <v>0</v>
      </c>
      <c r="BD158" s="171">
        <f t="shared" si="42"/>
        <v>0</v>
      </c>
      <c r="BE158" s="171">
        <f t="shared" si="42"/>
        <v>0</v>
      </c>
      <c r="BF158" s="171">
        <f t="shared" si="42"/>
        <v>0</v>
      </c>
      <c r="BG158" s="171">
        <f t="shared" si="42"/>
        <v>0</v>
      </c>
      <c r="BH158" s="171">
        <f t="shared" si="42"/>
        <v>0</v>
      </c>
      <c r="BI158" s="171">
        <f t="shared" si="42"/>
        <v>0</v>
      </c>
      <c r="BJ158" s="171">
        <f t="shared" si="42"/>
        <v>0</v>
      </c>
      <c r="BK158" s="171">
        <f t="shared" si="42"/>
        <v>0</v>
      </c>
      <c r="BL158" s="171">
        <f t="shared" si="42"/>
        <v>0</v>
      </c>
      <c r="BM158" s="171">
        <f t="shared" si="42"/>
        <v>0</v>
      </c>
      <c r="BN158" s="171">
        <f t="shared" si="42"/>
        <v>0</v>
      </c>
      <c r="BO158" s="171">
        <f t="shared" si="42"/>
        <v>0</v>
      </c>
      <c r="BP158" s="171">
        <f t="shared" si="41"/>
        <v>0</v>
      </c>
      <c r="BQ158" s="171">
        <f t="shared" si="41"/>
        <v>0</v>
      </c>
      <c r="BR158" s="171">
        <f t="shared" si="41"/>
        <v>0</v>
      </c>
      <c r="BS158" s="171">
        <f t="shared" si="41"/>
        <v>0</v>
      </c>
      <c r="BT158" s="171">
        <f t="shared" si="41"/>
        <v>0</v>
      </c>
      <c r="BU158" s="171">
        <f t="shared" si="41"/>
        <v>0</v>
      </c>
      <c r="BV158" s="171">
        <f t="shared" si="41"/>
        <v>0</v>
      </c>
      <c r="BW158" s="171">
        <f t="shared" si="41"/>
        <v>0</v>
      </c>
      <c r="BX158" s="171">
        <f t="shared" si="41"/>
        <v>0</v>
      </c>
      <c r="BY158" s="171">
        <f t="shared" si="41"/>
        <v>0</v>
      </c>
      <c r="BZ158" s="171">
        <f t="shared" si="41"/>
        <v>0</v>
      </c>
      <c r="CA158" s="171">
        <f t="shared" si="41"/>
        <v>0</v>
      </c>
      <c r="CB158" s="171">
        <f t="shared" si="41"/>
        <v>0</v>
      </c>
      <c r="CC158" s="171">
        <f t="shared" si="41"/>
        <v>0</v>
      </c>
      <c r="CD158" s="171">
        <f t="shared" si="41"/>
        <v>0</v>
      </c>
      <c r="CE158" s="171">
        <f t="shared" si="41"/>
        <v>0</v>
      </c>
      <c r="CF158" s="171">
        <f t="shared" si="41"/>
        <v>0</v>
      </c>
      <c r="CG158" s="171">
        <f t="shared" si="41"/>
        <v>0</v>
      </c>
      <c r="CH158" s="171">
        <f t="shared" si="41"/>
        <v>0</v>
      </c>
      <c r="CI158" s="171">
        <f t="shared" si="41"/>
        <v>0</v>
      </c>
      <c r="CJ158" s="171">
        <f t="shared" si="41"/>
        <v>0</v>
      </c>
      <c r="CK158" s="171">
        <f t="shared" si="41"/>
        <v>0</v>
      </c>
      <c r="CL158" s="171">
        <f t="shared" si="41"/>
        <v>0</v>
      </c>
      <c r="CM158" s="171">
        <f t="shared" si="41"/>
        <v>0</v>
      </c>
      <c r="CN158" s="171">
        <f t="shared" si="41"/>
        <v>0</v>
      </c>
      <c r="CO158" s="171">
        <f t="shared" si="41"/>
        <v>0</v>
      </c>
      <c r="CP158" s="171">
        <f t="shared" si="41"/>
        <v>0</v>
      </c>
      <c r="CQ158" s="171">
        <f t="shared" si="41"/>
        <v>0</v>
      </c>
      <c r="CR158" s="171">
        <f t="shared" si="41"/>
        <v>0</v>
      </c>
      <c r="CS158" s="172">
        <f t="shared" si="41"/>
        <v>0</v>
      </c>
      <c r="CT158" s="85" t="s">
        <v>54</v>
      </c>
    </row>
    <row r="159" spans="1:98" hidden="1" x14ac:dyDescent="0.25">
      <c r="A159" s="97">
        <v>0</v>
      </c>
      <c r="B159" s="90">
        <f t="shared" si="37"/>
        <v>2005</v>
      </c>
      <c r="C159" s="101"/>
      <c r="D159" s="171">
        <f t="shared" ref="D159:AI166" si="44">IF(D132="",1,0)*IF(D105="",1,0)*SUM(D51)*IF(D78="",0,1)</f>
        <v>0</v>
      </c>
      <c r="E159" s="171">
        <f t="shared" si="44"/>
        <v>0</v>
      </c>
      <c r="F159" s="171">
        <f t="shared" si="44"/>
        <v>0</v>
      </c>
      <c r="G159" s="171">
        <f t="shared" si="44"/>
        <v>0</v>
      </c>
      <c r="H159" s="171">
        <f t="shared" si="44"/>
        <v>0</v>
      </c>
      <c r="I159" s="171">
        <f t="shared" si="44"/>
        <v>0</v>
      </c>
      <c r="J159" s="171">
        <f t="shared" si="44"/>
        <v>0</v>
      </c>
      <c r="K159" s="171">
        <f t="shared" si="44"/>
        <v>0</v>
      </c>
      <c r="L159" s="171">
        <f t="shared" si="44"/>
        <v>0</v>
      </c>
      <c r="M159" s="171">
        <f t="shared" si="44"/>
        <v>0</v>
      </c>
      <c r="N159" s="171">
        <f t="shared" si="44"/>
        <v>0</v>
      </c>
      <c r="O159" s="171">
        <f t="shared" si="44"/>
        <v>0</v>
      </c>
      <c r="P159" s="171">
        <f t="shared" si="44"/>
        <v>0</v>
      </c>
      <c r="Q159" s="171">
        <f t="shared" si="44"/>
        <v>0</v>
      </c>
      <c r="R159" s="171">
        <f t="shared" si="44"/>
        <v>0</v>
      </c>
      <c r="S159" s="171">
        <f t="shared" si="44"/>
        <v>0</v>
      </c>
      <c r="T159" s="171">
        <f t="shared" si="44"/>
        <v>0</v>
      </c>
      <c r="U159" s="171">
        <f t="shared" si="44"/>
        <v>0</v>
      </c>
      <c r="V159" s="171">
        <f t="shared" si="44"/>
        <v>0</v>
      </c>
      <c r="W159" s="171">
        <f t="shared" si="44"/>
        <v>0</v>
      </c>
      <c r="X159" s="171">
        <f t="shared" si="44"/>
        <v>0</v>
      </c>
      <c r="Y159" s="171">
        <f t="shared" si="44"/>
        <v>0</v>
      </c>
      <c r="Z159" s="171">
        <f t="shared" si="44"/>
        <v>0</v>
      </c>
      <c r="AA159" s="171">
        <f t="shared" si="44"/>
        <v>0</v>
      </c>
      <c r="AB159" s="171">
        <f t="shared" si="44"/>
        <v>0</v>
      </c>
      <c r="AC159" s="171">
        <f t="shared" si="44"/>
        <v>0</v>
      </c>
      <c r="AD159" s="171">
        <f t="shared" si="44"/>
        <v>0</v>
      </c>
      <c r="AE159" s="171">
        <f t="shared" si="44"/>
        <v>0</v>
      </c>
      <c r="AF159" s="171">
        <f t="shared" si="44"/>
        <v>0</v>
      </c>
      <c r="AG159" s="171">
        <f t="shared" si="44"/>
        <v>0</v>
      </c>
      <c r="AH159" s="171">
        <f t="shared" si="44"/>
        <v>0</v>
      </c>
      <c r="AI159" s="171">
        <f t="shared" si="44"/>
        <v>0</v>
      </c>
      <c r="AJ159" s="171">
        <f t="shared" si="42"/>
        <v>0</v>
      </c>
      <c r="AK159" s="171">
        <f t="shared" si="42"/>
        <v>0</v>
      </c>
      <c r="AL159" s="171">
        <f t="shared" si="42"/>
        <v>0</v>
      </c>
      <c r="AM159" s="171">
        <f t="shared" si="42"/>
        <v>0</v>
      </c>
      <c r="AN159" s="171">
        <f t="shared" si="42"/>
        <v>0</v>
      </c>
      <c r="AO159" s="171">
        <f t="shared" si="42"/>
        <v>0</v>
      </c>
      <c r="AP159" s="171">
        <f t="shared" si="42"/>
        <v>0</v>
      </c>
      <c r="AQ159" s="171">
        <f t="shared" si="42"/>
        <v>0</v>
      </c>
      <c r="AR159" s="171">
        <f t="shared" si="42"/>
        <v>0</v>
      </c>
      <c r="AS159" s="171">
        <f t="shared" si="42"/>
        <v>0</v>
      </c>
      <c r="AT159" s="171">
        <f t="shared" si="42"/>
        <v>0</v>
      </c>
      <c r="AU159" s="171">
        <f t="shared" si="42"/>
        <v>0</v>
      </c>
      <c r="AV159" s="171">
        <f t="shared" si="42"/>
        <v>0</v>
      </c>
      <c r="AW159" s="171">
        <f t="shared" si="42"/>
        <v>0</v>
      </c>
      <c r="AX159" s="171">
        <f t="shared" si="42"/>
        <v>0</v>
      </c>
      <c r="AY159" s="171">
        <f t="shared" si="42"/>
        <v>0</v>
      </c>
      <c r="AZ159" s="171">
        <f t="shared" si="42"/>
        <v>0</v>
      </c>
      <c r="BA159" s="171">
        <f t="shared" si="42"/>
        <v>0</v>
      </c>
      <c r="BB159" s="171">
        <f t="shared" si="42"/>
        <v>0</v>
      </c>
      <c r="BC159" s="171">
        <f t="shared" si="42"/>
        <v>0</v>
      </c>
      <c r="BD159" s="171">
        <f t="shared" si="42"/>
        <v>0</v>
      </c>
      <c r="BE159" s="171">
        <f t="shared" si="42"/>
        <v>0</v>
      </c>
      <c r="BF159" s="171">
        <f t="shared" si="42"/>
        <v>0</v>
      </c>
      <c r="BG159" s="171">
        <f t="shared" si="42"/>
        <v>0</v>
      </c>
      <c r="BH159" s="171">
        <f t="shared" si="42"/>
        <v>0</v>
      </c>
      <c r="BI159" s="171">
        <f t="shared" si="42"/>
        <v>0</v>
      </c>
      <c r="BJ159" s="171">
        <f t="shared" si="42"/>
        <v>0</v>
      </c>
      <c r="BK159" s="171">
        <f t="shared" si="42"/>
        <v>0</v>
      </c>
      <c r="BL159" s="171">
        <f t="shared" si="42"/>
        <v>0</v>
      </c>
      <c r="BM159" s="171">
        <f t="shared" si="42"/>
        <v>0</v>
      </c>
      <c r="BN159" s="171">
        <f t="shared" si="42"/>
        <v>0</v>
      </c>
      <c r="BO159" s="171">
        <f t="shared" si="42"/>
        <v>0</v>
      </c>
      <c r="BP159" s="171">
        <f t="shared" si="41"/>
        <v>0</v>
      </c>
      <c r="BQ159" s="171">
        <f t="shared" si="41"/>
        <v>0</v>
      </c>
      <c r="BR159" s="171">
        <f t="shared" si="41"/>
        <v>0</v>
      </c>
      <c r="BS159" s="171">
        <f t="shared" si="41"/>
        <v>0</v>
      </c>
      <c r="BT159" s="171">
        <f t="shared" si="41"/>
        <v>0</v>
      </c>
      <c r="BU159" s="171">
        <f t="shared" si="41"/>
        <v>0</v>
      </c>
      <c r="BV159" s="171">
        <f t="shared" si="41"/>
        <v>0</v>
      </c>
      <c r="BW159" s="171">
        <f t="shared" si="41"/>
        <v>0</v>
      </c>
      <c r="BX159" s="171">
        <f t="shared" si="41"/>
        <v>0</v>
      </c>
      <c r="BY159" s="171">
        <f t="shared" si="41"/>
        <v>0</v>
      </c>
      <c r="BZ159" s="171">
        <f t="shared" si="41"/>
        <v>0</v>
      </c>
      <c r="CA159" s="171">
        <f t="shared" si="41"/>
        <v>0</v>
      </c>
      <c r="CB159" s="171">
        <f t="shared" si="41"/>
        <v>0</v>
      </c>
      <c r="CC159" s="171">
        <f t="shared" si="41"/>
        <v>0</v>
      </c>
      <c r="CD159" s="171">
        <f t="shared" si="41"/>
        <v>0</v>
      </c>
      <c r="CE159" s="171">
        <f t="shared" si="41"/>
        <v>0</v>
      </c>
      <c r="CF159" s="171">
        <f t="shared" si="41"/>
        <v>0</v>
      </c>
      <c r="CG159" s="171">
        <f t="shared" si="41"/>
        <v>0</v>
      </c>
      <c r="CH159" s="171">
        <f t="shared" si="41"/>
        <v>0</v>
      </c>
      <c r="CI159" s="171">
        <f t="shared" si="41"/>
        <v>0</v>
      </c>
      <c r="CJ159" s="171">
        <f t="shared" si="41"/>
        <v>0</v>
      </c>
      <c r="CK159" s="171">
        <f t="shared" si="41"/>
        <v>0</v>
      </c>
      <c r="CL159" s="171">
        <f t="shared" si="41"/>
        <v>0</v>
      </c>
      <c r="CM159" s="171">
        <f t="shared" si="41"/>
        <v>0</v>
      </c>
      <c r="CN159" s="171">
        <f t="shared" si="41"/>
        <v>0</v>
      </c>
      <c r="CO159" s="171">
        <f t="shared" si="41"/>
        <v>0</v>
      </c>
      <c r="CP159" s="171">
        <f t="shared" si="41"/>
        <v>0</v>
      </c>
      <c r="CQ159" s="171">
        <f t="shared" si="41"/>
        <v>0</v>
      </c>
      <c r="CR159" s="171">
        <f t="shared" si="41"/>
        <v>0</v>
      </c>
      <c r="CS159" s="172">
        <f t="shared" si="41"/>
        <v>0</v>
      </c>
      <c r="CT159" s="85" t="s">
        <v>54</v>
      </c>
    </row>
    <row r="160" spans="1:98" hidden="1" x14ac:dyDescent="0.25">
      <c r="A160" s="97">
        <v>0</v>
      </c>
      <c r="B160" s="90">
        <f t="shared" si="37"/>
        <v>2006</v>
      </c>
      <c r="C160" s="101"/>
      <c r="D160" s="171">
        <f t="shared" si="44"/>
        <v>0</v>
      </c>
      <c r="E160" s="171">
        <f t="shared" si="44"/>
        <v>0</v>
      </c>
      <c r="F160" s="171">
        <f t="shared" si="44"/>
        <v>0</v>
      </c>
      <c r="G160" s="171">
        <f t="shared" si="44"/>
        <v>0</v>
      </c>
      <c r="H160" s="171">
        <f t="shared" si="44"/>
        <v>0</v>
      </c>
      <c r="I160" s="171">
        <f t="shared" si="44"/>
        <v>0</v>
      </c>
      <c r="J160" s="171">
        <f t="shared" si="44"/>
        <v>0</v>
      </c>
      <c r="K160" s="171">
        <f t="shared" si="44"/>
        <v>0</v>
      </c>
      <c r="L160" s="171">
        <f t="shared" si="44"/>
        <v>0</v>
      </c>
      <c r="M160" s="171">
        <f t="shared" si="44"/>
        <v>0</v>
      </c>
      <c r="N160" s="171">
        <f t="shared" si="44"/>
        <v>0</v>
      </c>
      <c r="O160" s="171">
        <f t="shared" si="44"/>
        <v>0</v>
      </c>
      <c r="P160" s="171">
        <f t="shared" si="44"/>
        <v>0</v>
      </c>
      <c r="Q160" s="171">
        <f t="shared" si="44"/>
        <v>0</v>
      </c>
      <c r="R160" s="171">
        <f t="shared" si="44"/>
        <v>0</v>
      </c>
      <c r="S160" s="171">
        <f t="shared" si="44"/>
        <v>0</v>
      </c>
      <c r="T160" s="171">
        <f t="shared" si="44"/>
        <v>0</v>
      </c>
      <c r="U160" s="171">
        <f t="shared" si="44"/>
        <v>0</v>
      </c>
      <c r="V160" s="171">
        <f t="shared" si="44"/>
        <v>0</v>
      </c>
      <c r="W160" s="171">
        <f t="shared" si="44"/>
        <v>0</v>
      </c>
      <c r="X160" s="171">
        <f t="shared" si="44"/>
        <v>0</v>
      </c>
      <c r="Y160" s="171">
        <f t="shared" si="44"/>
        <v>0</v>
      </c>
      <c r="Z160" s="171">
        <f t="shared" si="44"/>
        <v>0</v>
      </c>
      <c r="AA160" s="171">
        <f t="shared" si="44"/>
        <v>0</v>
      </c>
      <c r="AB160" s="171">
        <f t="shared" si="44"/>
        <v>0</v>
      </c>
      <c r="AC160" s="171">
        <f t="shared" si="44"/>
        <v>0</v>
      </c>
      <c r="AD160" s="171">
        <f t="shared" si="44"/>
        <v>0</v>
      </c>
      <c r="AE160" s="171">
        <f t="shared" si="44"/>
        <v>0</v>
      </c>
      <c r="AF160" s="171">
        <f t="shared" si="44"/>
        <v>0</v>
      </c>
      <c r="AG160" s="171">
        <f t="shared" si="44"/>
        <v>0</v>
      </c>
      <c r="AH160" s="171">
        <f t="shared" si="44"/>
        <v>0</v>
      </c>
      <c r="AI160" s="171">
        <f t="shared" si="44"/>
        <v>0</v>
      </c>
      <c r="AJ160" s="171">
        <f t="shared" si="42"/>
        <v>0</v>
      </c>
      <c r="AK160" s="171">
        <f t="shared" si="42"/>
        <v>0</v>
      </c>
      <c r="AL160" s="171">
        <f t="shared" si="42"/>
        <v>0</v>
      </c>
      <c r="AM160" s="171">
        <f t="shared" si="42"/>
        <v>0</v>
      </c>
      <c r="AN160" s="171">
        <f t="shared" si="42"/>
        <v>0</v>
      </c>
      <c r="AO160" s="171">
        <f t="shared" si="42"/>
        <v>0</v>
      </c>
      <c r="AP160" s="171">
        <f t="shared" si="42"/>
        <v>0</v>
      </c>
      <c r="AQ160" s="171">
        <f t="shared" si="42"/>
        <v>0</v>
      </c>
      <c r="AR160" s="171">
        <f t="shared" si="42"/>
        <v>0</v>
      </c>
      <c r="AS160" s="171">
        <f t="shared" si="42"/>
        <v>0</v>
      </c>
      <c r="AT160" s="171">
        <f t="shared" si="42"/>
        <v>0</v>
      </c>
      <c r="AU160" s="171">
        <f t="shared" si="42"/>
        <v>0</v>
      </c>
      <c r="AV160" s="171">
        <f t="shared" si="42"/>
        <v>0</v>
      </c>
      <c r="AW160" s="171">
        <f t="shared" si="42"/>
        <v>0</v>
      </c>
      <c r="AX160" s="171">
        <f t="shared" si="42"/>
        <v>0</v>
      </c>
      <c r="AY160" s="171">
        <f t="shared" si="42"/>
        <v>0</v>
      </c>
      <c r="AZ160" s="171">
        <f t="shared" si="42"/>
        <v>0</v>
      </c>
      <c r="BA160" s="171">
        <f t="shared" si="42"/>
        <v>0</v>
      </c>
      <c r="BB160" s="171">
        <f t="shared" si="42"/>
        <v>0</v>
      </c>
      <c r="BC160" s="171">
        <f t="shared" si="42"/>
        <v>0</v>
      </c>
      <c r="BD160" s="171">
        <f t="shared" si="42"/>
        <v>0</v>
      </c>
      <c r="BE160" s="171">
        <f t="shared" si="42"/>
        <v>0</v>
      </c>
      <c r="BF160" s="171">
        <f t="shared" si="42"/>
        <v>0</v>
      </c>
      <c r="BG160" s="171">
        <f t="shared" si="42"/>
        <v>0</v>
      </c>
      <c r="BH160" s="171">
        <f t="shared" si="42"/>
        <v>0</v>
      </c>
      <c r="BI160" s="171">
        <f t="shared" si="42"/>
        <v>0</v>
      </c>
      <c r="BJ160" s="171">
        <f t="shared" si="42"/>
        <v>0</v>
      </c>
      <c r="BK160" s="171">
        <f t="shared" si="42"/>
        <v>0</v>
      </c>
      <c r="BL160" s="171">
        <f t="shared" si="42"/>
        <v>0</v>
      </c>
      <c r="BM160" s="171">
        <f t="shared" si="42"/>
        <v>0</v>
      </c>
      <c r="BN160" s="171">
        <f t="shared" si="42"/>
        <v>0</v>
      </c>
      <c r="BO160" s="171">
        <f t="shared" si="42"/>
        <v>0</v>
      </c>
      <c r="BP160" s="171">
        <f t="shared" si="41"/>
        <v>0</v>
      </c>
      <c r="BQ160" s="171">
        <f t="shared" si="41"/>
        <v>0</v>
      </c>
      <c r="BR160" s="171">
        <f t="shared" si="41"/>
        <v>0</v>
      </c>
      <c r="BS160" s="171">
        <f t="shared" si="41"/>
        <v>0</v>
      </c>
      <c r="BT160" s="171">
        <f t="shared" si="41"/>
        <v>0</v>
      </c>
      <c r="BU160" s="171">
        <f t="shared" si="41"/>
        <v>0</v>
      </c>
      <c r="BV160" s="171">
        <f t="shared" si="41"/>
        <v>0</v>
      </c>
      <c r="BW160" s="171">
        <f t="shared" si="41"/>
        <v>0</v>
      </c>
      <c r="BX160" s="171">
        <f t="shared" si="41"/>
        <v>0</v>
      </c>
      <c r="BY160" s="171">
        <f t="shared" si="41"/>
        <v>0</v>
      </c>
      <c r="BZ160" s="171">
        <f t="shared" si="41"/>
        <v>0</v>
      </c>
      <c r="CA160" s="171">
        <f t="shared" si="41"/>
        <v>0</v>
      </c>
      <c r="CB160" s="171">
        <f t="shared" si="41"/>
        <v>0</v>
      </c>
      <c r="CC160" s="171">
        <f t="shared" si="41"/>
        <v>0</v>
      </c>
      <c r="CD160" s="171">
        <f t="shared" si="41"/>
        <v>0</v>
      </c>
      <c r="CE160" s="171">
        <f t="shared" si="41"/>
        <v>0</v>
      </c>
      <c r="CF160" s="171">
        <f t="shared" si="41"/>
        <v>0</v>
      </c>
      <c r="CG160" s="171">
        <f t="shared" si="41"/>
        <v>0</v>
      </c>
      <c r="CH160" s="171">
        <f t="shared" si="41"/>
        <v>0</v>
      </c>
      <c r="CI160" s="171">
        <f t="shared" si="41"/>
        <v>0</v>
      </c>
      <c r="CJ160" s="171">
        <f t="shared" si="41"/>
        <v>0</v>
      </c>
      <c r="CK160" s="171">
        <f t="shared" si="41"/>
        <v>0</v>
      </c>
      <c r="CL160" s="171">
        <f t="shared" si="41"/>
        <v>0</v>
      </c>
      <c r="CM160" s="171">
        <f t="shared" si="41"/>
        <v>0</v>
      </c>
      <c r="CN160" s="171">
        <f t="shared" si="41"/>
        <v>0</v>
      </c>
      <c r="CO160" s="171">
        <f t="shared" si="41"/>
        <v>0</v>
      </c>
      <c r="CP160" s="171">
        <f t="shared" si="41"/>
        <v>0</v>
      </c>
      <c r="CQ160" s="171">
        <f t="shared" si="41"/>
        <v>0</v>
      </c>
      <c r="CR160" s="171">
        <f t="shared" si="41"/>
        <v>0</v>
      </c>
      <c r="CS160" s="172">
        <f t="shared" si="41"/>
        <v>0</v>
      </c>
      <c r="CT160" s="85" t="s">
        <v>54</v>
      </c>
    </row>
    <row r="161" spans="1:98" hidden="1" x14ac:dyDescent="0.25">
      <c r="A161" s="97">
        <v>0</v>
      </c>
      <c r="B161" s="90">
        <f t="shared" si="37"/>
        <v>2007</v>
      </c>
      <c r="C161" s="101"/>
      <c r="D161" s="171">
        <f t="shared" si="44"/>
        <v>0</v>
      </c>
      <c r="E161" s="171">
        <f t="shared" si="44"/>
        <v>0</v>
      </c>
      <c r="F161" s="171">
        <f t="shared" si="44"/>
        <v>0</v>
      </c>
      <c r="G161" s="171">
        <f t="shared" si="44"/>
        <v>0</v>
      </c>
      <c r="H161" s="171">
        <f t="shared" si="44"/>
        <v>0</v>
      </c>
      <c r="I161" s="171">
        <f t="shared" si="44"/>
        <v>0</v>
      </c>
      <c r="J161" s="171">
        <f t="shared" si="44"/>
        <v>0</v>
      </c>
      <c r="K161" s="171">
        <f t="shared" si="44"/>
        <v>0</v>
      </c>
      <c r="L161" s="171">
        <f t="shared" si="44"/>
        <v>0</v>
      </c>
      <c r="M161" s="171">
        <f t="shared" si="44"/>
        <v>0</v>
      </c>
      <c r="N161" s="171">
        <f t="shared" si="44"/>
        <v>0</v>
      </c>
      <c r="O161" s="171">
        <f t="shared" si="44"/>
        <v>0</v>
      </c>
      <c r="P161" s="171">
        <f t="shared" si="44"/>
        <v>0</v>
      </c>
      <c r="Q161" s="171">
        <f t="shared" si="44"/>
        <v>0</v>
      </c>
      <c r="R161" s="171">
        <f t="shared" si="44"/>
        <v>0</v>
      </c>
      <c r="S161" s="171">
        <f t="shared" si="44"/>
        <v>0</v>
      </c>
      <c r="T161" s="171">
        <f t="shared" si="44"/>
        <v>0</v>
      </c>
      <c r="U161" s="171">
        <f t="shared" si="44"/>
        <v>0</v>
      </c>
      <c r="V161" s="171">
        <f t="shared" si="44"/>
        <v>0</v>
      </c>
      <c r="W161" s="171">
        <f t="shared" si="44"/>
        <v>0</v>
      </c>
      <c r="X161" s="171">
        <f t="shared" si="44"/>
        <v>0</v>
      </c>
      <c r="Y161" s="171">
        <f t="shared" si="44"/>
        <v>0</v>
      </c>
      <c r="Z161" s="171">
        <f t="shared" si="44"/>
        <v>0</v>
      </c>
      <c r="AA161" s="171">
        <f t="shared" si="44"/>
        <v>0</v>
      </c>
      <c r="AB161" s="171">
        <f t="shared" si="44"/>
        <v>0</v>
      </c>
      <c r="AC161" s="171">
        <f t="shared" si="44"/>
        <v>0</v>
      </c>
      <c r="AD161" s="171">
        <f t="shared" si="44"/>
        <v>0</v>
      </c>
      <c r="AE161" s="171">
        <f t="shared" si="44"/>
        <v>0</v>
      </c>
      <c r="AF161" s="171">
        <f t="shared" si="44"/>
        <v>0</v>
      </c>
      <c r="AG161" s="171">
        <f t="shared" si="44"/>
        <v>0</v>
      </c>
      <c r="AH161" s="171">
        <f t="shared" si="44"/>
        <v>0</v>
      </c>
      <c r="AI161" s="171">
        <f t="shared" si="44"/>
        <v>0</v>
      </c>
      <c r="AJ161" s="171">
        <f t="shared" si="42"/>
        <v>0</v>
      </c>
      <c r="AK161" s="171">
        <f t="shared" si="42"/>
        <v>0</v>
      </c>
      <c r="AL161" s="171">
        <f t="shared" si="42"/>
        <v>0</v>
      </c>
      <c r="AM161" s="171">
        <f t="shared" si="42"/>
        <v>0</v>
      </c>
      <c r="AN161" s="171">
        <f t="shared" si="42"/>
        <v>0</v>
      </c>
      <c r="AO161" s="171">
        <f t="shared" si="42"/>
        <v>0</v>
      </c>
      <c r="AP161" s="171">
        <f t="shared" si="42"/>
        <v>0</v>
      </c>
      <c r="AQ161" s="171">
        <f t="shared" si="42"/>
        <v>0</v>
      </c>
      <c r="AR161" s="171">
        <f t="shared" si="42"/>
        <v>0</v>
      </c>
      <c r="AS161" s="171">
        <f t="shared" si="42"/>
        <v>0</v>
      </c>
      <c r="AT161" s="171">
        <f t="shared" si="42"/>
        <v>0</v>
      </c>
      <c r="AU161" s="171">
        <f t="shared" si="42"/>
        <v>0</v>
      </c>
      <c r="AV161" s="171">
        <f t="shared" si="42"/>
        <v>0</v>
      </c>
      <c r="AW161" s="171">
        <f t="shared" si="42"/>
        <v>0</v>
      </c>
      <c r="AX161" s="171">
        <f t="shared" si="42"/>
        <v>0</v>
      </c>
      <c r="AY161" s="171">
        <f t="shared" si="42"/>
        <v>0</v>
      </c>
      <c r="AZ161" s="171">
        <f t="shared" si="42"/>
        <v>0</v>
      </c>
      <c r="BA161" s="171">
        <f t="shared" si="42"/>
        <v>0</v>
      </c>
      <c r="BB161" s="171">
        <f t="shared" si="42"/>
        <v>0</v>
      </c>
      <c r="BC161" s="171">
        <f t="shared" si="42"/>
        <v>0</v>
      </c>
      <c r="BD161" s="171">
        <f t="shared" si="42"/>
        <v>0</v>
      </c>
      <c r="BE161" s="171">
        <f t="shared" si="42"/>
        <v>0</v>
      </c>
      <c r="BF161" s="171">
        <f t="shared" si="42"/>
        <v>0</v>
      </c>
      <c r="BG161" s="171">
        <f t="shared" si="42"/>
        <v>0</v>
      </c>
      <c r="BH161" s="171">
        <f t="shared" si="42"/>
        <v>0</v>
      </c>
      <c r="BI161" s="171">
        <f t="shared" si="42"/>
        <v>0</v>
      </c>
      <c r="BJ161" s="171">
        <f t="shared" si="42"/>
        <v>0</v>
      </c>
      <c r="BK161" s="171">
        <f t="shared" si="42"/>
        <v>0</v>
      </c>
      <c r="BL161" s="171">
        <f t="shared" si="42"/>
        <v>0</v>
      </c>
      <c r="BM161" s="171">
        <f t="shared" si="42"/>
        <v>0</v>
      </c>
      <c r="BN161" s="171">
        <f t="shared" si="42"/>
        <v>0</v>
      </c>
      <c r="BO161" s="171">
        <f t="shared" si="42"/>
        <v>0</v>
      </c>
      <c r="BP161" s="171">
        <f t="shared" si="41"/>
        <v>0</v>
      </c>
      <c r="BQ161" s="171">
        <f t="shared" si="41"/>
        <v>0</v>
      </c>
      <c r="BR161" s="171">
        <f t="shared" si="41"/>
        <v>0</v>
      </c>
      <c r="BS161" s="171">
        <f t="shared" si="41"/>
        <v>0</v>
      </c>
      <c r="BT161" s="171">
        <f t="shared" si="41"/>
        <v>0</v>
      </c>
      <c r="BU161" s="171">
        <f t="shared" si="41"/>
        <v>0</v>
      </c>
      <c r="BV161" s="171">
        <f t="shared" si="41"/>
        <v>0</v>
      </c>
      <c r="BW161" s="171">
        <f t="shared" si="41"/>
        <v>0</v>
      </c>
      <c r="BX161" s="171">
        <f t="shared" si="41"/>
        <v>0</v>
      </c>
      <c r="BY161" s="171">
        <f t="shared" si="41"/>
        <v>0</v>
      </c>
      <c r="BZ161" s="171">
        <f t="shared" si="41"/>
        <v>0</v>
      </c>
      <c r="CA161" s="171">
        <f t="shared" si="41"/>
        <v>0</v>
      </c>
      <c r="CB161" s="171">
        <f t="shared" si="41"/>
        <v>0</v>
      </c>
      <c r="CC161" s="171">
        <f t="shared" si="41"/>
        <v>0</v>
      </c>
      <c r="CD161" s="171">
        <f t="shared" si="41"/>
        <v>0</v>
      </c>
      <c r="CE161" s="171">
        <f t="shared" si="41"/>
        <v>0</v>
      </c>
      <c r="CF161" s="171">
        <f t="shared" si="41"/>
        <v>0</v>
      </c>
      <c r="CG161" s="171">
        <f t="shared" si="41"/>
        <v>0</v>
      </c>
      <c r="CH161" s="171">
        <f t="shared" si="41"/>
        <v>0</v>
      </c>
      <c r="CI161" s="171">
        <f t="shared" si="41"/>
        <v>0</v>
      </c>
      <c r="CJ161" s="171">
        <f t="shared" ref="CJ161:CS161" si="45">IF(CJ134="",1,0)*IF(CJ107="",1,0)*SUM(CJ53)*IF(CJ80="",0,1)</f>
        <v>0</v>
      </c>
      <c r="CK161" s="171">
        <f t="shared" si="45"/>
        <v>0</v>
      </c>
      <c r="CL161" s="171">
        <f t="shared" si="45"/>
        <v>0</v>
      </c>
      <c r="CM161" s="171">
        <f t="shared" si="45"/>
        <v>0</v>
      </c>
      <c r="CN161" s="171">
        <f t="shared" si="45"/>
        <v>0</v>
      </c>
      <c r="CO161" s="171">
        <f t="shared" si="45"/>
        <v>0</v>
      </c>
      <c r="CP161" s="171">
        <f t="shared" si="45"/>
        <v>0</v>
      </c>
      <c r="CQ161" s="171">
        <f t="shared" si="45"/>
        <v>0</v>
      </c>
      <c r="CR161" s="171">
        <f t="shared" si="45"/>
        <v>0</v>
      </c>
      <c r="CS161" s="172">
        <f t="shared" si="45"/>
        <v>0</v>
      </c>
      <c r="CT161" s="85" t="s">
        <v>54</v>
      </c>
    </row>
    <row r="162" spans="1:98" hidden="1" x14ac:dyDescent="0.25">
      <c r="A162" s="97">
        <v>0</v>
      </c>
      <c r="B162" s="90">
        <f t="shared" si="37"/>
        <v>2008</v>
      </c>
      <c r="C162" s="101"/>
      <c r="D162" s="171">
        <f t="shared" si="44"/>
        <v>0</v>
      </c>
      <c r="E162" s="171">
        <f t="shared" si="44"/>
        <v>0</v>
      </c>
      <c r="F162" s="171">
        <f t="shared" si="44"/>
        <v>0</v>
      </c>
      <c r="G162" s="171">
        <f t="shared" si="44"/>
        <v>0</v>
      </c>
      <c r="H162" s="171">
        <f t="shared" si="44"/>
        <v>0</v>
      </c>
      <c r="I162" s="171">
        <f t="shared" si="44"/>
        <v>0</v>
      </c>
      <c r="J162" s="171">
        <f t="shared" si="44"/>
        <v>0</v>
      </c>
      <c r="K162" s="171">
        <f t="shared" si="44"/>
        <v>0</v>
      </c>
      <c r="L162" s="171">
        <f t="shared" si="44"/>
        <v>0</v>
      </c>
      <c r="M162" s="171">
        <f t="shared" si="44"/>
        <v>0</v>
      </c>
      <c r="N162" s="171">
        <f t="shared" si="44"/>
        <v>0</v>
      </c>
      <c r="O162" s="171">
        <f t="shared" si="44"/>
        <v>0</v>
      </c>
      <c r="P162" s="171">
        <f t="shared" si="44"/>
        <v>0</v>
      </c>
      <c r="Q162" s="171">
        <f t="shared" si="44"/>
        <v>0</v>
      </c>
      <c r="R162" s="171">
        <f t="shared" si="44"/>
        <v>0</v>
      </c>
      <c r="S162" s="171">
        <f t="shared" si="44"/>
        <v>0</v>
      </c>
      <c r="T162" s="171">
        <f t="shared" si="44"/>
        <v>0</v>
      </c>
      <c r="U162" s="171">
        <f t="shared" si="44"/>
        <v>0</v>
      </c>
      <c r="V162" s="171">
        <f t="shared" si="44"/>
        <v>0</v>
      </c>
      <c r="W162" s="171">
        <f t="shared" si="44"/>
        <v>0</v>
      </c>
      <c r="X162" s="171">
        <f t="shared" si="44"/>
        <v>0</v>
      </c>
      <c r="Y162" s="171">
        <f t="shared" si="44"/>
        <v>0</v>
      </c>
      <c r="Z162" s="171">
        <f t="shared" si="44"/>
        <v>0</v>
      </c>
      <c r="AA162" s="171">
        <f t="shared" si="44"/>
        <v>0</v>
      </c>
      <c r="AB162" s="171">
        <f t="shared" si="44"/>
        <v>0</v>
      </c>
      <c r="AC162" s="171">
        <f t="shared" si="44"/>
        <v>0</v>
      </c>
      <c r="AD162" s="171">
        <f t="shared" si="44"/>
        <v>0</v>
      </c>
      <c r="AE162" s="171">
        <f t="shared" si="44"/>
        <v>0</v>
      </c>
      <c r="AF162" s="171">
        <f t="shared" si="44"/>
        <v>0</v>
      </c>
      <c r="AG162" s="171">
        <f t="shared" si="44"/>
        <v>0</v>
      </c>
      <c r="AH162" s="171">
        <f t="shared" si="44"/>
        <v>0</v>
      </c>
      <c r="AI162" s="171">
        <f t="shared" si="44"/>
        <v>0</v>
      </c>
      <c r="AJ162" s="171">
        <f t="shared" si="42"/>
        <v>0</v>
      </c>
      <c r="AK162" s="171">
        <f t="shared" si="42"/>
        <v>0</v>
      </c>
      <c r="AL162" s="171">
        <f t="shared" si="42"/>
        <v>0</v>
      </c>
      <c r="AM162" s="171">
        <f t="shared" si="42"/>
        <v>0</v>
      </c>
      <c r="AN162" s="171">
        <f t="shared" si="42"/>
        <v>0</v>
      </c>
      <c r="AO162" s="171">
        <f t="shared" si="42"/>
        <v>0</v>
      </c>
      <c r="AP162" s="171">
        <f t="shared" si="42"/>
        <v>0</v>
      </c>
      <c r="AQ162" s="171">
        <f t="shared" si="42"/>
        <v>0</v>
      </c>
      <c r="AR162" s="171">
        <f t="shared" si="42"/>
        <v>0</v>
      </c>
      <c r="AS162" s="171">
        <f t="shared" si="42"/>
        <v>0</v>
      </c>
      <c r="AT162" s="171">
        <f t="shared" si="42"/>
        <v>0</v>
      </c>
      <c r="AU162" s="171">
        <f t="shared" si="42"/>
        <v>0</v>
      </c>
      <c r="AV162" s="171">
        <f t="shared" si="42"/>
        <v>0</v>
      </c>
      <c r="AW162" s="171">
        <f t="shared" si="42"/>
        <v>0</v>
      </c>
      <c r="AX162" s="171">
        <f t="shared" si="42"/>
        <v>0</v>
      </c>
      <c r="AY162" s="171">
        <f t="shared" si="42"/>
        <v>0</v>
      </c>
      <c r="AZ162" s="171">
        <f t="shared" si="42"/>
        <v>0</v>
      </c>
      <c r="BA162" s="171">
        <f t="shared" si="42"/>
        <v>0</v>
      </c>
      <c r="BB162" s="171">
        <f t="shared" si="42"/>
        <v>0</v>
      </c>
      <c r="BC162" s="171">
        <f t="shared" si="42"/>
        <v>0</v>
      </c>
      <c r="BD162" s="171">
        <f t="shared" si="42"/>
        <v>0</v>
      </c>
      <c r="BE162" s="171">
        <f t="shared" si="42"/>
        <v>0</v>
      </c>
      <c r="BF162" s="171">
        <f t="shared" si="42"/>
        <v>0</v>
      </c>
      <c r="BG162" s="171">
        <f t="shared" si="42"/>
        <v>0</v>
      </c>
      <c r="BH162" s="171">
        <f t="shared" si="42"/>
        <v>0</v>
      </c>
      <c r="BI162" s="171">
        <f t="shared" si="42"/>
        <v>0</v>
      </c>
      <c r="BJ162" s="171">
        <f t="shared" si="42"/>
        <v>0</v>
      </c>
      <c r="BK162" s="171">
        <f t="shared" si="42"/>
        <v>0</v>
      </c>
      <c r="BL162" s="171">
        <f t="shared" si="42"/>
        <v>0</v>
      </c>
      <c r="BM162" s="171">
        <f t="shared" si="42"/>
        <v>0</v>
      </c>
      <c r="BN162" s="171">
        <f t="shared" si="42"/>
        <v>0</v>
      </c>
      <c r="BO162" s="171">
        <f t="shared" ref="BO162:CS170" si="46">IF(BO135="",1,0)*IF(BO108="",1,0)*SUM(BO54)*IF(BO81="",0,1)</f>
        <v>0</v>
      </c>
      <c r="BP162" s="171">
        <f t="shared" si="46"/>
        <v>0</v>
      </c>
      <c r="BQ162" s="171">
        <f t="shared" si="46"/>
        <v>0</v>
      </c>
      <c r="BR162" s="171">
        <f t="shared" si="46"/>
        <v>0</v>
      </c>
      <c r="BS162" s="171">
        <f t="shared" si="46"/>
        <v>0</v>
      </c>
      <c r="BT162" s="171">
        <f t="shared" si="46"/>
        <v>0</v>
      </c>
      <c r="BU162" s="171">
        <f t="shared" si="46"/>
        <v>0</v>
      </c>
      <c r="BV162" s="171">
        <f t="shared" si="46"/>
        <v>0</v>
      </c>
      <c r="BW162" s="171">
        <f t="shared" si="46"/>
        <v>0</v>
      </c>
      <c r="BX162" s="171">
        <f t="shared" si="46"/>
        <v>0</v>
      </c>
      <c r="BY162" s="171">
        <f t="shared" si="46"/>
        <v>0</v>
      </c>
      <c r="BZ162" s="171">
        <f t="shared" si="46"/>
        <v>0</v>
      </c>
      <c r="CA162" s="171">
        <f t="shared" si="46"/>
        <v>0</v>
      </c>
      <c r="CB162" s="171">
        <f t="shared" si="46"/>
        <v>0</v>
      </c>
      <c r="CC162" s="171">
        <f t="shared" si="46"/>
        <v>0</v>
      </c>
      <c r="CD162" s="171">
        <f t="shared" si="46"/>
        <v>0</v>
      </c>
      <c r="CE162" s="171">
        <f t="shared" si="46"/>
        <v>0</v>
      </c>
      <c r="CF162" s="171">
        <f t="shared" si="46"/>
        <v>0</v>
      </c>
      <c r="CG162" s="171">
        <f t="shared" si="46"/>
        <v>0</v>
      </c>
      <c r="CH162" s="171">
        <f t="shared" si="46"/>
        <v>0</v>
      </c>
      <c r="CI162" s="171">
        <f t="shared" si="46"/>
        <v>0</v>
      </c>
      <c r="CJ162" s="171">
        <f t="shared" si="46"/>
        <v>0</v>
      </c>
      <c r="CK162" s="171">
        <f t="shared" si="46"/>
        <v>0</v>
      </c>
      <c r="CL162" s="171">
        <f t="shared" si="46"/>
        <v>0</v>
      </c>
      <c r="CM162" s="171">
        <f t="shared" si="46"/>
        <v>0</v>
      </c>
      <c r="CN162" s="171">
        <f t="shared" si="46"/>
        <v>0</v>
      </c>
      <c r="CO162" s="171">
        <f t="shared" si="46"/>
        <v>0</v>
      </c>
      <c r="CP162" s="171">
        <f t="shared" si="46"/>
        <v>0</v>
      </c>
      <c r="CQ162" s="171">
        <f t="shared" si="46"/>
        <v>0</v>
      </c>
      <c r="CR162" s="171">
        <f t="shared" si="46"/>
        <v>0</v>
      </c>
      <c r="CS162" s="172">
        <f t="shared" si="46"/>
        <v>0</v>
      </c>
      <c r="CT162" s="85" t="s">
        <v>54</v>
      </c>
    </row>
    <row r="163" spans="1:98" hidden="1" x14ac:dyDescent="0.25">
      <c r="A163" s="97">
        <v>0</v>
      </c>
      <c r="B163" s="90">
        <f t="shared" si="37"/>
        <v>2009</v>
      </c>
      <c r="C163" s="101"/>
      <c r="D163" s="171">
        <f t="shared" si="44"/>
        <v>0</v>
      </c>
      <c r="E163" s="171">
        <f t="shared" si="44"/>
        <v>0</v>
      </c>
      <c r="F163" s="171">
        <f t="shared" si="44"/>
        <v>0</v>
      </c>
      <c r="G163" s="171">
        <f t="shared" si="44"/>
        <v>0</v>
      </c>
      <c r="H163" s="171">
        <f t="shared" si="44"/>
        <v>0</v>
      </c>
      <c r="I163" s="171">
        <f t="shared" si="44"/>
        <v>0</v>
      </c>
      <c r="J163" s="171">
        <f t="shared" si="44"/>
        <v>0</v>
      </c>
      <c r="K163" s="171">
        <f t="shared" si="44"/>
        <v>0</v>
      </c>
      <c r="L163" s="171">
        <f t="shared" si="44"/>
        <v>0</v>
      </c>
      <c r="M163" s="171">
        <f t="shared" si="44"/>
        <v>0</v>
      </c>
      <c r="N163" s="171">
        <f t="shared" si="44"/>
        <v>0</v>
      </c>
      <c r="O163" s="171">
        <f t="shared" si="44"/>
        <v>0</v>
      </c>
      <c r="P163" s="171">
        <f t="shared" si="44"/>
        <v>0</v>
      </c>
      <c r="Q163" s="171">
        <f t="shared" si="44"/>
        <v>0</v>
      </c>
      <c r="R163" s="171">
        <f t="shared" si="44"/>
        <v>0</v>
      </c>
      <c r="S163" s="171">
        <f t="shared" si="44"/>
        <v>0</v>
      </c>
      <c r="T163" s="171">
        <f t="shared" si="44"/>
        <v>0</v>
      </c>
      <c r="U163" s="171">
        <f t="shared" si="44"/>
        <v>0</v>
      </c>
      <c r="V163" s="171">
        <f t="shared" si="44"/>
        <v>0</v>
      </c>
      <c r="W163" s="171">
        <f t="shared" si="44"/>
        <v>0</v>
      </c>
      <c r="X163" s="171">
        <f t="shared" si="44"/>
        <v>0</v>
      </c>
      <c r="Y163" s="171">
        <f t="shared" si="44"/>
        <v>0</v>
      </c>
      <c r="Z163" s="171">
        <f t="shared" si="44"/>
        <v>0</v>
      </c>
      <c r="AA163" s="171">
        <f t="shared" si="44"/>
        <v>0</v>
      </c>
      <c r="AB163" s="171">
        <f t="shared" si="44"/>
        <v>0</v>
      </c>
      <c r="AC163" s="171">
        <f t="shared" si="44"/>
        <v>0</v>
      </c>
      <c r="AD163" s="171">
        <f t="shared" si="44"/>
        <v>0</v>
      </c>
      <c r="AE163" s="171">
        <f t="shared" si="44"/>
        <v>0</v>
      </c>
      <c r="AF163" s="171">
        <f t="shared" si="44"/>
        <v>0</v>
      </c>
      <c r="AG163" s="171">
        <f t="shared" si="44"/>
        <v>0</v>
      </c>
      <c r="AH163" s="171">
        <f t="shared" si="44"/>
        <v>0</v>
      </c>
      <c r="AI163" s="171">
        <f t="shared" si="44"/>
        <v>0</v>
      </c>
      <c r="AJ163" s="171">
        <f t="shared" ref="AJ163:BO170" si="47">IF(AJ136="",1,0)*IF(AJ109="",1,0)*SUM(AJ55)*IF(AJ82="",0,1)</f>
        <v>0</v>
      </c>
      <c r="AK163" s="171">
        <f t="shared" si="47"/>
        <v>0</v>
      </c>
      <c r="AL163" s="171">
        <f t="shared" si="47"/>
        <v>0</v>
      </c>
      <c r="AM163" s="171">
        <f t="shared" si="47"/>
        <v>0</v>
      </c>
      <c r="AN163" s="171">
        <f t="shared" si="47"/>
        <v>0</v>
      </c>
      <c r="AO163" s="171">
        <f t="shared" si="47"/>
        <v>0</v>
      </c>
      <c r="AP163" s="171">
        <f t="shared" si="47"/>
        <v>0</v>
      </c>
      <c r="AQ163" s="171">
        <f t="shared" si="47"/>
        <v>0</v>
      </c>
      <c r="AR163" s="171">
        <f t="shared" si="47"/>
        <v>0</v>
      </c>
      <c r="AS163" s="171">
        <f t="shared" si="47"/>
        <v>0</v>
      </c>
      <c r="AT163" s="171">
        <f t="shared" si="47"/>
        <v>0</v>
      </c>
      <c r="AU163" s="171">
        <f t="shared" si="47"/>
        <v>0</v>
      </c>
      <c r="AV163" s="171">
        <f t="shared" si="47"/>
        <v>0</v>
      </c>
      <c r="AW163" s="171">
        <f t="shared" si="47"/>
        <v>0</v>
      </c>
      <c r="AX163" s="171">
        <f t="shared" si="47"/>
        <v>0</v>
      </c>
      <c r="AY163" s="171">
        <f t="shared" si="47"/>
        <v>0</v>
      </c>
      <c r="AZ163" s="171">
        <f t="shared" si="47"/>
        <v>0</v>
      </c>
      <c r="BA163" s="171">
        <f t="shared" si="47"/>
        <v>0</v>
      </c>
      <c r="BB163" s="171">
        <f t="shared" si="47"/>
        <v>0</v>
      </c>
      <c r="BC163" s="171">
        <f t="shared" si="47"/>
        <v>0</v>
      </c>
      <c r="BD163" s="171">
        <f t="shared" si="47"/>
        <v>0</v>
      </c>
      <c r="BE163" s="171">
        <f t="shared" si="47"/>
        <v>0</v>
      </c>
      <c r="BF163" s="171">
        <f t="shared" si="47"/>
        <v>0</v>
      </c>
      <c r="BG163" s="171">
        <f t="shared" si="47"/>
        <v>0</v>
      </c>
      <c r="BH163" s="171">
        <f t="shared" si="47"/>
        <v>0</v>
      </c>
      <c r="BI163" s="171">
        <f t="shared" si="47"/>
        <v>0</v>
      </c>
      <c r="BJ163" s="171">
        <f t="shared" si="47"/>
        <v>0</v>
      </c>
      <c r="BK163" s="171">
        <f t="shared" si="47"/>
        <v>0</v>
      </c>
      <c r="BL163" s="171">
        <f t="shared" si="47"/>
        <v>0</v>
      </c>
      <c r="BM163" s="171">
        <f t="shared" si="47"/>
        <v>0</v>
      </c>
      <c r="BN163" s="171">
        <f t="shared" si="47"/>
        <v>0</v>
      </c>
      <c r="BO163" s="171">
        <f t="shared" si="47"/>
        <v>0</v>
      </c>
      <c r="BP163" s="171">
        <f t="shared" si="46"/>
        <v>0</v>
      </c>
      <c r="BQ163" s="171">
        <f t="shared" si="46"/>
        <v>0</v>
      </c>
      <c r="BR163" s="171">
        <f t="shared" si="46"/>
        <v>0</v>
      </c>
      <c r="BS163" s="171">
        <f t="shared" si="46"/>
        <v>0</v>
      </c>
      <c r="BT163" s="171">
        <f t="shared" si="46"/>
        <v>0</v>
      </c>
      <c r="BU163" s="171">
        <f t="shared" si="46"/>
        <v>0</v>
      </c>
      <c r="BV163" s="171">
        <f t="shared" si="46"/>
        <v>0</v>
      </c>
      <c r="BW163" s="171">
        <f t="shared" si="46"/>
        <v>0</v>
      </c>
      <c r="BX163" s="171">
        <f t="shared" si="46"/>
        <v>0</v>
      </c>
      <c r="BY163" s="171">
        <f t="shared" si="46"/>
        <v>0</v>
      </c>
      <c r="BZ163" s="171">
        <f t="shared" si="46"/>
        <v>0</v>
      </c>
      <c r="CA163" s="171">
        <f t="shared" si="46"/>
        <v>0</v>
      </c>
      <c r="CB163" s="171">
        <f t="shared" si="46"/>
        <v>0</v>
      </c>
      <c r="CC163" s="171">
        <f t="shared" si="46"/>
        <v>0</v>
      </c>
      <c r="CD163" s="171">
        <f t="shared" si="46"/>
        <v>0</v>
      </c>
      <c r="CE163" s="171">
        <f t="shared" si="46"/>
        <v>0</v>
      </c>
      <c r="CF163" s="171">
        <f t="shared" si="46"/>
        <v>0</v>
      </c>
      <c r="CG163" s="171">
        <f t="shared" si="46"/>
        <v>0</v>
      </c>
      <c r="CH163" s="171">
        <f t="shared" si="46"/>
        <v>0</v>
      </c>
      <c r="CI163" s="171">
        <f t="shared" si="46"/>
        <v>0</v>
      </c>
      <c r="CJ163" s="171">
        <f t="shared" si="46"/>
        <v>0</v>
      </c>
      <c r="CK163" s="171">
        <f t="shared" si="46"/>
        <v>0</v>
      </c>
      <c r="CL163" s="171">
        <f t="shared" si="46"/>
        <v>0</v>
      </c>
      <c r="CM163" s="171">
        <f t="shared" si="46"/>
        <v>0</v>
      </c>
      <c r="CN163" s="171">
        <f t="shared" si="46"/>
        <v>0</v>
      </c>
      <c r="CO163" s="171">
        <f t="shared" si="46"/>
        <v>0</v>
      </c>
      <c r="CP163" s="171">
        <f t="shared" si="46"/>
        <v>0</v>
      </c>
      <c r="CQ163" s="171">
        <f t="shared" si="46"/>
        <v>0</v>
      </c>
      <c r="CR163" s="171">
        <f t="shared" si="46"/>
        <v>0</v>
      </c>
      <c r="CS163" s="172">
        <f t="shared" si="46"/>
        <v>0</v>
      </c>
      <c r="CT163" s="85" t="s">
        <v>54</v>
      </c>
    </row>
    <row r="164" spans="1:98" hidden="1" x14ac:dyDescent="0.25">
      <c r="A164" s="97">
        <v>0</v>
      </c>
      <c r="B164" s="90">
        <f t="shared" si="37"/>
        <v>2010</v>
      </c>
      <c r="C164" s="101"/>
      <c r="D164" s="171">
        <f t="shared" si="44"/>
        <v>1</v>
      </c>
      <c r="E164" s="171">
        <f t="shared" si="44"/>
        <v>1</v>
      </c>
      <c r="F164" s="171">
        <f t="shared" si="44"/>
        <v>1</v>
      </c>
      <c r="G164" s="171">
        <f t="shared" si="44"/>
        <v>1</v>
      </c>
      <c r="H164" s="171">
        <f t="shared" si="44"/>
        <v>1</v>
      </c>
      <c r="I164" s="171">
        <f t="shared" si="44"/>
        <v>1</v>
      </c>
      <c r="J164" s="171">
        <f t="shared" si="44"/>
        <v>1</v>
      </c>
      <c r="K164" s="171">
        <f t="shared" si="44"/>
        <v>1</v>
      </c>
      <c r="L164" s="171">
        <f t="shared" si="44"/>
        <v>1</v>
      </c>
      <c r="M164" s="171">
        <f t="shared" si="44"/>
        <v>0</v>
      </c>
      <c r="N164" s="171">
        <f t="shared" si="44"/>
        <v>0</v>
      </c>
      <c r="O164" s="171">
        <f t="shared" si="44"/>
        <v>0</v>
      </c>
      <c r="P164" s="171">
        <f t="shared" si="44"/>
        <v>0</v>
      </c>
      <c r="Q164" s="171">
        <f t="shared" si="44"/>
        <v>0</v>
      </c>
      <c r="R164" s="171">
        <f t="shared" si="44"/>
        <v>0</v>
      </c>
      <c r="S164" s="171">
        <f t="shared" si="44"/>
        <v>0</v>
      </c>
      <c r="T164" s="171">
        <f t="shared" si="44"/>
        <v>0</v>
      </c>
      <c r="U164" s="171">
        <f t="shared" si="44"/>
        <v>0</v>
      </c>
      <c r="V164" s="171">
        <f t="shared" si="44"/>
        <v>0</v>
      </c>
      <c r="W164" s="171">
        <f t="shared" si="44"/>
        <v>0</v>
      </c>
      <c r="X164" s="171">
        <f t="shared" si="44"/>
        <v>0</v>
      </c>
      <c r="Y164" s="171">
        <f t="shared" si="44"/>
        <v>0</v>
      </c>
      <c r="Z164" s="171">
        <f t="shared" si="44"/>
        <v>0</v>
      </c>
      <c r="AA164" s="171">
        <f t="shared" si="44"/>
        <v>0</v>
      </c>
      <c r="AB164" s="171">
        <f t="shared" si="44"/>
        <v>0</v>
      </c>
      <c r="AC164" s="171">
        <f t="shared" si="44"/>
        <v>0</v>
      </c>
      <c r="AD164" s="171">
        <f t="shared" si="44"/>
        <v>0</v>
      </c>
      <c r="AE164" s="171">
        <f t="shared" si="44"/>
        <v>0</v>
      </c>
      <c r="AF164" s="171">
        <f t="shared" si="44"/>
        <v>0</v>
      </c>
      <c r="AG164" s="171">
        <f t="shared" si="44"/>
        <v>0</v>
      </c>
      <c r="AH164" s="171">
        <f t="shared" si="44"/>
        <v>0</v>
      </c>
      <c r="AI164" s="171">
        <f t="shared" si="44"/>
        <v>0</v>
      </c>
      <c r="AJ164" s="171">
        <f t="shared" si="47"/>
        <v>0</v>
      </c>
      <c r="AK164" s="171">
        <f t="shared" si="47"/>
        <v>0</v>
      </c>
      <c r="AL164" s="171">
        <f t="shared" si="47"/>
        <v>0</v>
      </c>
      <c r="AM164" s="171">
        <f t="shared" si="47"/>
        <v>0</v>
      </c>
      <c r="AN164" s="171">
        <f t="shared" si="47"/>
        <v>0</v>
      </c>
      <c r="AO164" s="171">
        <f t="shared" si="47"/>
        <v>0</v>
      </c>
      <c r="AP164" s="171">
        <f t="shared" si="47"/>
        <v>0</v>
      </c>
      <c r="AQ164" s="171">
        <f t="shared" si="47"/>
        <v>0</v>
      </c>
      <c r="AR164" s="171">
        <f t="shared" si="47"/>
        <v>0</v>
      </c>
      <c r="AS164" s="171">
        <f t="shared" si="47"/>
        <v>0</v>
      </c>
      <c r="AT164" s="171">
        <f t="shared" si="47"/>
        <v>0</v>
      </c>
      <c r="AU164" s="171">
        <f t="shared" si="47"/>
        <v>0</v>
      </c>
      <c r="AV164" s="171">
        <f t="shared" si="47"/>
        <v>0</v>
      </c>
      <c r="AW164" s="171">
        <f t="shared" si="47"/>
        <v>0</v>
      </c>
      <c r="AX164" s="171">
        <f t="shared" si="47"/>
        <v>0</v>
      </c>
      <c r="AY164" s="171">
        <f t="shared" si="47"/>
        <v>0</v>
      </c>
      <c r="AZ164" s="171">
        <f t="shared" si="47"/>
        <v>0</v>
      </c>
      <c r="BA164" s="171">
        <f t="shared" si="47"/>
        <v>0</v>
      </c>
      <c r="BB164" s="171">
        <f t="shared" si="47"/>
        <v>0</v>
      </c>
      <c r="BC164" s="171">
        <f t="shared" si="47"/>
        <v>0</v>
      </c>
      <c r="BD164" s="171">
        <f t="shared" si="47"/>
        <v>0</v>
      </c>
      <c r="BE164" s="171">
        <f t="shared" si="47"/>
        <v>0</v>
      </c>
      <c r="BF164" s="171">
        <f t="shared" si="47"/>
        <v>0</v>
      </c>
      <c r="BG164" s="171">
        <f t="shared" si="47"/>
        <v>0</v>
      </c>
      <c r="BH164" s="171">
        <f t="shared" si="47"/>
        <v>0</v>
      </c>
      <c r="BI164" s="171">
        <f t="shared" si="47"/>
        <v>0</v>
      </c>
      <c r="BJ164" s="171">
        <f t="shared" si="47"/>
        <v>0</v>
      </c>
      <c r="BK164" s="171">
        <f t="shared" si="47"/>
        <v>0</v>
      </c>
      <c r="BL164" s="171">
        <f t="shared" si="47"/>
        <v>0</v>
      </c>
      <c r="BM164" s="171">
        <f t="shared" si="47"/>
        <v>0</v>
      </c>
      <c r="BN164" s="171">
        <f t="shared" si="47"/>
        <v>0</v>
      </c>
      <c r="BO164" s="171">
        <f t="shared" si="47"/>
        <v>0</v>
      </c>
      <c r="BP164" s="171">
        <f t="shared" si="46"/>
        <v>0</v>
      </c>
      <c r="BQ164" s="171">
        <f t="shared" si="46"/>
        <v>0</v>
      </c>
      <c r="BR164" s="171">
        <f t="shared" si="46"/>
        <v>0</v>
      </c>
      <c r="BS164" s="171">
        <f t="shared" si="46"/>
        <v>0</v>
      </c>
      <c r="BT164" s="171">
        <f t="shared" si="46"/>
        <v>0</v>
      </c>
      <c r="BU164" s="171">
        <f t="shared" si="46"/>
        <v>0</v>
      </c>
      <c r="BV164" s="171">
        <f t="shared" si="46"/>
        <v>0</v>
      </c>
      <c r="BW164" s="171">
        <f t="shared" si="46"/>
        <v>0</v>
      </c>
      <c r="BX164" s="171">
        <f t="shared" si="46"/>
        <v>0</v>
      </c>
      <c r="BY164" s="171">
        <f t="shared" si="46"/>
        <v>0</v>
      </c>
      <c r="BZ164" s="171">
        <f t="shared" si="46"/>
        <v>0</v>
      </c>
      <c r="CA164" s="171">
        <f t="shared" si="46"/>
        <v>0</v>
      </c>
      <c r="CB164" s="171">
        <f t="shared" si="46"/>
        <v>0</v>
      </c>
      <c r="CC164" s="171">
        <f t="shared" si="46"/>
        <v>0</v>
      </c>
      <c r="CD164" s="171">
        <f t="shared" si="46"/>
        <v>0</v>
      </c>
      <c r="CE164" s="171">
        <f t="shared" si="46"/>
        <v>0</v>
      </c>
      <c r="CF164" s="171">
        <f t="shared" si="46"/>
        <v>0</v>
      </c>
      <c r="CG164" s="171">
        <f t="shared" si="46"/>
        <v>0</v>
      </c>
      <c r="CH164" s="171">
        <f t="shared" si="46"/>
        <v>0</v>
      </c>
      <c r="CI164" s="171">
        <f t="shared" si="46"/>
        <v>0</v>
      </c>
      <c r="CJ164" s="171">
        <f t="shared" si="46"/>
        <v>0</v>
      </c>
      <c r="CK164" s="171">
        <f t="shared" si="46"/>
        <v>0</v>
      </c>
      <c r="CL164" s="171">
        <f t="shared" si="46"/>
        <v>0</v>
      </c>
      <c r="CM164" s="171">
        <f t="shared" si="46"/>
        <v>0</v>
      </c>
      <c r="CN164" s="171">
        <f t="shared" si="46"/>
        <v>0</v>
      </c>
      <c r="CO164" s="171">
        <f t="shared" si="46"/>
        <v>0</v>
      </c>
      <c r="CP164" s="171">
        <f t="shared" si="46"/>
        <v>0</v>
      </c>
      <c r="CQ164" s="171">
        <f t="shared" si="46"/>
        <v>0</v>
      </c>
      <c r="CR164" s="171">
        <f t="shared" si="46"/>
        <v>0</v>
      </c>
      <c r="CS164" s="172">
        <f t="shared" si="46"/>
        <v>0</v>
      </c>
      <c r="CT164" s="85" t="s">
        <v>54</v>
      </c>
    </row>
    <row r="165" spans="1:98" hidden="1" x14ac:dyDescent="0.25">
      <c r="A165" s="97">
        <v>0</v>
      </c>
      <c r="B165" s="90">
        <f t="shared" si="37"/>
        <v>2011</v>
      </c>
      <c r="C165" s="101"/>
      <c r="D165" s="171">
        <f t="shared" si="44"/>
        <v>1</v>
      </c>
      <c r="E165" s="171">
        <f t="shared" si="44"/>
        <v>1</v>
      </c>
      <c r="F165" s="171">
        <f t="shared" si="44"/>
        <v>1</v>
      </c>
      <c r="G165" s="171">
        <f t="shared" si="44"/>
        <v>1</v>
      </c>
      <c r="H165" s="171">
        <f t="shared" si="44"/>
        <v>1</v>
      </c>
      <c r="I165" s="171">
        <f t="shared" si="44"/>
        <v>1</v>
      </c>
      <c r="J165" s="171">
        <f t="shared" si="44"/>
        <v>1</v>
      </c>
      <c r="K165" s="171">
        <f t="shared" si="44"/>
        <v>1</v>
      </c>
      <c r="L165" s="171">
        <f t="shared" si="44"/>
        <v>0</v>
      </c>
      <c r="M165" s="171">
        <f t="shared" si="44"/>
        <v>0</v>
      </c>
      <c r="N165" s="171">
        <f t="shared" si="44"/>
        <v>0</v>
      </c>
      <c r="O165" s="171">
        <f t="shared" si="44"/>
        <v>0</v>
      </c>
      <c r="P165" s="171">
        <f t="shared" si="44"/>
        <v>0</v>
      </c>
      <c r="Q165" s="171">
        <f t="shared" si="44"/>
        <v>0</v>
      </c>
      <c r="R165" s="171">
        <f t="shared" si="44"/>
        <v>0</v>
      </c>
      <c r="S165" s="171">
        <f t="shared" si="44"/>
        <v>0</v>
      </c>
      <c r="T165" s="171">
        <f t="shared" si="44"/>
        <v>0</v>
      </c>
      <c r="U165" s="171">
        <f t="shared" si="44"/>
        <v>0</v>
      </c>
      <c r="V165" s="171">
        <f t="shared" si="44"/>
        <v>0</v>
      </c>
      <c r="W165" s="171">
        <f t="shared" si="44"/>
        <v>0</v>
      </c>
      <c r="X165" s="171">
        <f t="shared" si="44"/>
        <v>0</v>
      </c>
      <c r="Y165" s="171">
        <f t="shared" si="44"/>
        <v>0</v>
      </c>
      <c r="Z165" s="171">
        <f t="shared" si="44"/>
        <v>0</v>
      </c>
      <c r="AA165" s="171">
        <f t="shared" si="44"/>
        <v>0</v>
      </c>
      <c r="AB165" s="171">
        <f t="shared" si="44"/>
        <v>0</v>
      </c>
      <c r="AC165" s="171">
        <f t="shared" si="44"/>
        <v>0</v>
      </c>
      <c r="AD165" s="171">
        <f t="shared" si="44"/>
        <v>0</v>
      </c>
      <c r="AE165" s="171">
        <f t="shared" si="44"/>
        <v>0</v>
      </c>
      <c r="AF165" s="171">
        <f t="shared" si="44"/>
        <v>0</v>
      </c>
      <c r="AG165" s="171">
        <f t="shared" si="44"/>
        <v>0</v>
      </c>
      <c r="AH165" s="171">
        <f t="shared" si="44"/>
        <v>0</v>
      </c>
      <c r="AI165" s="171">
        <f t="shared" si="44"/>
        <v>0</v>
      </c>
      <c r="AJ165" s="171">
        <f t="shared" si="47"/>
        <v>0</v>
      </c>
      <c r="AK165" s="171">
        <f t="shared" si="47"/>
        <v>0</v>
      </c>
      <c r="AL165" s="171">
        <f t="shared" si="47"/>
        <v>0</v>
      </c>
      <c r="AM165" s="171">
        <f t="shared" si="47"/>
        <v>0</v>
      </c>
      <c r="AN165" s="171">
        <f t="shared" si="47"/>
        <v>0</v>
      </c>
      <c r="AO165" s="171">
        <f t="shared" si="47"/>
        <v>0</v>
      </c>
      <c r="AP165" s="171">
        <f t="shared" si="47"/>
        <v>0</v>
      </c>
      <c r="AQ165" s="171">
        <f t="shared" si="47"/>
        <v>0</v>
      </c>
      <c r="AR165" s="171">
        <f t="shared" si="47"/>
        <v>0</v>
      </c>
      <c r="AS165" s="171">
        <f t="shared" si="47"/>
        <v>0</v>
      </c>
      <c r="AT165" s="171">
        <f t="shared" si="47"/>
        <v>0</v>
      </c>
      <c r="AU165" s="171">
        <f t="shared" si="47"/>
        <v>0</v>
      </c>
      <c r="AV165" s="171">
        <f t="shared" si="47"/>
        <v>0</v>
      </c>
      <c r="AW165" s="171">
        <f t="shared" si="47"/>
        <v>0</v>
      </c>
      <c r="AX165" s="171">
        <f t="shared" si="47"/>
        <v>0</v>
      </c>
      <c r="AY165" s="171">
        <f t="shared" si="47"/>
        <v>0</v>
      </c>
      <c r="AZ165" s="171">
        <f t="shared" si="47"/>
        <v>0</v>
      </c>
      <c r="BA165" s="171">
        <f t="shared" si="47"/>
        <v>0</v>
      </c>
      <c r="BB165" s="171">
        <f t="shared" si="47"/>
        <v>0</v>
      </c>
      <c r="BC165" s="171">
        <f t="shared" si="47"/>
        <v>0</v>
      </c>
      <c r="BD165" s="171">
        <f t="shared" si="47"/>
        <v>0</v>
      </c>
      <c r="BE165" s="171">
        <f t="shared" si="47"/>
        <v>0</v>
      </c>
      <c r="BF165" s="171">
        <f t="shared" si="47"/>
        <v>0</v>
      </c>
      <c r="BG165" s="171">
        <f t="shared" si="47"/>
        <v>0</v>
      </c>
      <c r="BH165" s="171">
        <f t="shared" si="47"/>
        <v>0</v>
      </c>
      <c r="BI165" s="171">
        <f t="shared" si="47"/>
        <v>0</v>
      </c>
      <c r="BJ165" s="171">
        <f t="shared" si="47"/>
        <v>0</v>
      </c>
      <c r="BK165" s="171">
        <f t="shared" si="47"/>
        <v>0</v>
      </c>
      <c r="BL165" s="171">
        <f t="shared" si="47"/>
        <v>0</v>
      </c>
      <c r="BM165" s="171">
        <f t="shared" si="47"/>
        <v>0</v>
      </c>
      <c r="BN165" s="171">
        <f t="shared" si="47"/>
        <v>0</v>
      </c>
      <c r="BO165" s="171">
        <f t="shared" si="47"/>
        <v>0</v>
      </c>
      <c r="BP165" s="171">
        <f t="shared" si="46"/>
        <v>0</v>
      </c>
      <c r="BQ165" s="171">
        <f t="shared" si="46"/>
        <v>0</v>
      </c>
      <c r="BR165" s="171">
        <f t="shared" si="46"/>
        <v>0</v>
      </c>
      <c r="BS165" s="171">
        <f t="shared" si="46"/>
        <v>0</v>
      </c>
      <c r="BT165" s="171">
        <f t="shared" si="46"/>
        <v>0</v>
      </c>
      <c r="BU165" s="171">
        <f t="shared" si="46"/>
        <v>0</v>
      </c>
      <c r="BV165" s="171">
        <f t="shared" si="46"/>
        <v>0</v>
      </c>
      <c r="BW165" s="171">
        <f t="shared" si="46"/>
        <v>0</v>
      </c>
      <c r="BX165" s="171">
        <f t="shared" si="46"/>
        <v>0</v>
      </c>
      <c r="BY165" s="171">
        <f t="shared" si="46"/>
        <v>0</v>
      </c>
      <c r="BZ165" s="171">
        <f t="shared" si="46"/>
        <v>0</v>
      </c>
      <c r="CA165" s="171">
        <f t="shared" si="46"/>
        <v>0</v>
      </c>
      <c r="CB165" s="171">
        <f t="shared" si="46"/>
        <v>0</v>
      </c>
      <c r="CC165" s="171">
        <f t="shared" si="46"/>
        <v>0</v>
      </c>
      <c r="CD165" s="171">
        <f t="shared" si="46"/>
        <v>0</v>
      </c>
      <c r="CE165" s="171">
        <f t="shared" si="46"/>
        <v>0</v>
      </c>
      <c r="CF165" s="171">
        <f t="shared" si="46"/>
        <v>0</v>
      </c>
      <c r="CG165" s="171">
        <f t="shared" si="46"/>
        <v>0</v>
      </c>
      <c r="CH165" s="171">
        <f t="shared" si="46"/>
        <v>0</v>
      </c>
      <c r="CI165" s="171">
        <f t="shared" si="46"/>
        <v>0</v>
      </c>
      <c r="CJ165" s="171">
        <f t="shared" si="46"/>
        <v>0</v>
      </c>
      <c r="CK165" s="171">
        <f t="shared" si="46"/>
        <v>0</v>
      </c>
      <c r="CL165" s="171">
        <f t="shared" si="46"/>
        <v>0</v>
      </c>
      <c r="CM165" s="171">
        <f t="shared" si="46"/>
        <v>0</v>
      </c>
      <c r="CN165" s="171">
        <f t="shared" si="46"/>
        <v>0</v>
      </c>
      <c r="CO165" s="171">
        <f t="shared" si="46"/>
        <v>0</v>
      </c>
      <c r="CP165" s="171">
        <f t="shared" si="46"/>
        <v>0</v>
      </c>
      <c r="CQ165" s="171">
        <f t="shared" si="46"/>
        <v>0</v>
      </c>
      <c r="CR165" s="171">
        <f t="shared" si="46"/>
        <v>0</v>
      </c>
      <c r="CS165" s="172">
        <f t="shared" si="46"/>
        <v>0</v>
      </c>
      <c r="CT165" s="85" t="s">
        <v>54</v>
      </c>
    </row>
    <row r="166" spans="1:98" hidden="1" x14ac:dyDescent="0.25">
      <c r="A166" s="97">
        <v>0</v>
      </c>
      <c r="B166" s="90">
        <f t="shared" si="37"/>
        <v>2012</v>
      </c>
      <c r="C166" s="101"/>
      <c r="D166" s="171">
        <f t="shared" si="44"/>
        <v>1</v>
      </c>
      <c r="E166" s="171">
        <f t="shared" si="44"/>
        <v>1</v>
      </c>
      <c r="F166" s="171">
        <f t="shared" si="44"/>
        <v>1</v>
      </c>
      <c r="G166" s="171">
        <f t="shared" si="44"/>
        <v>1</v>
      </c>
      <c r="H166" s="171">
        <f t="shared" si="44"/>
        <v>1</v>
      </c>
      <c r="I166" s="171">
        <f t="shared" si="44"/>
        <v>1</v>
      </c>
      <c r="J166" s="171">
        <f t="shared" si="44"/>
        <v>1</v>
      </c>
      <c r="K166" s="171">
        <f t="shared" si="44"/>
        <v>0</v>
      </c>
      <c r="L166" s="171">
        <f t="shared" si="44"/>
        <v>0</v>
      </c>
      <c r="M166" s="171">
        <f t="shared" si="44"/>
        <v>0</v>
      </c>
      <c r="N166" s="171">
        <f t="shared" si="44"/>
        <v>0</v>
      </c>
      <c r="O166" s="171">
        <f t="shared" si="44"/>
        <v>0</v>
      </c>
      <c r="P166" s="171">
        <f t="shared" si="44"/>
        <v>0</v>
      </c>
      <c r="Q166" s="171">
        <f t="shared" si="44"/>
        <v>0</v>
      </c>
      <c r="R166" s="171">
        <f t="shared" si="44"/>
        <v>0</v>
      </c>
      <c r="S166" s="171">
        <f t="shared" si="44"/>
        <v>0</v>
      </c>
      <c r="T166" s="171">
        <f t="shared" si="44"/>
        <v>0</v>
      </c>
      <c r="U166" s="171">
        <f t="shared" si="44"/>
        <v>0</v>
      </c>
      <c r="V166" s="171">
        <f t="shared" si="44"/>
        <v>0</v>
      </c>
      <c r="W166" s="171">
        <f t="shared" si="44"/>
        <v>0</v>
      </c>
      <c r="X166" s="171">
        <f t="shared" si="44"/>
        <v>0</v>
      </c>
      <c r="Y166" s="171">
        <f t="shared" si="44"/>
        <v>0</v>
      </c>
      <c r="Z166" s="171">
        <f t="shared" si="44"/>
        <v>0</v>
      </c>
      <c r="AA166" s="171">
        <f t="shared" si="44"/>
        <v>0</v>
      </c>
      <c r="AB166" s="171">
        <f t="shared" si="44"/>
        <v>0</v>
      </c>
      <c r="AC166" s="171">
        <f t="shared" si="44"/>
        <v>0</v>
      </c>
      <c r="AD166" s="171">
        <f t="shared" si="44"/>
        <v>0</v>
      </c>
      <c r="AE166" s="171">
        <f t="shared" si="44"/>
        <v>0</v>
      </c>
      <c r="AF166" s="171">
        <f t="shared" si="44"/>
        <v>0</v>
      </c>
      <c r="AG166" s="171">
        <f t="shared" si="44"/>
        <v>0</v>
      </c>
      <c r="AH166" s="171">
        <f t="shared" si="44"/>
        <v>0</v>
      </c>
      <c r="AI166" s="171">
        <f t="shared" ref="AI166" si="48">IF(AI139="",1,0)*IF(AI112="",1,0)*SUM(AI58)*IF(AI85="",0,1)</f>
        <v>0</v>
      </c>
      <c r="AJ166" s="171">
        <f t="shared" si="47"/>
        <v>0</v>
      </c>
      <c r="AK166" s="171">
        <f t="shared" si="47"/>
        <v>0</v>
      </c>
      <c r="AL166" s="171">
        <f t="shared" si="47"/>
        <v>0</v>
      </c>
      <c r="AM166" s="171">
        <f t="shared" si="47"/>
        <v>0</v>
      </c>
      <c r="AN166" s="171">
        <f t="shared" si="47"/>
        <v>0</v>
      </c>
      <c r="AO166" s="171">
        <f t="shared" si="47"/>
        <v>0</v>
      </c>
      <c r="AP166" s="171">
        <f t="shared" si="47"/>
        <v>0</v>
      </c>
      <c r="AQ166" s="171">
        <f t="shared" si="47"/>
        <v>0</v>
      </c>
      <c r="AR166" s="171">
        <f t="shared" si="47"/>
        <v>0</v>
      </c>
      <c r="AS166" s="171">
        <f t="shared" si="47"/>
        <v>0</v>
      </c>
      <c r="AT166" s="171">
        <f t="shared" si="47"/>
        <v>0</v>
      </c>
      <c r="AU166" s="171">
        <f t="shared" si="47"/>
        <v>0</v>
      </c>
      <c r="AV166" s="171">
        <f t="shared" si="47"/>
        <v>0</v>
      </c>
      <c r="AW166" s="171">
        <f t="shared" si="47"/>
        <v>0</v>
      </c>
      <c r="AX166" s="171">
        <f t="shared" si="47"/>
        <v>0</v>
      </c>
      <c r="AY166" s="171">
        <f t="shared" si="47"/>
        <v>0</v>
      </c>
      <c r="AZ166" s="171">
        <f t="shared" si="47"/>
        <v>0</v>
      </c>
      <c r="BA166" s="171">
        <f t="shared" si="47"/>
        <v>0</v>
      </c>
      <c r="BB166" s="171">
        <f t="shared" si="47"/>
        <v>0</v>
      </c>
      <c r="BC166" s="171">
        <f t="shared" si="47"/>
        <v>0</v>
      </c>
      <c r="BD166" s="171">
        <f t="shared" si="47"/>
        <v>0</v>
      </c>
      <c r="BE166" s="171">
        <f t="shared" si="47"/>
        <v>0</v>
      </c>
      <c r="BF166" s="171">
        <f t="shared" si="47"/>
        <v>0</v>
      </c>
      <c r="BG166" s="171">
        <f t="shared" si="47"/>
        <v>0</v>
      </c>
      <c r="BH166" s="171">
        <f t="shared" si="47"/>
        <v>0</v>
      </c>
      <c r="BI166" s="171">
        <f t="shared" si="47"/>
        <v>0</v>
      </c>
      <c r="BJ166" s="171">
        <f t="shared" si="47"/>
        <v>0</v>
      </c>
      <c r="BK166" s="171">
        <f t="shared" si="47"/>
        <v>0</v>
      </c>
      <c r="BL166" s="171">
        <f t="shared" si="47"/>
        <v>0</v>
      </c>
      <c r="BM166" s="171">
        <f t="shared" si="47"/>
        <v>0</v>
      </c>
      <c r="BN166" s="171">
        <f t="shared" si="47"/>
        <v>0</v>
      </c>
      <c r="BO166" s="171">
        <f t="shared" si="47"/>
        <v>0</v>
      </c>
      <c r="BP166" s="171">
        <f t="shared" si="46"/>
        <v>0</v>
      </c>
      <c r="BQ166" s="171">
        <f t="shared" si="46"/>
        <v>0</v>
      </c>
      <c r="BR166" s="171">
        <f t="shared" si="46"/>
        <v>0</v>
      </c>
      <c r="BS166" s="171">
        <f t="shared" si="46"/>
        <v>0</v>
      </c>
      <c r="BT166" s="171">
        <f t="shared" si="46"/>
        <v>0</v>
      </c>
      <c r="BU166" s="171">
        <f t="shared" si="46"/>
        <v>0</v>
      </c>
      <c r="BV166" s="171">
        <f t="shared" si="46"/>
        <v>0</v>
      </c>
      <c r="BW166" s="171">
        <f t="shared" si="46"/>
        <v>0</v>
      </c>
      <c r="BX166" s="171">
        <f t="shared" si="46"/>
        <v>0</v>
      </c>
      <c r="BY166" s="171">
        <f t="shared" si="46"/>
        <v>0</v>
      </c>
      <c r="BZ166" s="171">
        <f t="shared" si="46"/>
        <v>0</v>
      </c>
      <c r="CA166" s="171">
        <f t="shared" si="46"/>
        <v>0</v>
      </c>
      <c r="CB166" s="171">
        <f t="shared" si="46"/>
        <v>0</v>
      </c>
      <c r="CC166" s="171">
        <f t="shared" si="46"/>
        <v>0</v>
      </c>
      <c r="CD166" s="171">
        <f t="shared" si="46"/>
        <v>0</v>
      </c>
      <c r="CE166" s="171">
        <f t="shared" si="46"/>
        <v>0</v>
      </c>
      <c r="CF166" s="171">
        <f t="shared" si="46"/>
        <v>0</v>
      </c>
      <c r="CG166" s="171">
        <f t="shared" si="46"/>
        <v>0</v>
      </c>
      <c r="CH166" s="171">
        <f t="shared" si="46"/>
        <v>0</v>
      </c>
      <c r="CI166" s="171">
        <f t="shared" si="46"/>
        <v>0</v>
      </c>
      <c r="CJ166" s="171">
        <f t="shared" si="46"/>
        <v>0</v>
      </c>
      <c r="CK166" s="171">
        <f t="shared" si="46"/>
        <v>0</v>
      </c>
      <c r="CL166" s="171">
        <f t="shared" si="46"/>
        <v>0</v>
      </c>
      <c r="CM166" s="171">
        <f t="shared" si="46"/>
        <v>0</v>
      </c>
      <c r="CN166" s="171">
        <f t="shared" si="46"/>
        <v>0</v>
      </c>
      <c r="CO166" s="171">
        <f t="shared" si="46"/>
        <v>0</v>
      </c>
      <c r="CP166" s="171">
        <f t="shared" si="46"/>
        <v>0</v>
      </c>
      <c r="CQ166" s="171">
        <f t="shared" si="46"/>
        <v>0</v>
      </c>
      <c r="CR166" s="171">
        <f t="shared" si="46"/>
        <v>0</v>
      </c>
      <c r="CS166" s="172">
        <f t="shared" si="46"/>
        <v>0</v>
      </c>
      <c r="CT166" s="85" t="s">
        <v>54</v>
      </c>
    </row>
    <row r="167" spans="1:98" hidden="1" x14ac:dyDescent="0.25">
      <c r="A167" s="97">
        <v>0</v>
      </c>
      <c r="B167" s="90">
        <f t="shared" si="37"/>
        <v>2013</v>
      </c>
      <c r="C167" s="101"/>
      <c r="D167" s="171">
        <f t="shared" ref="D167:AI173" si="49">IF(D140="",1,0)*IF(D113="",1,0)*SUM(D59)*IF(D86="",0,1)</f>
        <v>0</v>
      </c>
      <c r="E167" s="171">
        <f t="shared" si="49"/>
        <v>0</v>
      </c>
      <c r="F167" s="171">
        <f t="shared" si="49"/>
        <v>0</v>
      </c>
      <c r="G167" s="171">
        <f t="shared" si="49"/>
        <v>0</v>
      </c>
      <c r="H167" s="171">
        <f t="shared" si="49"/>
        <v>0</v>
      </c>
      <c r="I167" s="171">
        <f t="shared" si="49"/>
        <v>0</v>
      </c>
      <c r="J167" s="171">
        <f t="shared" si="49"/>
        <v>0</v>
      </c>
      <c r="K167" s="171">
        <f t="shared" si="49"/>
        <v>0</v>
      </c>
      <c r="L167" s="171">
        <f t="shared" si="49"/>
        <v>0</v>
      </c>
      <c r="M167" s="171">
        <f t="shared" si="49"/>
        <v>0</v>
      </c>
      <c r="N167" s="171">
        <f t="shared" si="49"/>
        <v>0</v>
      </c>
      <c r="O167" s="171">
        <f t="shared" si="49"/>
        <v>0</v>
      </c>
      <c r="P167" s="171">
        <f t="shared" si="49"/>
        <v>0</v>
      </c>
      <c r="Q167" s="171">
        <f t="shared" si="49"/>
        <v>0</v>
      </c>
      <c r="R167" s="171">
        <f t="shared" si="49"/>
        <v>0</v>
      </c>
      <c r="S167" s="171">
        <f t="shared" si="49"/>
        <v>0</v>
      </c>
      <c r="T167" s="171">
        <f t="shared" si="49"/>
        <v>0</v>
      </c>
      <c r="U167" s="171">
        <f t="shared" si="49"/>
        <v>0</v>
      </c>
      <c r="V167" s="171">
        <f t="shared" si="49"/>
        <v>0</v>
      </c>
      <c r="W167" s="171">
        <f t="shared" si="49"/>
        <v>0</v>
      </c>
      <c r="X167" s="171">
        <f t="shared" si="49"/>
        <v>0</v>
      </c>
      <c r="Y167" s="171">
        <f t="shared" si="49"/>
        <v>0</v>
      </c>
      <c r="Z167" s="171">
        <f t="shared" si="49"/>
        <v>0</v>
      </c>
      <c r="AA167" s="171">
        <f t="shared" si="49"/>
        <v>0</v>
      </c>
      <c r="AB167" s="171">
        <f t="shared" si="49"/>
        <v>0</v>
      </c>
      <c r="AC167" s="171">
        <f t="shared" si="49"/>
        <v>0</v>
      </c>
      <c r="AD167" s="171">
        <f t="shared" si="49"/>
        <v>0</v>
      </c>
      <c r="AE167" s="171">
        <f t="shared" si="49"/>
        <v>0</v>
      </c>
      <c r="AF167" s="171">
        <f t="shared" si="49"/>
        <v>0</v>
      </c>
      <c r="AG167" s="171">
        <f t="shared" si="49"/>
        <v>0</v>
      </c>
      <c r="AH167" s="171">
        <f t="shared" si="49"/>
        <v>0</v>
      </c>
      <c r="AI167" s="171">
        <f t="shared" si="49"/>
        <v>0</v>
      </c>
      <c r="AJ167" s="171">
        <f t="shared" si="47"/>
        <v>0</v>
      </c>
      <c r="AK167" s="171">
        <f t="shared" si="47"/>
        <v>0</v>
      </c>
      <c r="AL167" s="171">
        <f t="shared" si="47"/>
        <v>0</v>
      </c>
      <c r="AM167" s="171">
        <f t="shared" si="47"/>
        <v>0</v>
      </c>
      <c r="AN167" s="171">
        <f t="shared" si="47"/>
        <v>0</v>
      </c>
      <c r="AO167" s="171">
        <f t="shared" si="47"/>
        <v>0</v>
      </c>
      <c r="AP167" s="171">
        <f t="shared" si="47"/>
        <v>0</v>
      </c>
      <c r="AQ167" s="171">
        <f t="shared" si="47"/>
        <v>0</v>
      </c>
      <c r="AR167" s="171">
        <f t="shared" si="47"/>
        <v>0</v>
      </c>
      <c r="AS167" s="171">
        <f t="shared" si="47"/>
        <v>0</v>
      </c>
      <c r="AT167" s="171">
        <f t="shared" si="47"/>
        <v>0</v>
      </c>
      <c r="AU167" s="171">
        <f t="shared" si="47"/>
        <v>0</v>
      </c>
      <c r="AV167" s="171">
        <f t="shared" si="47"/>
        <v>0</v>
      </c>
      <c r="AW167" s="171">
        <f t="shared" si="47"/>
        <v>0</v>
      </c>
      <c r="AX167" s="171">
        <f t="shared" si="47"/>
        <v>0</v>
      </c>
      <c r="AY167" s="171">
        <f t="shared" si="47"/>
        <v>0</v>
      </c>
      <c r="AZ167" s="171">
        <f t="shared" si="47"/>
        <v>0</v>
      </c>
      <c r="BA167" s="171">
        <f t="shared" si="47"/>
        <v>0</v>
      </c>
      <c r="BB167" s="171">
        <f t="shared" si="47"/>
        <v>0</v>
      </c>
      <c r="BC167" s="171">
        <f t="shared" si="47"/>
        <v>0</v>
      </c>
      <c r="BD167" s="171">
        <f t="shared" si="47"/>
        <v>0</v>
      </c>
      <c r="BE167" s="171">
        <f t="shared" si="47"/>
        <v>0</v>
      </c>
      <c r="BF167" s="171">
        <f t="shared" si="47"/>
        <v>0</v>
      </c>
      <c r="BG167" s="171">
        <f t="shared" si="47"/>
        <v>0</v>
      </c>
      <c r="BH167" s="171">
        <f t="shared" si="47"/>
        <v>0</v>
      </c>
      <c r="BI167" s="171">
        <f t="shared" si="47"/>
        <v>0</v>
      </c>
      <c r="BJ167" s="171">
        <f t="shared" si="47"/>
        <v>0</v>
      </c>
      <c r="BK167" s="171">
        <f t="shared" si="47"/>
        <v>0</v>
      </c>
      <c r="BL167" s="171">
        <f t="shared" si="47"/>
        <v>0</v>
      </c>
      <c r="BM167" s="171">
        <f t="shared" si="47"/>
        <v>0</v>
      </c>
      <c r="BN167" s="171">
        <f t="shared" si="47"/>
        <v>0</v>
      </c>
      <c r="BO167" s="171">
        <f t="shared" si="47"/>
        <v>0</v>
      </c>
      <c r="BP167" s="171">
        <f t="shared" si="46"/>
        <v>0</v>
      </c>
      <c r="BQ167" s="171">
        <f t="shared" si="46"/>
        <v>0</v>
      </c>
      <c r="BR167" s="171">
        <f t="shared" si="46"/>
        <v>0</v>
      </c>
      <c r="BS167" s="171">
        <f t="shared" si="46"/>
        <v>0</v>
      </c>
      <c r="BT167" s="171">
        <f t="shared" si="46"/>
        <v>0</v>
      </c>
      <c r="BU167" s="171">
        <f t="shared" si="46"/>
        <v>0</v>
      </c>
      <c r="BV167" s="171">
        <f t="shared" si="46"/>
        <v>0</v>
      </c>
      <c r="BW167" s="171">
        <f t="shared" si="46"/>
        <v>0</v>
      </c>
      <c r="BX167" s="171">
        <f t="shared" si="46"/>
        <v>0</v>
      </c>
      <c r="BY167" s="171">
        <f t="shared" si="46"/>
        <v>0</v>
      </c>
      <c r="BZ167" s="171">
        <f t="shared" si="46"/>
        <v>0</v>
      </c>
      <c r="CA167" s="171">
        <f t="shared" si="46"/>
        <v>0</v>
      </c>
      <c r="CB167" s="171">
        <f t="shared" si="46"/>
        <v>0</v>
      </c>
      <c r="CC167" s="171">
        <f t="shared" si="46"/>
        <v>0</v>
      </c>
      <c r="CD167" s="171">
        <f t="shared" si="46"/>
        <v>0</v>
      </c>
      <c r="CE167" s="171">
        <f t="shared" si="46"/>
        <v>0</v>
      </c>
      <c r="CF167" s="171">
        <f t="shared" si="46"/>
        <v>0</v>
      </c>
      <c r="CG167" s="171">
        <f t="shared" si="46"/>
        <v>0</v>
      </c>
      <c r="CH167" s="171">
        <f t="shared" si="46"/>
        <v>0</v>
      </c>
      <c r="CI167" s="171">
        <f t="shared" si="46"/>
        <v>0</v>
      </c>
      <c r="CJ167" s="171">
        <f t="shared" si="46"/>
        <v>0</v>
      </c>
      <c r="CK167" s="171">
        <f t="shared" si="46"/>
        <v>0</v>
      </c>
      <c r="CL167" s="171">
        <f t="shared" si="46"/>
        <v>0</v>
      </c>
      <c r="CM167" s="171">
        <f t="shared" si="46"/>
        <v>0</v>
      </c>
      <c r="CN167" s="171">
        <f t="shared" si="46"/>
        <v>0</v>
      </c>
      <c r="CO167" s="171">
        <f t="shared" si="46"/>
        <v>0</v>
      </c>
      <c r="CP167" s="171">
        <f t="shared" si="46"/>
        <v>0</v>
      </c>
      <c r="CQ167" s="171">
        <f t="shared" si="46"/>
        <v>0</v>
      </c>
      <c r="CR167" s="171">
        <f t="shared" si="46"/>
        <v>0</v>
      </c>
      <c r="CS167" s="172">
        <f t="shared" si="46"/>
        <v>0</v>
      </c>
      <c r="CT167" s="11" t="s">
        <v>54</v>
      </c>
    </row>
    <row r="168" spans="1:98" hidden="1" x14ac:dyDescent="0.25">
      <c r="A168" s="97">
        <v>0</v>
      </c>
      <c r="B168" s="90">
        <f t="shared" si="37"/>
        <v>2014</v>
      </c>
      <c r="C168" s="101"/>
      <c r="D168" s="171">
        <f t="shared" si="49"/>
        <v>1</v>
      </c>
      <c r="E168" s="171">
        <f t="shared" si="49"/>
        <v>1</v>
      </c>
      <c r="F168" s="171">
        <f t="shared" si="49"/>
        <v>1</v>
      </c>
      <c r="G168" s="171">
        <f t="shared" si="49"/>
        <v>1</v>
      </c>
      <c r="H168" s="171">
        <f t="shared" si="49"/>
        <v>1</v>
      </c>
      <c r="I168" s="171">
        <f t="shared" si="49"/>
        <v>0</v>
      </c>
      <c r="J168" s="171">
        <f t="shared" si="49"/>
        <v>0</v>
      </c>
      <c r="K168" s="171">
        <f t="shared" si="49"/>
        <v>0</v>
      </c>
      <c r="L168" s="171">
        <f t="shared" si="49"/>
        <v>0</v>
      </c>
      <c r="M168" s="171">
        <f t="shared" si="49"/>
        <v>0</v>
      </c>
      <c r="N168" s="171">
        <f t="shared" si="49"/>
        <v>0</v>
      </c>
      <c r="O168" s="171">
        <f t="shared" si="49"/>
        <v>0</v>
      </c>
      <c r="P168" s="171">
        <f t="shared" si="49"/>
        <v>0</v>
      </c>
      <c r="Q168" s="171">
        <f t="shared" si="49"/>
        <v>0</v>
      </c>
      <c r="R168" s="171">
        <f t="shared" si="49"/>
        <v>0</v>
      </c>
      <c r="S168" s="171">
        <f t="shared" si="49"/>
        <v>0</v>
      </c>
      <c r="T168" s="171">
        <f t="shared" si="49"/>
        <v>0</v>
      </c>
      <c r="U168" s="171">
        <f t="shared" si="49"/>
        <v>0</v>
      </c>
      <c r="V168" s="171">
        <f t="shared" si="49"/>
        <v>0</v>
      </c>
      <c r="W168" s="171">
        <f t="shared" si="49"/>
        <v>0</v>
      </c>
      <c r="X168" s="171">
        <f t="shared" si="49"/>
        <v>0</v>
      </c>
      <c r="Y168" s="171">
        <f t="shared" si="49"/>
        <v>0</v>
      </c>
      <c r="Z168" s="171">
        <f t="shared" si="49"/>
        <v>0</v>
      </c>
      <c r="AA168" s="171">
        <f t="shared" si="49"/>
        <v>0</v>
      </c>
      <c r="AB168" s="171">
        <f t="shared" si="49"/>
        <v>0</v>
      </c>
      <c r="AC168" s="171">
        <f t="shared" si="49"/>
        <v>0</v>
      </c>
      <c r="AD168" s="171">
        <f t="shared" si="49"/>
        <v>0</v>
      </c>
      <c r="AE168" s="171">
        <f t="shared" si="49"/>
        <v>0</v>
      </c>
      <c r="AF168" s="171">
        <f t="shared" si="49"/>
        <v>0</v>
      </c>
      <c r="AG168" s="171">
        <f t="shared" si="49"/>
        <v>0</v>
      </c>
      <c r="AH168" s="171">
        <f t="shared" si="49"/>
        <v>0</v>
      </c>
      <c r="AI168" s="171">
        <f t="shared" si="49"/>
        <v>0</v>
      </c>
      <c r="AJ168" s="171">
        <f t="shared" si="47"/>
        <v>0</v>
      </c>
      <c r="AK168" s="171">
        <f t="shared" si="47"/>
        <v>0</v>
      </c>
      <c r="AL168" s="171">
        <f t="shared" si="47"/>
        <v>0</v>
      </c>
      <c r="AM168" s="171">
        <f t="shared" si="47"/>
        <v>0</v>
      </c>
      <c r="AN168" s="171">
        <f t="shared" si="47"/>
        <v>0</v>
      </c>
      <c r="AO168" s="171">
        <f t="shared" si="47"/>
        <v>0</v>
      </c>
      <c r="AP168" s="171">
        <f t="shared" si="47"/>
        <v>0</v>
      </c>
      <c r="AQ168" s="171">
        <f t="shared" si="47"/>
        <v>0</v>
      </c>
      <c r="AR168" s="171">
        <f t="shared" si="47"/>
        <v>0</v>
      </c>
      <c r="AS168" s="171">
        <f t="shared" si="47"/>
        <v>0</v>
      </c>
      <c r="AT168" s="171">
        <f t="shared" si="47"/>
        <v>0</v>
      </c>
      <c r="AU168" s="171">
        <f t="shared" si="47"/>
        <v>0</v>
      </c>
      <c r="AV168" s="171">
        <f t="shared" si="47"/>
        <v>0</v>
      </c>
      <c r="AW168" s="171">
        <f t="shared" si="47"/>
        <v>0</v>
      </c>
      <c r="AX168" s="171">
        <f t="shared" si="47"/>
        <v>0</v>
      </c>
      <c r="AY168" s="171">
        <f t="shared" si="47"/>
        <v>0</v>
      </c>
      <c r="AZ168" s="171">
        <f t="shared" si="47"/>
        <v>0</v>
      </c>
      <c r="BA168" s="171">
        <f t="shared" si="47"/>
        <v>0</v>
      </c>
      <c r="BB168" s="171">
        <f t="shared" si="47"/>
        <v>0</v>
      </c>
      <c r="BC168" s="171">
        <f t="shared" si="47"/>
        <v>0</v>
      </c>
      <c r="BD168" s="171">
        <f t="shared" si="47"/>
        <v>0</v>
      </c>
      <c r="BE168" s="171">
        <f t="shared" si="47"/>
        <v>0</v>
      </c>
      <c r="BF168" s="171">
        <f t="shared" si="47"/>
        <v>0</v>
      </c>
      <c r="BG168" s="171">
        <f t="shared" si="47"/>
        <v>0</v>
      </c>
      <c r="BH168" s="171">
        <f t="shared" si="47"/>
        <v>0</v>
      </c>
      <c r="BI168" s="171">
        <f t="shared" si="47"/>
        <v>0</v>
      </c>
      <c r="BJ168" s="171">
        <f t="shared" si="47"/>
        <v>0</v>
      </c>
      <c r="BK168" s="171">
        <f t="shared" si="47"/>
        <v>0</v>
      </c>
      <c r="BL168" s="171">
        <f t="shared" si="47"/>
        <v>0</v>
      </c>
      <c r="BM168" s="171">
        <f t="shared" si="47"/>
        <v>0</v>
      </c>
      <c r="BN168" s="171">
        <f t="shared" si="47"/>
        <v>0</v>
      </c>
      <c r="BO168" s="171">
        <f t="shared" si="47"/>
        <v>0</v>
      </c>
      <c r="BP168" s="171">
        <f t="shared" si="46"/>
        <v>0</v>
      </c>
      <c r="BQ168" s="171">
        <f t="shared" si="46"/>
        <v>0</v>
      </c>
      <c r="BR168" s="171">
        <f t="shared" si="46"/>
        <v>0</v>
      </c>
      <c r="BS168" s="171">
        <f t="shared" si="46"/>
        <v>0</v>
      </c>
      <c r="BT168" s="171">
        <f t="shared" si="46"/>
        <v>0</v>
      </c>
      <c r="BU168" s="171">
        <f t="shared" si="46"/>
        <v>0</v>
      </c>
      <c r="BV168" s="171">
        <f t="shared" si="46"/>
        <v>0</v>
      </c>
      <c r="BW168" s="171">
        <f t="shared" si="46"/>
        <v>0</v>
      </c>
      <c r="BX168" s="171">
        <f t="shared" si="46"/>
        <v>0</v>
      </c>
      <c r="BY168" s="171">
        <f t="shared" si="46"/>
        <v>0</v>
      </c>
      <c r="BZ168" s="171">
        <f t="shared" si="46"/>
        <v>0</v>
      </c>
      <c r="CA168" s="171">
        <f t="shared" si="46"/>
        <v>0</v>
      </c>
      <c r="CB168" s="171">
        <f t="shared" si="46"/>
        <v>0</v>
      </c>
      <c r="CC168" s="171">
        <f t="shared" si="46"/>
        <v>0</v>
      </c>
      <c r="CD168" s="171">
        <f t="shared" si="46"/>
        <v>0</v>
      </c>
      <c r="CE168" s="171">
        <f t="shared" si="46"/>
        <v>0</v>
      </c>
      <c r="CF168" s="171">
        <f t="shared" si="46"/>
        <v>0</v>
      </c>
      <c r="CG168" s="171">
        <f t="shared" si="46"/>
        <v>0</v>
      </c>
      <c r="CH168" s="171">
        <f t="shared" si="46"/>
        <v>0</v>
      </c>
      <c r="CI168" s="171">
        <f t="shared" si="46"/>
        <v>0</v>
      </c>
      <c r="CJ168" s="171">
        <f t="shared" si="46"/>
        <v>0</v>
      </c>
      <c r="CK168" s="171">
        <f t="shared" si="46"/>
        <v>0</v>
      </c>
      <c r="CL168" s="171">
        <f t="shared" si="46"/>
        <v>0</v>
      </c>
      <c r="CM168" s="171">
        <f t="shared" si="46"/>
        <v>0</v>
      </c>
      <c r="CN168" s="171">
        <f t="shared" si="46"/>
        <v>0</v>
      </c>
      <c r="CO168" s="171">
        <f t="shared" si="46"/>
        <v>0</v>
      </c>
      <c r="CP168" s="171">
        <f t="shared" si="46"/>
        <v>0</v>
      </c>
      <c r="CQ168" s="171">
        <f t="shared" si="46"/>
        <v>0</v>
      </c>
      <c r="CR168" s="171">
        <f t="shared" si="46"/>
        <v>0</v>
      </c>
      <c r="CS168" s="172">
        <f t="shared" si="46"/>
        <v>0</v>
      </c>
      <c r="CT168" s="11" t="s">
        <v>54</v>
      </c>
    </row>
    <row r="169" spans="1:98" hidden="1" x14ac:dyDescent="0.25">
      <c r="A169" s="97">
        <v>0</v>
      </c>
      <c r="B169" s="90">
        <f t="shared" si="37"/>
        <v>2015</v>
      </c>
      <c r="C169" s="101"/>
      <c r="D169" s="171">
        <f t="shared" si="49"/>
        <v>0</v>
      </c>
      <c r="E169" s="171">
        <f t="shared" si="49"/>
        <v>0</v>
      </c>
      <c r="F169" s="171">
        <f t="shared" si="49"/>
        <v>0</v>
      </c>
      <c r="G169" s="171">
        <f t="shared" si="49"/>
        <v>0</v>
      </c>
      <c r="H169" s="171">
        <f t="shared" si="49"/>
        <v>0</v>
      </c>
      <c r="I169" s="171">
        <f t="shared" si="49"/>
        <v>0</v>
      </c>
      <c r="J169" s="171">
        <f t="shared" si="49"/>
        <v>0</v>
      </c>
      <c r="K169" s="171">
        <f t="shared" si="49"/>
        <v>0</v>
      </c>
      <c r="L169" s="171">
        <f t="shared" si="49"/>
        <v>0</v>
      </c>
      <c r="M169" s="171">
        <f t="shared" si="49"/>
        <v>0</v>
      </c>
      <c r="N169" s="171">
        <f t="shared" si="49"/>
        <v>0</v>
      </c>
      <c r="O169" s="171">
        <f t="shared" si="49"/>
        <v>0</v>
      </c>
      <c r="P169" s="171">
        <f t="shared" si="49"/>
        <v>0</v>
      </c>
      <c r="Q169" s="171">
        <f t="shared" si="49"/>
        <v>0</v>
      </c>
      <c r="R169" s="171">
        <f t="shared" si="49"/>
        <v>0</v>
      </c>
      <c r="S169" s="171">
        <f t="shared" si="49"/>
        <v>0</v>
      </c>
      <c r="T169" s="171">
        <f t="shared" si="49"/>
        <v>0</v>
      </c>
      <c r="U169" s="171">
        <f t="shared" si="49"/>
        <v>0</v>
      </c>
      <c r="V169" s="171">
        <f t="shared" si="49"/>
        <v>0</v>
      </c>
      <c r="W169" s="171">
        <f t="shared" si="49"/>
        <v>0</v>
      </c>
      <c r="X169" s="171">
        <f t="shared" si="49"/>
        <v>0</v>
      </c>
      <c r="Y169" s="171">
        <f t="shared" si="49"/>
        <v>0</v>
      </c>
      <c r="Z169" s="171">
        <f t="shared" si="49"/>
        <v>0</v>
      </c>
      <c r="AA169" s="171">
        <f t="shared" si="49"/>
        <v>0</v>
      </c>
      <c r="AB169" s="171">
        <f t="shared" si="49"/>
        <v>0</v>
      </c>
      <c r="AC169" s="171">
        <f t="shared" si="49"/>
        <v>0</v>
      </c>
      <c r="AD169" s="171">
        <f t="shared" si="49"/>
        <v>0</v>
      </c>
      <c r="AE169" s="171">
        <f t="shared" si="49"/>
        <v>0</v>
      </c>
      <c r="AF169" s="171">
        <f t="shared" si="49"/>
        <v>0</v>
      </c>
      <c r="AG169" s="171">
        <f t="shared" si="49"/>
        <v>0</v>
      </c>
      <c r="AH169" s="171">
        <f t="shared" si="49"/>
        <v>0</v>
      </c>
      <c r="AI169" s="171">
        <f t="shared" si="49"/>
        <v>0</v>
      </c>
      <c r="AJ169" s="171">
        <f t="shared" si="47"/>
        <v>0</v>
      </c>
      <c r="AK169" s="171">
        <f t="shared" si="47"/>
        <v>0</v>
      </c>
      <c r="AL169" s="171">
        <f t="shared" si="47"/>
        <v>0</v>
      </c>
      <c r="AM169" s="171">
        <f t="shared" si="47"/>
        <v>0</v>
      </c>
      <c r="AN169" s="171">
        <f t="shared" si="47"/>
        <v>0</v>
      </c>
      <c r="AO169" s="171">
        <f t="shared" si="47"/>
        <v>0</v>
      </c>
      <c r="AP169" s="171">
        <f t="shared" si="47"/>
        <v>0</v>
      </c>
      <c r="AQ169" s="171">
        <f t="shared" si="47"/>
        <v>0</v>
      </c>
      <c r="AR169" s="171">
        <f t="shared" si="47"/>
        <v>0</v>
      </c>
      <c r="AS169" s="171">
        <f t="shared" si="47"/>
        <v>0</v>
      </c>
      <c r="AT169" s="171">
        <f t="shared" si="47"/>
        <v>0</v>
      </c>
      <c r="AU169" s="171">
        <f t="shared" si="47"/>
        <v>0</v>
      </c>
      <c r="AV169" s="171">
        <f t="shared" si="47"/>
        <v>0</v>
      </c>
      <c r="AW169" s="171">
        <f t="shared" si="47"/>
        <v>0</v>
      </c>
      <c r="AX169" s="171">
        <f t="shared" si="47"/>
        <v>0</v>
      </c>
      <c r="AY169" s="171">
        <f t="shared" si="47"/>
        <v>0</v>
      </c>
      <c r="AZ169" s="171">
        <f t="shared" si="47"/>
        <v>0</v>
      </c>
      <c r="BA169" s="171">
        <f t="shared" si="47"/>
        <v>0</v>
      </c>
      <c r="BB169" s="171">
        <f t="shared" si="47"/>
        <v>0</v>
      </c>
      <c r="BC169" s="171">
        <f t="shared" si="47"/>
        <v>0</v>
      </c>
      <c r="BD169" s="171">
        <f t="shared" si="47"/>
        <v>0</v>
      </c>
      <c r="BE169" s="171">
        <f t="shared" si="47"/>
        <v>0</v>
      </c>
      <c r="BF169" s="171">
        <f t="shared" si="47"/>
        <v>0</v>
      </c>
      <c r="BG169" s="171">
        <f t="shared" si="47"/>
        <v>0</v>
      </c>
      <c r="BH169" s="171">
        <f t="shared" si="47"/>
        <v>0</v>
      </c>
      <c r="BI169" s="171">
        <f t="shared" si="47"/>
        <v>0</v>
      </c>
      <c r="BJ169" s="171">
        <f t="shared" si="47"/>
        <v>0</v>
      </c>
      <c r="BK169" s="171">
        <f t="shared" si="47"/>
        <v>0</v>
      </c>
      <c r="BL169" s="171">
        <f t="shared" si="47"/>
        <v>0</v>
      </c>
      <c r="BM169" s="171">
        <f t="shared" si="47"/>
        <v>0</v>
      </c>
      <c r="BN169" s="171">
        <f t="shared" si="47"/>
        <v>0</v>
      </c>
      <c r="BO169" s="171">
        <f t="shared" si="47"/>
        <v>0</v>
      </c>
      <c r="BP169" s="171">
        <f t="shared" si="46"/>
        <v>0</v>
      </c>
      <c r="BQ169" s="171">
        <f t="shared" si="46"/>
        <v>0</v>
      </c>
      <c r="BR169" s="171">
        <f t="shared" si="46"/>
        <v>0</v>
      </c>
      <c r="BS169" s="171">
        <f t="shared" si="46"/>
        <v>0</v>
      </c>
      <c r="BT169" s="171">
        <f t="shared" si="46"/>
        <v>0</v>
      </c>
      <c r="BU169" s="171">
        <f t="shared" si="46"/>
        <v>0</v>
      </c>
      <c r="BV169" s="171">
        <f t="shared" si="46"/>
        <v>0</v>
      </c>
      <c r="BW169" s="171">
        <f t="shared" si="46"/>
        <v>0</v>
      </c>
      <c r="BX169" s="171">
        <f t="shared" si="46"/>
        <v>0</v>
      </c>
      <c r="BY169" s="171">
        <f t="shared" si="46"/>
        <v>0</v>
      </c>
      <c r="BZ169" s="171">
        <f t="shared" si="46"/>
        <v>0</v>
      </c>
      <c r="CA169" s="171">
        <f t="shared" si="46"/>
        <v>0</v>
      </c>
      <c r="CB169" s="171">
        <f t="shared" si="46"/>
        <v>0</v>
      </c>
      <c r="CC169" s="171">
        <f t="shared" si="46"/>
        <v>0</v>
      </c>
      <c r="CD169" s="171">
        <f t="shared" si="46"/>
        <v>0</v>
      </c>
      <c r="CE169" s="171">
        <f t="shared" si="46"/>
        <v>0</v>
      </c>
      <c r="CF169" s="171">
        <f t="shared" si="46"/>
        <v>0</v>
      </c>
      <c r="CG169" s="171">
        <f t="shared" si="46"/>
        <v>0</v>
      </c>
      <c r="CH169" s="171">
        <f t="shared" si="46"/>
        <v>0</v>
      </c>
      <c r="CI169" s="171">
        <f t="shared" si="46"/>
        <v>0</v>
      </c>
      <c r="CJ169" s="171">
        <f t="shared" si="46"/>
        <v>0</v>
      </c>
      <c r="CK169" s="171">
        <f t="shared" si="46"/>
        <v>0</v>
      </c>
      <c r="CL169" s="171">
        <f t="shared" si="46"/>
        <v>0</v>
      </c>
      <c r="CM169" s="171">
        <f t="shared" si="46"/>
        <v>0</v>
      </c>
      <c r="CN169" s="171">
        <f t="shared" si="46"/>
        <v>0</v>
      </c>
      <c r="CO169" s="171">
        <f t="shared" si="46"/>
        <v>0</v>
      </c>
      <c r="CP169" s="171">
        <f t="shared" si="46"/>
        <v>0</v>
      </c>
      <c r="CQ169" s="171">
        <f t="shared" si="46"/>
        <v>0</v>
      </c>
      <c r="CR169" s="171">
        <f t="shared" si="46"/>
        <v>0</v>
      </c>
      <c r="CS169" s="172">
        <f t="shared" si="46"/>
        <v>0</v>
      </c>
      <c r="CT169" s="11" t="s">
        <v>54</v>
      </c>
    </row>
    <row r="170" spans="1:98" hidden="1" x14ac:dyDescent="0.25">
      <c r="A170" s="97">
        <v>0</v>
      </c>
      <c r="B170" s="90">
        <f t="shared" si="37"/>
        <v>2016</v>
      </c>
      <c r="C170" s="101"/>
      <c r="D170" s="171">
        <f t="shared" si="49"/>
        <v>1</v>
      </c>
      <c r="E170" s="171">
        <f t="shared" si="49"/>
        <v>1</v>
      </c>
      <c r="F170" s="171">
        <f t="shared" si="49"/>
        <v>1</v>
      </c>
      <c r="G170" s="171">
        <f t="shared" si="49"/>
        <v>0</v>
      </c>
      <c r="H170" s="171">
        <f t="shared" si="49"/>
        <v>0</v>
      </c>
      <c r="I170" s="171">
        <f t="shared" si="49"/>
        <v>0</v>
      </c>
      <c r="J170" s="171">
        <f t="shared" si="49"/>
        <v>0</v>
      </c>
      <c r="K170" s="171">
        <f t="shared" si="49"/>
        <v>0</v>
      </c>
      <c r="L170" s="171">
        <f t="shared" si="49"/>
        <v>0</v>
      </c>
      <c r="M170" s="171">
        <f t="shared" si="49"/>
        <v>0</v>
      </c>
      <c r="N170" s="171">
        <f t="shared" si="49"/>
        <v>0</v>
      </c>
      <c r="O170" s="171">
        <f t="shared" si="49"/>
        <v>0</v>
      </c>
      <c r="P170" s="171">
        <f t="shared" si="49"/>
        <v>0</v>
      </c>
      <c r="Q170" s="171">
        <f t="shared" si="49"/>
        <v>0</v>
      </c>
      <c r="R170" s="171">
        <f t="shared" si="49"/>
        <v>0</v>
      </c>
      <c r="S170" s="171">
        <f t="shared" si="49"/>
        <v>0</v>
      </c>
      <c r="T170" s="171">
        <f t="shared" si="49"/>
        <v>0</v>
      </c>
      <c r="U170" s="171">
        <f t="shared" si="49"/>
        <v>0</v>
      </c>
      <c r="V170" s="171">
        <f t="shared" si="49"/>
        <v>0</v>
      </c>
      <c r="W170" s="171">
        <f t="shared" si="49"/>
        <v>0</v>
      </c>
      <c r="X170" s="171">
        <f t="shared" si="49"/>
        <v>0</v>
      </c>
      <c r="Y170" s="171">
        <f t="shared" si="49"/>
        <v>0</v>
      </c>
      <c r="Z170" s="171">
        <f t="shared" si="49"/>
        <v>0</v>
      </c>
      <c r="AA170" s="171">
        <f t="shared" si="49"/>
        <v>0</v>
      </c>
      <c r="AB170" s="171">
        <f t="shared" si="49"/>
        <v>0</v>
      </c>
      <c r="AC170" s="171">
        <f t="shared" si="49"/>
        <v>0</v>
      </c>
      <c r="AD170" s="171">
        <f t="shared" si="49"/>
        <v>0</v>
      </c>
      <c r="AE170" s="171">
        <f t="shared" si="49"/>
        <v>0</v>
      </c>
      <c r="AF170" s="171">
        <f t="shared" si="49"/>
        <v>0</v>
      </c>
      <c r="AG170" s="171">
        <f t="shared" si="49"/>
        <v>0</v>
      </c>
      <c r="AH170" s="171">
        <f t="shared" si="49"/>
        <v>0</v>
      </c>
      <c r="AI170" s="171">
        <f t="shared" si="49"/>
        <v>0</v>
      </c>
      <c r="AJ170" s="171">
        <f t="shared" si="47"/>
        <v>0</v>
      </c>
      <c r="AK170" s="171">
        <f t="shared" si="47"/>
        <v>0</v>
      </c>
      <c r="AL170" s="171">
        <f t="shared" si="47"/>
        <v>0</v>
      </c>
      <c r="AM170" s="171">
        <f t="shared" si="47"/>
        <v>0</v>
      </c>
      <c r="AN170" s="171">
        <f t="shared" si="47"/>
        <v>0</v>
      </c>
      <c r="AO170" s="171">
        <f t="shared" si="47"/>
        <v>0</v>
      </c>
      <c r="AP170" s="171">
        <f t="shared" si="47"/>
        <v>0</v>
      </c>
      <c r="AQ170" s="171">
        <f t="shared" si="47"/>
        <v>0</v>
      </c>
      <c r="AR170" s="171">
        <f t="shared" si="47"/>
        <v>0</v>
      </c>
      <c r="AS170" s="171">
        <f t="shared" si="47"/>
        <v>0</v>
      </c>
      <c r="AT170" s="171">
        <f t="shared" si="47"/>
        <v>0</v>
      </c>
      <c r="AU170" s="171">
        <f t="shared" si="47"/>
        <v>0</v>
      </c>
      <c r="AV170" s="171">
        <f t="shared" si="47"/>
        <v>0</v>
      </c>
      <c r="AW170" s="171">
        <f t="shared" si="47"/>
        <v>0</v>
      </c>
      <c r="AX170" s="171">
        <f t="shared" si="47"/>
        <v>0</v>
      </c>
      <c r="AY170" s="171">
        <f t="shared" si="47"/>
        <v>0</v>
      </c>
      <c r="AZ170" s="171">
        <f t="shared" si="47"/>
        <v>0</v>
      </c>
      <c r="BA170" s="171">
        <f t="shared" si="47"/>
        <v>0</v>
      </c>
      <c r="BB170" s="171">
        <f t="shared" si="47"/>
        <v>0</v>
      </c>
      <c r="BC170" s="171">
        <f t="shared" si="47"/>
        <v>0</v>
      </c>
      <c r="BD170" s="171">
        <f t="shared" si="47"/>
        <v>0</v>
      </c>
      <c r="BE170" s="171">
        <f t="shared" si="47"/>
        <v>0</v>
      </c>
      <c r="BF170" s="171">
        <f t="shared" si="47"/>
        <v>0</v>
      </c>
      <c r="BG170" s="171">
        <f t="shared" si="47"/>
        <v>0</v>
      </c>
      <c r="BH170" s="171">
        <f t="shared" si="47"/>
        <v>0</v>
      </c>
      <c r="BI170" s="171">
        <f t="shared" si="47"/>
        <v>0</v>
      </c>
      <c r="BJ170" s="171">
        <f t="shared" si="47"/>
        <v>0</v>
      </c>
      <c r="BK170" s="171">
        <f t="shared" si="47"/>
        <v>0</v>
      </c>
      <c r="BL170" s="171">
        <f t="shared" si="47"/>
        <v>0</v>
      </c>
      <c r="BM170" s="171">
        <f t="shared" si="47"/>
        <v>0</v>
      </c>
      <c r="BN170" s="171">
        <f t="shared" si="47"/>
        <v>0</v>
      </c>
      <c r="BO170" s="171">
        <f t="shared" ref="BO170" si="50">IF(BO143="",1,0)*IF(BO116="",1,0)*SUM(BO62)*IF(BO89="",0,1)</f>
        <v>0</v>
      </c>
      <c r="BP170" s="171">
        <f t="shared" si="46"/>
        <v>0</v>
      </c>
      <c r="BQ170" s="171">
        <f t="shared" si="46"/>
        <v>0</v>
      </c>
      <c r="BR170" s="171">
        <f t="shared" si="46"/>
        <v>0</v>
      </c>
      <c r="BS170" s="171">
        <f t="shared" si="46"/>
        <v>0</v>
      </c>
      <c r="BT170" s="171">
        <f t="shared" si="46"/>
        <v>0</v>
      </c>
      <c r="BU170" s="171">
        <f t="shared" si="46"/>
        <v>0</v>
      </c>
      <c r="BV170" s="171">
        <f t="shared" si="46"/>
        <v>0</v>
      </c>
      <c r="BW170" s="171">
        <f t="shared" si="46"/>
        <v>0</v>
      </c>
      <c r="BX170" s="171">
        <f t="shared" si="46"/>
        <v>0</v>
      </c>
      <c r="BY170" s="171">
        <f t="shared" si="46"/>
        <v>0</v>
      </c>
      <c r="BZ170" s="171">
        <f t="shared" si="46"/>
        <v>0</v>
      </c>
      <c r="CA170" s="171">
        <f t="shared" si="46"/>
        <v>0</v>
      </c>
      <c r="CB170" s="171">
        <f t="shared" si="46"/>
        <v>0</v>
      </c>
      <c r="CC170" s="171">
        <f t="shared" si="46"/>
        <v>0</v>
      </c>
      <c r="CD170" s="171">
        <f t="shared" ref="CD170:CS170" si="51">IF(CD143="",1,0)*IF(CD116="",1,0)*SUM(CD62)*IF(CD89="",0,1)</f>
        <v>0</v>
      </c>
      <c r="CE170" s="171">
        <f t="shared" si="51"/>
        <v>0</v>
      </c>
      <c r="CF170" s="171">
        <f t="shared" si="51"/>
        <v>0</v>
      </c>
      <c r="CG170" s="171">
        <f t="shared" si="51"/>
        <v>0</v>
      </c>
      <c r="CH170" s="171">
        <f t="shared" si="51"/>
        <v>0</v>
      </c>
      <c r="CI170" s="171">
        <f t="shared" si="51"/>
        <v>0</v>
      </c>
      <c r="CJ170" s="171">
        <f t="shared" si="51"/>
        <v>0</v>
      </c>
      <c r="CK170" s="171">
        <f t="shared" si="51"/>
        <v>0</v>
      </c>
      <c r="CL170" s="171">
        <f t="shared" si="51"/>
        <v>0</v>
      </c>
      <c r="CM170" s="171">
        <f t="shared" si="51"/>
        <v>0</v>
      </c>
      <c r="CN170" s="171">
        <f t="shared" si="51"/>
        <v>0</v>
      </c>
      <c r="CO170" s="171">
        <f t="shared" si="51"/>
        <v>0</v>
      </c>
      <c r="CP170" s="171">
        <f t="shared" si="51"/>
        <v>0</v>
      </c>
      <c r="CQ170" s="171">
        <f t="shared" si="51"/>
        <v>0</v>
      </c>
      <c r="CR170" s="171">
        <f t="shared" si="51"/>
        <v>0</v>
      </c>
      <c r="CS170" s="172">
        <f t="shared" si="51"/>
        <v>0</v>
      </c>
      <c r="CT170" s="11" t="s">
        <v>54</v>
      </c>
    </row>
    <row r="171" spans="1:98" hidden="1" x14ac:dyDescent="0.25">
      <c r="A171" s="97">
        <v>0</v>
      </c>
      <c r="B171" s="90">
        <f t="shared" si="37"/>
        <v>2017</v>
      </c>
      <c r="C171" s="101"/>
      <c r="D171" s="171">
        <f t="shared" si="49"/>
        <v>1</v>
      </c>
      <c r="E171" s="171">
        <f t="shared" si="49"/>
        <v>1</v>
      </c>
      <c r="F171" s="171">
        <f t="shared" si="49"/>
        <v>0</v>
      </c>
      <c r="G171" s="171">
        <f t="shared" si="49"/>
        <v>0</v>
      </c>
      <c r="H171" s="171">
        <f t="shared" si="49"/>
        <v>0</v>
      </c>
      <c r="I171" s="171">
        <f t="shared" si="49"/>
        <v>0</v>
      </c>
      <c r="J171" s="171">
        <f t="shared" si="49"/>
        <v>0</v>
      </c>
      <c r="K171" s="171">
        <f t="shared" si="49"/>
        <v>0</v>
      </c>
      <c r="L171" s="171">
        <f t="shared" si="49"/>
        <v>0</v>
      </c>
      <c r="M171" s="171">
        <f t="shared" si="49"/>
        <v>0</v>
      </c>
      <c r="N171" s="171">
        <f t="shared" si="49"/>
        <v>0</v>
      </c>
      <c r="O171" s="171">
        <f t="shared" si="49"/>
        <v>0</v>
      </c>
      <c r="P171" s="171">
        <f t="shared" si="49"/>
        <v>0</v>
      </c>
      <c r="Q171" s="171">
        <f t="shared" si="49"/>
        <v>0</v>
      </c>
      <c r="R171" s="171">
        <f t="shared" si="49"/>
        <v>0</v>
      </c>
      <c r="S171" s="171">
        <f t="shared" si="49"/>
        <v>0</v>
      </c>
      <c r="T171" s="171">
        <f t="shared" si="49"/>
        <v>0</v>
      </c>
      <c r="U171" s="171">
        <f t="shared" si="49"/>
        <v>0</v>
      </c>
      <c r="V171" s="171">
        <f t="shared" si="49"/>
        <v>0</v>
      </c>
      <c r="W171" s="171">
        <f t="shared" si="49"/>
        <v>0</v>
      </c>
      <c r="X171" s="171">
        <f t="shared" si="49"/>
        <v>0</v>
      </c>
      <c r="Y171" s="171">
        <f t="shared" si="49"/>
        <v>0</v>
      </c>
      <c r="Z171" s="171">
        <f t="shared" si="49"/>
        <v>0</v>
      </c>
      <c r="AA171" s="171">
        <f t="shared" si="49"/>
        <v>0</v>
      </c>
      <c r="AB171" s="171">
        <f t="shared" si="49"/>
        <v>0</v>
      </c>
      <c r="AC171" s="171">
        <f t="shared" si="49"/>
        <v>0</v>
      </c>
      <c r="AD171" s="171">
        <f t="shared" si="49"/>
        <v>0</v>
      </c>
      <c r="AE171" s="171">
        <f t="shared" si="49"/>
        <v>0</v>
      </c>
      <c r="AF171" s="171">
        <f t="shared" si="49"/>
        <v>0</v>
      </c>
      <c r="AG171" s="171">
        <f t="shared" si="49"/>
        <v>0</v>
      </c>
      <c r="AH171" s="171">
        <f t="shared" si="49"/>
        <v>0</v>
      </c>
      <c r="AI171" s="171">
        <f t="shared" si="49"/>
        <v>0</v>
      </c>
      <c r="AJ171" s="171">
        <f t="shared" ref="AJ171:CS173" si="52">IF(AJ144="",1,0)*IF(AJ117="",1,0)*SUM(AJ63)*IF(AJ90="",0,1)</f>
        <v>0</v>
      </c>
      <c r="AK171" s="171">
        <f t="shared" si="52"/>
        <v>0</v>
      </c>
      <c r="AL171" s="171">
        <f t="shared" si="52"/>
        <v>0</v>
      </c>
      <c r="AM171" s="171">
        <f t="shared" si="52"/>
        <v>0</v>
      </c>
      <c r="AN171" s="171">
        <f t="shared" si="52"/>
        <v>0</v>
      </c>
      <c r="AO171" s="171">
        <f t="shared" si="52"/>
        <v>0</v>
      </c>
      <c r="AP171" s="171">
        <f t="shared" si="52"/>
        <v>0</v>
      </c>
      <c r="AQ171" s="171">
        <f t="shared" si="52"/>
        <v>0</v>
      </c>
      <c r="AR171" s="171">
        <f t="shared" si="52"/>
        <v>0</v>
      </c>
      <c r="AS171" s="171">
        <f t="shared" si="52"/>
        <v>0</v>
      </c>
      <c r="AT171" s="171">
        <f t="shared" si="52"/>
        <v>0</v>
      </c>
      <c r="AU171" s="171">
        <f t="shared" si="52"/>
        <v>0</v>
      </c>
      <c r="AV171" s="171">
        <f t="shared" si="52"/>
        <v>0</v>
      </c>
      <c r="AW171" s="171">
        <f t="shared" si="52"/>
        <v>0</v>
      </c>
      <c r="AX171" s="171">
        <f t="shared" si="52"/>
        <v>0</v>
      </c>
      <c r="AY171" s="171">
        <f t="shared" si="52"/>
        <v>0</v>
      </c>
      <c r="AZ171" s="171">
        <f t="shared" si="52"/>
        <v>0</v>
      </c>
      <c r="BA171" s="171">
        <f t="shared" si="52"/>
        <v>0</v>
      </c>
      <c r="BB171" s="171">
        <f t="shared" si="52"/>
        <v>0</v>
      </c>
      <c r="BC171" s="171">
        <f t="shared" si="52"/>
        <v>0</v>
      </c>
      <c r="BD171" s="171">
        <f t="shared" si="52"/>
        <v>0</v>
      </c>
      <c r="BE171" s="171">
        <f t="shared" si="52"/>
        <v>0</v>
      </c>
      <c r="BF171" s="171">
        <f t="shared" si="52"/>
        <v>0</v>
      </c>
      <c r="BG171" s="171">
        <f t="shared" si="52"/>
        <v>0</v>
      </c>
      <c r="BH171" s="171">
        <f t="shared" si="52"/>
        <v>0</v>
      </c>
      <c r="BI171" s="171">
        <f t="shared" si="52"/>
        <v>0</v>
      </c>
      <c r="BJ171" s="171">
        <f t="shared" si="52"/>
        <v>0</v>
      </c>
      <c r="BK171" s="171">
        <f t="shared" si="52"/>
        <v>0</v>
      </c>
      <c r="BL171" s="171">
        <f t="shared" si="52"/>
        <v>0</v>
      </c>
      <c r="BM171" s="171">
        <f t="shared" si="52"/>
        <v>0</v>
      </c>
      <c r="BN171" s="171">
        <f t="shared" si="52"/>
        <v>0</v>
      </c>
      <c r="BO171" s="171">
        <f t="shared" si="52"/>
        <v>0</v>
      </c>
      <c r="BP171" s="171">
        <f t="shared" si="52"/>
        <v>0</v>
      </c>
      <c r="BQ171" s="171">
        <f t="shared" si="52"/>
        <v>0</v>
      </c>
      <c r="BR171" s="171">
        <f t="shared" si="52"/>
        <v>0</v>
      </c>
      <c r="BS171" s="171">
        <f t="shared" si="52"/>
        <v>0</v>
      </c>
      <c r="BT171" s="171">
        <f t="shared" si="52"/>
        <v>0</v>
      </c>
      <c r="BU171" s="171">
        <f t="shared" si="52"/>
        <v>0</v>
      </c>
      <c r="BV171" s="171">
        <f t="shared" si="52"/>
        <v>0</v>
      </c>
      <c r="BW171" s="171">
        <f t="shared" si="52"/>
        <v>0</v>
      </c>
      <c r="BX171" s="171">
        <f t="shared" si="52"/>
        <v>0</v>
      </c>
      <c r="BY171" s="171">
        <f t="shared" si="52"/>
        <v>0</v>
      </c>
      <c r="BZ171" s="171">
        <f t="shared" si="52"/>
        <v>0</v>
      </c>
      <c r="CA171" s="171">
        <f t="shared" si="52"/>
        <v>0</v>
      </c>
      <c r="CB171" s="171">
        <f t="shared" si="52"/>
        <v>0</v>
      </c>
      <c r="CC171" s="171">
        <f t="shared" si="52"/>
        <v>0</v>
      </c>
      <c r="CD171" s="171">
        <f t="shared" si="52"/>
        <v>0</v>
      </c>
      <c r="CE171" s="171">
        <f t="shared" si="52"/>
        <v>0</v>
      </c>
      <c r="CF171" s="171">
        <f t="shared" si="52"/>
        <v>0</v>
      </c>
      <c r="CG171" s="171">
        <f t="shared" si="52"/>
        <v>0</v>
      </c>
      <c r="CH171" s="171">
        <f t="shared" si="52"/>
        <v>0</v>
      </c>
      <c r="CI171" s="171">
        <f t="shared" si="52"/>
        <v>0</v>
      </c>
      <c r="CJ171" s="171">
        <f t="shared" si="52"/>
        <v>0</v>
      </c>
      <c r="CK171" s="171">
        <f t="shared" si="52"/>
        <v>0</v>
      </c>
      <c r="CL171" s="171">
        <f t="shared" si="52"/>
        <v>0</v>
      </c>
      <c r="CM171" s="171">
        <f t="shared" si="52"/>
        <v>0</v>
      </c>
      <c r="CN171" s="171">
        <f t="shared" si="52"/>
        <v>0</v>
      </c>
      <c r="CO171" s="171">
        <f t="shared" si="52"/>
        <v>0</v>
      </c>
      <c r="CP171" s="171">
        <f t="shared" si="52"/>
        <v>0</v>
      </c>
      <c r="CQ171" s="171">
        <f t="shared" si="52"/>
        <v>0</v>
      </c>
      <c r="CR171" s="171">
        <f t="shared" si="52"/>
        <v>0</v>
      </c>
      <c r="CS171" s="172">
        <f t="shared" si="52"/>
        <v>0</v>
      </c>
      <c r="CT171" s="11" t="s">
        <v>54</v>
      </c>
    </row>
    <row r="172" spans="1:98" hidden="1" x14ac:dyDescent="0.25">
      <c r="A172" s="97">
        <v>0</v>
      </c>
      <c r="B172" s="90">
        <f t="shared" si="37"/>
        <v>2018</v>
      </c>
      <c r="C172" s="101"/>
      <c r="D172" s="171">
        <f t="shared" si="49"/>
        <v>1</v>
      </c>
      <c r="E172" s="171">
        <f t="shared" si="49"/>
        <v>0</v>
      </c>
      <c r="F172" s="171">
        <f t="shared" si="49"/>
        <v>0</v>
      </c>
      <c r="G172" s="171">
        <f t="shared" si="49"/>
        <v>0</v>
      </c>
      <c r="H172" s="171">
        <f t="shared" si="49"/>
        <v>0</v>
      </c>
      <c r="I172" s="171">
        <f t="shared" si="49"/>
        <v>0</v>
      </c>
      <c r="J172" s="171">
        <f t="shared" si="49"/>
        <v>0</v>
      </c>
      <c r="K172" s="171">
        <f t="shared" si="49"/>
        <v>0</v>
      </c>
      <c r="L172" s="171">
        <f t="shared" si="49"/>
        <v>0</v>
      </c>
      <c r="M172" s="171">
        <f t="shared" si="49"/>
        <v>0</v>
      </c>
      <c r="N172" s="171">
        <f t="shared" si="49"/>
        <v>0</v>
      </c>
      <c r="O172" s="171">
        <f t="shared" si="49"/>
        <v>0</v>
      </c>
      <c r="P172" s="171">
        <f t="shared" si="49"/>
        <v>0</v>
      </c>
      <c r="Q172" s="171">
        <f t="shared" si="49"/>
        <v>0</v>
      </c>
      <c r="R172" s="171">
        <f t="shared" si="49"/>
        <v>0</v>
      </c>
      <c r="S172" s="171">
        <f t="shared" si="49"/>
        <v>0</v>
      </c>
      <c r="T172" s="171">
        <f t="shared" si="49"/>
        <v>0</v>
      </c>
      <c r="U172" s="171">
        <f t="shared" si="49"/>
        <v>0</v>
      </c>
      <c r="V172" s="171">
        <f t="shared" si="49"/>
        <v>0</v>
      </c>
      <c r="W172" s="171">
        <f t="shared" si="49"/>
        <v>0</v>
      </c>
      <c r="X172" s="171">
        <f t="shared" si="49"/>
        <v>0</v>
      </c>
      <c r="Y172" s="171">
        <f t="shared" si="49"/>
        <v>0</v>
      </c>
      <c r="Z172" s="171">
        <f t="shared" si="49"/>
        <v>0</v>
      </c>
      <c r="AA172" s="171">
        <f t="shared" si="49"/>
        <v>0</v>
      </c>
      <c r="AB172" s="171">
        <f t="shared" si="49"/>
        <v>0</v>
      </c>
      <c r="AC172" s="171">
        <f t="shared" si="49"/>
        <v>0</v>
      </c>
      <c r="AD172" s="171">
        <f t="shared" si="49"/>
        <v>0</v>
      </c>
      <c r="AE172" s="171">
        <f t="shared" si="49"/>
        <v>0</v>
      </c>
      <c r="AF172" s="171">
        <f t="shared" si="49"/>
        <v>0</v>
      </c>
      <c r="AG172" s="171">
        <f t="shared" si="49"/>
        <v>0</v>
      </c>
      <c r="AH172" s="171">
        <f t="shared" si="49"/>
        <v>0</v>
      </c>
      <c r="AI172" s="171">
        <f t="shared" si="49"/>
        <v>0</v>
      </c>
      <c r="AJ172" s="171">
        <f t="shared" si="52"/>
        <v>0</v>
      </c>
      <c r="AK172" s="171">
        <f t="shared" si="52"/>
        <v>0</v>
      </c>
      <c r="AL172" s="171">
        <f t="shared" si="52"/>
        <v>0</v>
      </c>
      <c r="AM172" s="171">
        <f t="shared" si="52"/>
        <v>0</v>
      </c>
      <c r="AN172" s="171">
        <f t="shared" si="52"/>
        <v>0</v>
      </c>
      <c r="AO172" s="171">
        <f t="shared" si="52"/>
        <v>0</v>
      </c>
      <c r="AP172" s="171">
        <f t="shared" si="52"/>
        <v>0</v>
      </c>
      <c r="AQ172" s="171">
        <f t="shared" si="52"/>
        <v>0</v>
      </c>
      <c r="AR172" s="171">
        <f t="shared" si="52"/>
        <v>0</v>
      </c>
      <c r="AS172" s="171">
        <f t="shared" si="52"/>
        <v>0</v>
      </c>
      <c r="AT172" s="171">
        <f t="shared" si="52"/>
        <v>0</v>
      </c>
      <c r="AU172" s="171">
        <f t="shared" si="52"/>
        <v>0</v>
      </c>
      <c r="AV172" s="171">
        <f t="shared" si="52"/>
        <v>0</v>
      </c>
      <c r="AW172" s="171">
        <f t="shared" si="52"/>
        <v>0</v>
      </c>
      <c r="AX172" s="171">
        <f t="shared" si="52"/>
        <v>0</v>
      </c>
      <c r="AY172" s="171">
        <f t="shared" si="52"/>
        <v>0</v>
      </c>
      <c r="AZ172" s="171">
        <f t="shared" si="52"/>
        <v>0</v>
      </c>
      <c r="BA172" s="171">
        <f t="shared" si="52"/>
        <v>0</v>
      </c>
      <c r="BB172" s="171">
        <f t="shared" si="52"/>
        <v>0</v>
      </c>
      <c r="BC172" s="171">
        <f t="shared" si="52"/>
        <v>0</v>
      </c>
      <c r="BD172" s="171">
        <f t="shared" si="52"/>
        <v>0</v>
      </c>
      <c r="BE172" s="171">
        <f t="shared" si="52"/>
        <v>0</v>
      </c>
      <c r="BF172" s="171">
        <f t="shared" si="52"/>
        <v>0</v>
      </c>
      <c r="BG172" s="171">
        <f t="shared" si="52"/>
        <v>0</v>
      </c>
      <c r="BH172" s="171">
        <f t="shared" si="52"/>
        <v>0</v>
      </c>
      <c r="BI172" s="171">
        <f t="shared" si="52"/>
        <v>0</v>
      </c>
      <c r="BJ172" s="171">
        <f t="shared" si="52"/>
        <v>0</v>
      </c>
      <c r="BK172" s="171">
        <f t="shared" si="52"/>
        <v>0</v>
      </c>
      <c r="BL172" s="171">
        <f t="shared" si="52"/>
        <v>0</v>
      </c>
      <c r="BM172" s="171">
        <f t="shared" si="52"/>
        <v>0</v>
      </c>
      <c r="BN172" s="171">
        <f t="shared" si="52"/>
        <v>0</v>
      </c>
      <c r="BO172" s="171">
        <f t="shared" si="52"/>
        <v>0</v>
      </c>
      <c r="BP172" s="171">
        <f t="shared" si="52"/>
        <v>0</v>
      </c>
      <c r="BQ172" s="171">
        <f t="shared" si="52"/>
        <v>0</v>
      </c>
      <c r="BR172" s="171">
        <f t="shared" si="52"/>
        <v>0</v>
      </c>
      <c r="BS172" s="171">
        <f t="shared" si="52"/>
        <v>0</v>
      </c>
      <c r="BT172" s="171">
        <f t="shared" si="52"/>
        <v>0</v>
      </c>
      <c r="BU172" s="171">
        <f t="shared" si="52"/>
        <v>0</v>
      </c>
      <c r="BV172" s="171">
        <f t="shared" si="52"/>
        <v>0</v>
      </c>
      <c r="BW172" s="171">
        <f t="shared" si="52"/>
        <v>0</v>
      </c>
      <c r="BX172" s="171">
        <f t="shared" si="52"/>
        <v>0</v>
      </c>
      <c r="BY172" s="171">
        <f t="shared" si="52"/>
        <v>0</v>
      </c>
      <c r="BZ172" s="171">
        <f t="shared" si="52"/>
        <v>0</v>
      </c>
      <c r="CA172" s="171">
        <f t="shared" si="52"/>
        <v>0</v>
      </c>
      <c r="CB172" s="171">
        <f t="shared" si="52"/>
        <v>0</v>
      </c>
      <c r="CC172" s="171">
        <f t="shared" si="52"/>
        <v>0</v>
      </c>
      <c r="CD172" s="171">
        <f t="shared" si="52"/>
        <v>0</v>
      </c>
      <c r="CE172" s="171">
        <f t="shared" si="52"/>
        <v>0</v>
      </c>
      <c r="CF172" s="171">
        <f t="shared" si="52"/>
        <v>0</v>
      </c>
      <c r="CG172" s="171">
        <f t="shared" si="52"/>
        <v>0</v>
      </c>
      <c r="CH172" s="171">
        <f t="shared" si="52"/>
        <v>0</v>
      </c>
      <c r="CI172" s="171">
        <f t="shared" si="52"/>
        <v>0</v>
      </c>
      <c r="CJ172" s="171">
        <f t="shared" si="52"/>
        <v>0</v>
      </c>
      <c r="CK172" s="171">
        <f t="shared" si="52"/>
        <v>0</v>
      </c>
      <c r="CL172" s="171">
        <f t="shared" si="52"/>
        <v>0</v>
      </c>
      <c r="CM172" s="171">
        <f t="shared" si="52"/>
        <v>0</v>
      </c>
      <c r="CN172" s="171">
        <f t="shared" si="52"/>
        <v>0</v>
      </c>
      <c r="CO172" s="171">
        <f t="shared" si="52"/>
        <v>0</v>
      </c>
      <c r="CP172" s="171">
        <f t="shared" si="52"/>
        <v>0</v>
      </c>
      <c r="CQ172" s="171">
        <f t="shared" si="52"/>
        <v>0</v>
      </c>
      <c r="CR172" s="171">
        <f t="shared" si="52"/>
        <v>0</v>
      </c>
      <c r="CS172" s="172">
        <f t="shared" si="52"/>
        <v>0</v>
      </c>
      <c r="CT172" s="11" t="s">
        <v>54</v>
      </c>
    </row>
    <row r="173" spans="1:98" hidden="1" x14ac:dyDescent="0.25">
      <c r="A173" s="97">
        <v>0</v>
      </c>
      <c r="B173" s="91">
        <f t="shared" si="37"/>
        <v>2019</v>
      </c>
      <c r="C173" s="168"/>
      <c r="D173" s="173">
        <f t="shared" si="49"/>
        <v>0</v>
      </c>
      <c r="E173" s="173">
        <f t="shared" si="49"/>
        <v>0</v>
      </c>
      <c r="F173" s="173">
        <f t="shared" si="49"/>
        <v>0</v>
      </c>
      <c r="G173" s="173">
        <f t="shared" si="49"/>
        <v>0</v>
      </c>
      <c r="H173" s="173">
        <f t="shared" si="49"/>
        <v>0</v>
      </c>
      <c r="I173" s="173">
        <f t="shared" si="49"/>
        <v>0</v>
      </c>
      <c r="J173" s="173">
        <f t="shared" si="49"/>
        <v>0</v>
      </c>
      <c r="K173" s="173">
        <f t="shared" si="49"/>
        <v>0</v>
      </c>
      <c r="L173" s="173">
        <f t="shared" si="49"/>
        <v>0</v>
      </c>
      <c r="M173" s="173">
        <f t="shared" si="49"/>
        <v>0</v>
      </c>
      <c r="N173" s="173">
        <f t="shared" si="49"/>
        <v>0</v>
      </c>
      <c r="O173" s="173">
        <f t="shared" si="49"/>
        <v>0</v>
      </c>
      <c r="P173" s="173">
        <f t="shared" si="49"/>
        <v>0</v>
      </c>
      <c r="Q173" s="173">
        <f t="shared" si="49"/>
        <v>0</v>
      </c>
      <c r="R173" s="173">
        <f t="shared" si="49"/>
        <v>0</v>
      </c>
      <c r="S173" s="173">
        <f t="shared" si="49"/>
        <v>0</v>
      </c>
      <c r="T173" s="173">
        <f t="shared" si="49"/>
        <v>0</v>
      </c>
      <c r="U173" s="173">
        <f t="shared" si="49"/>
        <v>0</v>
      </c>
      <c r="V173" s="173">
        <f t="shared" si="49"/>
        <v>0</v>
      </c>
      <c r="W173" s="173">
        <f t="shared" si="49"/>
        <v>0</v>
      </c>
      <c r="X173" s="173">
        <f t="shared" si="49"/>
        <v>0</v>
      </c>
      <c r="Y173" s="173">
        <f t="shared" si="49"/>
        <v>0</v>
      </c>
      <c r="Z173" s="173">
        <f t="shared" si="49"/>
        <v>0</v>
      </c>
      <c r="AA173" s="173">
        <f t="shared" si="49"/>
        <v>0</v>
      </c>
      <c r="AB173" s="173">
        <f t="shared" si="49"/>
        <v>0</v>
      </c>
      <c r="AC173" s="173">
        <f t="shared" si="49"/>
        <v>0</v>
      </c>
      <c r="AD173" s="173">
        <f t="shared" si="49"/>
        <v>0</v>
      </c>
      <c r="AE173" s="173">
        <f t="shared" si="49"/>
        <v>0</v>
      </c>
      <c r="AF173" s="173">
        <f t="shared" si="49"/>
        <v>0</v>
      </c>
      <c r="AG173" s="173">
        <f t="shared" si="49"/>
        <v>0</v>
      </c>
      <c r="AH173" s="173">
        <f t="shared" si="49"/>
        <v>0</v>
      </c>
      <c r="AI173" s="173">
        <f t="shared" si="49"/>
        <v>0</v>
      </c>
      <c r="AJ173" s="173">
        <f t="shared" si="52"/>
        <v>0</v>
      </c>
      <c r="AK173" s="173">
        <f t="shared" si="52"/>
        <v>0</v>
      </c>
      <c r="AL173" s="173">
        <f t="shared" si="52"/>
        <v>0</v>
      </c>
      <c r="AM173" s="173">
        <f t="shared" si="52"/>
        <v>0</v>
      </c>
      <c r="AN173" s="173">
        <f t="shared" si="52"/>
        <v>0</v>
      </c>
      <c r="AO173" s="173">
        <f t="shared" si="52"/>
        <v>0</v>
      </c>
      <c r="AP173" s="173">
        <f t="shared" si="52"/>
        <v>0</v>
      </c>
      <c r="AQ173" s="173">
        <f t="shared" si="52"/>
        <v>0</v>
      </c>
      <c r="AR173" s="173">
        <f t="shared" si="52"/>
        <v>0</v>
      </c>
      <c r="AS173" s="173">
        <f t="shared" si="52"/>
        <v>0</v>
      </c>
      <c r="AT173" s="173">
        <f t="shared" si="52"/>
        <v>0</v>
      </c>
      <c r="AU173" s="173">
        <f t="shared" si="52"/>
        <v>0</v>
      </c>
      <c r="AV173" s="173">
        <f t="shared" si="52"/>
        <v>0</v>
      </c>
      <c r="AW173" s="173">
        <f t="shared" si="52"/>
        <v>0</v>
      </c>
      <c r="AX173" s="173">
        <f t="shared" si="52"/>
        <v>0</v>
      </c>
      <c r="AY173" s="173">
        <f t="shared" si="52"/>
        <v>0</v>
      </c>
      <c r="AZ173" s="173">
        <f t="shared" si="52"/>
        <v>0</v>
      </c>
      <c r="BA173" s="173">
        <f t="shared" si="52"/>
        <v>0</v>
      </c>
      <c r="BB173" s="173">
        <f t="shared" si="52"/>
        <v>0</v>
      </c>
      <c r="BC173" s="173">
        <f t="shared" si="52"/>
        <v>0</v>
      </c>
      <c r="BD173" s="173">
        <f t="shared" si="52"/>
        <v>0</v>
      </c>
      <c r="BE173" s="173">
        <f t="shared" si="52"/>
        <v>0</v>
      </c>
      <c r="BF173" s="173">
        <f t="shared" si="52"/>
        <v>0</v>
      </c>
      <c r="BG173" s="173">
        <f t="shared" si="52"/>
        <v>0</v>
      </c>
      <c r="BH173" s="173">
        <f t="shared" si="52"/>
        <v>0</v>
      </c>
      <c r="BI173" s="173">
        <f t="shared" si="52"/>
        <v>0</v>
      </c>
      <c r="BJ173" s="173">
        <f t="shared" si="52"/>
        <v>0</v>
      </c>
      <c r="BK173" s="173">
        <f t="shared" si="52"/>
        <v>0</v>
      </c>
      <c r="BL173" s="173">
        <f t="shared" si="52"/>
        <v>0</v>
      </c>
      <c r="BM173" s="173">
        <f t="shared" si="52"/>
        <v>0</v>
      </c>
      <c r="BN173" s="173">
        <f t="shared" si="52"/>
        <v>0</v>
      </c>
      <c r="BO173" s="173">
        <f t="shared" si="52"/>
        <v>0</v>
      </c>
      <c r="BP173" s="173">
        <f t="shared" si="52"/>
        <v>0</v>
      </c>
      <c r="BQ173" s="173">
        <f t="shared" si="52"/>
        <v>0</v>
      </c>
      <c r="BR173" s="173">
        <f t="shared" si="52"/>
        <v>0</v>
      </c>
      <c r="BS173" s="173">
        <f t="shared" si="52"/>
        <v>0</v>
      </c>
      <c r="BT173" s="173">
        <f t="shared" si="52"/>
        <v>0</v>
      </c>
      <c r="BU173" s="173">
        <f t="shared" si="52"/>
        <v>0</v>
      </c>
      <c r="BV173" s="173">
        <f t="shared" si="52"/>
        <v>0</v>
      </c>
      <c r="BW173" s="173">
        <f t="shared" si="52"/>
        <v>0</v>
      </c>
      <c r="BX173" s="173">
        <f t="shared" si="52"/>
        <v>0</v>
      </c>
      <c r="BY173" s="173">
        <f t="shared" si="52"/>
        <v>0</v>
      </c>
      <c r="BZ173" s="173">
        <f t="shared" si="52"/>
        <v>0</v>
      </c>
      <c r="CA173" s="173">
        <f t="shared" si="52"/>
        <v>0</v>
      </c>
      <c r="CB173" s="173">
        <f t="shared" si="52"/>
        <v>0</v>
      </c>
      <c r="CC173" s="173">
        <f t="shared" si="52"/>
        <v>0</v>
      </c>
      <c r="CD173" s="173">
        <f t="shared" si="52"/>
        <v>0</v>
      </c>
      <c r="CE173" s="173">
        <f t="shared" si="52"/>
        <v>0</v>
      </c>
      <c r="CF173" s="173">
        <f t="shared" si="52"/>
        <v>0</v>
      </c>
      <c r="CG173" s="173">
        <f t="shared" si="52"/>
        <v>0</v>
      </c>
      <c r="CH173" s="173">
        <f t="shared" si="52"/>
        <v>0</v>
      </c>
      <c r="CI173" s="173">
        <f t="shared" si="52"/>
        <v>0</v>
      </c>
      <c r="CJ173" s="173">
        <f t="shared" si="52"/>
        <v>0</v>
      </c>
      <c r="CK173" s="173">
        <f t="shared" si="52"/>
        <v>0</v>
      </c>
      <c r="CL173" s="173">
        <f t="shared" si="52"/>
        <v>0</v>
      </c>
      <c r="CM173" s="173">
        <f t="shared" si="52"/>
        <v>0</v>
      </c>
      <c r="CN173" s="173">
        <f t="shared" si="52"/>
        <v>0</v>
      </c>
      <c r="CO173" s="173">
        <f t="shared" si="52"/>
        <v>0</v>
      </c>
      <c r="CP173" s="173">
        <f t="shared" si="52"/>
        <v>0</v>
      </c>
      <c r="CQ173" s="173">
        <f t="shared" si="52"/>
        <v>0</v>
      </c>
      <c r="CR173" s="173">
        <f t="shared" si="52"/>
        <v>0</v>
      </c>
      <c r="CS173" s="174">
        <f t="shared" si="52"/>
        <v>0</v>
      </c>
      <c r="CT173" s="11" t="s">
        <v>54</v>
      </c>
    </row>
    <row r="174" spans="1:98" hidden="1" x14ac:dyDescent="0.25">
      <c r="A174" s="97">
        <v>0</v>
      </c>
      <c r="B174" s="25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</row>
    <row r="175" spans="1:98" hidden="1" x14ac:dyDescent="0.25">
      <c r="A175" s="97">
        <v>0</v>
      </c>
      <c r="B175" s="25" t="s">
        <v>52</v>
      </c>
      <c r="D175" s="42">
        <f>SUM(D42:D65)+$D$8-MIN($B$42:$B$65)</f>
        <v>23</v>
      </c>
      <c r="E175" s="42">
        <f t="shared" ref="E175:BP175" si="53">SUM(E42:E65)+$D$8-MIN($B$42:$B$65)</f>
        <v>22</v>
      </c>
      <c r="F175" s="42">
        <f t="shared" si="53"/>
        <v>21</v>
      </c>
      <c r="G175" s="42">
        <f t="shared" si="53"/>
        <v>20</v>
      </c>
      <c r="H175" s="42">
        <f t="shared" si="53"/>
        <v>19</v>
      </c>
      <c r="I175" s="42">
        <f t="shared" si="53"/>
        <v>18</v>
      </c>
      <c r="J175" s="42">
        <f t="shared" si="53"/>
        <v>17</v>
      </c>
      <c r="K175" s="42">
        <f t="shared" si="53"/>
        <v>16</v>
      </c>
      <c r="L175" s="42">
        <f t="shared" si="53"/>
        <v>15</v>
      </c>
      <c r="M175" s="42">
        <f t="shared" si="53"/>
        <v>14</v>
      </c>
      <c r="N175" s="42">
        <f t="shared" si="53"/>
        <v>14</v>
      </c>
      <c r="O175" s="42">
        <f t="shared" si="53"/>
        <v>14</v>
      </c>
      <c r="P175" s="42">
        <f t="shared" si="53"/>
        <v>14</v>
      </c>
      <c r="Q175" s="42">
        <f t="shared" si="53"/>
        <v>14</v>
      </c>
      <c r="R175" s="42">
        <f t="shared" si="53"/>
        <v>14</v>
      </c>
      <c r="S175" s="42">
        <f t="shared" si="53"/>
        <v>14</v>
      </c>
      <c r="T175" s="42">
        <f t="shared" si="53"/>
        <v>14</v>
      </c>
      <c r="U175" s="42">
        <f t="shared" si="53"/>
        <v>14</v>
      </c>
      <c r="V175" s="42">
        <f t="shared" si="53"/>
        <v>14</v>
      </c>
      <c r="W175" s="42">
        <f t="shared" si="53"/>
        <v>14</v>
      </c>
      <c r="X175" s="42">
        <f t="shared" si="53"/>
        <v>14</v>
      </c>
      <c r="Y175" s="42">
        <f t="shared" si="53"/>
        <v>14</v>
      </c>
      <c r="Z175" s="42">
        <f t="shared" si="53"/>
        <v>14</v>
      </c>
      <c r="AA175" s="42">
        <f t="shared" si="53"/>
        <v>14</v>
      </c>
      <c r="AB175" s="42">
        <f t="shared" si="53"/>
        <v>14</v>
      </c>
      <c r="AC175" s="42">
        <f t="shared" si="53"/>
        <v>14</v>
      </c>
      <c r="AD175" s="42">
        <f t="shared" si="53"/>
        <v>14</v>
      </c>
      <c r="AE175" s="42">
        <f t="shared" si="53"/>
        <v>14</v>
      </c>
      <c r="AF175" s="42">
        <f t="shared" si="53"/>
        <v>14</v>
      </c>
      <c r="AG175" s="42">
        <f t="shared" si="53"/>
        <v>14</v>
      </c>
      <c r="AH175" s="42">
        <f t="shared" si="53"/>
        <v>14</v>
      </c>
      <c r="AI175" s="42">
        <f t="shared" si="53"/>
        <v>14</v>
      </c>
      <c r="AJ175" s="42">
        <f t="shared" si="53"/>
        <v>14</v>
      </c>
      <c r="AK175" s="42">
        <f t="shared" si="53"/>
        <v>14</v>
      </c>
      <c r="AL175" s="42">
        <f t="shared" si="53"/>
        <v>14</v>
      </c>
      <c r="AM175" s="42">
        <f t="shared" si="53"/>
        <v>14</v>
      </c>
      <c r="AN175" s="42">
        <f t="shared" si="53"/>
        <v>14</v>
      </c>
      <c r="AO175" s="42">
        <f t="shared" si="53"/>
        <v>14</v>
      </c>
      <c r="AP175" s="42">
        <f t="shared" si="53"/>
        <v>14</v>
      </c>
      <c r="AQ175" s="42">
        <f t="shared" si="53"/>
        <v>14</v>
      </c>
      <c r="AR175" s="42">
        <f t="shared" si="53"/>
        <v>14</v>
      </c>
      <c r="AS175" s="42">
        <f t="shared" si="53"/>
        <v>14</v>
      </c>
      <c r="AT175" s="42">
        <f t="shared" si="53"/>
        <v>14</v>
      </c>
      <c r="AU175" s="42">
        <f t="shared" si="53"/>
        <v>14</v>
      </c>
      <c r="AV175" s="42">
        <f t="shared" si="53"/>
        <v>14</v>
      </c>
      <c r="AW175" s="42">
        <f t="shared" si="53"/>
        <v>14</v>
      </c>
      <c r="AX175" s="42">
        <f t="shared" si="53"/>
        <v>14</v>
      </c>
      <c r="AY175" s="42">
        <f t="shared" si="53"/>
        <v>14</v>
      </c>
      <c r="AZ175" s="42">
        <f t="shared" si="53"/>
        <v>14</v>
      </c>
      <c r="BA175" s="42">
        <f t="shared" si="53"/>
        <v>14</v>
      </c>
      <c r="BB175" s="42">
        <f t="shared" si="53"/>
        <v>14</v>
      </c>
      <c r="BC175" s="42">
        <f t="shared" si="53"/>
        <v>14</v>
      </c>
      <c r="BD175" s="42">
        <f t="shared" si="53"/>
        <v>14</v>
      </c>
      <c r="BE175" s="42">
        <f t="shared" si="53"/>
        <v>14</v>
      </c>
      <c r="BF175" s="42">
        <f t="shared" si="53"/>
        <v>14</v>
      </c>
      <c r="BG175" s="42">
        <f t="shared" si="53"/>
        <v>14</v>
      </c>
      <c r="BH175" s="42">
        <f t="shared" si="53"/>
        <v>14</v>
      </c>
      <c r="BI175" s="42">
        <f t="shared" si="53"/>
        <v>14</v>
      </c>
      <c r="BJ175" s="42">
        <f t="shared" si="53"/>
        <v>14</v>
      </c>
      <c r="BK175" s="42">
        <f t="shared" si="53"/>
        <v>14</v>
      </c>
      <c r="BL175" s="42">
        <f t="shared" si="53"/>
        <v>14</v>
      </c>
      <c r="BM175" s="42">
        <f t="shared" si="53"/>
        <v>14</v>
      </c>
      <c r="BN175" s="42">
        <f t="shared" si="53"/>
        <v>14</v>
      </c>
      <c r="BO175" s="42">
        <f t="shared" si="53"/>
        <v>14</v>
      </c>
      <c r="BP175" s="42">
        <f t="shared" si="53"/>
        <v>14</v>
      </c>
      <c r="BQ175" s="42">
        <f t="shared" ref="BQ175:CS175" si="54">SUM(BQ42:BQ65)+$D$8-MIN($B$42:$B$65)</f>
        <v>14</v>
      </c>
      <c r="BR175" s="42">
        <f t="shared" si="54"/>
        <v>14</v>
      </c>
      <c r="BS175" s="42">
        <f t="shared" si="54"/>
        <v>14</v>
      </c>
      <c r="BT175" s="42">
        <f t="shared" si="54"/>
        <v>14</v>
      </c>
      <c r="BU175" s="42">
        <f t="shared" si="54"/>
        <v>14</v>
      </c>
      <c r="BV175" s="42">
        <f t="shared" si="54"/>
        <v>14</v>
      </c>
      <c r="BW175" s="42">
        <f t="shared" si="54"/>
        <v>14</v>
      </c>
      <c r="BX175" s="42">
        <f t="shared" si="54"/>
        <v>14</v>
      </c>
      <c r="BY175" s="42">
        <f t="shared" si="54"/>
        <v>14</v>
      </c>
      <c r="BZ175" s="42">
        <f t="shared" si="54"/>
        <v>14</v>
      </c>
      <c r="CA175" s="42">
        <f t="shared" si="54"/>
        <v>14</v>
      </c>
      <c r="CB175" s="42">
        <f t="shared" si="54"/>
        <v>14</v>
      </c>
      <c r="CC175" s="42">
        <f t="shared" si="54"/>
        <v>14</v>
      </c>
      <c r="CD175" s="42">
        <f t="shared" si="54"/>
        <v>14</v>
      </c>
      <c r="CE175" s="42">
        <f t="shared" si="54"/>
        <v>14</v>
      </c>
      <c r="CF175" s="42">
        <f t="shared" si="54"/>
        <v>14</v>
      </c>
      <c r="CG175" s="42">
        <f t="shared" si="54"/>
        <v>14</v>
      </c>
      <c r="CH175" s="42">
        <f t="shared" si="54"/>
        <v>14</v>
      </c>
      <c r="CI175" s="42">
        <f t="shared" si="54"/>
        <v>14</v>
      </c>
      <c r="CJ175" s="42">
        <f t="shared" si="54"/>
        <v>14</v>
      </c>
      <c r="CK175" s="42">
        <f t="shared" si="54"/>
        <v>14</v>
      </c>
      <c r="CL175" s="42">
        <f t="shared" si="54"/>
        <v>14</v>
      </c>
      <c r="CM175" s="42">
        <f t="shared" si="54"/>
        <v>14</v>
      </c>
      <c r="CN175" s="42">
        <f t="shared" si="54"/>
        <v>14</v>
      </c>
      <c r="CO175" s="42">
        <f t="shared" si="54"/>
        <v>14</v>
      </c>
      <c r="CP175" s="42">
        <f t="shared" si="54"/>
        <v>14</v>
      </c>
      <c r="CQ175" s="42">
        <f t="shared" si="54"/>
        <v>14</v>
      </c>
      <c r="CR175" s="42">
        <f t="shared" si="54"/>
        <v>14</v>
      </c>
      <c r="CS175" s="42">
        <f t="shared" si="54"/>
        <v>14</v>
      </c>
    </row>
    <row r="176" spans="1:98" hidden="1" x14ac:dyDescent="0.25">
      <c r="A176" s="97">
        <v>0</v>
      </c>
      <c r="C176" s="45" t="s">
        <v>3</v>
      </c>
      <c r="D176" s="40" t="str">
        <f t="shared" ref="D176:BO176" si="55">D186</f>
        <v>2 / 1</v>
      </c>
      <c r="E176" s="40" t="str">
        <f t="shared" si="55"/>
        <v>3 / 2</v>
      </c>
      <c r="F176" s="40" t="str">
        <f t="shared" si="55"/>
        <v>4 / 3</v>
      </c>
      <c r="G176" s="40" t="str">
        <f t="shared" si="55"/>
        <v>5 / 4</v>
      </c>
      <c r="H176" s="40" t="str">
        <f t="shared" si="55"/>
        <v>6 / 5</v>
      </c>
      <c r="I176" s="40" t="str">
        <f t="shared" si="55"/>
        <v>7 / 6</v>
      </c>
      <c r="J176" s="40" t="str">
        <f t="shared" si="55"/>
        <v>8 / 7</v>
      </c>
      <c r="K176" s="40" t="str">
        <f t="shared" si="55"/>
        <v>9 / 8</v>
      </c>
      <c r="L176" s="40" t="str">
        <f t="shared" si="55"/>
        <v>10 / 9</v>
      </c>
      <c r="M176" s="40" t="str">
        <f t="shared" si="55"/>
        <v>11 / 10</v>
      </c>
      <c r="N176" s="40" t="str">
        <f t="shared" si="55"/>
        <v>12 / 11</v>
      </c>
      <c r="O176" s="40" t="str">
        <f t="shared" si="55"/>
        <v>13 / 12</v>
      </c>
      <c r="P176" s="40" t="str">
        <f t="shared" si="55"/>
        <v>14 / 13</v>
      </c>
      <c r="Q176" s="40" t="str">
        <f t="shared" si="55"/>
        <v>15 / 14</v>
      </c>
      <c r="R176" s="40" t="str">
        <f t="shared" si="55"/>
        <v>16 / 15</v>
      </c>
      <c r="S176" s="40" t="str">
        <f t="shared" si="55"/>
        <v>17 / 16</v>
      </c>
      <c r="T176" s="40" t="str">
        <f t="shared" si="55"/>
        <v>18 / 17</v>
      </c>
      <c r="U176" s="40" t="str">
        <f t="shared" si="55"/>
        <v>19 / 18</v>
      </c>
      <c r="V176" s="40" t="str">
        <f t="shared" si="55"/>
        <v>20 / 19</v>
      </c>
      <c r="W176" s="40" t="str">
        <f t="shared" si="55"/>
        <v>21 / 20</v>
      </c>
      <c r="X176" s="40" t="str">
        <f t="shared" si="55"/>
        <v>22 / 21</v>
      </c>
      <c r="Y176" s="40" t="str">
        <f t="shared" si="55"/>
        <v>23 / 22</v>
      </c>
      <c r="Z176" s="40" t="str">
        <f t="shared" si="55"/>
        <v>24 / 23</v>
      </c>
      <c r="AA176" s="40" t="str">
        <f t="shared" si="55"/>
        <v>25 / 24</v>
      </c>
      <c r="AB176" s="40" t="str">
        <f t="shared" si="55"/>
        <v>26 / 25</v>
      </c>
      <c r="AC176" s="40" t="str">
        <f t="shared" si="55"/>
        <v>27 / 26</v>
      </c>
      <c r="AD176" s="40" t="str">
        <f t="shared" si="55"/>
        <v>28 / 27</v>
      </c>
      <c r="AE176" s="40" t="str">
        <f t="shared" si="55"/>
        <v>29 / 28</v>
      </c>
      <c r="AF176" s="40" t="str">
        <f t="shared" si="55"/>
        <v>30 / 29</v>
      </c>
      <c r="AG176" s="40" t="str">
        <f t="shared" si="55"/>
        <v>31 / 30</v>
      </c>
      <c r="AH176" s="40" t="str">
        <f t="shared" si="55"/>
        <v>32 / 31</v>
      </c>
      <c r="AI176" s="40" t="str">
        <f t="shared" si="55"/>
        <v>33 / 32</v>
      </c>
      <c r="AJ176" s="40" t="str">
        <f t="shared" si="55"/>
        <v>34 / 33</v>
      </c>
      <c r="AK176" s="40" t="str">
        <f t="shared" si="55"/>
        <v>35 / 34</v>
      </c>
      <c r="AL176" s="40" t="str">
        <f t="shared" si="55"/>
        <v>36 / 35</v>
      </c>
      <c r="AM176" s="40" t="str">
        <f t="shared" si="55"/>
        <v>37 / 36</v>
      </c>
      <c r="AN176" s="40" t="str">
        <f t="shared" si="55"/>
        <v>38 / 37</v>
      </c>
      <c r="AO176" s="40" t="str">
        <f t="shared" si="55"/>
        <v>39 / 38</v>
      </c>
      <c r="AP176" s="40" t="str">
        <f t="shared" si="55"/>
        <v>40 / 39</v>
      </c>
      <c r="AQ176" s="40" t="str">
        <f t="shared" si="55"/>
        <v>41 / 40</v>
      </c>
      <c r="AR176" s="40" t="str">
        <f t="shared" si="55"/>
        <v>42 / 41</v>
      </c>
      <c r="AS176" s="40" t="str">
        <f t="shared" si="55"/>
        <v>43 / 42</v>
      </c>
      <c r="AT176" s="40" t="str">
        <f t="shared" si="55"/>
        <v>44 / 43</v>
      </c>
      <c r="AU176" s="40" t="str">
        <f t="shared" si="55"/>
        <v>45 / 44</v>
      </c>
      <c r="AV176" s="40" t="str">
        <f t="shared" si="55"/>
        <v>46 / 45</v>
      </c>
      <c r="AW176" s="40" t="str">
        <f t="shared" si="55"/>
        <v>47 / 46</v>
      </c>
      <c r="AX176" s="40" t="str">
        <f t="shared" si="55"/>
        <v>48 / 47</v>
      </c>
      <c r="AY176" s="40" t="str">
        <f t="shared" si="55"/>
        <v>49 / 48</v>
      </c>
      <c r="AZ176" s="40" t="str">
        <f t="shared" si="55"/>
        <v>50 / 49</v>
      </c>
      <c r="BA176" s="40" t="str">
        <f t="shared" si="55"/>
        <v>51 / 50</v>
      </c>
      <c r="BB176" s="40" t="str">
        <f t="shared" si="55"/>
        <v>52 / 51</v>
      </c>
      <c r="BC176" s="40" t="str">
        <f t="shared" si="55"/>
        <v>53 / 52</v>
      </c>
      <c r="BD176" s="40" t="str">
        <f t="shared" si="55"/>
        <v>54 / 53</v>
      </c>
      <c r="BE176" s="40" t="str">
        <f t="shared" si="55"/>
        <v>55 / 54</v>
      </c>
      <c r="BF176" s="40" t="str">
        <f t="shared" si="55"/>
        <v>56 / 55</v>
      </c>
      <c r="BG176" s="40" t="str">
        <f t="shared" si="55"/>
        <v>57 / 56</v>
      </c>
      <c r="BH176" s="40" t="str">
        <f t="shared" si="55"/>
        <v>58 / 57</v>
      </c>
      <c r="BI176" s="40" t="str">
        <f t="shared" si="55"/>
        <v>59 / 58</v>
      </c>
      <c r="BJ176" s="40" t="str">
        <f t="shared" si="55"/>
        <v>60 / 59</v>
      </c>
      <c r="BK176" s="40" t="str">
        <f t="shared" si="55"/>
        <v>61 / 60</v>
      </c>
      <c r="BL176" s="40" t="str">
        <f t="shared" si="55"/>
        <v>62 / 61</v>
      </c>
      <c r="BM176" s="40" t="str">
        <f t="shared" si="55"/>
        <v>63 / 62</v>
      </c>
      <c r="BN176" s="40" t="str">
        <f t="shared" si="55"/>
        <v>64 / 63</v>
      </c>
      <c r="BO176" s="40" t="str">
        <f t="shared" si="55"/>
        <v>65 / 64</v>
      </c>
      <c r="BP176" s="40" t="str">
        <f t="shared" ref="BP176:CS176" si="56">BP186</f>
        <v>66 / 65</v>
      </c>
      <c r="BQ176" s="40" t="str">
        <f t="shared" si="56"/>
        <v>67 / 66</v>
      </c>
      <c r="BR176" s="40" t="str">
        <f t="shared" si="56"/>
        <v>68 / 67</v>
      </c>
      <c r="BS176" s="40" t="str">
        <f t="shared" si="56"/>
        <v>69 / 68</v>
      </c>
      <c r="BT176" s="40" t="str">
        <f t="shared" si="56"/>
        <v>70 / 69</v>
      </c>
      <c r="BU176" s="40" t="str">
        <f t="shared" si="56"/>
        <v>71 / 70</v>
      </c>
      <c r="BV176" s="40" t="str">
        <f t="shared" si="56"/>
        <v>72 / 71</v>
      </c>
      <c r="BW176" s="40" t="str">
        <f t="shared" si="56"/>
        <v>73 / 72</v>
      </c>
      <c r="BX176" s="40" t="str">
        <f t="shared" si="56"/>
        <v>74 / 73</v>
      </c>
      <c r="BY176" s="40" t="str">
        <f t="shared" si="56"/>
        <v>75 / 74</v>
      </c>
      <c r="BZ176" s="40" t="str">
        <f t="shared" si="56"/>
        <v>76 / 75</v>
      </c>
      <c r="CA176" s="40" t="str">
        <f t="shared" si="56"/>
        <v>77 / 76</v>
      </c>
      <c r="CB176" s="40" t="str">
        <f t="shared" si="56"/>
        <v>78 / 77</v>
      </c>
      <c r="CC176" s="40" t="str">
        <f t="shared" si="56"/>
        <v>79 / 78</v>
      </c>
      <c r="CD176" s="40" t="str">
        <f t="shared" si="56"/>
        <v>80 / 79</v>
      </c>
      <c r="CE176" s="40" t="str">
        <f t="shared" si="56"/>
        <v>81 / 80</v>
      </c>
      <c r="CF176" s="40" t="str">
        <f t="shared" si="56"/>
        <v>82 / 81</v>
      </c>
      <c r="CG176" s="40" t="str">
        <f t="shared" si="56"/>
        <v>83 / 82</v>
      </c>
      <c r="CH176" s="40" t="str">
        <f t="shared" si="56"/>
        <v>84 / 83</v>
      </c>
      <c r="CI176" s="40" t="str">
        <f t="shared" si="56"/>
        <v>85 / 84</v>
      </c>
      <c r="CJ176" s="40" t="str">
        <f t="shared" si="56"/>
        <v>86 / 85</v>
      </c>
      <c r="CK176" s="40" t="str">
        <f t="shared" si="56"/>
        <v>87 / 86</v>
      </c>
      <c r="CL176" s="40" t="str">
        <f t="shared" si="56"/>
        <v>88 / 87</v>
      </c>
      <c r="CM176" s="40" t="str">
        <f t="shared" si="56"/>
        <v>89 / 88</v>
      </c>
      <c r="CN176" s="40" t="str">
        <f t="shared" si="56"/>
        <v>90 / 89</v>
      </c>
      <c r="CO176" s="40" t="str">
        <f t="shared" si="56"/>
        <v>91 / 90</v>
      </c>
      <c r="CP176" s="40" t="str">
        <f t="shared" si="56"/>
        <v>92 / 91</v>
      </c>
      <c r="CQ176" s="40" t="str">
        <f t="shared" si="56"/>
        <v>93 / 92</v>
      </c>
      <c r="CR176" s="40" t="str">
        <f t="shared" si="56"/>
        <v>94 / 93</v>
      </c>
      <c r="CS176" s="40" t="str">
        <f t="shared" si="56"/>
        <v>95 / 94</v>
      </c>
    </row>
    <row r="177" spans="1:101" hidden="1" x14ac:dyDescent="0.25">
      <c r="A177" s="97">
        <v>0</v>
      </c>
      <c r="C177" s="25" t="s">
        <v>4</v>
      </c>
      <c r="D177" s="44">
        <f t="shared" ref="D177:AI177" si="57">IF(SUM(D150:D173)=0,1,AVERAGEIFS(D$69:D$92,D$150:D$173,1))</f>
        <v>1.8571428571428572</v>
      </c>
      <c r="E177" s="44">
        <f t="shared" si="57"/>
        <v>1.0833333333333333</v>
      </c>
      <c r="F177" s="44">
        <f t="shared" si="57"/>
        <v>1</v>
      </c>
      <c r="G177" s="44">
        <f t="shared" si="57"/>
        <v>1</v>
      </c>
      <c r="H177" s="44">
        <f t="shared" si="57"/>
        <v>1</v>
      </c>
      <c r="I177" s="44">
        <f t="shared" si="57"/>
        <v>1</v>
      </c>
      <c r="J177" s="44">
        <f t="shared" si="57"/>
        <v>1</v>
      </c>
      <c r="K177" s="44">
        <f t="shared" si="57"/>
        <v>1</v>
      </c>
      <c r="L177" s="44">
        <f t="shared" si="57"/>
        <v>1</v>
      </c>
      <c r="M177" s="44">
        <f t="shared" si="57"/>
        <v>1</v>
      </c>
      <c r="N177" s="44">
        <f t="shared" si="57"/>
        <v>1</v>
      </c>
      <c r="O177" s="44">
        <f t="shared" si="57"/>
        <v>1</v>
      </c>
      <c r="P177" s="44">
        <f t="shared" si="57"/>
        <v>1</v>
      </c>
      <c r="Q177" s="44">
        <f t="shared" si="57"/>
        <v>1</v>
      </c>
      <c r="R177" s="44">
        <f t="shared" si="57"/>
        <v>1</v>
      </c>
      <c r="S177" s="44">
        <f t="shared" si="57"/>
        <v>1</v>
      </c>
      <c r="T177" s="44">
        <f t="shared" si="57"/>
        <v>1</v>
      </c>
      <c r="U177" s="44">
        <f t="shared" si="57"/>
        <v>1</v>
      </c>
      <c r="V177" s="44">
        <f t="shared" si="57"/>
        <v>1</v>
      </c>
      <c r="W177" s="44">
        <f t="shared" si="57"/>
        <v>1</v>
      </c>
      <c r="X177" s="44">
        <f t="shared" si="57"/>
        <v>1</v>
      </c>
      <c r="Y177" s="44">
        <f t="shared" si="57"/>
        <v>1</v>
      </c>
      <c r="Z177" s="44">
        <f t="shared" si="57"/>
        <v>1</v>
      </c>
      <c r="AA177" s="44">
        <f t="shared" si="57"/>
        <v>1</v>
      </c>
      <c r="AB177" s="44">
        <f t="shared" si="57"/>
        <v>1</v>
      </c>
      <c r="AC177" s="44">
        <f t="shared" si="57"/>
        <v>1</v>
      </c>
      <c r="AD177" s="44">
        <f t="shared" si="57"/>
        <v>1</v>
      </c>
      <c r="AE177" s="44">
        <f t="shared" si="57"/>
        <v>1</v>
      </c>
      <c r="AF177" s="44">
        <f t="shared" si="57"/>
        <v>1</v>
      </c>
      <c r="AG177" s="44">
        <f t="shared" si="57"/>
        <v>1</v>
      </c>
      <c r="AH177" s="44">
        <f t="shared" si="57"/>
        <v>1</v>
      </c>
      <c r="AI177" s="44">
        <f t="shared" si="57"/>
        <v>1</v>
      </c>
      <c r="AJ177" s="44">
        <f t="shared" ref="AJ177:CS177" si="58">IF(SUM(AJ150:AJ173)=0,1,AVERAGEIFS(AJ$69:AJ$92,AJ$150:AJ$173,1))</f>
        <v>1</v>
      </c>
      <c r="AK177" s="44">
        <f t="shared" si="58"/>
        <v>1</v>
      </c>
      <c r="AL177" s="44">
        <f t="shared" si="58"/>
        <v>1</v>
      </c>
      <c r="AM177" s="44">
        <f t="shared" si="58"/>
        <v>1</v>
      </c>
      <c r="AN177" s="44">
        <f t="shared" si="58"/>
        <v>1</v>
      </c>
      <c r="AO177" s="44">
        <f t="shared" si="58"/>
        <v>1</v>
      </c>
      <c r="AP177" s="44">
        <f t="shared" si="58"/>
        <v>1</v>
      </c>
      <c r="AQ177" s="44">
        <f t="shared" si="58"/>
        <v>1</v>
      </c>
      <c r="AR177" s="44">
        <f t="shared" si="58"/>
        <v>1</v>
      </c>
      <c r="AS177" s="44">
        <f t="shared" si="58"/>
        <v>1</v>
      </c>
      <c r="AT177" s="44">
        <f t="shared" si="58"/>
        <v>1</v>
      </c>
      <c r="AU177" s="44">
        <f t="shared" si="58"/>
        <v>1</v>
      </c>
      <c r="AV177" s="44">
        <f t="shared" si="58"/>
        <v>1</v>
      </c>
      <c r="AW177" s="44">
        <f t="shared" si="58"/>
        <v>1</v>
      </c>
      <c r="AX177" s="44">
        <f t="shared" si="58"/>
        <v>1</v>
      </c>
      <c r="AY177" s="44">
        <f t="shared" si="58"/>
        <v>1</v>
      </c>
      <c r="AZ177" s="44">
        <f t="shared" si="58"/>
        <v>1</v>
      </c>
      <c r="BA177" s="44">
        <f t="shared" si="58"/>
        <v>1</v>
      </c>
      <c r="BB177" s="44">
        <f t="shared" si="58"/>
        <v>1</v>
      </c>
      <c r="BC177" s="44">
        <f t="shared" si="58"/>
        <v>1</v>
      </c>
      <c r="BD177" s="44">
        <f t="shared" si="58"/>
        <v>1</v>
      </c>
      <c r="BE177" s="44">
        <f t="shared" si="58"/>
        <v>1</v>
      </c>
      <c r="BF177" s="44">
        <f t="shared" si="58"/>
        <v>1</v>
      </c>
      <c r="BG177" s="44">
        <f t="shared" si="58"/>
        <v>1</v>
      </c>
      <c r="BH177" s="44">
        <f t="shared" si="58"/>
        <v>1</v>
      </c>
      <c r="BI177" s="44">
        <f t="shared" si="58"/>
        <v>1</v>
      </c>
      <c r="BJ177" s="44">
        <f t="shared" si="58"/>
        <v>1</v>
      </c>
      <c r="BK177" s="44">
        <f t="shared" si="58"/>
        <v>1</v>
      </c>
      <c r="BL177" s="44">
        <f t="shared" si="58"/>
        <v>1</v>
      </c>
      <c r="BM177" s="44">
        <f t="shared" si="58"/>
        <v>1</v>
      </c>
      <c r="BN177" s="44">
        <f t="shared" si="58"/>
        <v>1</v>
      </c>
      <c r="BO177" s="44">
        <f t="shared" si="58"/>
        <v>1</v>
      </c>
      <c r="BP177" s="44">
        <f t="shared" si="58"/>
        <v>1</v>
      </c>
      <c r="BQ177" s="44">
        <f t="shared" si="58"/>
        <v>1</v>
      </c>
      <c r="BR177" s="44">
        <f t="shared" si="58"/>
        <v>1</v>
      </c>
      <c r="BS177" s="44">
        <f t="shared" si="58"/>
        <v>1</v>
      </c>
      <c r="BT177" s="44">
        <f t="shared" si="58"/>
        <v>1</v>
      </c>
      <c r="BU177" s="44">
        <f t="shared" si="58"/>
        <v>1</v>
      </c>
      <c r="BV177" s="44">
        <f t="shared" si="58"/>
        <v>1</v>
      </c>
      <c r="BW177" s="44">
        <f t="shared" si="58"/>
        <v>1</v>
      </c>
      <c r="BX177" s="44">
        <f t="shared" si="58"/>
        <v>1</v>
      </c>
      <c r="BY177" s="44">
        <f t="shared" si="58"/>
        <v>1</v>
      </c>
      <c r="BZ177" s="44">
        <f t="shared" si="58"/>
        <v>1</v>
      </c>
      <c r="CA177" s="44">
        <f t="shared" si="58"/>
        <v>1</v>
      </c>
      <c r="CB177" s="44">
        <f t="shared" si="58"/>
        <v>1</v>
      </c>
      <c r="CC177" s="44">
        <f t="shared" si="58"/>
        <v>1</v>
      </c>
      <c r="CD177" s="44">
        <f t="shared" si="58"/>
        <v>1</v>
      </c>
      <c r="CE177" s="44">
        <f t="shared" si="58"/>
        <v>1</v>
      </c>
      <c r="CF177" s="44">
        <f t="shared" si="58"/>
        <v>1</v>
      </c>
      <c r="CG177" s="44">
        <f t="shared" si="58"/>
        <v>1</v>
      </c>
      <c r="CH177" s="44">
        <f t="shared" si="58"/>
        <v>1</v>
      </c>
      <c r="CI177" s="44">
        <f t="shared" si="58"/>
        <v>1</v>
      </c>
      <c r="CJ177" s="44">
        <f t="shared" si="58"/>
        <v>1</v>
      </c>
      <c r="CK177" s="44">
        <f t="shared" si="58"/>
        <v>1</v>
      </c>
      <c r="CL177" s="44">
        <f t="shared" si="58"/>
        <v>1</v>
      </c>
      <c r="CM177" s="44">
        <f t="shared" si="58"/>
        <v>1</v>
      </c>
      <c r="CN177" s="44">
        <f t="shared" si="58"/>
        <v>1</v>
      </c>
      <c r="CO177" s="44">
        <f t="shared" si="58"/>
        <v>1</v>
      </c>
      <c r="CP177" s="44">
        <f t="shared" si="58"/>
        <v>1</v>
      </c>
      <c r="CQ177" s="44">
        <f t="shared" si="58"/>
        <v>1</v>
      </c>
      <c r="CR177" s="44">
        <f t="shared" si="58"/>
        <v>1</v>
      </c>
      <c r="CS177" s="44">
        <f t="shared" si="58"/>
        <v>1</v>
      </c>
    </row>
    <row r="178" spans="1:101" hidden="1" x14ac:dyDescent="0.25">
      <c r="A178" s="97">
        <v>0</v>
      </c>
      <c r="C178" s="43">
        <v>5</v>
      </c>
      <c r="D178" s="44">
        <f t="shared" ref="D178:AI178" ca="1" si="59">IF(SUM(OFFSET(D150,D175-5,0,5))=0,1,AVERAGEIFS(OFFSET(D69,D175-5,0,5),OFFSET(D150,D175-5,0,5),1))</f>
        <v>1.25</v>
      </c>
      <c r="E178" s="44">
        <f t="shared" ca="1" si="59"/>
        <v>1</v>
      </c>
      <c r="F178" s="44">
        <f t="shared" ca="1" si="59"/>
        <v>1</v>
      </c>
      <c r="G178" s="44">
        <f t="shared" ca="1" si="59"/>
        <v>1</v>
      </c>
      <c r="H178" s="44">
        <f t="shared" ca="1" si="59"/>
        <v>1</v>
      </c>
      <c r="I178" s="44">
        <f t="shared" ca="1" si="59"/>
        <v>1</v>
      </c>
      <c r="J178" s="44">
        <f t="shared" ca="1" si="59"/>
        <v>1</v>
      </c>
      <c r="K178" s="44">
        <f t="shared" ca="1" si="59"/>
        <v>1</v>
      </c>
      <c r="L178" s="44">
        <f t="shared" ca="1" si="59"/>
        <v>1</v>
      </c>
      <c r="M178" s="44">
        <f t="shared" ca="1" si="59"/>
        <v>1</v>
      </c>
      <c r="N178" s="44">
        <f t="shared" ca="1" si="59"/>
        <v>1</v>
      </c>
      <c r="O178" s="44">
        <f t="shared" ca="1" si="59"/>
        <v>1</v>
      </c>
      <c r="P178" s="44">
        <f t="shared" ca="1" si="59"/>
        <v>1</v>
      </c>
      <c r="Q178" s="44">
        <f t="shared" ca="1" si="59"/>
        <v>1</v>
      </c>
      <c r="R178" s="44">
        <f t="shared" ca="1" si="59"/>
        <v>1</v>
      </c>
      <c r="S178" s="44">
        <f t="shared" ca="1" si="59"/>
        <v>1</v>
      </c>
      <c r="T178" s="44">
        <f t="shared" ca="1" si="59"/>
        <v>1</v>
      </c>
      <c r="U178" s="44">
        <f t="shared" ca="1" si="59"/>
        <v>1</v>
      </c>
      <c r="V178" s="44">
        <f t="shared" ca="1" si="59"/>
        <v>1</v>
      </c>
      <c r="W178" s="44">
        <f t="shared" ca="1" si="59"/>
        <v>1</v>
      </c>
      <c r="X178" s="44">
        <f t="shared" ca="1" si="59"/>
        <v>1</v>
      </c>
      <c r="Y178" s="44">
        <f t="shared" ca="1" si="59"/>
        <v>1</v>
      </c>
      <c r="Z178" s="44">
        <f t="shared" ca="1" si="59"/>
        <v>1</v>
      </c>
      <c r="AA178" s="44">
        <f t="shared" ca="1" si="59"/>
        <v>1</v>
      </c>
      <c r="AB178" s="44">
        <f t="shared" ca="1" si="59"/>
        <v>1</v>
      </c>
      <c r="AC178" s="44">
        <f t="shared" ca="1" si="59"/>
        <v>1</v>
      </c>
      <c r="AD178" s="44">
        <f t="shared" ca="1" si="59"/>
        <v>1</v>
      </c>
      <c r="AE178" s="44">
        <f t="shared" ca="1" si="59"/>
        <v>1</v>
      </c>
      <c r="AF178" s="44">
        <f t="shared" ca="1" si="59"/>
        <v>1</v>
      </c>
      <c r="AG178" s="44">
        <f t="shared" ca="1" si="59"/>
        <v>1</v>
      </c>
      <c r="AH178" s="44">
        <f t="shared" ca="1" si="59"/>
        <v>1</v>
      </c>
      <c r="AI178" s="44">
        <f t="shared" ca="1" si="59"/>
        <v>1</v>
      </c>
      <c r="AJ178" s="44">
        <f t="shared" ref="AJ178:BO178" ca="1" si="60">IF(SUM(OFFSET(AJ150,AJ175-5,0,5))=0,1,AVERAGEIFS(OFFSET(AJ69,AJ175-5,0,5),OFFSET(AJ150,AJ175-5,0,5),1))</f>
        <v>1</v>
      </c>
      <c r="AK178" s="44">
        <f t="shared" ca="1" si="60"/>
        <v>1</v>
      </c>
      <c r="AL178" s="44">
        <f t="shared" ca="1" si="60"/>
        <v>1</v>
      </c>
      <c r="AM178" s="44">
        <f t="shared" ca="1" si="60"/>
        <v>1</v>
      </c>
      <c r="AN178" s="44">
        <f t="shared" ca="1" si="60"/>
        <v>1</v>
      </c>
      <c r="AO178" s="44">
        <f t="shared" ca="1" si="60"/>
        <v>1</v>
      </c>
      <c r="AP178" s="44">
        <f t="shared" ca="1" si="60"/>
        <v>1</v>
      </c>
      <c r="AQ178" s="44">
        <f t="shared" ca="1" si="60"/>
        <v>1</v>
      </c>
      <c r="AR178" s="44">
        <f t="shared" ca="1" si="60"/>
        <v>1</v>
      </c>
      <c r="AS178" s="44">
        <f t="shared" ca="1" si="60"/>
        <v>1</v>
      </c>
      <c r="AT178" s="44">
        <f t="shared" ca="1" si="60"/>
        <v>1</v>
      </c>
      <c r="AU178" s="44">
        <f t="shared" ca="1" si="60"/>
        <v>1</v>
      </c>
      <c r="AV178" s="44">
        <f t="shared" ca="1" si="60"/>
        <v>1</v>
      </c>
      <c r="AW178" s="44">
        <f t="shared" ca="1" si="60"/>
        <v>1</v>
      </c>
      <c r="AX178" s="44">
        <f t="shared" ca="1" si="60"/>
        <v>1</v>
      </c>
      <c r="AY178" s="44">
        <f t="shared" ca="1" si="60"/>
        <v>1</v>
      </c>
      <c r="AZ178" s="44">
        <f t="shared" ca="1" si="60"/>
        <v>1</v>
      </c>
      <c r="BA178" s="44">
        <f t="shared" ca="1" si="60"/>
        <v>1</v>
      </c>
      <c r="BB178" s="44">
        <f t="shared" ca="1" si="60"/>
        <v>1</v>
      </c>
      <c r="BC178" s="44">
        <f t="shared" ca="1" si="60"/>
        <v>1</v>
      </c>
      <c r="BD178" s="44">
        <f t="shared" ca="1" si="60"/>
        <v>1</v>
      </c>
      <c r="BE178" s="44">
        <f t="shared" ca="1" si="60"/>
        <v>1</v>
      </c>
      <c r="BF178" s="44">
        <f t="shared" ca="1" si="60"/>
        <v>1</v>
      </c>
      <c r="BG178" s="44">
        <f t="shared" ca="1" si="60"/>
        <v>1</v>
      </c>
      <c r="BH178" s="44">
        <f t="shared" ca="1" si="60"/>
        <v>1</v>
      </c>
      <c r="BI178" s="44">
        <f t="shared" ca="1" si="60"/>
        <v>1</v>
      </c>
      <c r="BJ178" s="44">
        <f t="shared" ca="1" si="60"/>
        <v>1</v>
      </c>
      <c r="BK178" s="44">
        <f t="shared" ca="1" si="60"/>
        <v>1</v>
      </c>
      <c r="BL178" s="44">
        <f t="shared" ca="1" si="60"/>
        <v>1</v>
      </c>
      <c r="BM178" s="44">
        <f t="shared" ca="1" si="60"/>
        <v>1</v>
      </c>
      <c r="BN178" s="44">
        <f t="shared" ca="1" si="60"/>
        <v>1</v>
      </c>
      <c r="BO178" s="44">
        <f t="shared" ca="1" si="60"/>
        <v>1</v>
      </c>
      <c r="BP178" s="44">
        <f t="shared" ref="BP178:CS178" ca="1" si="61">IF(SUM(OFFSET(BP150,BP175-5,0,5))=0,1,AVERAGEIFS(OFFSET(BP69,BP175-5,0,5),OFFSET(BP150,BP175-5,0,5),1))</f>
        <v>1</v>
      </c>
      <c r="BQ178" s="44">
        <f t="shared" ca="1" si="61"/>
        <v>1</v>
      </c>
      <c r="BR178" s="44">
        <f t="shared" ca="1" si="61"/>
        <v>1</v>
      </c>
      <c r="BS178" s="44">
        <f t="shared" ca="1" si="61"/>
        <v>1</v>
      </c>
      <c r="BT178" s="44">
        <f t="shared" ca="1" si="61"/>
        <v>1</v>
      </c>
      <c r="BU178" s="44">
        <f t="shared" ca="1" si="61"/>
        <v>1</v>
      </c>
      <c r="BV178" s="44">
        <f t="shared" ca="1" si="61"/>
        <v>1</v>
      </c>
      <c r="BW178" s="44">
        <f t="shared" ca="1" si="61"/>
        <v>1</v>
      </c>
      <c r="BX178" s="44">
        <f t="shared" ca="1" si="61"/>
        <v>1</v>
      </c>
      <c r="BY178" s="44">
        <f t="shared" ca="1" si="61"/>
        <v>1</v>
      </c>
      <c r="BZ178" s="44">
        <f t="shared" ca="1" si="61"/>
        <v>1</v>
      </c>
      <c r="CA178" s="44">
        <f t="shared" ca="1" si="61"/>
        <v>1</v>
      </c>
      <c r="CB178" s="44">
        <f t="shared" ca="1" si="61"/>
        <v>1</v>
      </c>
      <c r="CC178" s="44">
        <f t="shared" ca="1" si="61"/>
        <v>1</v>
      </c>
      <c r="CD178" s="44">
        <f t="shared" ca="1" si="61"/>
        <v>1</v>
      </c>
      <c r="CE178" s="44">
        <f t="shared" ca="1" si="61"/>
        <v>1</v>
      </c>
      <c r="CF178" s="44">
        <f t="shared" ca="1" si="61"/>
        <v>1</v>
      </c>
      <c r="CG178" s="44">
        <f t="shared" ca="1" si="61"/>
        <v>1</v>
      </c>
      <c r="CH178" s="44">
        <f t="shared" ca="1" si="61"/>
        <v>1</v>
      </c>
      <c r="CI178" s="44">
        <f t="shared" ca="1" si="61"/>
        <v>1</v>
      </c>
      <c r="CJ178" s="44">
        <f t="shared" ca="1" si="61"/>
        <v>1</v>
      </c>
      <c r="CK178" s="44">
        <f t="shared" ca="1" si="61"/>
        <v>1</v>
      </c>
      <c r="CL178" s="44">
        <f t="shared" ca="1" si="61"/>
        <v>1</v>
      </c>
      <c r="CM178" s="44">
        <f t="shared" ca="1" si="61"/>
        <v>1</v>
      </c>
      <c r="CN178" s="44">
        <f t="shared" ca="1" si="61"/>
        <v>1</v>
      </c>
      <c r="CO178" s="44">
        <f t="shared" ca="1" si="61"/>
        <v>1</v>
      </c>
      <c r="CP178" s="44">
        <f t="shared" ca="1" si="61"/>
        <v>1</v>
      </c>
      <c r="CQ178" s="44">
        <f t="shared" ca="1" si="61"/>
        <v>1</v>
      </c>
      <c r="CR178" s="44">
        <f t="shared" ca="1" si="61"/>
        <v>1</v>
      </c>
      <c r="CS178" s="44">
        <f t="shared" ca="1" si="61"/>
        <v>1</v>
      </c>
    </row>
    <row r="179" spans="1:101" hidden="1" x14ac:dyDescent="0.25">
      <c r="A179" s="97">
        <v>0</v>
      </c>
      <c r="C179" s="43">
        <v>3</v>
      </c>
      <c r="D179" s="44">
        <f t="shared" ref="D179:BO179" ca="1" si="62">IF(SUM(OFFSET(D150,D175-3,0,3))=0,1,AVERAGEIFS(OFFSET(D69,D175-3,0,3),OFFSET(D150,D175-3,0,3),1))</f>
        <v>1.3333333333333333</v>
      </c>
      <c r="E179" s="44">
        <f t="shared" ca="1" si="62"/>
        <v>1</v>
      </c>
      <c r="F179" s="44">
        <f t="shared" ca="1" si="62"/>
        <v>1</v>
      </c>
      <c r="G179" s="44">
        <f t="shared" ca="1" si="62"/>
        <v>1</v>
      </c>
      <c r="H179" s="44">
        <f t="shared" ca="1" si="62"/>
        <v>1</v>
      </c>
      <c r="I179" s="44">
        <f t="shared" ca="1" si="62"/>
        <v>1</v>
      </c>
      <c r="J179" s="44">
        <f t="shared" ca="1" si="62"/>
        <v>1</v>
      </c>
      <c r="K179" s="44">
        <f t="shared" ca="1" si="62"/>
        <v>1</v>
      </c>
      <c r="L179" s="44">
        <f t="shared" ca="1" si="62"/>
        <v>1</v>
      </c>
      <c r="M179" s="44">
        <f t="shared" ca="1" si="62"/>
        <v>1</v>
      </c>
      <c r="N179" s="44">
        <f t="shared" ca="1" si="62"/>
        <v>1</v>
      </c>
      <c r="O179" s="44">
        <f t="shared" ca="1" si="62"/>
        <v>1</v>
      </c>
      <c r="P179" s="44">
        <f t="shared" ca="1" si="62"/>
        <v>1</v>
      </c>
      <c r="Q179" s="44">
        <f t="shared" ca="1" si="62"/>
        <v>1</v>
      </c>
      <c r="R179" s="44">
        <f t="shared" ca="1" si="62"/>
        <v>1</v>
      </c>
      <c r="S179" s="44">
        <f t="shared" ca="1" si="62"/>
        <v>1</v>
      </c>
      <c r="T179" s="44">
        <f t="shared" ca="1" si="62"/>
        <v>1</v>
      </c>
      <c r="U179" s="44">
        <f t="shared" ca="1" si="62"/>
        <v>1</v>
      </c>
      <c r="V179" s="44">
        <f t="shared" ca="1" si="62"/>
        <v>1</v>
      </c>
      <c r="W179" s="44">
        <f t="shared" ca="1" si="62"/>
        <v>1</v>
      </c>
      <c r="X179" s="44">
        <f t="shared" ca="1" si="62"/>
        <v>1</v>
      </c>
      <c r="Y179" s="44">
        <f t="shared" ca="1" si="62"/>
        <v>1</v>
      </c>
      <c r="Z179" s="44">
        <f t="shared" ca="1" si="62"/>
        <v>1</v>
      </c>
      <c r="AA179" s="44">
        <f t="shared" ca="1" si="62"/>
        <v>1</v>
      </c>
      <c r="AB179" s="44">
        <f t="shared" ca="1" si="62"/>
        <v>1</v>
      </c>
      <c r="AC179" s="44">
        <f t="shared" ca="1" si="62"/>
        <v>1</v>
      </c>
      <c r="AD179" s="44">
        <f t="shared" ca="1" si="62"/>
        <v>1</v>
      </c>
      <c r="AE179" s="44">
        <f t="shared" ca="1" si="62"/>
        <v>1</v>
      </c>
      <c r="AF179" s="44">
        <f t="shared" ca="1" si="62"/>
        <v>1</v>
      </c>
      <c r="AG179" s="44">
        <f t="shared" ca="1" si="62"/>
        <v>1</v>
      </c>
      <c r="AH179" s="44">
        <f t="shared" ca="1" si="62"/>
        <v>1</v>
      </c>
      <c r="AI179" s="44">
        <f t="shared" ca="1" si="62"/>
        <v>1</v>
      </c>
      <c r="AJ179" s="44">
        <f t="shared" ca="1" si="62"/>
        <v>1</v>
      </c>
      <c r="AK179" s="44">
        <f t="shared" ca="1" si="62"/>
        <v>1</v>
      </c>
      <c r="AL179" s="44">
        <f t="shared" ca="1" si="62"/>
        <v>1</v>
      </c>
      <c r="AM179" s="44">
        <f t="shared" ca="1" si="62"/>
        <v>1</v>
      </c>
      <c r="AN179" s="44">
        <f t="shared" ca="1" si="62"/>
        <v>1</v>
      </c>
      <c r="AO179" s="44">
        <f t="shared" ca="1" si="62"/>
        <v>1</v>
      </c>
      <c r="AP179" s="44">
        <f t="shared" ca="1" si="62"/>
        <v>1</v>
      </c>
      <c r="AQ179" s="44">
        <f t="shared" ca="1" si="62"/>
        <v>1</v>
      </c>
      <c r="AR179" s="44">
        <f t="shared" ca="1" si="62"/>
        <v>1</v>
      </c>
      <c r="AS179" s="44">
        <f t="shared" ca="1" si="62"/>
        <v>1</v>
      </c>
      <c r="AT179" s="44">
        <f t="shared" ca="1" si="62"/>
        <v>1</v>
      </c>
      <c r="AU179" s="44">
        <f t="shared" ca="1" si="62"/>
        <v>1</v>
      </c>
      <c r="AV179" s="44">
        <f t="shared" ca="1" si="62"/>
        <v>1</v>
      </c>
      <c r="AW179" s="44">
        <f t="shared" ca="1" si="62"/>
        <v>1</v>
      </c>
      <c r="AX179" s="44">
        <f t="shared" ca="1" si="62"/>
        <v>1</v>
      </c>
      <c r="AY179" s="44">
        <f t="shared" ca="1" si="62"/>
        <v>1</v>
      </c>
      <c r="AZ179" s="44">
        <f t="shared" ca="1" si="62"/>
        <v>1</v>
      </c>
      <c r="BA179" s="44">
        <f t="shared" ca="1" si="62"/>
        <v>1</v>
      </c>
      <c r="BB179" s="44">
        <f t="shared" ca="1" si="62"/>
        <v>1</v>
      </c>
      <c r="BC179" s="44">
        <f t="shared" ca="1" si="62"/>
        <v>1</v>
      </c>
      <c r="BD179" s="44">
        <f t="shared" ca="1" si="62"/>
        <v>1</v>
      </c>
      <c r="BE179" s="44">
        <f t="shared" ca="1" si="62"/>
        <v>1</v>
      </c>
      <c r="BF179" s="44">
        <f t="shared" ca="1" si="62"/>
        <v>1</v>
      </c>
      <c r="BG179" s="44">
        <f t="shared" ca="1" si="62"/>
        <v>1</v>
      </c>
      <c r="BH179" s="44">
        <f t="shared" ca="1" si="62"/>
        <v>1</v>
      </c>
      <c r="BI179" s="44">
        <f t="shared" ca="1" si="62"/>
        <v>1</v>
      </c>
      <c r="BJ179" s="44">
        <f t="shared" ca="1" si="62"/>
        <v>1</v>
      </c>
      <c r="BK179" s="44">
        <f t="shared" ca="1" si="62"/>
        <v>1</v>
      </c>
      <c r="BL179" s="44">
        <f t="shared" ca="1" si="62"/>
        <v>1</v>
      </c>
      <c r="BM179" s="44">
        <f t="shared" ca="1" si="62"/>
        <v>1</v>
      </c>
      <c r="BN179" s="44">
        <f t="shared" ca="1" si="62"/>
        <v>1</v>
      </c>
      <c r="BO179" s="44">
        <f t="shared" ca="1" si="62"/>
        <v>1</v>
      </c>
      <c r="BP179" s="44">
        <f t="shared" ref="BP179:CS179" ca="1" si="63">IF(SUM(OFFSET(BP150,BP175-3,0,3))=0,1,AVERAGEIFS(OFFSET(BP69,BP175-3,0,3),OFFSET(BP150,BP175-3,0,3),1))</f>
        <v>1</v>
      </c>
      <c r="BQ179" s="44">
        <f t="shared" ca="1" si="63"/>
        <v>1</v>
      </c>
      <c r="BR179" s="44">
        <f t="shared" ca="1" si="63"/>
        <v>1</v>
      </c>
      <c r="BS179" s="44">
        <f t="shared" ca="1" si="63"/>
        <v>1</v>
      </c>
      <c r="BT179" s="44">
        <f t="shared" ca="1" si="63"/>
        <v>1</v>
      </c>
      <c r="BU179" s="44">
        <f t="shared" ca="1" si="63"/>
        <v>1</v>
      </c>
      <c r="BV179" s="44">
        <f t="shared" ca="1" si="63"/>
        <v>1</v>
      </c>
      <c r="BW179" s="44">
        <f t="shared" ca="1" si="63"/>
        <v>1</v>
      </c>
      <c r="BX179" s="44">
        <f t="shared" ca="1" si="63"/>
        <v>1</v>
      </c>
      <c r="BY179" s="44">
        <f t="shared" ca="1" si="63"/>
        <v>1</v>
      </c>
      <c r="BZ179" s="44">
        <f t="shared" ca="1" si="63"/>
        <v>1</v>
      </c>
      <c r="CA179" s="44">
        <f t="shared" ca="1" si="63"/>
        <v>1</v>
      </c>
      <c r="CB179" s="44">
        <f t="shared" ca="1" si="63"/>
        <v>1</v>
      </c>
      <c r="CC179" s="44">
        <f t="shared" ca="1" si="63"/>
        <v>1</v>
      </c>
      <c r="CD179" s="44">
        <f t="shared" ca="1" si="63"/>
        <v>1</v>
      </c>
      <c r="CE179" s="44">
        <f t="shared" ca="1" si="63"/>
        <v>1</v>
      </c>
      <c r="CF179" s="44">
        <f t="shared" ca="1" si="63"/>
        <v>1</v>
      </c>
      <c r="CG179" s="44">
        <f t="shared" ca="1" si="63"/>
        <v>1</v>
      </c>
      <c r="CH179" s="44">
        <f t="shared" ca="1" si="63"/>
        <v>1</v>
      </c>
      <c r="CI179" s="44">
        <f t="shared" ca="1" si="63"/>
        <v>1</v>
      </c>
      <c r="CJ179" s="44">
        <f t="shared" ca="1" si="63"/>
        <v>1</v>
      </c>
      <c r="CK179" s="44">
        <f t="shared" ca="1" si="63"/>
        <v>1</v>
      </c>
      <c r="CL179" s="44">
        <f t="shared" ca="1" si="63"/>
        <v>1</v>
      </c>
      <c r="CM179" s="44">
        <f t="shared" ca="1" si="63"/>
        <v>1</v>
      </c>
      <c r="CN179" s="44">
        <f t="shared" ca="1" si="63"/>
        <v>1</v>
      </c>
      <c r="CO179" s="44">
        <f t="shared" ca="1" si="63"/>
        <v>1</v>
      </c>
      <c r="CP179" s="44">
        <f t="shared" ca="1" si="63"/>
        <v>1</v>
      </c>
      <c r="CQ179" s="44">
        <f t="shared" ca="1" si="63"/>
        <v>1</v>
      </c>
      <c r="CR179" s="44">
        <f t="shared" ca="1" si="63"/>
        <v>1</v>
      </c>
      <c r="CS179" s="44">
        <f t="shared" ca="1" si="63"/>
        <v>1</v>
      </c>
    </row>
    <row r="180" spans="1:101" hidden="1" x14ac:dyDescent="0.25">
      <c r="A180" s="97">
        <v>0</v>
      </c>
      <c r="B180" s="25" t="s">
        <v>7</v>
      </c>
      <c r="C180" s="46">
        <f>C190</f>
        <v>5</v>
      </c>
      <c r="D180" s="44">
        <f t="shared" ref="D180:AI180" ca="1" si="64">IF(SUM(OFFSET(D150,D175-$C$180,0,$C$180))=0,1,AVERAGEIFS(OFFSET(D69,D175-$C$180,0,$C$180),OFFSET(D150,D175-$C$180,0,$C$180),1))</f>
        <v>1.25</v>
      </c>
      <c r="E180" s="44">
        <f t="shared" ca="1" si="64"/>
        <v>1</v>
      </c>
      <c r="F180" s="44">
        <f t="shared" ca="1" si="64"/>
        <v>1</v>
      </c>
      <c r="G180" s="44">
        <f t="shared" ca="1" si="64"/>
        <v>1</v>
      </c>
      <c r="H180" s="44">
        <f t="shared" ca="1" si="64"/>
        <v>1</v>
      </c>
      <c r="I180" s="44">
        <f t="shared" ca="1" si="64"/>
        <v>1</v>
      </c>
      <c r="J180" s="44">
        <f t="shared" ca="1" si="64"/>
        <v>1</v>
      </c>
      <c r="K180" s="44">
        <f t="shared" ca="1" si="64"/>
        <v>1</v>
      </c>
      <c r="L180" s="44">
        <f t="shared" ca="1" si="64"/>
        <v>1</v>
      </c>
      <c r="M180" s="44">
        <f t="shared" ca="1" si="64"/>
        <v>1</v>
      </c>
      <c r="N180" s="44">
        <f t="shared" ca="1" si="64"/>
        <v>1</v>
      </c>
      <c r="O180" s="44">
        <f t="shared" ca="1" si="64"/>
        <v>1</v>
      </c>
      <c r="P180" s="44">
        <f t="shared" ca="1" si="64"/>
        <v>1</v>
      </c>
      <c r="Q180" s="44">
        <f t="shared" ca="1" si="64"/>
        <v>1</v>
      </c>
      <c r="R180" s="44">
        <f t="shared" ca="1" si="64"/>
        <v>1</v>
      </c>
      <c r="S180" s="44">
        <f t="shared" ca="1" si="64"/>
        <v>1</v>
      </c>
      <c r="T180" s="44">
        <f t="shared" ca="1" si="64"/>
        <v>1</v>
      </c>
      <c r="U180" s="44">
        <f t="shared" ca="1" si="64"/>
        <v>1</v>
      </c>
      <c r="V180" s="44">
        <f t="shared" ca="1" si="64"/>
        <v>1</v>
      </c>
      <c r="W180" s="44">
        <f t="shared" ca="1" si="64"/>
        <v>1</v>
      </c>
      <c r="X180" s="44">
        <f t="shared" ca="1" si="64"/>
        <v>1</v>
      </c>
      <c r="Y180" s="44">
        <f t="shared" ca="1" si="64"/>
        <v>1</v>
      </c>
      <c r="Z180" s="44">
        <f t="shared" ca="1" si="64"/>
        <v>1</v>
      </c>
      <c r="AA180" s="44">
        <f t="shared" ca="1" si="64"/>
        <v>1</v>
      </c>
      <c r="AB180" s="44">
        <f t="shared" ca="1" si="64"/>
        <v>1</v>
      </c>
      <c r="AC180" s="44">
        <f t="shared" ca="1" si="64"/>
        <v>1</v>
      </c>
      <c r="AD180" s="44">
        <f t="shared" ca="1" si="64"/>
        <v>1</v>
      </c>
      <c r="AE180" s="44">
        <f t="shared" ca="1" si="64"/>
        <v>1</v>
      </c>
      <c r="AF180" s="44">
        <f t="shared" ca="1" si="64"/>
        <v>1</v>
      </c>
      <c r="AG180" s="44">
        <f t="shared" ca="1" si="64"/>
        <v>1</v>
      </c>
      <c r="AH180" s="44">
        <f t="shared" ca="1" si="64"/>
        <v>1</v>
      </c>
      <c r="AI180" s="44">
        <f t="shared" ca="1" si="64"/>
        <v>1</v>
      </c>
      <c r="AJ180" s="44">
        <f t="shared" ref="AJ180:BO180" ca="1" si="65">IF(SUM(OFFSET(AJ150,AJ175-$C$180,0,$C$180))=0,1,AVERAGEIFS(OFFSET(AJ69,AJ175-$C$180,0,$C$180),OFFSET(AJ150,AJ175-$C$180,0,$C$180),1))</f>
        <v>1</v>
      </c>
      <c r="AK180" s="44">
        <f t="shared" ca="1" si="65"/>
        <v>1</v>
      </c>
      <c r="AL180" s="44">
        <f t="shared" ca="1" si="65"/>
        <v>1</v>
      </c>
      <c r="AM180" s="44">
        <f t="shared" ca="1" si="65"/>
        <v>1</v>
      </c>
      <c r="AN180" s="44">
        <f t="shared" ca="1" si="65"/>
        <v>1</v>
      </c>
      <c r="AO180" s="44">
        <f t="shared" ca="1" si="65"/>
        <v>1</v>
      </c>
      <c r="AP180" s="44">
        <f t="shared" ca="1" si="65"/>
        <v>1</v>
      </c>
      <c r="AQ180" s="44">
        <f t="shared" ca="1" si="65"/>
        <v>1</v>
      </c>
      <c r="AR180" s="44">
        <f t="shared" ca="1" si="65"/>
        <v>1</v>
      </c>
      <c r="AS180" s="44">
        <f t="shared" ca="1" si="65"/>
        <v>1</v>
      </c>
      <c r="AT180" s="44">
        <f t="shared" ca="1" si="65"/>
        <v>1</v>
      </c>
      <c r="AU180" s="44">
        <f t="shared" ca="1" si="65"/>
        <v>1</v>
      </c>
      <c r="AV180" s="44">
        <f t="shared" ca="1" si="65"/>
        <v>1</v>
      </c>
      <c r="AW180" s="44">
        <f t="shared" ca="1" si="65"/>
        <v>1</v>
      </c>
      <c r="AX180" s="44">
        <f t="shared" ca="1" si="65"/>
        <v>1</v>
      </c>
      <c r="AY180" s="44">
        <f t="shared" ca="1" si="65"/>
        <v>1</v>
      </c>
      <c r="AZ180" s="44">
        <f t="shared" ca="1" si="65"/>
        <v>1</v>
      </c>
      <c r="BA180" s="44">
        <f t="shared" ca="1" si="65"/>
        <v>1</v>
      </c>
      <c r="BB180" s="44">
        <f t="shared" ca="1" si="65"/>
        <v>1</v>
      </c>
      <c r="BC180" s="44">
        <f t="shared" ca="1" si="65"/>
        <v>1</v>
      </c>
      <c r="BD180" s="44">
        <f t="shared" ca="1" si="65"/>
        <v>1</v>
      </c>
      <c r="BE180" s="44">
        <f t="shared" ca="1" si="65"/>
        <v>1</v>
      </c>
      <c r="BF180" s="44">
        <f t="shared" ca="1" si="65"/>
        <v>1</v>
      </c>
      <c r="BG180" s="44">
        <f t="shared" ca="1" si="65"/>
        <v>1</v>
      </c>
      <c r="BH180" s="44">
        <f t="shared" ca="1" si="65"/>
        <v>1</v>
      </c>
      <c r="BI180" s="44">
        <f t="shared" ca="1" si="65"/>
        <v>1</v>
      </c>
      <c r="BJ180" s="44">
        <f t="shared" ca="1" si="65"/>
        <v>1</v>
      </c>
      <c r="BK180" s="44">
        <f t="shared" ca="1" si="65"/>
        <v>1</v>
      </c>
      <c r="BL180" s="44">
        <f t="shared" ca="1" si="65"/>
        <v>1</v>
      </c>
      <c r="BM180" s="44">
        <f t="shared" ca="1" si="65"/>
        <v>1</v>
      </c>
      <c r="BN180" s="44">
        <f t="shared" ca="1" si="65"/>
        <v>1</v>
      </c>
      <c r="BO180" s="44">
        <f t="shared" ca="1" si="65"/>
        <v>1</v>
      </c>
      <c r="BP180" s="44">
        <f t="shared" ref="BP180:CS180" ca="1" si="66">IF(SUM(OFFSET(BP150,BP175-$C$180,0,$C$180))=0,1,AVERAGEIFS(OFFSET(BP69,BP175-$C$180,0,$C$180),OFFSET(BP150,BP175-$C$180,0,$C$180),1))</f>
        <v>1</v>
      </c>
      <c r="BQ180" s="44">
        <f t="shared" ca="1" si="66"/>
        <v>1</v>
      </c>
      <c r="BR180" s="44">
        <f t="shared" ca="1" si="66"/>
        <v>1</v>
      </c>
      <c r="BS180" s="44">
        <f t="shared" ca="1" si="66"/>
        <v>1</v>
      </c>
      <c r="BT180" s="44">
        <f t="shared" ca="1" si="66"/>
        <v>1</v>
      </c>
      <c r="BU180" s="44">
        <f t="shared" ca="1" si="66"/>
        <v>1</v>
      </c>
      <c r="BV180" s="44">
        <f t="shared" ca="1" si="66"/>
        <v>1</v>
      </c>
      <c r="BW180" s="44">
        <f t="shared" ca="1" si="66"/>
        <v>1</v>
      </c>
      <c r="BX180" s="44">
        <f t="shared" ca="1" si="66"/>
        <v>1</v>
      </c>
      <c r="BY180" s="44">
        <f t="shared" ca="1" si="66"/>
        <v>1</v>
      </c>
      <c r="BZ180" s="44">
        <f t="shared" ca="1" si="66"/>
        <v>1</v>
      </c>
      <c r="CA180" s="44">
        <f t="shared" ca="1" si="66"/>
        <v>1</v>
      </c>
      <c r="CB180" s="44">
        <f t="shared" ca="1" si="66"/>
        <v>1</v>
      </c>
      <c r="CC180" s="44">
        <f t="shared" ca="1" si="66"/>
        <v>1</v>
      </c>
      <c r="CD180" s="44">
        <f t="shared" ca="1" si="66"/>
        <v>1</v>
      </c>
      <c r="CE180" s="44">
        <f t="shared" ca="1" si="66"/>
        <v>1</v>
      </c>
      <c r="CF180" s="44">
        <f t="shared" ca="1" si="66"/>
        <v>1</v>
      </c>
      <c r="CG180" s="44">
        <f t="shared" ca="1" si="66"/>
        <v>1</v>
      </c>
      <c r="CH180" s="44">
        <f t="shared" ca="1" si="66"/>
        <v>1</v>
      </c>
      <c r="CI180" s="44">
        <f t="shared" ca="1" si="66"/>
        <v>1</v>
      </c>
      <c r="CJ180" s="44">
        <f t="shared" ca="1" si="66"/>
        <v>1</v>
      </c>
      <c r="CK180" s="44">
        <f t="shared" ca="1" si="66"/>
        <v>1</v>
      </c>
      <c r="CL180" s="44">
        <f t="shared" ca="1" si="66"/>
        <v>1</v>
      </c>
      <c r="CM180" s="44">
        <f t="shared" ca="1" si="66"/>
        <v>1</v>
      </c>
      <c r="CN180" s="44">
        <f t="shared" ca="1" si="66"/>
        <v>1</v>
      </c>
      <c r="CO180" s="44">
        <f t="shared" ca="1" si="66"/>
        <v>1</v>
      </c>
      <c r="CP180" s="44">
        <f t="shared" ca="1" si="66"/>
        <v>1</v>
      </c>
      <c r="CQ180" s="44">
        <f t="shared" ca="1" si="66"/>
        <v>1</v>
      </c>
      <c r="CR180" s="44">
        <f t="shared" ca="1" si="66"/>
        <v>1</v>
      </c>
      <c r="CS180" s="44">
        <f t="shared" ca="1" si="66"/>
        <v>1</v>
      </c>
    </row>
    <row r="181" spans="1:101" hidden="1" x14ac:dyDescent="0.25">
      <c r="A181" s="97">
        <v>0</v>
      </c>
      <c r="C181" s="25" t="s">
        <v>8</v>
      </c>
      <c r="D181" s="44">
        <f t="shared" ref="D181:BO181" si="67">IF(SUMIFS(C$14:C$37,D$150:D$173,1)=0,1,SUMIFS(D$14:D$37,D$150:D$173,1)/SUMIFS(C$14:C$37,D$150:D$173,1))</f>
        <v>1.8888888888888888</v>
      </c>
      <c r="E181" s="44">
        <f t="shared" si="67"/>
        <v>1.125</v>
      </c>
      <c r="F181" s="44">
        <f t="shared" si="67"/>
        <v>1</v>
      </c>
      <c r="G181" s="44">
        <f t="shared" si="67"/>
        <v>1</v>
      </c>
      <c r="H181" s="44">
        <f t="shared" si="67"/>
        <v>1</v>
      </c>
      <c r="I181" s="44">
        <f t="shared" si="67"/>
        <v>1</v>
      </c>
      <c r="J181" s="44">
        <f t="shared" si="67"/>
        <v>1</v>
      </c>
      <c r="K181" s="44">
        <f t="shared" si="67"/>
        <v>1</v>
      </c>
      <c r="L181" s="44">
        <f t="shared" si="67"/>
        <v>1</v>
      </c>
      <c r="M181" s="44">
        <f t="shared" si="67"/>
        <v>1</v>
      </c>
      <c r="N181" s="44">
        <f t="shared" si="67"/>
        <v>1</v>
      </c>
      <c r="O181" s="44">
        <f t="shared" si="67"/>
        <v>1</v>
      </c>
      <c r="P181" s="44">
        <f t="shared" si="67"/>
        <v>1</v>
      </c>
      <c r="Q181" s="44">
        <f t="shared" si="67"/>
        <v>1</v>
      </c>
      <c r="R181" s="44">
        <f t="shared" si="67"/>
        <v>1</v>
      </c>
      <c r="S181" s="44">
        <f t="shared" si="67"/>
        <v>1</v>
      </c>
      <c r="T181" s="44">
        <f t="shared" si="67"/>
        <v>1</v>
      </c>
      <c r="U181" s="44">
        <f t="shared" si="67"/>
        <v>1</v>
      </c>
      <c r="V181" s="44">
        <f t="shared" si="67"/>
        <v>1</v>
      </c>
      <c r="W181" s="44">
        <f t="shared" si="67"/>
        <v>1</v>
      </c>
      <c r="X181" s="44">
        <f t="shared" si="67"/>
        <v>1</v>
      </c>
      <c r="Y181" s="44">
        <f t="shared" si="67"/>
        <v>1</v>
      </c>
      <c r="Z181" s="44">
        <f t="shared" si="67"/>
        <v>1</v>
      </c>
      <c r="AA181" s="44">
        <f t="shared" si="67"/>
        <v>1</v>
      </c>
      <c r="AB181" s="44">
        <f t="shared" si="67"/>
        <v>1</v>
      </c>
      <c r="AC181" s="44">
        <f t="shared" si="67"/>
        <v>1</v>
      </c>
      <c r="AD181" s="44">
        <f t="shared" si="67"/>
        <v>1</v>
      </c>
      <c r="AE181" s="44">
        <f t="shared" si="67"/>
        <v>1</v>
      </c>
      <c r="AF181" s="44">
        <f t="shared" si="67"/>
        <v>1</v>
      </c>
      <c r="AG181" s="44">
        <f t="shared" si="67"/>
        <v>1</v>
      </c>
      <c r="AH181" s="44">
        <f t="shared" si="67"/>
        <v>1</v>
      </c>
      <c r="AI181" s="44">
        <f t="shared" si="67"/>
        <v>1</v>
      </c>
      <c r="AJ181" s="44">
        <f t="shared" si="67"/>
        <v>1</v>
      </c>
      <c r="AK181" s="44">
        <f t="shared" si="67"/>
        <v>1</v>
      </c>
      <c r="AL181" s="44">
        <f t="shared" si="67"/>
        <v>1</v>
      </c>
      <c r="AM181" s="44">
        <f t="shared" si="67"/>
        <v>1</v>
      </c>
      <c r="AN181" s="44">
        <f t="shared" si="67"/>
        <v>1</v>
      </c>
      <c r="AO181" s="44">
        <f t="shared" si="67"/>
        <v>1</v>
      </c>
      <c r="AP181" s="44">
        <f t="shared" si="67"/>
        <v>1</v>
      </c>
      <c r="AQ181" s="44">
        <f t="shared" si="67"/>
        <v>1</v>
      </c>
      <c r="AR181" s="44">
        <f t="shared" si="67"/>
        <v>1</v>
      </c>
      <c r="AS181" s="44">
        <f t="shared" si="67"/>
        <v>1</v>
      </c>
      <c r="AT181" s="44">
        <f t="shared" si="67"/>
        <v>1</v>
      </c>
      <c r="AU181" s="44">
        <f t="shared" si="67"/>
        <v>1</v>
      </c>
      <c r="AV181" s="44">
        <f t="shared" si="67"/>
        <v>1</v>
      </c>
      <c r="AW181" s="44">
        <f t="shared" si="67"/>
        <v>1</v>
      </c>
      <c r="AX181" s="44">
        <f t="shared" si="67"/>
        <v>1</v>
      </c>
      <c r="AY181" s="44">
        <f t="shared" si="67"/>
        <v>1</v>
      </c>
      <c r="AZ181" s="44">
        <f t="shared" si="67"/>
        <v>1</v>
      </c>
      <c r="BA181" s="44">
        <f t="shared" si="67"/>
        <v>1</v>
      </c>
      <c r="BB181" s="44">
        <f t="shared" si="67"/>
        <v>1</v>
      </c>
      <c r="BC181" s="44">
        <f t="shared" si="67"/>
        <v>1</v>
      </c>
      <c r="BD181" s="44">
        <f t="shared" si="67"/>
        <v>1</v>
      </c>
      <c r="BE181" s="44">
        <f t="shared" si="67"/>
        <v>1</v>
      </c>
      <c r="BF181" s="44">
        <f t="shared" si="67"/>
        <v>1</v>
      </c>
      <c r="BG181" s="44">
        <f t="shared" si="67"/>
        <v>1</v>
      </c>
      <c r="BH181" s="44">
        <f t="shared" si="67"/>
        <v>1</v>
      </c>
      <c r="BI181" s="44">
        <f t="shared" si="67"/>
        <v>1</v>
      </c>
      <c r="BJ181" s="44">
        <f t="shared" si="67"/>
        <v>1</v>
      </c>
      <c r="BK181" s="44">
        <f t="shared" si="67"/>
        <v>1</v>
      </c>
      <c r="BL181" s="44">
        <f t="shared" si="67"/>
        <v>1</v>
      </c>
      <c r="BM181" s="44">
        <f t="shared" si="67"/>
        <v>1</v>
      </c>
      <c r="BN181" s="44">
        <f t="shared" si="67"/>
        <v>1</v>
      </c>
      <c r="BO181" s="44">
        <f t="shared" si="67"/>
        <v>1</v>
      </c>
      <c r="BP181" s="44">
        <f t="shared" ref="BP181:CS181" si="68">IF(SUMIFS(BO$14:BO$37,BP$150:BP$173,1)=0,1,SUMIFS(BP$14:BP$37,BP$150:BP$173,1)/SUMIFS(BO$14:BO$37,BP$150:BP$173,1))</f>
        <v>1</v>
      </c>
      <c r="BQ181" s="44">
        <f t="shared" si="68"/>
        <v>1</v>
      </c>
      <c r="BR181" s="44">
        <f t="shared" si="68"/>
        <v>1</v>
      </c>
      <c r="BS181" s="44">
        <f t="shared" si="68"/>
        <v>1</v>
      </c>
      <c r="BT181" s="44">
        <f t="shared" si="68"/>
        <v>1</v>
      </c>
      <c r="BU181" s="44">
        <f t="shared" si="68"/>
        <v>1</v>
      </c>
      <c r="BV181" s="44">
        <f t="shared" si="68"/>
        <v>1</v>
      </c>
      <c r="BW181" s="44">
        <f t="shared" si="68"/>
        <v>1</v>
      </c>
      <c r="BX181" s="44">
        <f t="shared" si="68"/>
        <v>1</v>
      </c>
      <c r="BY181" s="44">
        <f t="shared" si="68"/>
        <v>1</v>
      </c>
      <c r="BZ181" s="44">
        <f t="shared" si="68"/>
        <v>1</v>
      </c>
      <c r="CA181" s="44">
        <f t="shared" si="68"/>
        <v>1</v>
      </c>
      <c r="CB181" s="44">
        <f t="shared" si="68"/>
        <v>1</v>
      </c>
      <c r="CC181" s="44">
        <f t="shared" si="68"/>
        <v>1</v>
      </c>
      <c r="CD181" s="44">
        <f t="shared" si="68"/>
        <v>1</v>
      </c>
      <c r="CE181" s="44">
        <f t="shared" si="68"/>
        <v>1</v>
      </c>
      <c r="CF181" s="44">
        <f t="shared" si="68"/>
        <v>1</v>
      </c>
      <c r="CG181" s="44">
        <f t="shared" si="68"/>
        <v>1</v>
      </c>
      <c r="CH181" s="44">
        <f t="shared" si="68"/>
        <v>1</v>
      </c>
      <c r="CI181" s="44">
        <f t="shared" si="68"/>
        <v>1</v>
      </c>
      <c r="CJ181" s="44">
        <f t="shared" si="68"/>
        <v>1</v>
      </c>
      <c r="CK181" s="44">
        <f t="shared" si="68"/>
        <v>1</v>
      </c>
      <c r="CL181" s="44">
        <f t="shared" si="68"/>
        <v>1</v>
      </c>
      <c r="CM181" s="44">
        <f t="shared" si="68"/>
        <v>1</v>
      </c>
      <c r="CN181" s="44">
        <f t="shared" si="68"/>
        <v>1</v>
      </c>
      <c r="CO181" s="44">
        <f t="shared" si="68"/>
        <v>1</v>
      </c>
      <c r="CP181" s="44">
        <f t="shared" si="68"/>
        <v>1</v>
      </c>
      <c r="CQ181" s="44">
        <f t="shared" si="68"/>
        <v>1</v>
      </c>
      <c r="CR181" s="44">
        <f t="shared" si="68"/>
        <v>1</v>
      </c>
      <c r="CS181" s="44">
        <f t="shared" si="68"/>
        <v>1</v>
      </c>
    </row>
    <row r="182" spans="1:101" hidden="1" x14ac:dyDescent="0.25">
      <c r="A182" s="97">
        <v>0</v>
      </c>
      <c r="C182" s="47">
        <v>5</v>
      </c>
      <c r="D182" s="44">
        <f t="shared" ref="D182:BO182" ca="1" si="69">IF(SUMIFS(OFFSET(C13,D175-5,0,5),OFFSET(D149,D175-5,0,5),1)=0,1,SUMIFS(OFFSET(D13,D175-5,0,5),OFFSET(D149,D175-5,0,5),1)/SUMIFS(OFFSET(C13,D175-5,0,5),OFFSET(D149,D175-5,0,5),1))</f>
        <v>1.3333333333333333</v>
      </c>
      <c r="E182" s="44">
        <f t="shared" ca="1" si="69"/>
        <v>1</v>
      </c>
      <c r="F182" s="44">
        <f t="shared" ca="1" si="69"/>
        <v>1</v>
      </c>
      <c r="G182" s="44">
        <f t="shared" ca="1" si="69"/>
        <v>1</v>
      </c>
      <c r="H182" s="44">
        <f t="shared" ca="1" si="69"/>
        <v>1</v>
      </c>
      <c r="I182" s="44">
        <f t="shared" ca="1" si="69"/>
        <v>1</v>
      </c>
      <c r="J182" s="44">
        <f t="shared" ca="1" si="69"/>
        <v>1</v>
      </c>
      <c r="K182" s="44">
        <f t="shared" ca="1" si="69"/>
        <v>1</v>
      </c>
      <c r="L182" s="44">
        <f t="shared" ca="1" si="69"/>
        <v>1</v>
      </c>
      <c r="M182" s="44">
        <f t="shared" ca="1" si="69"/>
        <v>1</v>
      </c>
      <c r="N182" s="44">
        <f t="shared" ca="1" si="69"/>
        <v>1</v>
      </c>
      <c r="O182" s="44">
        <f t="shared" ca="1" si="69"/>
        <v>1</v>
      </c>
      <c r="P182" s="44">
        <f t="shared" ca="1" si="69"/>
        <v>1</v>
      </c>
      <c r="Q182" s="44">
        <f t="shared" ca="1" si="69"/>
        <v>1</v>
      </c>
      <c r="R182" s="44">
        <f t="shared" ca="1" si="69"/>
        <v>1</v>
      </c>
      <c r="S182" s="44">
        <f t="shared" ca="1" si="69"/>
        <v>1</v>
      </c>
      <c r="T182" s="44">
        <f t="shared" ca="1" si="69"/>
        <v>1</v>
      </c>
      <c r="U182" s="44">
        <f t="shared" ca="1" si="69"/>
        <v>1</v>
      </c>
      <c r="V182" s="44">
        <f t="shared" ca="1" si="69"/>
        <v>1</v>
      </c>
      <c r="W182" s="44">
        <f t="shared" ca="1" si="69"/>
        <v>1</v>
      </c>
      <c r="X182" s="44">
        <f t="shared" ca="1" si="69"/>
        <v>1</v>
      </c>
      <c r="Y182" s="44">
        <f t="shared" ca="1" si="69"/>
        <v>1</v>
      </c>
      <c r="Z182" s="44">
        <f t="shared" ca="1" si="69"/>
        <v>1</v>
      </c>
      <c r="AA182" s="44">
        <f t="shared" ca="1" si="69"/>
        <v>1</v>
      </c>
      <c r="AB182" s="44">
        <f t="shared" ca="1" si="69"/>
        <v>1</v>
      </c>
      <c r="AC182" s="44">
        <f t="shared" ca="1" si="69"/>
        <v>1</v>
      </c>
      <c r="AD182" s="44">
        <f t="shared" ca="1" si="69"/>
        <v>1</v>
      </c>
      <c r="AE182" s="44">
        <f t="shared" ca="1" si="69"/>
        <v>1</v>
      </c>
      <c r="AF182" s="44">
        <f t="shared" ca="1" si="69"/>
        <v>1</v>
      </c>
      <c r="AG182" s="44">
        <f t="shared" ca="1" si="69"/>
        <v>1</v>
      </c>
      <c r="AH182" s="44">
        <f t="shared" ca="1" si="69"/>
        <v>1</v>
      </c>
      <c r="AI182" s="44">
        <f t="shared" ca="1" si="69"/>
        <v>1</v>
      </c>
      <c r="AJ182" s="44">
        <f t="shared" ca="1" si="69"/>
        <v>1</v>
      </c>
      <c r="AK182" s="44">
        <f t="shared" ca="1" si="69"/>
        <v>1</v>
      </c>
      <c r="AL182" s="44">
        <f t="shared" ca="1" si="69"/>
        <v>1</v>
      </c>
      <c r="AM182" s="44">
        <f t="shared" ca="1" si="69"/>
        <v>1</v>
      </c>
      <c r="AN182" s="44">
        <f t="shared" ca="1" si="69"/>
        <v>1</v>
      </c>
      <c r="AO182" s="44">
        <f t="shared" ca="1" si="69"/>
        <v>1</v>
      </c>
      <c r="AP182" s="44">
        <f t="shared" ca="1" si="69"/>
        <v>1</v>
      </c>
      <c r="AQ182" s="44">
        <f t="shared" ca="1" si="69"/>
        <v>1</v>
      </c>
      <c r="AR182" s="44">
        <f t="shared" ca="1" si="69"/>
        <v>1</v>
      </c>
      <c r="AS182" s="44">
        <f t="shared" ca="1" si="69"/>
        <v>1</v>
      </c>
      <c r="AT182" s="44">
        <f t="shared" ca="1" si="69"/>
        <v>1</v>
      </c>
      <c r="AU182" s="44">
        <f t="shared" ca="1" si="69"/>
        <v>1</v>
      </c>
      <c r="AV182" s="44">
        <f t="shared" ca="1" si="69"/>
        <v>1</v>
      </c>
      <c r="AW182" s="44">
        <f t="shared" ca="1" si="69"/>
        <v>1</v>
      </c>
      <c r="AX182" s="44">
        <f t="shared" ca="1" si="69"/>
        <v>1</v>
      </c>
      <c r="AY182" s="44">
        <f t="shared" ca="1" si="69"/>
        <v>1</v>
      </c>
      <c r="AZ182" s="44">
        <f t="shared" ca="1" si="69"/>
        <v>1</v>
      </c>
      <c r="BA182" s="44">
        <f t="shared" ca="1" si="69"/>
        <v>1</v>
      </c>
      <c r="BB182" s="44">
        <f t="shared" ca="1" si="69"/>
        <v>1</v>
      </c>
      <c r="BC182" s="44">
        <f t="shared" ca="1" si="69"/>
        <v>1</v>
      </c>
      <c r="BD182" s="44">
        <f t="shared" ca="1" si="69"/>
        <v>1</v>
      </c>
      <c r="BE182" s="44">
        <f t="shared" ca="1" si="69"/>
        <v>1</v>
      </c>
      <c r="BF182" s="44">
        <f t="shared" ca="1" si="69"/>
        <v>1</v>
      </c>
      <c r="BG182" s="44">
        <f t="shared" ca="1" si="69"/>
        <v>1</v>
      </c>
      <c r="BH182" s="44">
        <f t="shared" ca="1" si="69"/>
        <v>1</v>
      </c>
      <c r="BI182" s="44">
        <f t="shared" ca="1" si="69"/>
        <v>1</v>
      </c>
      <c r="BJ182" s="44">
        <f t="shared" ca="1" si="69"/>
        <v>1</v>
      </c>
      <c r="BK182" s="44">
        <f t="shared" ca="1" si="69"/>
        <v>1</v>
      </c>
      <c r="BL182" s="44">
        <f t="shared" ca="1" si="69"/>
        <v>1</v>
      </c>
      <c r="BM182" s="44">
        <f t="shared" ca="1" si="69"/>
        <v>1</v>
      </c>
      <c r="BN182" s="44">
        <f t="shared" ca="1" si="69"/>
        <v>1</v>
      </c>
      <c r="BO182" s="44">
        <f t="shared" ca="1" si="69"/>
        <v>1</v>
      </c>
      <c r="BP182" s="44">
        <f t="shared" ref="BP182:CS182" ca="1" si="70">IF(SUMIFS(OFFSET(BO13,BP175-5,0,5),OFFSET(BP149,BP175-5,0,5),1)=0,1,SUMIFS(OFFSET(BP13,BP175-5,0,5),OFFSET(BP149,BP175-5,0,5),1)/SUMIFS(OFFSET(BO13,BP175-5,0,5),OFFSET(BP149,BP175-5,0,5),1))</f>
        <v>1</v>
      </c>
      <c r="BQ182" s="44">
        <f t="shared" ca="1" si="70"/>
        <v>1</v>
      </c>
      <c r="BR182" s="44">
        <f t="shared" ca="1" si="70"/>
        <v>1</v>
      </c>
      <c r="BS182" s="44">
        <f t="shared" ca="1" si="70"/>
        <v>1</v>
      </c>
      <c r="BT182" s="44">
        <f t="shared" ca="1" si="70"/>
        <v>1</v>
      </c>
      <c r="BU182" s="44">
        <f t="shared" ca="1" si="70"/>
        <v>1</v>
      </c>
      <c r="BV182" s="44">
        <f t="shared" ca="1" si="70"/>
        <v>1</v>
      </c>
      <c r="BW182" s="44">
        <f t="shared" ca="1" si="70"/>
        <v>1</v>
      </c>
      <c r="BX182" s="44">
        <f t="shared" ca="1" si="70"/>
        <v>1</v>
      </c>
      <c r="BY182" s="44">
        <f t="shared" ca="1" si="70"/>
        <v>1</v>
      </c>
      <c r="BZ182" s="44">
        <f t="shared" ca="1" si="70"/>
        <v>1</v>
      </c>
      <c r="CA182" s="44">
        <f t="shared" ca="1" si="70"/>
        <v>1</v>
      </c>
      <c r="CB182" s="44">
        <f t="shared" ca="1" si="70"/>
        <v>1</v>
      </c>
      <c r="CC182" s="44">
        <f t="shared" ca="1" si="70"/>
        <v>1</v>
      </c>
      <c r="CD182" s="44">
        <f t="shared" ca="1" si="70"/>
        <v>1</v>
      </c>
      <c r="CE182" s="44">
        <f t="shared" ca="1" si="70"/>
        <v>1</v>
      </c>
      <c r="CF182" s="44">
        <f t="shared" ca="1" si="70"/>
        <v>1</v>
      </c>
      <c r="CG182" s="44">
        <f t="shared" ca="1" si="70"/>
        <v>1</v>
      </c>
      <c r="CH182" s="44">
        <f t="shared" ca="1" si="70"/>
        <v>1</v>
      </c>
      <c r="CI182" s="44">
        <f t="shared" ca="1" si="70"/>
        <v>1</v>
      </c>
      <c r="CJ182" s="44">
        <f t="shared" ca="1" si="70"/>
        <v>1</v>
      </c>
      <c r="CK182" s="44">
        <f t="shared" ca="1" si="70"/>
        <v>1</v>
      </c>
      <c r="CL182" s="44">
        <f t="shared" ca="1" si="70"/>
        <v>1</v>
      </c>
      <c r="CM182" s="44">
        <f t="shared" ca="1" si="70"/>
        <v>1</v>
      </c>
      <c r="CN182" s="44">
        <f t="shared" ca="1" si="70"/>
        <v>1</v>
      </c>
      <c r="CO182" s="44">
        <f t="shared" ca="1" si="70"/>
        <v>1</v>
      </c>
      <c r="CP182" s="44">
        <f t="shared" ca="1" si="70"/>
        <v>1</v>
      </c>
      <c r="CQ182" s="44">
        <f t="shared" ca="1" si="70"/>
        <v>1</v>
      </c>
      <c r="CR182" s="44">
        <f t="shared" ca="1" si="70"/>
        <v>1</v>
      </c>
      <c r="CS182" s="44">
        <f t="shared" ca="1" si="70"/>
        <v>1</v>
      </c>
    </row>
    <row r="183" spans="1:101" hidden="1" x14ac:dyDescent="0.25">
      <c r="A183" s="97">
        <v>0</v>
      </c>
      <c r="C183" s="47">
        <v>3</v>
      </c>
      <c r="D183" s="44">
        <f t="shared" ref="D183:BO183" ca="1" si="71">IF(SUMIFS(OFFSET(C13,D175-3,0,3),OFFSET(D149,D175-3,0,3),1)=0,1,SUMIFS(OFFSET(D13,D175-3,0,3),OFFSET(D149,D175-3,0,3),1)/SUMIFS(OFFSET(C13,D175-3,0,3),OFFSET(D149,D175-3,0,3),1))</f>
        <v>1.5</v>
      </c>
      <c r="E183" s="44">
        <f t="shared" ca="1" si="71"/>
        <v>1</v>
      </c>
      <c r="F183" s="44">
        <f t="shared" ca="1" si="71"/>
        <v>1</v>
      </c>
      <c r="G183" s="44">
        <f t="shared" ca="1" si="71"/>
        <v>1</v>
      </c>
      <c r="H183" s="44">
        <f t="shared" ca="1" si="71"/>
        <v>1</v>
      </c>
      <c r="I183" s="44">
        <f t="shared" ca="1" si="71"/>
        <v>1</v>
      </c>
      <c r="J183" s="44">
        <f t="shared" ca="1" si="71"/>
        <v>1</v>
      </c>
      <c r="K183" s="44">
        <f t="shared" ca="1" si="71"/>
        <v>1</v>
      </c>
      <c r="L183" s="44">
        <f t="shared" ca="1" si="71"/>
        <v>1</v>
      </c>
      <c r="M183" s="44">
        <f t="shared" ca="1" si="71"/>
        <v>1</v>
      </c>
      <c r="N183" s="44">
        <f t="shared" ca="1" si="71"/>
        <v>1</v>
      </c>
      <c r="O183" s="44">
        <f t="shared" ca="1" si="71"/>
        <v>1</v>
      </c>
      <c r="P183" s="44">
        <f t="shared" ca="1" si="71"/>
        <v>1</v>
      </c>
      <c r="Q183" s="44">
        <f t="shared" ca="1" si="71"/>
        <v>1</v>
      </c>
      <c r="R183" s="44">
        <f t="shared" ca="1" si="71"/>
        <v>1</v>
      </c>
      <c r="S183" s="44">
        <f t="shared" ca="1" si="71"/>
        <v>1</v>
      </c>
      <c r="T183" s="44">
        <f t="shared" ca="1" si="71"/>
        <v>1</v>
      </c>
      <c r="U183" s="44">
        <f t="shared" ca="1" si="71"/>
        <v>1</v>
      </c>
      <c r="V183" s="44">
        <f t="shared" ca="1" si="71"/>
        <v>1</v>
      </c>
      <c r="W183" s="44">
        <f t="shared" ca="1" si="71"/>
        <v>1</v>
      </c>
      <c r="X183" s="44">
        <f t="shared" ca="1" si="71"/>
        <v>1</v>
      </c>
      <c r="Y183" s="44">
        <f t="shared" ca="1" si="71"/>
        <v>1</v>
      </c>
      <c r="Z183" s="44">
        <f t="shared" ca="1" si="71"/>
        <v>1</v>
      </c>
      <c r="AA183" s="44">
        <f t="shared" ca="1" si="71"/>
        <v>1</v>
      </c>
      <c r="AB183" s="44">
        <f t="shared" ca="1" si="71"/>
        <v>1</v>
      </c>
      <c r="AC183" s="44">
        <f t="shared" ca="1" si="71"/>
        <v>1</v>
      </c>
      <c r="AD183" s="44">
        <f t="shared" ca="1" si="71"/>
        <v>1</v>
      </c>
      <c r="AE183" s="44">
        <f t="shared" ca="1" si="71"/>
        <v>1</v>
      </c>
      <c r="AF183" s="44">
        <f t="shared" ca="1" si="71"/>
        <v>1</v>
      </c>
      <c r="AG183" s="44">
        <f t="shared" ca="1" si="71"/>
        <v>1</v>
      </c>
      <c r="AH183" s="44">
        <f t="shared" ca="1" si="71"/>
        <v>1</v>
      </c>
      <c r="AI183" s="44">
        <f t="shared" ca="1" si="71"/>
        <v>1</v>
      </c>
      <c r="AJ183" s="44">
        <f t="shared" ca="1" si="71"/>
        <v>1</v>
      </c>
      <c r="AK183" s="44">
        <f t="shared" ca="1" si="71"/>
        <v>1</v>
      </c>
      <c r="AL183" s="44">
        <f t="shared" ca="1" si="71"/>
        <v>1</v>
      </c>
      <c r="AM183" s="44">
        <f t="shared" ca="1" si="71"/>
        <v>1</v>
      </c>
      <c r="AN183" s="44">
        <f t="shared" ca="1" si="71"/>
        <v>1</v>
      </c>
      <c r="AO183" s="44">
        <f t="shared" ca="1" si="71"/>
        <v>1</v>
      </c>
      <c r="AP183" s="44">
        <f t="shared" ca="1" si="71"/>
        <v>1</v>
      </c>
      <c r="AQ183" s="44">
        <f t="shared" ca="1" si="71"/>
        <v>1</v>
      </c>
      <c r="AR183" s="44">
        <f t="shared" ca="1" si="71"/>
        <v>1</v>
      </c>
      <c r="AS183" s="44">
        <f t="shared" ca="1" si="71"/>
        <v>1</v>
      </c>
      <c r="AT183" s="44">
        <f t="shared" ca="1" si="71"/>
        <v>1</v>
      </c>
      <c r="AU183" s="44">
        <f t="shared" ca="1" si="71"/>
        <v>1</v>
      </c>
      <c r="AV183" s="44">
        <f t="shared" ca="1" si="71"/>
        <v>1</v>
      </c>
      <c r="AW183" s="44">
        <f t="shared" ca="1" si="71"/>
        <v>1</v>
      </c>
      <c r="AX183" s="44">
        <f t="shared" ca="1" si="71"/>
        <v>1</v>
      </c>
      <c r="AY183" s="44">
        <f t="shared" ca="1" si="71"/>
        <v>1</v>
      </c>
      <c r="AZ183" s="44">
        <f t="shared" ca="1" si="71"/>
        <v>1</v>
      </c>
      <c r="BA183" s="44">
        <f t="shared" ca="1" si="71"/>
        <v>1</v>
      </c>
      <c r="BB183" s="44">
        <f t="shared" ca="1" si="71"/>
        <v>1</v>
      </c>
      <c r="BC183" s="44">
        <f t="shared" ca="1" si="71"/>
        <v>1</v>
      </c>
      <c r="BD183" s="44">
        <f t="shared" ca="1" si="71"/>
        <v>1</v>
      </c>
      <c r="BE183" s="44">
        <f t="shared" ca="1" si="71"/>
        <v>1</v>
      </c>
      <c r="BF183" s="44">
        <f t="shared" ca="1" si="71"/>
        <v>1</v>
      </c>
      <c r="BG183" s="44">
        <f t="shared" ca="1" si="71"/>
        <v>1</v>
      </c>
      <c r="BH183" s="44">
        <f t="shared" ca="1" si="71"/>
        <v>1</v>
      </c>
      <c r="BI183" s="44">
        <f t="shared" ca="1" si="71"/>
        <v>1</v>
      </c>
      <c r="BJ183" s="44">
        <f t="shared" ca="1" si="71"/>
        <v>1</v>
      </c>
      <c r="BK183" s="44">
        <f t="shared" ca="1" si="71"/>
        <v>1</v>
      </c>
      <c r="BL183" s="44">
        <f t="shared" ca="1" si="71"/>
        <v>1</v>
      </c>
      <c r="BM183" s="44">
        <f t="shared" ca="1" si="71"/>
        <v>1</v>
      </c>
      <c r="BN183" s="44">
        <f t="shared" ca="1" si="71"/>
        <v>1</v>
      </c>
      <c r="BO183" s="44">
        <f t="shared" ca="1" si="71"/>
        <v>1</v>
      </c>
      <c r="BP183" s="44">
        <f t="shared" ref="BP183:CS183" ca="1" si="72">IF(SUMIFS(OFFSET(BO13,BP175-3,0,3),OFFSET(BP149,BP175-3,0,3),1)=0,1,SUMIFS(OFFSET(BP13,BP175-3,0,3),OFFSET(BP149,BP175-3,0,3),1)/SUMIFS(OFFSET(BO13,BP175-3,0,3),OFFSET(BP149,BP175-3,0,3),1))</f>
        <v>1</v>
      </c>
      <c r="BQ183" s="44">
        <f t="shared" ca="1" si="72"/>
        <v>1</v>
      </c>
      <c r="BR183" s="44">
        <f t="shared" ca="1" si="72"/>
        <v>1</v>
      </c>
      <c r="BS183" s="44">
        <f t="shared" ca="1" si="72"/>
        <v>1</v>
      </c>
      <c r="BT183" s="44">
        <f t="shared" ca="1" si="72"/>
        <v>1</v>
      </c>
      <c r="BU183" s="44">
        <f t="shared" ca="1" si="72"/>
        <v>1</v>
      </c>
      <c r="BV183" s="44">
        <f t="shared" ca="1" si="72"/>
        <v>1</v>
      </c>
      <c r="BW183" s="44">
        <f t="shared" ca="1" si="72"/>
        <v>1</v>
      </c>
      <c r="BX183" s="44">
        <f t="shared" ca="1" si="72"/>
        <v>1</v>
      </c>
      <c r="BY183" s="44">
        <f t="shared" ca="1" si="72"/>
        <v>1</v>
      </c>
      <c r="BZ183" s="44">
        <f t="shared" ca="1" si="72"/>
        <v>1</v>
      </c>
      <c r="CA183" s="44">
        <f t="shared" ca="1" si="72"/>
        <v>1</v>
      </c>
      <c r="CB183" s="44">
        <f t="shared" ca="1" si="72"/>
        <v>1</v>
      </c>
      <c r="CC183" s="44">
        <f t="shared" ca="1" si="72"/>
        <v>1</v>
      </c>
      <c r="CD183" s="44">
        <f t="shared" ca="1" si="72"/>
        <v>1</v>
      </c>
      <c r="CE183" s="44">
        <f t="shared" ca="1" si="72"/>
        <v>1</v>
      </c>
      <c r="CF183" s="44">
        <f t="shared" ca="1" si="72"/>
        <v>1</v>
      </c>
      <c r="CG183" s="44">
        <f t="shared" ca="1" si="72"/>
        <v>1</v>
      </c>
      <c r="CH183" s="44">
        <f t="shared" ca="1" si="72"/>
        <v>1</v>
      </c>
      <c r="CI183" s="44">
        <f t="shared" ca="1" si="72"/>
        <v>1</v>
      </c>
      <c r="CJ183" s="44">
        <f t="shared" ca="1" si="72"/>
        <v>1</v>
      </c>
      <c r="CK183" s="44">
        <f t="shared" ca="1" si="72"/>
        <v>1</v>
      </c>
      <c r="CL183" s="44">
        <f t="shared" ca="1" si="72"/>
        <v>1</v>
      </c>
      <c r="CM183" s="44">
        <f t="shared" ca="1" si="72"/>
        <v>1</v>
      </c>
      <c r="CN183" s="44">
        <f t="shared" ca="1" si="72"/>
        <v>1</v>
      </c>
      <c r="CO183" s="44">
        <f t="shared" ca="1" si="72"/>
        <v>1</v>
      </c>
      <c r="CP183" s="44">
        <f t="shared" ca="1" si="72"/>
        <v>1</v>
      </c>
      <c r="CQ183" s="44">
        <f t="shared" ca="1" si="72"/>
        <v>1</v>
      </c>
      <c r="CR183" s="44">
        <f t="shared" ca="1" si="72"/>
        <v>1</v>
      </c>
      <c r="CS183" s="44">
        <f t="shared" ca="1" si="72"/>
        <v>1</v>
      </c>
    </row>
    <row r="184" spans="1:101" hidden="1" x14ac:dyDescent="0.25">
      <c r="A184" s="97">
        <v>0</v>
      </c>
      <c r="B184" s="25" t="s">
        <v>11</v>
      </c>
      <c r="C184" s="46">
        <f>C194</f>
        <v>10</v>
      </c>
      <c r="D184" s="44">
        <f t="shared" ref="D184:BO184" ca="1" si="73">IF(SUMIFS(OFFSET(C13,D175-$C$184,0,$C$184),OFFSET(D149,D175-$C$184,0,$C$184),1)=0,1,SUMIFS(OFFSET(D13,D175-$C$184,0,$C$184),OFFSET(D149,D175-$C$184,0,$C$184),1)/SUMIFS(OFFSET(C13,D175-$C$184,0,$C$184),OFFSET(D149,D175-$C$184,0,$C$184),1))</f>
        <v>2</v>
      </c>
      <c r="E184" s="44">
        <f t="shared" ca="1" si="73"/>
        <v>1.1333333333333333</v>
      </c>
      <c r="F184" s="44">
        <f t="shared" ca="1" si="73"/>
        <v>1</v>
      </c>
      <c r="G184" s="44">
        <f t="shared" ca="1" si="73"/>
        <v>1</v>
      </c>
      <c r="H184" s="44">
        <f t="shared" ca="1" si="73"/>
        <v>1</v>
      </c>
      <c r="I184" s="44">
        <f t="shared" ca="1" si="73"/>
        <v>1</v>
      </c>
      <c r="J184" s="44">
        <f t="shared" ca="1" si="73"/>
        <v>1</v>
      </c>
      <c r="K184" s="44">
        <f t="shared" ca="1" si="73"/>
        <v>1</v>
      </c>
      <c r="L184" s="44">
        <f t="shared" ca="1" si="73"/>
        <v>1</v>
      </c>
      <c r="M184" s="44">
        <f t="shared" ca="1" si="73"/>
        <v>1</v>
      </c>
      <c r="N184" s="44">
        <f t="shared" ca="1" si="73"/>
        <v>1</v>
      </c>
      <c r="O184" s="44">
        <f t="shared" ca="1" si="73"/>
        <v>1</v>
      </c>
      <c r="P184" s="44">
        <f t="shared" ca="1" si="73"/>
        <v>1</v>
      </c>
      <c r="Q184" s="44">
        <f t="shared" ca="1" si="73"/>
        <v>1</v>
      </c>
      <c r="R184" s="44">
        <f t="shared" ca="1" si="73"/>
        <v>1</v>
      </c>
      <c r="S184" s="44">
        <f t="shared" ca="1" si="73"/>
        <v>1</v>
      </c>
      <c r="T184" s="44">
        <f t="shared" ca="1" si="73"/>
        <v>1</v>
      </c>
      <c r="U184" s="44">
        <f t="shared" ca="1" si="73"/>
        <v>1</v>
      </c>
      <c r="V184" s="44">
        <f t="shared" ca="1" si="73"/>
        <v>1</v>
      </c>
      <c r="W184" s="44">
        <f t="shared" ca="1" si="73"/>
        <v>1</v>
      </c>
      <c r="X184" s="44">
        <f t="shared" ca="1" si="73"/>
        <v>1</v>
      </c>
      <c r="Y184" s="44">
        <f t="shared" ca="1" si="73"/>
        <v>1</v>
      </c>
      <c r="Z184" s="44">
        <f t="shared" ca="1" si="73"/>
        <v>1</v>
      </c>
      <c r="AA184" s="44">
        <f t="shared" ca="1" si="73"/>
        <v>1</v>
      </c>
      <c r="AB184" s="44">
        <f t="shared" ca="1" si="73"/>
        <v>1</v>
      </c>
      <c r="AC184" s="44">
        <f t="shared" ca="1" si="73"/>
        <v>1</v>
      </c>
      <c r="AD184" s="44">
        <f t="shared" ca="1" si="73"/>
        <v>1</v>
      </c>
      <c r="AE184" s="44">
        <f t="shared" ca="1" si="73"/>
        <v>1</v>
      </c>
      <c r="AF184" s="44">
        <f t="shared" ca="1" si="73"/>
        <v>1</v>
      </c>
      <c r="AG184" s="44">
        <f t="shared" ca="1" si="73"/>
        <v>1</v>
      </c>
      <c r="AH184" s="44">
        <f t="shared" ca="1" si="73"/>
        <v>1</v>
      </c>
      <c r="AI184" s="44">
        <f t="shared" ca="1" si="73"/>
        <v>1</v>
      </c>
      <c r="AJ184" s="44">
        <f t="shared" ca="1" si="73"/>
        <v>1</v>
      </c>
      <c r="AK184" s="44">
        <f t="shared" ca="1" si="73"/>
        <v>1</v>
      </c>
      <c r="AL184" s="44">
        <f t="shared" ca="1" si="73"/>
        <v>1</v>
      </c>
      <c r="AM184" s="44">
        <f t="shared" ca="1" si="73"/>
        <v>1</v>
      </c>
      <c r="AN184" s="44">
        <f t="shared" ca="1" si="73"/>
        <v>1</v>
      </c>
      <c r="AO184" s="44">
        <f t="shared" ca="1" si="73"/>
        <v>1</v>
      </c>
      <c r="AP184" s="44">
        <f t="shared" ca="1" si="73"/>
        <v>1</v>
      </c>
      <c r="AQ184" s="44">
        <f t="shared" ca="1" si="73"/>
        <v>1</v>
      </c>
      <c r="AR184" s="44">
        <f t="shared" ca="1" si="73"/>
        <v>1</v>
      </c>
      <c r="AS184" s="44">
        <f t="shared" ca="1" si="73"/>
        <v>1</v>
      </c>
      <c r="AT184" s="44">
        <f t="shared" ca="1" si="73"/>
        <v>1</v>
      </c>
      <c r="AU184" s="44">
        <f t="shared" ca="1" si="73"/>
        <v>1</v>
      </c>
      <c r="AV184" s="44">
        <f t="shared" ca="1" si="73"/>
        <v>1</v>
      </c>
      <c r="AW184" s="44">
        <f t="shared" ca="1" si="73"/>
        <v>1</v>
      </c>
      <c r="AX184" s="44">
        <f t="shared" ca="1" si="73"/>
        <v>1</v>
      </c>
      <c r="AY184" s="44">
        <f t="shared" ca="1" si="73"/>
        <v>1</v>
      </c>
      <c r="AZ184" s="44">
        <f t="shared" ca="1" si="73"/>
        <v>1</v>
      </c>
      <c r="BA184" s="44">
        <f t="shared" ca="1" si="73"/>
        <v>1</v>
      </c>
      <c r="BB184" s="44">
        <f t="shared" ca="1" si="73"/>
        <v>1</v>
      </c>
      <c r="BC184" s="44">
        <f t="shared" ca="1" si="73"/>
        <v>1</v>
      </c>
      <c r="BD184" s="44">
        <f t="shared" ca="1" si="73"/>
        <v>1</v>
      </c>
      <c r="BE184" s="44">
        <f t="shared" ca="1" si="73"/>
        <v>1</v>
      </c>
      <c r="BF184" s="44">
        <f t="shared" ca="1" si="73"/>
        <v>1</v>
      </c>
      <c r="BG184" s="44">
        <f t="shared" ca="1" si="73"/>
        <v>1</v>
      </c>
      <c r="BH184" s="44">
        <f t="shared" ca="1" si="73"/>
        <v>1</v>
      </c>
      <c r="BI184" s="44">
        <f t="shared" ca="1" si="73"/>
        <v>1</v>
      </c>
      <c r="BJ184" s="44">
        <f t="shared" ca="1" si="73"/>
        <v>1</v>
      </c>
      <c r="BK184" s="44">
        <f t="shared" ca="1" si="73"/>
        <v>1</v>
      </c>
      <c r="BL184" s="44">
        <f t="shared" ca="1" si="73"/>
        <v>1</v>
      </c>
      <c r="BM184" s="44">
        <f t="shared" ca="1" si="73"/>
        <v>1</v>
      </c>
      <c r="BN184" s="44">
        <f t="shared" ca="1" si="73"/>
        <v>1</v>
      </c>
      <c r="BO184" s="44">
        <f t="shared" ca="1" si="73"/>
        <v>1</v>
      </c>
      <c r="BP184" s="44">
        <f t="shared" ref="BP184:CS184" ca="1" si="74">IF(SUMIFS(OFFSET(BO13,BP175-$C$184,0,$C$184),OFFSET(BP149,BP175-$C$184,0,$C$184),1)=0,1,SUMIFS(OFFSET(BP13,BP175-$C$184,0,$C$184),OFFSET(BP149,BP175-$C$184,0,$C$184),1)/SUMIFS(OFFSET(BO13,BP175-$C$184,0,$C$184),OFFSET(BP149,BP175-$C$184,0,$C$184),1))</f>
        <v>1</v>
      </c>
      <c r="BQ184" s="44">
        <f t="shared" ca="1" si="74"/>
        <v>1</v>
      </c>
      <c r="BR184" s="44">
        <f t="shared" ca="1" si="74"/>
        <v>1</v>
      </c>
      <c r="BS184" s="44">
        <f t="shared" ca="1" si="74"/>
        <v>1</v>
      </c>
      <c r="BT184" s="44">
        <f t="shared" ca="1" si="74"/>
        <v>1</v>
      </c>
      <c r="BU184" s="44">
        <f t="shared" ca="1" si="74"/>
        <v>1</v>
      </c>
      <c r="BV184" s="44">
        <f t="shared" ca="1" si="74"/>
        <v>1</v>
      </c>
      <c r="BW184" s="44">
        <f t="shared" ca="1" si="74"/>
        <v>1</v>
      </c>
      <c r="BX184" s="44">
        <f t="shared" ca="1" si="74"/>
        <v>1</v>
      </c>
      <c r="BY184" s="44">
        <f t="shared" ca="1" si="74"/>
        <v>1</v>
      </c>
      <c r="BZ184" s="44">
        <f t="shared" ca="1" si="74"/>
        <v>1</v>
      </c>
      <c r="CA184" s="44">
        <f t="shared" ca="1" si="74"/>
        <v>1</v>
      </c>
      <c r="CB184" s="44">
        <f t="shared" ca="1" si="74"/>
        <v>1</v>
      </c>
      <c r="CC184" s="44">
        <f t="shared" ca="1" si="74"/>
        <v>1</v>
      </c>
      <c r="CD184" s="44">
        <f t="shared" ca="1" si="74"/>
        <v>1</v>
      </c>
      <c r="CE184" s="44">
        <f t="shared" ca="1" si="74"/>
        <v>1</v>
      </c>
      <c r="CF184" s="44">
        <f t="shared" ca="1" si="74"/>
        <v>1</v>
      </c>
      <c r="CG184" s="44">
        <f t="shared" ca="1" si="74"/>
        <v>1</v>
      </c>
      <c r="CH184" s="44">
        <f t="shared" ca="1" si="74"/>
        <v>1</v>
      </c>
      <c r="CI184" s="44">
        <f t="shared" ca="1" si="74"/>
        <v>1</v>
      </c>
      <c r="CJ184" s="44">
        <f t="shared" ca="1" si="74"/>
        <v>1</v>
      </c>
      <c r="CK184" s="44">
        <f t="shared" ca="1" si="74"/>
        <v>1</v>
      </c>
      <c r="CL184" s="44">
        <f t="shared" ca="1" si="74"/>
        <v>1</v>
      </c>
      <c r="CM184" s="44">
        <f t="shared" ca="1" si="74"/>
        <v>1</v>
      </c>
      <c r="CN184" s="44">
        <f t="shared" ca="1" si="74"/>
        <v>1</v>
      </c>
      <c r="CO184" s="44">
        <f t="shared" ca="1" si="74"/>
        <v>1</v>
      </c>
      <c r="CP184" s="44">
        <f t="shared" ca="1" si="74"/>
        <v>1</v>
      </c>
      <c r="CQ184" s="44">
        <f t="shared" ca="1" si="74"/>
        <v>1</v>
      </c>
      <c r="CR184" s="44">
        <f t="shared" ca="1" si="74"/>
        <v>1</v>
      </c>
      <c r="CS184" s="44">
        <f t="shared" ca="1" si="74"/>
        <v>1</v>
      </c>
    </row>
    <row r="185" spans="1:101" ht="19.5" thickBot="1" x14ac:dyDescent="0.35">
      <c r="A185" s="187">
        <v>1</v>
      </c>
      <c r="B185" s="188" t="s">
        <v>61</v>
      </c>
      <c r="C185" s="189"/>
      <c r="D185" s="190"/>
      <c r="E185" s="190"/>
      <c r="F185" s="190"/>
      <c r="G185" s="190"/>
      <c r="H185" s="190"/>
      <c r="I185" s="190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  <c r="Z185" s="190"/>
      <c r="AA185" s="190"/>
      <c r="AB185" s="190"/>
      <c r="AC185" s="190"/>
      <c r="AD185" s="190"/>
      <c r="AE185" s="190"/>
      <c r="AF185" s="190"/>
      <c r="AG185" s="190"/>
      <c r="AH185" s="190"/>
      <c r="AI185" s="190"/>
      <c r="AJ185" s="190"/>
      <c r="AK185" s="190"/>
      <c r="AL185" s="190"/>
      <c r="AM185" s="190"/>
      <c r="AN185" s="190"/>
      <c r="AO185" s="190"/>
      <c r="AP185" s="190"/>
      <c r="AQ185" s="190"/>
      <c r="AR185" s="190"/>
      <c r="AS185" s="190"/>
      <c r="AT185" s="190"/>
      <c r="AU185" s="190"/>
      <c r="AV185" s="190"/>
      <c r="AW185" s="190"/>
      <c r="AX185" s="190"/>
      <c r="AY185" s="190"/>
      <c r="AZ185" s="190"/>
      <c r="BA185" s="190"/>
      <c r="BB185" s="190"/>
      <c r="BC185" s="190"/>
      <c r="BD185" s="190"/>
      <c r="BE185" s="190"/>
      <c r="BF185" s="190"/>
      <c r="BG185" s="190"/>
      <c r="BH185" s="190"/>
      <c r="BI185" s="190"/>
      <c r="BJ185" s="190"/>
      <c r="BK185" s="190"/>
      <c r="BL185" s="190"/>
      <c r="BM185" s="190"/>
      <c r="BN185" s="190"/>
      <c r="BO185" s="190"/>
      <c r="BP185" s="190"/>
      <c r="BQ185" s="190"/>
      <c r="BR185" s="190"/>
      <c r="BS185" s="190"/>
      <c r="BT185" s="190"/>
      <c r="BU185" s="190"/>
      <c r="BV185" s="190"/>
      <c r="BW185" s="190"/>
      <c r="BX185" s="190"/>
      <c r="BY185" s="190"/>
      <c r="BZ185" s="190"/>
      <c r="CA185" s="190"/>
      <c r="CB185" s="190"/>
      <c r="CC185" s="190"/>
      <c r="CD185" s="190"/>
      <c r="CE185" s="190"/>
      <c r="CF185" s="190"/>
      <c r="CG185" s="190"/>
      <c r="CH185" s="190"/>
      <c r="CI185" s="190"/>
      <c r="CJ185" s="190"/>
      <c r="CK185" s="190"/>
      <c r="CL185" s="190"/>
      <c r="CM185" s="190"/>
      <c r="CN185" s="190"/>
      <c r="CO185" s="190"/>
      <c r="CP185" s="190"/>
      <c r="CQ185" s="190"/>
      <c r="CR185" s="190"/>
      <c r="CS185" s="190"/>
      <c r="CT185" s="189"/>
      <c r="CU185" s="189"/>
      <c r="CV185" s="189"/>
      <c r="CW185" s="189"/>
    </row>
    <row r="186" spans="1:101" x14ac:dyDescent="0.25">
      <c r="A186" s="97">
        <v>1</v>
      </c>
      <c r="B186" s="126" t="s">
        <v>3</v>
      </c>
      <c r="C186" s="127"/>
      <c r="D186" s="128" t="str">
        <f t="shared" ref="D186:BO186" si="75">D68</f>
        <v>2 / 1</v>
      </c>
      <c r="E186" s="128" t="str">
        <f t="shared" si="75"/>
        <v>3 / 2</v>
      </c>
      <c r="F186" s="128" t="str">
        <f t="shared" si="75"/>
        <v>4 / 3</v>
      </c>
      <c r="G186" s="128" t="str">
        <f t="shared" si="75"/>
        <v>5 / 4</v>
      </c>
      <c r="H186" s="128" t="str">
        <f t="shared" si="75"/>
        <v>6 / 5</v>
      </c>
      <c r="I186" s="128" t="str">
        <f t="shared" si="75"/>
        <v>7 / 6</v>
      </c>
      <c r="J186" s="128" t="str">
        <f t="shared" si="75"/>
        <v>8 / 7</v>
      </c>
      <c r="K186" s="128" t="str">
        <f t="shared" si="75"/>
        <v>9 / 8</v>
      </c>
      <c r="L186" s="128" t="str">
        <f t="shared" si="75"/>
        <v>10 / 9</v>
      </c>
      <c r="M186" s="128" t="str">
        <f t="shared" si="75"/>
        <v>11 / 10</v>
      </c>
      <c r="N186" s="128" t="str">
        <f t="shared" si="75"/>
        <v>12 / 11</v>
      </c>
      <c r="O186" s="128" t="str">
        <f t="shared" si="75"/>
        <v>13 / 12</v>
      </c>
      <c r="P186" s="128" t="str">
        <f t="shared" si="75"/>
        <v>14 / 13</v>
      </c>
      <c r="Q186" s="128" t="str">
        <f t="shared" si="75"/>
        <v>15 / 14</v>
      </c>
      <c r="R186" s="128" t="str">
        <f t="shared" si="75"/>
        <v>16 / 15</v>
      </c>
      <c r="S186" s="128" t="str">
        <f t="shared" si="75"/>
        <v>17 / 16</v>
      </c>
      <c r="T186" s="128" t="str">
        <f t="shared" si="75"/>
        <v>18 / 17</v>
      </c>
      <c r="U186" s="128" t="str">
        <f t="shared" si="75"/>
        <v>19 / 18</v>
      </c>
      <c r="V186" s="128" t="str">
        <f t="shared" si="75"/>
        <v>20 / 19</v>
      </c>
      <c r="W186" s="128" t="str">
        <f t="shared" si="75"/>
        <v>21 / 20</v>
      </c>
      <c r="X186" s="128" t="str">
        <f t="shared" si="75"/>
        <v>22 / 21</v>
      </c>
      <c r="Y186" s="128" t="str">
        <f t="shared" si="75"/>
        <v>23 / 22</v>
      </c>
      <c r="Z186" s="128" t="str">
        <f t="shared" si="75"/>
        <v>24 / 23</v>
      </c>
      <c r="AA186" s="128" t="str">
        <f t="shared" si="75"/>
        <v>25 / 24</v>
      </c>
      <c r="AB186" s="128" t="str">
        <f t="shared" si="75"/>
        <v>26 / 25</v>
      </c>
      <c r="AC186" s="128" t="str">
        <f t="shared" si="75"/>
        <v>27 / 26</v>
      </c>
      <c r="AD186" s="128" t="str">
        <f t="shared" si="75"/>
        <v>28 / 27</v>
      </c>
      <c r="AE186" s="128" t="str">
        <f t="shared" si="75"/>
        <v>29 / 28</v>
      </c>
      <c r="AF186" s="128" t="str">
        <f t="shared" si="75"/>
        <v>30 / 29</v>
      </c>
      <c r="AG186" s="128" t="str">
        <f t="shared" si="75"/>
        <v>31 / 30</v>
      </c>
      <c r="AH186" s="128" t="str">
        <f t="shared" si="75"/>
        <v>32 / 31</v>
      </c>
      <c r="AI186" s="128" t="str">
        <f t="shared" si="75"/>
        <v>33 / 32</v>
      </c>
      <c r="AJ186" s="128" t="str">
        <f t="shared" si="75"/>
        <v>34 / 33</v>
      </c>
      <c r="AK186" s="128" t="str">
        <f t="shared" si="75"/>
        <v>35 / 34</v>
      </c>
      <c r="AL186" s="128" t="str">
        <f t="shared" si="75"/>
        <v>36 / 35</v>
      </c>
      <c r="AM186" s="128" t="str">
        <f t="shared" si="75"/>
        <v>37 / 36</v>
      </c>
      <c r="AN186" s="128" t="str">
        <f t="shared" si="75"/>
        <v>38 / 37</v>
      </c>
      <c r="AO186" s="128" t="str">
        <f t="shared" si="75"/>
        <v>39 / 38</v>
      </c>
      <c r="AP186" s="128" t="str">
        <f t="shared" si="75"/>
        <v>40 / 39</v>
      </c>
      <c r="AQ186" s="128" t="str">
        <f t="shared" si="75"/>
        <v>41 / 40</v>
      </c>
      <c r="AR186" s="128" t="str">
        <f t="shared" si="75"/>
        <v>42 / 41</v>
      </c>
      <c r="AS186" s="128" t="str">
        <f t="shared" si="75"/>
        <v>43 / 42</v>
      </c>
      <c r="AT186" s="128" t="str">
        <f t="shared" si="75"/>
        <v>44 / 43</v>
      </c>
      <c r="AU186" s="128" t="str">
        <f t="shared" si="75"/>
        <v>45 / 44</v>
      </c>
      <c r="AV186" s="128" t="str">
        <f t="shared" si="75"/>
        <v>46 / 45</v>
      </c>
      <c r="AW186" s="128" t="str">
        <f t="shared" si="75"/>
        <v>47 / 46</v>
      </c>
      <c r="AX186" s="128" t="str">
        <f t="shared" si="75"/>
        <v>48 / 47</v>
      </c>
      <c r="AY186" s="128" t="str">
        <f t="shared" si="75"/>
        <v>49 / 48</v>
      </c>
      <c r="AZ186" s="128" t="str">
        <f t="shared" si="75"/>
        <v>50 / 49</v>
      </c>
      <c r="BA186" s="128" t="str">
        <f t="shared" si="75"/>
        <v>51 / 50</v>
      </c>
      <c r="BB186" s="128" t="str">
        <f t="shared" si="75"/>
        <v>52 / 51</v>
      </c>
      <c r="BC186" s="128" t="str">
        <f t="shared" si="75"/>
        <v>53 / 52</v>
      </c>
      <c r="BD186" s="128" t="str">
        <f t="shared" si="75"/>
        <v>54 / 53</v>
      </c>
      <c r="BE186" s="128" t="str">
        <f t="shared" si="75"/>
        <v>55 / 54</v>
      </c>
      <c r="BF186" s="128" t="str">
        <f t="shared" si="75"/>
        <v>56 / 55</v>
      </c>
      <c r="BG186" s="128" t="str">
        <f t="shared" si="75"/>
        <v>57 / 56</v>
      </c>
      <c r="BH186" s="128" t="str">
        <f t="shared" si="75"/>
        <v>58 / 57</v>
      </c>
      <c r="BI186" s="128" t="str">
        <f t="shared" si="75"/>
        <v>59 / 58</v>
      </c>
      <c r="BJ186" s="128" t="str">
        <f t="shared" si="75"/>
        <v>60 / 59</v>
      </c>
      <c r="BK186" s="128" t="str">
        <f t="shared" si="75"/>
        <v>61 / 60</v>
      </c>
      <c r="BL186" s="128" t="str">
        <f t="shared" si="75"/>
        <v>62 / 61</v>
      </c>
      <c r="BM186" s="128" t="str">
        <f t="shared" si="75"/>
        <v>63 / 62</v>
      </c>
      <c r="BN186" s="128" t="str">
        <f t="shared" si="75"/>
        <v>64 / 63</v>
      </c>
      <c r="BO186" s="128" t="str">
        <f t="shared" si="75"/>
        <v>65 / 64</v>
      </c>
      <c r="BP186" s="128" t="str">
        <f t="shared" ref="BP186:CS186" si="76">BP68</f>
        <v>66 / 65</v>
      </c>
      <c r="BQ186" s="128" t="str">
        <f t="shared" si="76"/>
        <v>67 / 66</v>
      </c>
      <c r="BR186" s="128" t="str">
        <f t="shared" si="76"/>
        <v>68 / 67</v>
      </c>
      <c r="BS186" s="128" t="str">
        <f t="shared" si="76"/>
        <v>69 / 68</v>
      </c>
      <c r="BT186" s="128" t="str">
        <f t="shared" si="76"/>
        <v>70 / 69</v>
      </c>
      <c r="BU186" s="128" t="str">
        <f t="shared" si="76"/>
        <v>71 / 70</v>
      </c>
      <c r="BV186" s="128" t="str">
        <f t="shared" si="76"/>
        <v>72 / 71</v>
      </c>
      <c r="BW186" s="128" t="str">
        <f t="shared" si="76"/>
        <v>73 / 72</v>
      </c>
      <c r="BX186" s="128" t="str">
        <f t="shared" si="76"/>
        <v>74 / 73</v>
      </c>
      <c r="BY186" s="128" t="str">
        <f t="shared" si="76"/>
        <v>75 / 74</v>
      </c>
      <c r="BZ186" s="128" t="str">
        <f t="shared" si="76"/>
        <v>76 / 75</v>
      </c>
      <c r="CA186" s="128" t="str">
        <f t="shared" si="76"/>
        <v>77 / 76</v>
      </c>
      <c r="CB186" s="128" t="str">
        <f t="shared" si="76"/>
        <v>78 / 77</v>
      </c>
      <c r="CC186" s="128" t="str">
        <f t="shared" si="76"/>
        <v>79 / 78</v>
      </c>
      <c r="CD186" s="128" t="str">
        <f t="shared" si="76"/>
        <v>80 / 79</v>
      </c>
      <c r="CE186" s="128" t="str">
        <f t="shared" si="76"/>
        <v>81 / 80</v>
      </c>
      <c r="CF186" s="128" t="str">
        <f t="shared" si="76"/>
        <v>82 / 81</v>
      </c>
      <c r="CG186" s="128" t="str">
        <f t="shared" si="76"/>
        <v>83 / 82</v>
      </c>
      <c r="CH186" s="128" t="str">
        <f t="shared" si="76"/>
        <v>84 / 83</v>
      </c>
      <c r="CI186" s="128" t="str">
        <f t="shared" si="76"/>
        <v>85 / 84</v>
      </c>
      <c r="CJ186" s="128" t="str">
        <f t="shared" si="76"/>
        <v>86 / 85</v>
      </c>
      <c r="CK186" s="128" t="str">
        <f t="shared" si="76"/>
        <v>87 / 86</v>
      </c>
      <c r="CL186" s="128" t="str">
        <f t="shared" si="76"/>
        <v>88 / 87</v>
      </c>
      <c r="CM186" s="128" t="str">
        <f t="shared" si="76"/>
        <v>89 / 88</v>
      </c>
      <c r="CN186" s="128" t="str">
        <f t="shared" si="76"/>
        <v>90 / 89</v>
      </c>
      <c r="CO186" s="128" t="str">
        <f t="shared" si="76"/>
        <v>91 / 90</v>
      </c>
      <c r="CP186" s="128" t="str">
        <f t="shared" si="76"/>
        <v>92 / 91</v>
      </c>
      <c r="CQ186" s="128" t="str">
        <f t="shared" si="76"/>
        <v>93 / 92</v>
      </c>
      <c r="CR186" s="128" t="str">
        <f t="shared" si="76"/>
        <v>94 / 93</v>
      </c>
      <c r="CS186" s="129" t="str">
        <f t="shared" si="76"/>
        <v>95 / 94</v>
      </c>
      <c r="CT186" s="38" t="s">
        <v>15</v>
      </c>
      <c r="CU186" s="82"/>
      <c r="CV186" s="82"/>
    </row>
    <row r="187" spans="1:101" x14ac:dyDescent="0.25">
      <c r="A187" s="97">
        <v>1</v>
      </c>
      <c r="B187" s="130" t="s">
        <v>4</v>
      </c>
      <c r="C187" s="101"/>
      <c r="D187" s="106">
        <f t="shared" ref="D187:BO190" si="77">IF(ISERROR(D177),1,D177)</f>
        <v>1.8571428571428572</v>
      </c>
      <c r="E187" s="100">
        <f t="shared" si="77"/>
        <v>1.0833333333333333</v>
      </c>
      <c r="F187" s="100">
        <f t="shared" si="77"/>
        <v>1</v>
      </c>
      <c r="G187" s="100">
        <f t="shared" si="77"/>
        <v>1</v>
      </c>
      <c r="H187" s="100">
        <f t="shared" si="77"/>
        <v>1</v>
      </c>
      <c r="I187" s="100">
        <f t="shared" si="77"/>
        <v>1</v>
      </c>
      <c r="J187" s="100">
        <f t="shared" si="77"/>
        <v>1</v>
      </c>
      <c r="K187" s="100">
        <f t="shared" si="77"/>
        <v>1</v>
      </c>
      <c r="L187" s="100">
        <f t="shared" si="77"/>
        <v>1</v>
      </c>
      <c r="M187" s="100">
        <f t="shared" si="77"/>
        <v>1</v>
      </c>
      <c r="N187" s="100">
        <f t="shared" si="77"/>
        <v>1</v>
      </c>
      <c r="O187" s="100">
        <f t="shared" si="77"/>
        <v>1</v>
      </c>
      <c r="P187" s="100">
        <f t="shared" si="77"/>
        <v>1</v>
      </c>
      <c r="Q187" s="100">
        <f t="shared" si="77"/>
        <v>1</v>
      </c>
      <c r="R187" s="100">
        <f t="shared" si="77"/>
        <v>1</v>
      </c>
      <c r="S187" s="100">
        <f t="shared" si="77"/>
        <v>1</v>
      </c>
      <c r="T187" s="100">
        <f t="shared" si="77"/>
        <v>1</v>
      </c>
      <c r="U187" s="100">
        <f t="shared" si="77"/>
        <v>1</v>
      </c>
      <c r="V187" s="100">
        <f t="shared" si="77"/>
        <v>1</v>
      </c>
      <c r="W187" s="100">
        <f t="shared" si="77"/>
        <v>1</v>
      </c>
      <c r="X187" s="100">
        <f t="shared" si="77"/>
        <v>1</v>
      </c>
      <c r="Y187" s="100">
        <f t="shared" si="77"/>
        <v>1</v>
      </c>
      <c r="Z187" s="100">
        <f t="shared" si="77"/>
        <v>1</v>
      </c>
      <c r="AA187" s="100">
        <f t="shared" si="77"/>
        <v>1</v>
      </c>
      <c r="AB187" s="100">
        <f t="shared" si="77"/>
        <v>1</v>
      </c>
      <c r="AC187" s="100">
        <f t="shared" si="77"/>
        <v>1</v>
      </c>
      <c r="AD187" s="100">
        <f t="shared" si="77"/>
        <v>1</v>
      </c>
      <c r="AE187" s="100">
        <f t="shared" si="77"/>
        <v>1</v>
      </c>
      <c r="AF187" s="100">
        <f t="shared" si="77"/>
        <v>1</v>
      </c>
      <c r="AG187" s="100">
        <f t="shared" si="77"/>
        <v>1</v>
      </c>
      <c r="AH187" s="100">
        <f t="shared" si="77"/>
        <v>1</v>
      </c>
      <c r="AI187" s="100">
        <f t="shared" si="77"/>
        <v>1</v>
      </c>
      <c r="AJ187" s="100">
        <f t="shared" si="77"/>
        <v>1</v>
      </c>
      <c r="AK187" s="100">
        <f t="shared" si="77"/>
        <v>1</v>
      </c>
      <c r="AL187" s="100">
        <f t="shared" si="77"/>
        <v>1</v>
      </c>
      <c r="AM187" s="100">
        <f t="shared" si="77"/>
        <v>1</v>
      </c>
      <c r="AN187" s="100">
        <f t="shared" si="77"/>
        <v>1</v>
      </c>
      <c r="AO187" s="100">
        <f t="shared" si="77"/>
        <v>1</v>
      </c>
      <c r="AP187" s="100">
        <f t="shared" si="77"/>
        <v>1</v>
      </c>
      <c r="AQ187" s="100">
        <f t="shared" si="77"/>
        <v>1</v>
      </c>
      <c r="AR187" s="100">
        <f t="shared" si="77"/>
        <v>1</v>
      </c>
      <c r="AS187" s="100">
        <f t="shared" si="77"/>
        <v>1</v>
      </c>
      <c r="AT187" s="100">
        <f t="shared" si="77"/>
        <v>1</v>
      </c>
      <c r="AU187" s="100">
        <f t="shared" si="77"/>
        <v>1</v>
      </c>
      <c r="AV187" s="100">
        <f t="shared" si="77"/>
        <v>1</v>
      </c>
      <c r="AW187" s="100">
        <f t="shared" si="77"/>
        <v>1</v>
      </c>
      <c r="AX187" s="100">
        <f t="shared" si="77"/>
        <v>1</v>
      </c>
      <c r="AY187" s="100">
        <f t="shared" si="77"/>
        <v>1</v>
      </c>
      <c r="AZ187" s="100">
        <f t="shared" si="77"/>
        <v>1</v>
      </c>
      <c r="BA187" s="100">
        <f t="shared" si="77"/>
        <v>1</v>
      </c>
      <c r="BB187" s="100">
        <f t="shared" si="77"/>
        <v>1</v>
      </c>
      <c r="BC187" s="100">
        <f t="shared" si="77"/>
        <v>1</v>
      </c>
      <c r="BD187" s="100">
        <f t="shared" si="77"/>
        <v>1</v>
      </c>
      <c r="BE187" s="100">
        <f t="shared" si="77"/>
        <v>1</v>
      </c>
      <c r="BF187" s="100">
        <f t="shared" si="77"/>
        <v>1</v>
      </c>
      <c r="BG187" s="100">
        <f t="shared" si="77"/>
        <v>1</v>
      </c>
      <c r="BH187" s="100">
        <f t="shared" si="77"/>
        <v>1</v>
      </c>
      <c r="BI187" s="100">
        <f t="shared" si="77"/>
        <v>1</v>
      </c>
      <c r="BJ187" s="100">
        <f t="shared" si="77"/>
        <v>1</v>
      </c>
      <c r="BK187" s="100">
        <f t="shared" si="77"/>
        <v>1</v>
      </c>
      <c r="BL187" s="100">
        <f t="shared" si="77"/>
        <v>1</v>
      </c>
      <c r="BM187" s="100">
        <f t="shared" si="77"/>
        <v>1</v>
      </c>
      <c r="BN187" s="100">
        <f t="shared" si="77"/>
        <v>1</v>
      </c>
      <c r="BO187" s="100">
        <f t="shared" si="77"/>
        <v>1</v>
      </c>
      <c r="BP187" s="100">
        <f t="shared" ref="BP187:CS194" si="78">IF(ISERROR(BP177),1,BP177)</f>
        <v>1</v>
      </c>
      <c r="BQ187" s="100">
        <f t="shared" si="78"/>
        <v>1</v>
      </c>
      <c r="BR187" s="100">
        <f t="shared" si="78"/>
        <v>1</v>
      </c>
      <c r="BS187" s="100">
        <f t="shared" si="78"/>
        <v>1</v>
      </c>
      <c r="BT187" s="100">
        <f t="shared" si="78"/>
        <v>1</v>
      </c>
      <c r="BU187" s="100">
        <f t="shared" si="78"/>
        <v>1</v>
      </c>
      <c r="BV187" s="100">
        <f t="shared" si="78"/>
        <v>1</v>
      </c>
      <c r="BW187" s="100">
        <f t="shared" si="78"/>
        <v>1</v>
      </c>
      <c r="BX187" s="100">
        <f t="shared" si="78"/>
        <v>1</v>
      </c>
      <c r="BY187" s="100">
        <f t="shared" si="78"/>
        <v>1</v>
      </c>
      <c r="BZ187" s="100">
        <f t="shared" si="78"/>
        <v>1</v>
      </c>
      <c r="CA187" s="100">
        <f t="shared" si="78"/>
        <v>1</v>
      </c>
      <c r="CB187" s="100">
        <f t="shared" si="78"/>
        <v>1</v>
      </c>
      <c r="CC187" s="100">
        <f t="shared" si="78"/>
        <v>1</v>
      </c>
      <c r="CD187" s="100">
        <f t="shared" si="78"/>
        <v>1</v>
      </c>
      <c r="CE187" s="100">
        <f t="shared" si="78"/>
        <v>1</v>
      </c>
      <c r="CF187" s="100">
        <f t="shared" si="78"/>
        <v>1</v>
      </c>
      <c r="CG187" s="100">
        <f t="shared" si="78"/>
        <v>1</v>
      </c>
      <c r="CH187" s="100">
        <f t="shared" si="78"/>
        <v>1</v>
      </c>
      <c r="CI187" s="100">
        <f t="shared" si="78"/>
        <v>1</v>
      </c>
      <c r="CJ187" s="100">
        <f t="shared" si="78"/>
        <v>1</v>
      </c>
      <c r="CK187" s="100">
        <f t="shared" si="78"/>
        <v>1</v>
      </c>
      <c r="CL187" s="100">
        <f t="shared" si="78"/>
        <v>1</v>
      </c>
      <c r="CM187" s="100">
        <f t="shared" si="78"/>
        <v>1</v>
      </c>
      <c r="CN187" s="100">
        <f t="shared" si="78"/>
        <v>1</v>
      </c>
      <c r="CO187" s="100">
        <f t="shared" si="78"/>
        <v>1</v>
      </c>
      <c r="CP187" s="100">
        <f t="shared" si="78"/>
        <v>1</v>
      </c>
      <c r="CQ187" s="100">
        <f t="shared" si="78"/>
        <v>1</v>
      </c>
      <c r="CR187" s="100">
        <f t="shared" si="78"/>
        <v>1</v>
      </c>
      <c r="CS187" s="131">
        <f t="shared" si="78"/>
        <v>1</v>
      </c>
      <c r="CT187" s="211">
        <v>1</v>
      </c>
      <c r="CU187" s="44"/>
      <c r="CV187" s="44"/>
    </row>
    <row r="188" spans="1:101" x14ac:dyDescent="0.25">
      <c r="A188" s="97">
        <f t="shared" ref="A188:A195" si="79">A187+1</f>
        <v>2</v>
      </c>
      <c r="B188" s="132" t="s">
        <v>5</v>
      </c>
      <c r="C188" s="101"/>
      <c r="D188" s="107">
        <f t="shared" ca="1" si="77"/>
        <v>1.25</v>
      </c>
      <c r="E188" s="102">
        <f t="shared" ca="1" si="77"/>
        <v>1</v>
      </c>
      <c r="F188" s="102">
        <f t="shared" ca="1" si="77"/>
        <v>1</v>
      </c>
      <c r="G188" s="102">
        <f t="shared" ca="1" si="77"/>
        <v>1</v>
      </c>
      <c r="H188" s="102">
        <f t="shared" ca="1" si="77"/>
        <v>1</v>
      </c>
      <c r="I188" s="102">
        <f t="shared" ca="1" si="77"/>
        <v>1</v>
      </c>
      <c r="J188" s="102">
        <f t="shared" ca="1" si="77"/>
        <v>1</v>
      </c>
      <c r="K188" s="102">
        <f t="shared" ca="1" si="77"/>
        <v>1</v>
      </c>
      <c r="L188" s="102">
        <f t="shared" ca="1" si="77"/>
        <v>1</v>
      </c>
      <c r="M188" s="102">
        <f t="shared" ca="1" si="77"/>
        <v>1</v>
      </c>
      <c r="N188" s="102">
        <f t="shared" ca="1" si="77"/>
        <v>1</v>
      </c>
      <c r="O188" s="102">
        <f t="shared" ca="1" si="77"/>
        <v>1</v>
      </c>
      <c r="P188" s="102">
        <f t="shared" ca="1" si="77"/>
        <v>1</v>
      </c>
      <c r="Q188" s="102">
        <f t="shared" ca="1" si="77"/>
        <v>1</v>
      </c>
      <c r="R188" s="102">
        <f t="shared" ca="1" si="77"/>
        <v>1</v>
      </c>
      <c r="S188" s="102">
        <f t="shared" ca="1" si="77"/>
        <v>1</v>
      </c>
      <c r="T188" s="102">
        <f t="shared" ca="1" si="77"/>
        <v>1</v>
      </c>
      <c r="U188" s="102">
        <f t="shared" ca="1" si="77"/>
        <v>1</v>
      </c>
      <c r="V188" s="102">
        <f t="shared" ca="1" si="77"/>
        <v>1</v>
      </c>
      <c r="W188" s="102">
        <f t="shared" ca="1" si="77"/>
        <v>1</v>
      </c>
      <c r="X188" s="102">
        <f t="shared" ca="1" si="77"/>
        <v>1</v>
      </c>
      <c r="Y188" s="102">
        <f t="shared" ca="1" si="77"/>
        <v>1</v>
      </c>
      <c r="Z188" s="102">
        <f t="shared" ca="1" si="77"/>
        <v>1</v>
      </c>
      <c r="AA188" s="102">
        <f t="shared" ca="1" si="77"/>
        <v>1</v>
      </c>
      <c r="AB188" s="102">
        <f t="shared" ca="1" si="77"/>
        <v>1</v>
      </c>
      <c r="AC188" s="102">
        <f t="shared" ca="1" si="77"/>
        <v>1</v>
      </c>
      <c r="AD188" s="102">
        <f t="shared" ca="1" si="77"/>
        <v>1</v>
      </c>
      <c r="AE188" s="102">
        <f t="shared" ca="1" si="77"/>
        <v>1</v>
      </c>
      <c r="AF188" s="102">
        <f t="shared" ca="1" si="77"/>
        <v>1</v>
      </c>
      <c r="AG188" s="102">
        <f t="shared" ca="1" si="77"/>
        <v>1</v>
      </c>
      <c r="AH188" s="102">
        <f t="shared" ca="1" si="77"/>
        <v>1</v>
      </c>
      <c r="AI188" s="102">
        <f t="shared" ca="1" si="77"/>
        <v>1</v>
      </c>
      <c r="AJ188" s="102">
        <f t="shared" ca="1" si="77"/>
        <v>1</v>
      </c>
      <c r="AK188" s="102">
        <f t="shared" ca="1" si="77"/>
        <v>1</v>
      </c>
      <c r="AL188" s="102">
        <f t="shared" ca="1" si="77"/>
        <v>1</v>
      </c>
      <c r="AM188" s="102">
        <f t="shared" ca="1" si="77"/>
        <v>1</v>
      </c>
      <c r="AN188" s="102">
        <f t="shared" ca="1" si="77"/>
        <v>1</v>
      </c>
      <c r="AO188" s="102">
        <f t="shared" ca="1" si="77"/>
        <v>1</v>
      </c>
      <c r="AP188" s="102">
        <f t="shared" ca="1" si="77"/>
        <v>1</v>
      </c>
      <c r="AQ188" s="102">
        <f t="shared" ca="1" si="77"/>
        <v>1</v>
      </c>
      <c r="AR188" s="102">
        <f t="shared" ca="1" si="77"/>
        <v>1</v>
      </c>
      <c r="AS188" s="102">
        <f t="shared" ca="1" si="77"/>
        <v>1</v>
      </c>
      <c r="AT188" s="102">
        <f t="shared" ca="1" si="77"/>
        <v>1</v>
      </c>
      <c r="AU188" s="102">
        <f t="shared" ca="1" si="77"/>
        <v>1</v>
      </c>
      <c r="AV188" s="102">
        <f t="shared" ca="1" si="77"/>
        <v>1</v>
      </c>
      <c r="AW188" s="102">
        <f t="shared" ca="1" si="77"/>
        <v>1</v>
      </c>
      <c r="AX188" s="102">
        <f t="shared" ca="1" si="77"/>
        <v>1</v>
      </c>
      <c r="AY188" s="102">
        <f t="shared" ca="1" si="77"/>
        <v>1</v>
      </c>
      <c r="AZ188" s="102">
        <f t="shared" ca="1" si="77"/>
        <v>1</v>
      </c>
      <c r="BA188" s="102">
        <f t="shared" ca="1" si="77"/>
        <v>1</v>
      </c>
      <c r="BB188" s="102">
        <f t="shared" ca="1" si="77"/>
        <v>1</v>
      </c>
      <c r="BC188" s="102">
        <f t="shared" ca="1" si="77"/>
        <v>1</v>
      </c>
      <c r="BD188" s="102">
        <f t="shared" ca="1" si="77"/>
        <v>1</v>
      </c>
      <c r="BE188" s="102">
        <f t="shared" ca="1" si="77"/>
        <v>1</v>
      </c>
      <c r="BF188" s="102">
        <f t="shared" ca="1" si="77"/>
        <v>1</v>
      </c>
      <c r="BG188" s="102">
        <f t="shared" ca="1" si="77"/>
        <v>1</v>
      </c>
      <c r="BH188" s="102">
        <f t="shared" ca="1" si="77"/>
        <v>1</v>
      </c>
      <c r="BI188" s="102">
        <f t="shared" ca="1" si="77"/>
        <v>1</v>
      </c>
      <c r="BJ188" s="102">
        <f t="shared" ca="1" si="77"/>
        <v>1</v>
      </c>
      <c r="BK188" s="102">
        <f t="shared" ca="1" si="77"/>
        <v>1</v>
      </c>
      <c r="BL188" s="102">
        <f t="shared" ca="1" si="77"/>
        <v>1</v>
      </c>
      <c r="BM188" s="102">
        <f t="shared" ca="1" si="77"/>
        <v>1</v>
      </c>
      <c r="BN188" s="102">
        <f t="shared" ca="1" si="77"/>
        <v>1</v>
      </c>
      <c r="BO188" s="102">
        <f t="shared" ca="1" si="77"/>
        <v>1</v>
      </c>
      <c r="BP188" s="102">
        <f t="shared" ca="1" si="78"/>
        <v>1</v>
      </c>
      <c r="BQ188" s="102">
        <f t="shared" ca="1" si="78"/>
        <v>1</v>
      </c>
      <c r="BR188" s="102">
        <f t="shared" ca="1" si="78"/>
        <v>1</v>
      </c>
      <c r="BS188" s="102">
        <f t="shared" ca="1" si="78"/>
        <v>1</v>
      </c>
      <c r="BT188" s="102">
        <f t="shared" ca="1" si="78"/>
        <v>1</v>
      </c>
      <c r="BU188" s="102">
        <f t="shared" ca="1" si="78"/>
        <v>1</v>
      </c>
      <c r="BV188" s="102">
        <f t="shared" ca="1" si="78"/>
        <v>1</v>
      </c>
      <c r="BW188" s="102">
        <f t="shared" ca="1" si="78"/>
        <v>1</v>
      </c>
      <c r="BX188" s="102">
        <f t="shared" ca="1" si="78"/>
        <v>1</v>
      </c>
      <c r="BY188" s="102">
        <f t="shared" ca="1" si="78"/>
        <v>1</v>
      </c>
      <c r="BZ188" s="102">
        <f t="shared" ca="1" si="78"/>
        <v>1</v>
      </c>
      <c r="CA188" s="102">
        <f t="shared" ca="1" si="78"/>
        <v>1</v>
      </c>
      <c r="CB188" s="102">
        <f t="shared" ca="1" si="78"/>
        <v>1</v>
      </c>
      <c r="CC188" s="102">
        <f t="shared" ca="1" si="78"/>
        <v>1</v>
      </c>
      <c r="CD188" s="102">
        <f t="shared" ca="1" si="78"/>
        <v>1</v>
      </c>
      <c r="CE188" s="102">
        <f t="shared" ca="1" si="78"/>
        <v>1</v>
      </c>
      <c r="CF188" s="102">
        <f t="shared" ca="1" si="78"/>
        <v>1</v>
      </c>
      <c r="CG188" s="102">
        <f t="shared" ca="1" si="78"/>
        <v>1</v>
      </c>
      <c r="CH188" s="102">
        <f t="shared" ca="1" si="78"/>
        <v>1</v>
      </c>
      <c r="CI188" s="102">
        <f t="shared" ca="1" si="78"/>
        <v>1</v>
      </c>
      <c r="CJ188" s="102">
        <f t="shared" ca="1" si="78"/>
        <v>1</v>
      </c>
      <c r="CK188" s="102">
        <f t="shared" ca="1" si="78"/>
        <v>1</v>
      </c>
      <c r="CL188" s="102">
        <f t="shared" ca="1" si="78"/>
        <v>1</v>
      </c>
      <c r="CM188" s="102">
        <f t="shared" ca="1" si="78"/>
        <v>1</v>
      </c>
      <c r="CN188" s="102">
        <f t="shared" ca="1" si="78"/>
        <v>1</v>
      </c>
      <c r="CO188" s="102">
        <f t="shared" ca="1" si="78"/>
        <v>1</v>
      </c>
      <c r="CP188" s="102">
        <f t="shared" ca="1" si="78"/>
        <v>1</v>
      </c>
      <c r="CQ188" s="102">
        <f t="shared" ca="1" si="78"/>
        <v>1</v>
      </c>
      <c r="CR188" s="102">
        <f t="shared" ca="1" si="78"/>
        <v>1</v>
      </c>
      <c r="CS188" s="133">
        <f t="shared" ca="1" si="78"/>
        <v>1</v>
      </c>
      <c r="CT188" s="212">
        <v>1</v>
      </c>
      <c r="CU188" s="44"/>
      <c r="CV188" s="44"/>
    </row>
    <row r="189" spans="1:101" x14ac:dyDescent="0.25">
      <c r="A189" s="97">
        <f t="shared" si="79"/>
        <v>3</v>
      </c>
      <c r="B189" s="132" t="s">
        <v>6</v>
      </c>
      <c r="C189" s="101"/>
      <c r="D189" s="107">
        <f t="shared" ca="1" si="77"/>
        <v>1.3333333333333333</v>
      </c>
      <c r="E189" s="102">
        <f t="shared" ca="1" si="77"/>
        <v>1</v>
      </c>
      <c r="F189" s="102">
        <f t="shared" ca="1" si="77"/>
        <v>1</v>
      </c>
      <c r="G189" s="102">
        <f t="shared" ca="1" si="77"/>
        <v>1</v>
      </c>
      <c r="H189" s="102">
        <f t="shared" ca="1" si="77"/>
        <v>1</v>
      </c>
      <c r="I189" s="102">
        <f t="shared" ca="1" si="77"/>
        <v>1</v>
      </c>
      <c r="J189" s="102">
        <f t="shared" ca="1" si="77"/>
        <v>1</v>
      </c>
      <c r="K189" s="102">
        <f t="shared" ca="1" si="77"/>
        <v>1</v>
      </c>
      <c r="L189" s="102">
        <f t="shared" ca="1" si="77"/>
        <v>1</v>
      </c>
      <c r="M189" s="102">
        <f t="shared" ca="1" si="77"/>
        <v>1</v>
      </c>
      <c r="N189" s="102">
        <f t="shared" ca="1" si="77"/>
        <v>1</v>
      </c>
      <c r="O189" s="102">
        <f t="shared" ca="1" si="77"/>
        <v>1</v>
      </c>
      <c r="P189" s="102">
        <f t="shared" ca="1" si="77"/>
        <v>1</v>
      </c>
      <c r="Q189" s="102">
        <f t="shared" ca="1" si="77"/>
        <v>1</v>
      </c>
      <c r="R189" s="102">
        <f t="shared" ca="1" si="77"/>
        <v>1</v>
      </c>
      <c r="S189" s="102">
        <f t="shared" ca="1" si="77"/>
        <v>1</v>
      </c>
      <c r="T189" s="102">
        <f t="shared" ca="1" si="77"/>
        <v>1</v>
      </c>
      <c r="U189" s="102">
        <f t="shared" ca="1" si="77"/>
        <v>1</v>
      </c>
      <c r="V189" s="102">
        <f t="shared" ca="1" si="77"/>
        <v>1</v>
      </c>
      <c r="W189" s="102">
        <f t="shared" ca="1" si="77"/>
        <v>1</v>
      </c>
      <c r="X189" s="102">
        <f t="shared" ca="1" si="77"/>
        <v>1</v>
      </c>
      <c r="Y189" s="102">
        <f t="shared" ca="1" si="77"/>
        <v>1</v>
      </c>
      <c r="Z189" s="102">
        <f t="shared" ca="1" si="77"/>
        <v>1</v>
      </c>
      <c r="AA189" s="102">
        <f t="shared" ca="1" si="77"/>
        <v>1</v>
      </c>
      <c r="AB189" s="102">
        <f t="shared" ca="1" si="77"/>
        <v>1</v>
      </c>
      <c r="AC189" s="102">
        <f t="shared" ca="1" si="77"/>
        <v>1</v>
      </c>
      <c r="AD189" s="102">
        <f t="shared" ca="1" si="77"/>
        <v>1</v>
      </c>
      <c r="AE189" s="102">
        <f t="shared" ca="1" si="77"/>
        <v>1</v>
      </c>
      <c r="AF189" s="102">
        <f t="shared" ca="1" si="77"/>
        <v>1</v>
      </c>
      <c r="AG189" s="102">
        <f t="shared" ca="1" si="77"/>
        <v>1</v>
      </c>
      <c r="AH189" s="102">
        <f t="shared" ca="1" si="77"/>
        <v>1</v>
      </c>
      <c r="AI189" s="102">
        <f t="shared" ca="1" si="77"/>
        <v>1</v>
      </c>
      <c r="AJ189" s="102">
        <f t="shared" ca="1" si="77"/>
        <v>1</v>
      </c>
      <c r="AK189" s="102">
        <f t="shared" ca="1" si="77"/>
        <v>1</v>
      </c>
      <c r="AL189" s="102">
        <f t="shared" ca="1" si="77"/>
        <v>1</v>
      </c>
      <c r="AM189" s="102">
        <f t="shared" ca="1" si="77"/>
        <v>1</v>
      </c>
      <c r="AN189" s="102">
        <f t="shared" ca="1" si="77"/>
        <v>1</v>
      </c>
      <c r="AO189" s="102">
        <f t="shared" ca="1" si="77"/>
        <v>1</v>
      </c>
      <c r="AP189" s="102">
        <f t="shared" ca="1" si="77"/>
        <v>1</v>
      </c>
      <c r="AQ189" s="102">
        <f t="shared" ca="1" si="77"/>
        <v>1</v>
      </c>
      <c r="AR189" s="102">
        <f t="shared" ca="1" si="77"/>
        <v>1</v>
      </c>
      <c r="AS189" s="102">
        <f t="shared" ca="1" si="77"/>
        <v>1</v>
      </c>
      <c r="AT189" s="102">
        <f t="shared" ca="1" si="77"/>
        <v>1</v>
      </c>
      <c r="AU189" s="102">
        <f t="shared" ca="1" si="77"/>
        <v>1</v>
      </c>
      <c r="AV189" s="102">
        <f t="shared" ca="1" si="77"/>
        <v>1</v>
      </c>
      <c r="AW189" s="102">
        <f t="shared" ca="1" si="77"/>
        <v>1</v>
      </c>
      <c r="AX189" s="102">
        <f t="shared" ca="1" si="77"/>
        <v>1</v>
      </c>
      <c r="AY189" s="102">
        <f t="shared" ca="1" si="77"/>
        <v>1</v>
      </c>
      <c r="AZ189" s="102">
        <f t="shared" ca="1" si="77"/>
        <v>1</v>
      </c>
      <c r="BA189" s="102">
        <f t="shared" ca="1" si="77"/>
        <v>1</v>
      </c>
      <c r="BB189" s="102">
        <f t="shared" ca="1" si="77"/>
        <v>1</v>
      </c>
      <c r="BC189" s="102">
        <f t="shared" ca="1" si="77"/>
        <v>1</v>
      </c>
      <c r="BD189" s="102">
        <f t="shared" ca="1" si="77"/>
        <v>1</v>
      </c>
      <c r="BE189" s="102">
        <f t="shared" ca="1" si="77"/>
        <v>1</v>
      </c>
      <c r="BF189" s="102">
        <f t="shared" ca="1" si="77"/>
        <v>1</v>
      </c>
      <c r="BG189" s="102">
        <f t="shared" ca="1" si="77"/>
        <v>1</v>
      </c>
      <c r="BH189" s="102">
        <f t="shared" ca="1" si="77"/>
        <v>1</v>
      </c>
      <c r="BI189" s="102">
        <f t="shared" ca="1" si="77"/>
        <v>1</v>
      </c>
      <c r="BJ189" s="102">
        <f t="shared" ca="1" si="77"/>
        <v>1</v>
      </c>
      <c r="BK189" s="102">
        <f t="shared" ca="1" si="77"/>
        <v>1</v>
      </c>
      <c r="BL189" s="102">
        <f t="shared" ca="1" si="77"/>
        <v>1</v>
      </c>
      <c r="BM189" s="102">
        <f t="shared" ca="1" si="77"/>
        <v>1</v>
      </c>
      <c r="BN189" s="102">
        <f t="shared" ca="1" si="77"/>
        <v>1</v>
      </c>
      <c r="BO189" s="102">
        <f t="shared" ca="1" si="77"/>
        <v>1</v>
      </c>
      <c r="BP189" s="102">
        <f t="shared" ca="1" si="78"/>
        <v>1</v>
      </c>
      <c r="BQ189" s="102">
        <f t="shared" ca="1" si="78"/>
        <v>1</v>
      </c>
      <c r="BR189" s="102">
        <f t="shared" ca="1" si="78"/>
        <v>1</v>
      </c>
      <c r="BS189" s="102">
        <f t="shared" ca="1" si="78"/>
        <v>1</v>
      </c>
      <c r="BT189" s="102">
        <f t="shared" ca="1" si="78"/>
        <v>1</v>
      </c>
      <c r="BU189" s="102">
        <f t="shared" ca="1" si="78"/>
        <v>1</v>
      </c>
      <c r="BV189" s="102">
        <f t="shared" ca="1" si="78"/>
        <v>1</v>
      </c>
      <c r="BW189" s="102">
        <f t="shared" ca="1" si="78"/>
        <v>1</v>
      </c>
      <c r="BX189" s="102">
        <f t="shared" ca="1" si="78"/>
        <v>1</v>
      </c>
      <c r="BY189" s="102">
        <f t="shared" ca="1" si="78"/>
        <v>1</v>
      </c>
      <c r="BZ189" s="102">
        <f t="shared" ca="1" si="78"/>
        <v>1</v>
      </c>
      <c r="CA189" s="102">
        <f t="shared" ca="1" si="78"/>
        <v>1</v>
      </c>
      <c r="CB189" s="102">
        <f t="shared" ca="1" si="78"/>
        <v>1</v>
      </c>
      <c r="CC189" s="102">
        <f t="shared" ca="1" si="78"/>
        <v>1</v>
      </c>
      <c r="CD189" s="102">
        <f t="shared" ca="1" si="78"/>
        <v>1</v>
      </c>
      <c r="CE189" s="102">
        <f t="shared" ca="1" si="78"/>
        <v>1</v>
      </c>
      <c r="CF189" s="102">
        <f t="shared" ca="1" si="78"/>
        <v>1</v>
      </c>
      <c r="CG189" s="102">
        <f t="shared" ca="1" si="78"/>
        <v>1</v>
      </c>
      <c r="CH189" s="102">
        <f t="shared" ca="1" si="78"/>
        <v>1</v>
      </c>
      <c r="CI189" s="102">
        <f t="shared" ca="1" si="78"/>
        <v>1</v>
      </c>
      <c r="CJ189" s="102">
        <f t="shared" ca="1" si="78"/>
        <v>1</v>
      </c>
      <c r="CK189" s="102">
        <f t="shared" ca="1" si="78"/>
        <v>1</v>
      </c>
      <c r="CL189" s="102">
        <f t="shared" ca="1" si="78"/>
        <v>1</v>
      </c>
      <c r="CM189" s="102">
        <f t="shared" ca="1" si="78"/>
        <v>1</v>
      </c>
      <c r="CN189" s="102">
        <f t="shared" ca="1" si="78"/>
        <v>1</v>
      </c>
      <c r="CO189" s="102">
        <f t="shared" ca="1" si="78"/>
        <v>1</v>
      </c>
      <c r="CP189" s="102">
        <f t="shared" ca="1" si="78"/>
        <v>1</v>
      </c>
      <c r="CQ189" s="102">
        <f t="shared" ca="1" si="78"/>
        <v>1</v>
      </c>
      <c r="CR189" s="102">
        <f t="shared" ca="1" si="78"/>
        <v>1</v>
      </c>
      <c r="CS189" s="133">
        <f t="shared" ca="1" si="78"/>
        <v>1</v>
      </c>
      <c r="CT189" s="212">
        <v>1</v>
      </c>
      <c r="CU189" s="44"/>
      <c r="CV189" s="44"/>
    </row>
    <row r="190" spans="1:101" x14ac:dyDescent="0.25">
      <c r="A190" s="97">
        <f t="shared" si="79"/>
        <v>4</v>
      </c>
      <c r="B190" s="134" t="s">
        <v>7</v>
      </c>
      <c r="C190" s="105">
        <v>5</v>
      </c>
      <c r="D190" s="107">
        <f t="shared" ca="1" si="77"/>
        <v>1.25</v>
      </c>
      <c r="E190" s="102">
        <f t="shared" ca="1" si="77"/>
        <v>1</v>
      </c>
      <c r="F190" s="102">
        <f t="shared" ca="1" si="77"/>
        <v>1</v>
      </c>
      <c r="G190" s="102">
        <f t="shared" ca="1" si="77"/>
        <v>1</v>
      </c>
      <c r="H190" s="102">
        <f t="shared" ca="1" si="77"/>
        <v>1</v>
      </c>
      <c r="I190" s="102">
        <f t="shared" ca="1" si="77"/>
        <v>1</v>
      </c>
      <c r="J190" s="102">
        <f t="shared" ca="1" si="77"/>
        <v>1</v>
      </c>
      <c r="K190" s="102">
        <f t="shared" ca="1" si="77"/>
        <v>1</v>
      </c>
      <c r="L190" s="102">
        <f t="shared" ca="1" si="77"/>
        <v>1</v>
      </c>
      <c r="M190" s="102">
        <f t="shared" ca="1" si="77"/>
        <v>1</v>
      </c>
      <c r="N190" s="102">
        <f t="shared" ca="1" si="77"/>
        <v>1</v>
      </c>
      <c r="O190" s="102">
        <f t="shared" ca="1" si="77"/>
        <v>1</v>
      </c>
      <c r="P190" s="102">
        <f t="shared" ca="1" si="77"/>
        <v>1</v>
      </c>
      <c r="Q190" s="102">
        <f t="shared" ca="1" si="77"/>
        <v>1</v>
      </c>
      <c r="R190" s="102">
        <f t="shared" ca="1" si="77"/>
        <v>1</v>
      </c>
      <c r="S190" s="102">
        <f t="shared" ca="1" si="77"/>
        <v>1</v>
      </c>
      <c r="T190" s="102">
        <f t="shared" ca="1" si="77"/>
        <v>1</v>
      </c>
      <c r="U190" s="102">
        <f t="shared" ca="1" si="77"/>
        <v>1</v>
      </c>
      <c r="V190" s="102">
        <f t="shared" ca="1" si="77"/>
        <v>1</v>
      </c>
      <c r="W190" s="102">
        <f t="shared" ca="1" si="77"/>
        <v>1</v>
      </c>
      <c r="X190" s="102">
        <f t="shared" ca="1" si="77"/>
        <v>1</v>
      </c>
      <c r="Y190" s="102">
        <f t="shared" ca="1" si="77"/>
        <v>1</v>
      </c>
      <c r="Z190" s="102">
        <f t="shared" ca="1" si="77"/>
        <v>1</v>
      </c>
      <c r="AA190" s="102">
        <f t="shared" ca="1" si="77"/>
        <v>1</v>
      </c>
      <c r="AB190" s="102">
        <f t="shared" ca="1" si="77"/>
        <v>1</v>
      </c>
      <c r="AC190" s="102">
        <f t="shared" ca="1" si="77"/>
        <v>1</v>
      </c>
      <c r="AD190" s="102">
        <f t="shared" ca="1" si="77"/>
        <v>1</v>
      </c>
      <c r="AE190" s="102">
        <f t="shared" ca="1" si="77"/>
        <v>1</v>
      </c>
      <c r="AF190" s="102">
        <f t="shared" ca="1" si="77"/>
        <v>1</v>
      </c>
      <c r="AG190" s="102">
        <f t="shared" ca="1" si="77"/>
        <v>1</v>
      </c>
      <c r="AH190" s="102">
        <f t="shared" ca="1" si="77"/>
        <v>1</v>
      </c>
      <c r="AI190" s="102">
        <f t="shared" ca="1" si="77"/>
        <v>1</v>
      </c>
      <c r="AJ190" s="102">
        <f t="shared" ca="1" si="77"/>
        <v>1</v>
      </c>
      <c r="AK190" s="102">
        <f t="shared" ca="1" si="77"/>
        <v>1</v>
      </c>
      <c r="AL190" s="102">
        <f t="shared" ca="1" si="77"/>
        <v>1</v>
      </c>
      <c r="AM190" s="102">
        <f t="shared" ca="1" si="77"/>
        <v>1</v>
      </c>
      <c r="AN190" s="102">
        <f t="shared" ca="1" si="77"/>
        <v>1</v>
      </c>
      <c r="AO190" s="102">
        <f t="shared" ca="1" si="77"/>
        <v>1</v>
      </c>
      <c r="AP190" s="102">
        <f t="shared" ca="1" si="77"/>
        <v>1</v>
      </c>
      <c r="AQ190" s="102">
        <f t="shared" ca="1" si="77"/>
        <v>1</v>
      </c>
      <c r="AR190" s="102">
        <f t="shared" ca="1" si="77"/>
        <v>1</v>
      </c>
      <c r="AS190" s="102">
        <f t="shared" ca="1" si="77"/>
        <v>1</v>
      </c>
      <c r="AT190" s="102">
        <f t="shared" ca="1" si="77"/>
        <v>1</v>
      </c>
      <c r="AU190" s="102">
        <f t="shared" ca="1" si="77"/>
        <v>1</v>
      </c>
      <c r="AV190" s="102">
        <f t="shared" ca="1" si="77"/>
        <v>1</v>
      </c>
      <c r="AW190" s="102">
        <f t="shared" ca="1" si="77"/>
        <v>1</v>
      </c>
      <c r="AX190" s="102">
        <f t="shared" ca="1" si="77"/>
        <v>1</v>
      </c>
      <c r="AY190" s="102">
        <f t="shared" ca="1" si="77"/>
        <v>1</v>
      </c>
      <c r="AZ190" s="102">
        <f t="shared" ca="1" si="77"/>
        <v>1</v>
      </c>
      <c r="BA190" s="102">
        <f t="shared" ca="1" si="77"/>
        <v>1</v>
      </c>
      <c r="BB190" s="102">
        <f t="shared" ca="1" si="77"/>
        <v>1</v>
      </c>
      <c r="BC190" s="102">
        <f t="shared" ca="1" si="77"/>
        <v>1</v>
      </c>
      <c r="BD190" s="102">
        <f t="shared" ca="1" si="77"/>
        <v>1</v>
      </c>
      <c r="BE190" s="102">
        <f t="shared" ca="1" si="77"/>
        <v>1</v>
      </c>
      <c r="BF190" s="102">
        <f t="shared" ca="1" si="77"/>
        <v>1</v>
      </c>
      <c r="BG190" s="102">
        <f t="shared" ca="1" si="77"/>
        <v>1</v>
      </c>
      <c r="BH190" s="102">
        <f t="shared" ca="1" si="77"/>
        <v>1</v>
      </c>
      <c r="BI190" s="102">
        <f t="shared" ca="1" si="77"/>
        <v>1</v>
      </c>
      <c r="BJ190" s="102">
        <f t="shared" ca="1" si="77"/>
        <v>1</v>
      </c>
      <c r="BK190" s="102">
        <f t="shared" ca="1" si="77"/>
        <v>1</v>
      </c>
      <c r="BL190" s="102">
        <f t="shared" ca="1" si="77"/>
        <v>1</v>
      </c>
      <c r="BM190" s="102">
        <f t="shared" ca="1" si="77"/>
        <v>1</v>
      </c>
      <c r="BN190" s="102">
        <f t="shared" ca="1" si="77"/>
        <v>1</v>
      </c>
      <c r="BO190" s="102">
        <f t="shared" ref="BO190" ca="1" si="80">IF(ISERROR(BO180),1,BO180)</f>
        <v>1</v>
      </c>
      <c r="BP190" s="102">
        <f t="shared" ca="1" si="78"/>
        <v>1</v>
      </c>
      <c r="BQ190" s="102">
        <f t="shared" ca="1" si="78"/>
        <v>1</v>
      </c>
      <c r="BR190" s="102">
        <f t="shared" ca="1" si="78"/>
        <v>1</v>
      </c>
      <c r="BS190" s="102">
        <f t="shared" ca="1" si="78"/>
        <v>1</v>
      </c>
      <c r="BT190" s="102">
        <f t="shared" ca="1" si="78"/>
        <v>1</v>
      </c>
      <c r="BU190" s="102">
        <f t="shared" ca="1" si="78"/>
        <v>1</v>
      </c>
      <c r="BV190" s="102">
        <f t="shared" ca="1" si="78"/>
        <v>1</v>
      </c>
      <c r="BW190" s="102">
        <f t="shared" ca="1" si="78"/>
        <v>1</v>
      </c>
      <c r="BX190" s="102">
        <f t="shared" ca="1" si="78"/>
        <v>1</v>
      </c>
      <c r="BY190" s="102">
        <f t="shared" ca="1" si="78"/>
        <v>1</v>
      </c>
      <c r="BZ190" s="102">
        <f t="shared" ca="1" si="78"/>
        <v>1</v>
      </c>
      <c r="CA190" s="102">
        <f t="shared" ca="1" si="78"/>
        <v>1</v>
      </c>
      <c r="CB190" s="102">
        <f t="shared" ca="1" si="78"/>
        <v>1</v>
      </c>
      <c r="CC190" s="102">
        <f t="shared" ca="1" si="78"/>
        <v>1</v>
      </c>
      <c r="CD190" s="102">
        <f t="shared" ca="1" si="78"/>
        <v>1</v>
      </c>
      <c r="CE190" s="102">
        <f t="shared" ca="1" si="78"/>
        <v>1</v>
      </c>
      <c r="CF190" s="102">
        <f t="shared" ca="1" si="78"/>
        <v>1</v>
      </c>
      <c r="CG190" s="102">
        <f t="shared" ca="1" si="78"/>
        <v>1</v>
      </c>
      <c r="CH190" s="102">
        <f t="shared" ca="1" si="78"/>
        <v>1</v>
      </c>
      <c r="CI190" s="102">
        <f t="shared" ca="1" si="78"/>
        <v>1</v>
      </c>
      <c r="CJ190" s="102">
        <f t="shared" ca="1" si="78"/>
        <v>1</v>
      </c>
      <c r="CK190" s="102">
        <f t="shared" ca="1" si="78"/>
        <v>1</v>
      </c>
      <c r="CL190" s="102">
        <f t="shared" ca="1" si="78"/>
        <v>1</v>
      </c>
      <c r="CM190" s="102">
        <f t="shared" ca="1" si="78"/>
        <v>1</v>
      </c>
      <c r="CN190" s="102">
        <f t="shared" ca="1" si="78"/>
        <v>1</v>
      </c>
      <c r="CO190" s="102">
        <f t="shared" ca="1" si="78"/>
        <v>1</v>
      </c>
      <c r="CP190" s="102">
        <f t="shared" ca="1" si="78"/>
        <v>1</v>
      </c>
      <c r="CQ190" s="102">
        <f t="shared" ca="1" si="78"/>
        <v>1</v>
      </c>
      <c r="CR190" s="102">
        <f t="shared" ca="1" si="78"/>
        <v>1</v>
      </c>
      <c r="CS190" s="133">
        <f t="shared" ca="1" si="78"/>
        <v>1</v>
      </c>
      <c r="CT190" s="213">
        <v>1</v>
      </c>
      <c r="CU190" s="44"/>
      <c r="CV190" s="44"/>
    </row>
    <row r="191" spans="1:101" x14ac:dyDescent="0.25">
      <c r="A191" s="97">
        <f t="shared" si="79"/>
        <v>5</v>
      </c>
      <c r="B191" s="130" t="s">
        <v>8</v>
      </c>
      <c r="C191" s="101"/>
      <c r="D191" s="106">
        <f t="shared" ref="D191:BO194" si="81">IF(ISERROR(D181),1,D181)</f>
        <v>1.8888888888888888</v>
      </c>
      <c r="E191" s="100">
        <f t="shared" si="81"/>
        <v>1.125</v>
      </c>
      <c r="F191" s="100">
        <f t="shared" si="81"/>
        <v>1</v>
      </c>
      <c r="G191" s="100">
        <f t="shared" si="81"/>
        <v>1</v>
      </c>
      <c r="H191" s="100">
        <f t="shared" si="81"/>
        <v>1</v>
      </c>
      <c r="I191" s="100">
        <f t="shared" si="81"/>
        <v>1</v>
      </c>
      <c r="J191" s="100">
        <f t="shared" si="81"/>
        <v>1</v>
      </c>
      <c r="K191" s="100">
        <f t="shared" si="81"/>
        <v>1</v>
      </c>
      <c r="L191" s="100">
        <f t="shared" si="81"/>
        <v>1</v>
      </c>
      <c r="M191" s="100">
        <f t="shared" si="81"/>
        <v>1</v>
      </c>
      <c r="N191" s="100">
        <f t="shared" si="81"/>
        <v>1</v>
      </c>
      <c r="O191" s="100">
        <f t="shared" si="81"/>
        <v>1</v>
      </c>
      <c r="P191" s="100">
        <f t="shared" si="81"/>
        <v>1</v>
      </c>
      <c r="Q191" s="100">
        <f t="shared" si="81"/>
        <v>1</v>
      </c>
      <c r="R191" s="100">
        <f t="shared" si="81"/>
        <v>1</v>
      </c>
      <c r="S191" s="100">
        <f t="shared" si="81"/>
        <v>1</v>
      </c>
      <c r="T191" s="100">
        <f t="shared" si="81"/>
        <v>1</v>
      </c>
      <c r="U191" s="100">
        <f t="shared" si="81"/>
        <v>1</v>
      </c>
      <c r="V191" s="100">
        <f t="shared" si="81"/>
        <v>1</v>
      </c>
      <c r="W191" s="100">
        <f t="shared" si="81"/>
        <v>1</v>
      </c>
      <c r="X191" s="100">
        <f t="shared" si="81"/>
        <v>1</v>
      </c>
      <c r="Y191" s="100">
        <f t="shared" si="81"/>
        <v>1</v>
      </c>
      <c r="Z191" s="100">
        <f t="shared" si="81"/>
        <v>1</v>
      </c>
      <c r="AA191" s="100">
        <f t="shared" si="81"/>
        <v>1</v>
      </c>
      <c r="AB191" s="100">
        <f t="shared" si="81"/>
        <v>1</v>
      </c>
      <c r="AC191" s="100">
        <f t="shared" si="81"/>
        <v>1</v>
      </c>
      <c r="AD191" s="100">
        <f t="shared" si="81"/>
        <v>1</v>
      </c>
      <c r="AE191" s="100">
        <f t="shared" si="81"/>
        <v>1</v>
      </c>
      <c r="AF191" s="100">
        <f t="shared" si="81"/>
        <v>1</v>
      </c>
      <c r="AG191" s="100">
        <f t="shared" si="81"/>
        <v>1</v>
      </c>
      <c r="AH191" s="100">
        <f t="shared" si="81"/>
        <v>1</v>
      </c>
      <c r="AI191" s="100">
        <f t="shared" si="81"/>
        <v>1</v>
      </c>
      <c r="AJ191" s="100">
        <f t="shared" si="81"/>
        <v>1</v>
      </c>
      <c r="AK191" s="100">
        <f t="shared" si="81"/>
        <v>1</v>
      </c>
      <c r="AL191" s="100">
        <f t="shared" si="81"/>
        <v>1</v>
      </c>
      <c r="AM191" s="100">
        <f t="shared" si="81"/>
        <v>1</v>
      </c>
      <c r="AN191" s="100">
        <f t="shared" si="81"/>
        <v>1</v>
      </c>
      <c r="AO191" s="100">
        <f t="shared" si="81"/>
        <v>1</v>
      </c>
      <c r="AP191" s="100">
        <f t="shared" si="81"/>
        <v>1</v>
      </c>
      <c r="AQ191" s="100">
        <f t="shared" si="81"/>
        <v>1</v>
      </c>
      <c r="AR191" s="100">
        <f t="shared" si="81"/>
        <v>1</v>
      </c>
      <c r="AS191" s="100">
        <f t="shared" si="81"/>
        <v>1</v>
      </c>
      <c r="AT191" s="100">
        <f t="shared" si="81"/>
        <v>1</v>
      </c>
      <c r="AU191" s="100">
        <f t="shared" si="81"/>
        <v>1</v>
      </c>
      <c r="AV191" s="100">
        <f t="shared" si="81"/>
        <v>1</v>
      </c>
      <c r="AW191" s="100">
        <f t="shared" si="81"/>
        <v>1</v>
      </c>
      <c r="AX191" s="100">
        <f t="shared" si="81"/>
        <v>1</v>
      </c>
      <c r="AY191" s="100">
        <f t="shared" si="81"/>
        <v>1</v>
      </c>
      <c r="AZ191" s="100">
        <f t="shared" si="81"/>
        <v>1</v>
      </c>
      <c r="BA191" s="100">
        <f t="shared" si="81"/>
        <v>1</v>
      </c>
      <c r="BB191" s="100">
        <f t="shared" si="81"/>
        <v>1</v>
      </c>
      <c r="BC191" s="100">
        <f t="shared" si="81"/>
        <v>1</v>
      </c>
      <c r="BD191" s="100">
        <f t="shared" si="81"/>
        <v>1</v>
      </c>
      <c r="BE191" s="100">
        <f t="shared" si="81"/>
        <v>1</v>
      </c>
      <c r="BF191" s="100">
        <f t="shared" si="81"/>
        <v>1</v>
      </c>
      <c r="BG191" s="100">
        <f t="shared" si="81"/>
        <v>1</v>
      </c>
      <c r="BH191" s="100">
        <f t="shared" si="81"/>
        <v>1</v>
      </c>
      <c r="BI191" s="100">
        <f t="shared" si="81"/>
        <v>1</v>
      </c>
      <c r="BJ191" s="100">
        <f t="shared" si="81"/>
        <v>1</v>
      </c>
      <c r="BK191" s="100">
        <f t="shared" si="81"/>
        <v>1</v>
      </c>
      <c r="BL191" s="100">
        <f t="shared" si="81"/>
        <v>1</v>
      </c>
      <c r="BM191" s="100">
        <f t="shared" si="81"/>
        <v>1</v>
      </c>
      <c r="BN191" s="100">
        <f t="shared" si="81"/>
        <v>1</v>
      </c>
      <c r="BO191" s="100">
        <f t="shared" si="81"/>
        <v>1</v>
      </c>
      <c r="BP191" s="100">
        <f t="shared" si="78"/>
        <v>1</v>
      </c>
      <c r="BQ191" s="100">
        <f t="shared" si="78"/>
        <v>1</v>
      </c>
      <c r="BR191" s="100">
        <f t="shared" si="78"/>
        <v>1</v>
      </c>
      <c r="BS191" s="100">
        <f t="shared" si="78"/>
        <v>1</v>
      </c>
      <c r="BT191" s="100">
        <f t="shared" si="78"/>
        <v>1</v>
      </c>
      <c r="BU191" s="100">
        <f t="shared" si="78"/>
        <v>1</v>
      </c>
      <c r="BV191" s="100">
        <f t="shared" si="78"/>
        <v>1</v>
      </c>
      <c r="BW191" s="100">
        <f t="shared" si="78"/>
        <v>1</v>
      </c>
      <c r="BX191" s="100">
        <f t="shared" si="78"/>
        <v>1</v>
      </c>
      <c r="BY191" s="100">
        <f t="shared" si="78"/>
        <v>1</v>
      </c>
      <c r="BZ191" s="100">
        <f t="shared" si="78"/>
        <v>1</v>
      </c>
      <c r="CA191" s="100">
        <f t="shared" si="78"/>
        <v>1</v>
      </c>
      <c r="CB191" s="100">
        <f t="shared" si="78"/>
        <v>1</v>
      </c>
      <c r="CC191" s="100">
        <f t="shared" si="78"/>
        <v>1</v>
      </c>
      <c r="CD191" s="100">
        <f t="shared" si="78"/>
        <v>1</v>
      </c>
      <c r="CE191" s="100">
        <f t="shared" si="78"/>
        <v>1</v>
      </c>
      <c r="CF191" s="100">
        <f t="shared" si="78"/>
        <v>1</v>
      </c>
      <c r="CG191" s="100">
        <f t="shared" si="78"/>
        <v>1</v>
      </c>
      <c r="CH191" s="100">
        <f t="shared" si="78"/>
        <v>1</v>
      </c>
      <c r="CI191" s="100">
        <f t="shared" si="78"/>
        <v>1</v>
      </c>
      <c r="CJ191" s="100">
        <f t="shared" si="78"/>
        <v>1</v>
      </c>
      <c r="CK191" s="100">
        <f t="shared" si="78"/>
        <v>1</v>
      </c>
      <c r="CL191" s="100">
        <f t="shared" si="78"/>
        <v>1</v>
      </c>
      <c r="CM191" s="100">
        <f t="shared" si="78"/>
        <v>1</v>
      </c>
      <c r="CN191" s="100">
        <f t="shared" si="78"/>
        <v>1</v>
      </c>
      <c r="CO191" s="100">
        <f t="shared" si="78"/>
        <v>1</v>
      </c>
      <c r="CP191" s="100">
        <f t="shared" si="78"/>
        <v>1</v>
      </c>
      <c r="CQ191" s="100">
        <f t="shared" si="78"/>
        <v>1</v>
      </c>
      <c r="CR191" s="100">
        <f t="shared" si="78"/>
        <v>1</v>
      </c>
      <c r="CS191" s="131">
        <f t="shared" si="78"/>
        <v>1</v>
      </c>
      <c r="CT191" s="211">
        <v>1</v>
      </c>
      <c r="CU191" s="44"/>
      <c r="CV191" s="44"/>
    </row>
    <row r="192" spans="1:101" x14ac:dyDescent="0.25">
      <c r="A192" s="97">
        <f t="shared" si="79"/>
        <v>6</v>
      </c>
      <c r="B192" s="132" t="s">
        <v>9</v>
      </c>
      <c r="C192" s="101"/>
      <c r="D192" s="107">
        <f t="shared" ca="1" si="81"/>
        <v>1.3333333333333333</v>
      </c>
      <c r="E192" s="102">
        <f t="shared" ca="1" si="81"/>
        <v>1</v>
      </c>
      <c r="F192" s="102">
        <f t="shared" ca="1" si="81"/>
        <v>1</v>
      </c>
      <c r="G192" s="102">
        <f t="shared" ca="1" si="81"/>
        <v>1</v>
      </c>
      <c r="H192" s="102">
        <f t="shared" ca="1" si="81"/>
        <v>1</v>
      </c>
      <c r="I192" s="102">
        <f t="shared" ca="1" si="81"/>
        <v>1</v>
      </c>
      <c r="J192" s="102">
        <f t="shared" ca="1" si="81"/>
        <v>1</v>
      </c>
      <c r="K192" s="102">
        <f t="shared" ca="1" si="81"/>
        <v>1</v>
      </c>
      <c r="L192" s="102">
        <f t="shared" ca="1" si="81"/>
        <v>1</v>
      </c>
      <c r="M192" s="102">
        <f t="shared" ca="1" si="81"/>
        <v>1</v>
      </c>
      <c r="N192" s="102">
        <f t="shared" ca="1" si="81"/>
        <v>1</v>
      </c>
      <c r="O192" s="102">
        <f t="shared" ca="1" si="81"/>
        <v>1</v>
      </c>
      <c r="P192" s="102">
        <f t="shared" ca="1" si="81"/>
        <v>1</v>
      </c>
      <c r="Q192" s="102">
        <f t="shared" ca="1" si="81"/>
        <v>1</v>
      </c>
      <c r="R192" s="102">
        <f t="shared" ca="1" si="81"/>
        <v>1</v>
      </c>
      <c r="S192" s="102">
        <f t="shared" ca="1" si="81"/>
        <v>1</v>
      </c>
      <c r="T192" s="102">
        <f t="shared" ca="1" si="81"/>
        <v>1</v>
      </c>
      <c r="U192" s="102">
        <f t="shared" ca="1" si="81"/>
        <v>1</v>
      </c>
      <c r="V192" s="102">
        <f t="shared" ca="1" si="81"/>
        <v>1</v>
      </c>
      <c r="W192" s="102">
        <f t="shared" ca="1" si="81"/>
        <v>1</v>
      </c>
      <c r="X192" s="102">
        <f t="shared" ca="1" si="81"/>
        <v>1</v>
      </c>
      <c r="Y192" s="102">
        <f t="shared" ca="1" si="81"/>
        <v>1</v>
      </c>
      <c r="Z192" s="102">
        <f t="shared" ca="1" si="81"/>
        <v>1</v>
      </c>
      <c r="AA192" s="102">
        <f t="shared" ca="1" si="81"/>
        <v>1</v>
      </c>
      <c r="AB192" s="102">
        <f t="shared" ca="1" si="81"/>
        <v>1</v>
      </c>
      <c r="AC192" s="102">
        <f t="shared" ca="1" si="81"/>
        <v>1</v>
      </c>
      <c r="AD192" s="102">
        <f t="shared" ca="1" si="81"/>
        <v>1</v>
      </c>
      <c r="AE192" s="102">
        <f t="shared" ca="1" si="81"/>
        <v>1</v>
      </c>
      <c r="AF192" s="102">
        <f t="shared" ca="1" si="81"/>
        <v>1</v>
      </c>
      <c r="AG192" s="102">
        <f t="shared" ca="1" si="81"/>
        <v>1</v>
      </c>
      <c r="AH192" s="102">
        <f t="shared" ca="1" si="81"/>
        <v>1</v>
      </c>
      <c r="AI192" s="102">
        <f t="shared" ca="1" si="81"/>
        <v>1</v>
      </c>
      <c r="AJ192" s="102">
        <f t="shared" ca="1" si="81"/>
        <v>1</v>
      </c>
      <c r="AK192" s="102">
        <f t="shared" ca="1" si="81"/>
        <v>1</v>
      </c>
      <c r="AL192" s="102">
        <f t="shared" ca="1" si="81"/>
        <v>1</v>
      </c>
      <c r="AM192" s="102">
        <f t="shared" ca="1" si="81"/>
        <v>1</v>
      </c>
      <c r="AN192" s="102">
        <f t="shared" ca="1" si="81"/>
        <v>1</v>
      </c>
      <c r="AO192" s="102">
        <f t="shared" ca="1" si="81"/>
        <v>1</v>
      </c>
      <c r="AP192" s="102">
        <f t="shared" ca="1" si="81"/>
        <v>1</v>
      </c>
      <c r="AQ192" s="102">
        <f t="shared" ca="1" si="81"/>
        <v>1</v>
      </c>
      <c r="AR192" s="102">
        <f t="shared" ca="1" si="81"/>
        <v>1</v>
      </c>
      <c r="AS192" s="102">
        <f t="shared" ca="1" si="81"/>
        <v>1</v>
      </c>
      <c r="AT192" s="102">
        <f t="shared" ca="1" si="81"/>
        <v>1</v>
      </c>
      <c r="AU192" s="102">
        <f t="shared" ca="1" si="81"/>
        <v>1</v>
      </c>
      <c r="AV192" s="102">
        <f t="shared" ca="1" si="81"/>
        <v>1</v>
      </c>
      <c r="AW192" s="102">
        <f t="shared" ca="1" si="81"/>
        <v>1</v>
      </c>
      <c r="AX192" s="102">
        <f t="shared" ca="1" si="81"/>
        <v>1</v>
      </c>
      <c r="AY192" s="102">
        <f t="shared" ca="1" si="81"/>
        <v>1</v>
      </c>
      <c r="AZ192" s="102">
        <f t="shared" ca="1" si="81"/>
        <v>1</v>
      </c>
      <c r="BA192" s="102">
        <f t="shared" ca="1" si="81"/>
        <v>1</v>
      </c>
      <c r="BB192" s="102">
        <f t="shared" ca="1" si="81"/>
        <v>1</v>
      </c>
      <c r="BC192" s="102">
        <f t="shared" ca="1" si="81"/>
        <v>1</v>
      </c>
      <c r="BD192" s="102">
        <f t="shared" ca="1" si="81"/>
        <v>1</v>
      </c>
      <c r="BE192" s="102">
        <f t="shared" ca="1" si="81"/>
        <v>1</v>
      </c>
      <c r="BF192" s="102">
        <f t="shared" ca="1" si="81"/>
        <v>1</v>
      </c>
      <c r="BG192" s="102">
        <f t="shared" ca="1" si="81"/>
        <v>1</v>
      </c>
      <c r="BH192" s="102">
        <f t="shared" ca="1" si="81"/>
        <v>1</v>
      </c>
      <c r="BI192" s="102">
        <f t="shared" ca="1" si="81"/>
        <v>1</v>
      </c>
      <c r="BJ192" s="102">
        <f t="shared" ca="1" si="81"/>
        <v>1</v>
      </c>
      <c r="BK192" s="102">
        <f t="shared" ca="1" si="81"/>
        <v>1</v>
      </c>
      <c r="BL192" s="102">
        <f t="shared" ca="1" si="81"/>
        <v>1</v>
      </c>
      <c r="BM192" s="102">
        <f t="shared" ca="1" si="81"/>
        <v>1</v>
      </c>
      <c r="BN192" s="102">
        <f t="shared" ca="1" si="81"/>
        <v>1</v>
      </c>
      <c r="BO192" s="102">
        <f t="shared" ca="1" si="81"/>
        <v>1</v>
      </c>
      <c r="BP192" s="102">
        <f t="shared" ca="1" si="78"/>
        <v>1</v>
      </c>
      <c r="BQ192" s="102">
        <f t="shared" ca="1" si="78"/>
        <v>1</v>
      </c>
      <c r="BR192" s="102">
        <f t="shared" ca="1" si="78"/>
        <v>1</v>
      </c>
      <c r="BS192" s="102">
        <f t="shared" ca="1" si="78"/>
        <v>1</v>
      </c>
      <c r="BT192" s="102">
        <f t="shared" ca="1" si="78"/>
        <v>1</v>
      </c>
      <c r="BU192" s="102">
        <f t="shared" ca="1" si="78"/>
        <v>1</v>
      </c>
      <c r="BV192" s="102">
        <f t="shared" ca="1" si="78"/>
        <v>1</v>
      </c>
      <c r="BW192" s="102">
        <f t="shared" ca="1" si="78"/>
        <v>1</v>
      </c>
      <c r="BX192" s="102">
        <f t="shared" ca="1" si="78"/>
        <v>1</v>
      </c>
      <c r="BY192" s="102">
        <f t="shared" ca="1" si="78"/>
        <v>1</v>
      </c>
      <c r="BZ192" s="102">
        <f t="shared" ca="1" si="78"/>
        <v>1</v>
      </c>
      <c r="CA192" s="102">
        <f t="shared" ca="1" si="78"/>
        <v>1</v>
      </c>
      <c r="CB192" s="102">
        <f t="shared" ca="1" si="78"/>
        <v>1</v>
      </c>
      <c r="CC192" s="102">
        <f t="shared" ca="1" si="78"/>
        <v>1</v>
      </c>
      <c r="CD192" s="102">
        <f t="shared" ca="1" si="78"/>
        <v>1</v>
      </c>
      <c r="CE192" s="102">
        <f t="shared" ca="1" si="78"/>
        <v>1</v>
      </c>
      <c r="CF192" s="102">
        <f t="shared" ca="1" si="78"/>
        <v>1</v>
      </c>
      <c r="CG192" s="102">
        <f t="shared" ca="1" si="78"/>
        <v>1</v>
      </c>
      <c r="CH192" s="102">
        <f t="shared" ca="1" si="78"/>
        <v>1</v>
      </c>
      <c r="CI192" s="102">
        <f t="shared" ca="1" si="78"/>
        <v>1</v>
      </c>
      <c r="CJ192" s="102">
        <f t="shared" ca="1" si="78"/>
        <v>1</v>
      </c>
      <c r="CK192" s="102">
        <f t="shared" ca="1" si="78"/>
        <v>1</v>
      </c>
      <c r="CL192" s="102">
        <f t="shared" ca="1" si="78"/>
        <v>1</v>
      </c>
      <c r="CM192" s="102">
        <f t="shared" ca="1" si="78"/>
        <v>1</v>
      </c>
      <c r="CN192" s="102">
        <f t="shared" ca="1" si="78"/>
        <v>1</v>
      </c>
      <c r="CO192" s="102">
        <f t="shared" ca="1" si="78"/>
        <v>1</v>
      </c>
      <c r="CP192" s="102">
        <f t="shared" ca="1" si="78"/>
        <v>1</v>
      </c>
      <c r="CQ192" s="102">
        <f t="shared" ca="1" si="78"/>
        <v>1</v>
      </c>
      <c r="CR192" s="102">
        <f t="shared" ca="1" si="78"/>
        <v>1</v>
      </c>
      <c r="CS192" s="133">
        <f t="shared" ca="1" si="78"/>
        <v>1</v>
      </c>
      <c r="CT192" s="212">
        <v>1</v>
      </c>
      <c r="CU192" s="44"/>
      <c r="CV192" s="44"/>
    </row>
    <row r="193" spans="1:102" x14ac:dyDescent="0.25">
      <c r="A193" s="97">
        <f t="shared" si="79"/>
        <v>7</v>
      </c>
      <c r="B193" s="132" t="s">
        <v>10</v>
      </c>
      <c r="C193" s="101"/>
      <c r="D193" s="107">
        <f t="shared" ca="1" si="81"/>
        <v>1.5</v>
      </c>
      <c r="E193" s="102">
        <f t="shared" ca="1" si="81"/>
        <v>1</v>
      </c>
      <c r="F193" s="102">
        <f t="shared" ca="1" si="81"/>
        <v>1</v>
      </c>
      <c r="G193" s="102">
        <f t="shared" ca="1" si="81"/>
        <v>1</v>
      </c>
      <c r="H193" s="102">
        <f t="shared" ca="1" si="81"/>
        <v>1</v>
      </c>
      <c r="I193" s="102">
        <f t="shared" ca="1" si="81"/>
        <v>1</v>
      </c>
      <c r="J193" s="102">
        <f t="shared" ca="1" si="81"/>
        <v>1</v>
      </c>
      <c r="K193" s="102">
        <f t="shared" ca="1" si="81"/>
        <v>1</v>
      </c>
      <c r="L193" s="102">
        <f t="shared" ca="1" si="81"/>
        <v>1</v>
      </c>
      <c r="M193" s="102">
        <f t="shared" ca="1" si="81"/>
        <v>1</v>
      </c>
      <c r="N193" s="102">
        <f t="shared" ca="1" si="81"/>
        <v>1</v>
      </c>
      <c r="O193" s="102">
        <f t="shared" ca="1" si="81"/>
        <v>1</v>
      </c>
      <c r="P193" s="102">
        <f t="shared" ca="1" si="81"/>
        <v>1</v>
      </c>
      <c r="Q193" s="102">
        <f t="shared" ca="1" si="81"/>
        <v>1</v>
      </c>
      <c r="R193" s="102">
        <f t="shared" ca="1" si="81"/>
        <v>1</v>
      </c>
      <c r="S193" s="102">
        <f t="shared" ca="1" si="81"/>
        <v>1</v>
      </c>
      <c r="T193" s="102">
        <f t="shared" ca="1" si="81"/>
        <v>1</v>
      </c>
      <c r="U193" s="102">
        <f t="shared" ca="1" si="81"/>
        <v>1</v>
      </c>
      <c r="V193" s="102">
        <f t="shared" ca="1" si="81"/>
        <v>1</v>
      </c>
      <c r="W193" s="102">
        <f t="shared" ca="1" si="81"/>
        <v>1</v>
      </c>
      <c r="X193" s="102">
        <f t="shared" ca="1" si="81"/>
        <v>1</v>
      </c>
      <c r="Y193" s="102">
        <f t="shared" ca="1" si="81"/>
        <v>1</v>
      </c>
      <c r="Z193" s="102">
        <f t="shared" ca="1" si="81"/>
        <v>1</v>
      </c>
      <c r="AA193" s="102">
        <f t="shared" ca="1" si="81"/>
        <v>1</v>
      </c>
      <c r="AB193" s="102">
        <f t="shared" ca="1" si="81"/>
        <v>1</v>
      </c>
      <c r="AC193" s="102">
        <f t="shared" ca="1" si="81"/>
        <v>1</v>
      </c>
      <c r="AD193" s="102">
        <f t="shared" ca="1" si="81"/>
        <v>1</v>
      </c>
      <c r="AE193" s="102">
        <f t="shared" ca="1" si="81"/>
        <v>1</v>
      </c>
      <c r="AF193" s="102">
        <f t="shared" ca="1" si="81"/>
        <v>1</v>
      </c>
      <c r="AG193" s="102">
        <f t="shared" ca="1" si="81"/>
        <v>1</v>
      </c>
      <c r="AH193" s="102">
        <f t="shared" ca="1" si="81"/>
        <v>1</v>
      </c>
      <c r="AI193" s="102">
        <f t="shared" ca="1" si="81"/>
        <v>1</v>
      </c>
      <c r="AJ193" s="102">
        <f t="shared" ca="1" si="81"/>
        <v>1</v>
      </c>
      <c r="AK193" s="102">
        <f t="shared" ca="1" si="81"/>
        <v>1</v>
      </c>
      <c r="AL193" s="102">
        <f t="shared" ca="1" si="81"/>
        <v>1</v>
      </c>
      <c r="AM193" s="102">
        <f t="shared" ca="1" si="81"/>
        <v>1</v>
      </c>
      <c r="AN193" s="102">
        <f t="shared" ca="1" si="81"/>
        <v>1</v>
      </c>
      <c r="AO193" s="102">
        <f t="shared" ca="1" si="81"/>
        <v>1</v>
      </c>
      <c r="AP193" s="102">
        <f t="shared" ca="1" si="81"/>
        <v>1</v>
      </c>
      <c r="AQ193" s="102">
        <f t="shared" ca="1" si="81"/>
        <v>1</v>
      </c>
      <c r="AR193" s="102">
        <f t="shared" ca="1" si="81"/>
        <v>1</v>
      </c>
      <c r="AS193" s="102">
        <f t="shared" ca="1" si="81"/>
        <v>1</v>
      </c>
      <c r="AT193" s="102">
        <f t="shared" ca="1" si="81"/>
        <v>1</v>
      </c>
      <c r="AU193" s="102">
        <f t="shared" ca="1" si="81"/>
        <v>1</v>
      </c>
      <c r="AV193" s="102">
        <f t="shared" ca="1" si="81"/>
        <v>1</v>
      </c>
      <c r="AW193" s="102">
        <f t="shared" ca="1" si="81"/>
        <v>1</v>
      </c>
      <c r="AX193" s="102">
        <f t="shared" ca="1" si="81"/>
        <v>1</v>
      </c>
      <c r="AY193" s="102">
        <f t="shared" ca="1" si="81"/>
        <v>1</v>
      </c>
      <c r="AZ193" s="102">
        <f t="shared" ca="1" si="81"/>
        <v>1</v>
      </c>
      <c r="BA193" s="102">
        <f t="shared" ca="1" si="81"/>
        <v>1</v>
      </c>
      <c r="BB193" s="102">
        <f t="shared" ca="1" si="81"/>
        <v>1</v>
      </c>
      <c r="BC193" s="102">
        <f t="shared" ca="1" si="81"/>
        <v>1</v>
      </c>
      <c r="BD193" s="102">
        <f t="shared" ca="1" si="81"/>
        <v>1</v>
      </c>
      <c r="BE193" s="102">
        <f t="shared" ca="1" si="81"/>
        <v>1</v>
      </c>
      <c r="BF193" s="102">
        <f t="shared" ca="1" si="81"/>
        <v>1</v>
      </c>
      <c r="BG193" s="102">
        <f t="shared" ca="1" si="81"/>
        <v>1</v>
      </c>
      <c r="BH193" s="102">
        <f t="shared" ca="1" si="81"/>
        <v>1</v>
      </c>
      <c r="BI193" s="102">
        <f t="shared" ca="1" si="81"/>
        <v>1</v>
      </c>
      <c r="BJ193" s="102">
        <f t="shared" ca="1" si="81"/>
        <v>1</v>
      </c>
      <c r="BK193" s="102">
        <f t="shared" ca="1" si="81"/>
        <v>1</v>
      </c>
      <c r="BL193" s="102">
        <f t="shared" ca="1" si="81"/>
        <v>1</v>
      </c>
      <c r="BM193" s="102">
        <f t="shared" ca="1" si="81"/>
        <v>1</v>
      </c>
      <c r="BN193" s="102">
        <f t="shared" ca="1" si="81"/>
        <v>1</v>
      </c>
      <c r="BO193" s="102">
        <f t="shared" ca="1" si="81"/>
        <v>1</v>
      </c>
      <c r="BP193" s="102">
        <f t="shared" ca="1" si="78"/>
        <v>1</v>
      </c>
      <c r="BQ193" s="102">
        <f t="shared" ca="1" si="78"/>
        <v>1</v>
      </c>
      <c r="BR193" s="102">
        <f t="shared" ca="1" si="78"/>
        <v>1</v>
      </c>
      <c r="BS193" s="102">
        <f t="shared" ca="1" si="78"/>
        <v>1</v>
      </c>
      <c r="BT193" s="102">
        <f t="shared" ca="1" si="78"/>
        <v>1</v>
      </c>
      <c r="BU193" s="102">
        <f t="shared" ca="1" si="78"/>
        <v>1</v>
      </c>
      <c r="BV193" s="102">
        <f t="shared" ca="1" si="78"/>
        <v>1</v>
      </c>
      <c r="BW193" s="102">
        <f t="shared" ca="1" si="78"/>
        <v>1</v>
      </c>
      <c r="BX193" s="102">
        <f t="shared" ca="1" si="78"/>
        <v>1</v>
      </c>
      <c r="BY193" s="102">
        <f t="shared" ca="1" si="78"/>
        <v>1</v>
      </c>
      <c r="BZ193" s="102">
        <f t="shared" ca="1" si="78"/>
        <v>1</v>
      </c>
      <c r="CA193" s="102">
        <f t="shared" ca="1" si="78"/>
        <v>1</v>
      </c>
      <c r="CB193" s="102">
        <f t="shared" ca="1" si="78"/>
        <v>1</v>
      </c>
      <c r="CC193" s="102">
        <f t="shared" ca="1" si="78"/>
        <v>1</v>
      </c>
      <c r="CD193" s="102">
        <f t="shared" ca="1" si="78"/>
        <v>1</v>
      </c>
      <c r="CE193" s="102">
        <f t="shared" ca="1" si="78"/>
        <v>1</v>
      </c>
      <c r="CF193" s="102">
        <f t="shared" ca="1" si="78"/>
        <v>1</v>
      </c>
      <c r="CG193" s="102">
        <f t="shared" ca="1" si="78"/>
        <v>1</v>
      </c>
      <c r="CH193" s="102">
        <f t="shared" ca="1" si="78"/>
        <v>1</v>
      </c>
      <c r="CI193" s="102">
        <f t="shared" ca="1" si="78"/>
        <v>1</v>
      </c>
      <c r="CJ193" s="102">
        <f t="shared" ca="1" si="78"/>
        <v>1</v>
      </c>
      <c r="CK193" s="102">
        <f t="shared" ca="1" si="78"/>
        <v>1</v>
      </c>
      <c r="CL193" s="102">
        <f t="shared" ca="1" si="78"/>
        <v>1</v>
      </c>
      <c r="CM193" s="102">
        <f t="shared" ca="1" si="78"/>
        <v>1</v>
      </c>
      <c r="CN193" s="102">
        <f t="shared" ca="1" si="78"/>
        <v>1</v>
      </c>
      <c r="CO193" s="102">
        <f t="shared" ca="1" si="78"/>
        <v>1</v>
      </c>
      <c r="CP193" s="102">
        <f t="shared" ca="1" si="78"/>
        <v>1</v>
      </c>
      <c r="CQ193" s="102">
        <f t="shared" ca="1" si="78"/>
        <v>1</v>
      </c>
      <c r="CR193" s="102">
        <f t="shared" ca="1" si="78"/>
        <v>1</v>
      </c>
      <c r="CS193" s="133">
        <f t="shared" ca="1" si="78"/>
        <v>1</v>
      </c>
      <c r="CT193" s="212">
        <v>1</v>
      </c>
      <c r="CU193" s="44"/>
      <c r="CV193" s="44"/>
    </row>
    <row r="194" spans="1:102" x14ac:dyDescent="0.25">
      <c r="A194" s="97">
        <f t="shared" si="79"/>
        <v>8</v>
      </c>
      <c r="B194" s="134" t="s">
        <v>11</v>
      </c>
      <c r="C194" s="105">
        <v>10</v>
      </c>
      <c r="D194" s="108">
        <f ca="1">IF(ISERROR(D184),1,D184)</f>
        <v>2</v>
      </c>
      <c r="E194" s="104">
        <f t="shared" ca="1" si="81"/>
        <v>1.1333333333333333</v>
      </c>
      <c r="F194" s="104">
        <f t="shared" ca="1" si="81"/>
        <v>1</v>
      </c>
      <c r="G194" s="104">
        <f t="shared" ca="1" si="81"/>
        <v>1</v>
      </c>
      <c r="H194" s="104">
        <f t="shared" ca="1" si="81"/>
        <v>1</v>
      </c>
      <c r="I194" s="104">
        <f t="shared" ca="1" si="81"/>
        <v>1</v>
      </c>
      <c r="J194" s="104">
        <f t="shared" ca="1" si="81"/>
        <v>1</v>
      </c>
      <c r="K194" s="104">
        <f t="shared" ca="1" si="81"/>
        <v>1</v>
      </c>
      <c r="L194" s="104">
        <f t="shared" ca="1" si="81"/>
        <v>1</v>
      </c>
      <c r="M194" s="104">
        <f t="shared" ca="1" si="81"/>
        <v>1</v>
      </c>
      <c r="N194" s="104">
        <f t="shared" ca="1" si="81"/>
        <v>1</v>
      </c>
      <c r="O194" s="104">
        <f t="shared" ca="1" si="81"/>
        <v>1</v>
      </c>
      <c r="P194" s="104">
        <f t="shared" ca="1" si="81"/>
        <v>1</v>
      </c>
      <c r="Q194" s="104">
        <f t="shared" ca="1" si="81"/>
        <v>1</v>
      </c>
      <c r="R194" s="104">
        <f t="shared" ca="1" si="81"/>
        <v>1</v>
      </c>
      <c r="S194" s="104">
        <f t="shared" ca="1" si="81"/>
        <v>1</v>
      </c>
      <c r="T194" s="104">
        <f t="shared" ca="1" si="81"/>
        <v>1</v>
      </c>
      <c r="U194" s="104">
        <f t="shared" ca="1" si="81"/>
        <v>1</v>
      </c>
      <c r="V194" s="104">
        <f t="shared" ca="1" si="81"/>
        <v>1</v>
      </c>
      <c r="W194" s="104">
        <f t="shared" ca="1" si="81"/>
        <v>1</v>
      </c>
      <c r="X194" s="104">
        <f t="shared" ca="1" si="81"/>
        <v>1</v>
      </c>
      <c r="Y194" s="104">
        <f t="shared" ca="1" si="81"/>
        <v>1</v>
      </c>
      <c r="Z194" s="104">
        <f t="shared" ca="1" si="81"/>
        <v>1</v>
      </c>
      <c r="AA194" s="104">
        <f t="shared" ca="1" si="81"/>
        <v>1</v>
      </c>
      <c r="AB194" s="104">
        <f t="shared" ca="1" si="81"/>
        <v>1</v>
      </c>
      <c r="AC194" s="104">
        <f t="shared" ca="1" si="81"/>
        <v>1</v>
      </c>
      <c r="AD194" s="104">
        <f t="shared" ca="1" si="81"/>
        <v>1</v>
      </c>
      <c r="AE194" s="104">
        <f t="shared" ca="1" si="81"/>
        <v>1</v>
      </c>
      <c r="AF194" s="104">
        <f t="shared" ca="1" si="81"/>
        <v>1</v>
      </c>
      <c r="AG194" s="104">
        <f t="shared" ca="1" si="81"/>
        <v>1</v>
      </c>
      <c r="AH194" s="104">
        <f t="shared" ca="1" si="81"/>
        <v>1</v>
      </c>
      <c r="AI194" s="104">
        <f t="shared" ca="1" si="81"/>
        <v>1</v>
      </c>
      <c r="AJ194" s="104">
        <f t="shared" ca="1" si="81"/>
        <v>1</v>
      </c>
      <c r="AK194" s="104">
        <f t="shared" ca="1" si="81"/>
        <v>1</v>
      </c>
      <c r="AL194" s="104">
        <f t="shared" ca="1" si="81"/>
        <v>1</v>
      </c>
      <c r="AM194" s="104">
        <f t="shared" ca="1" si="81"/>
        <v>1</v>
      </c>
      <c r="AN194" s="104">
        <f t="shared" ca="1" si="81"/>
        <v>1</v>
      </c>
      <c r="AO194" s="104">
        <f t="shared" ca="1" si="81"/>
        <v>1</v>
      </c>
      <c r="AP194" s="104">
        <f t="shared" ca="1" si="81"/>
        <v>1</v>
      </c>
      <c r="AQ194" s="104">
        <f t="shared" ca="1" si="81"/>
        <v>1</v>
      </c>
      <c r="AR194" s="104">
        <f t="shared" ca="1" si="81"/>
        <v>1</v>
      </c>
      <c r="AS194" s="104">
        <f t="shared" ca="1" si="81"/>
        <v>1</v>
      </c>
      <c r="AT194" s="104">
        <f t="shared" ca="1" si="81"/>
        <v>1</v>
      </c>
      <c r="AU194" s="104">
        <f t="shared" ca="1" si="81"/>
        <v>1</v>
      </c>
      <c r="AV194" s="104">
        <f t="shared" ca="1" si="81"/>
        <v>1</v>
      </c>
      <c r="AW194" s="104">
        <f t="shared" ca="1" si="81"/>
        <v>1</v>
      </c>
      <c r="AX194" s="104">
        <f t="shared" ca="1" si="81"/>
        <v>1</v>
      </c>
      <c r="AY194" s="104">
        <f t="shared" ca="1" si="81"/>
        <v>1</v>
      </c>
      <c r="AZ194" s="104">
        <f t="shared" ca="1" si="81"/>
        <v>1</v>
      </c>
      <c r="BA194" s="104">
        <f t="shared" ca="1" si="81"/>
        <v>1</v>
      </c>
      <c r="BB194" s="104">
        <f t="shared" ca="1" si="81"/>
        <v>1</v>
      </c>
      <c r="BC194" s="104">
        <f t="shared" ca="1" si="81"/>
        <v>1</v>
      </c>
      <c r="BD194" s="104">
        <f t="shared" ca="1" si="81"/>
        <v>1</v>
      </c>
      <c r="BE194" s="104">
        <f t="shared" ca="1" si="81"/>
        <v>1</v>
      </c>
      <c r="BF194" s="104">
        <f t="shared" ca="1" si="81"/>
        <v>1</v>
      </c>
      <c r="BG194" s="104">
        <f t="shared" ca="1" si="81"/>
        <v>1</v>
      </c>
      <c r="BH194" s="104">
        <f t="shared" ca="1" si="81"/>
        <v>1</v>
      </c>
      <c r="BI194" s="104">
        <f t="shared" ca="1" si="81"/>
        <v>1</v>
      </c>
      <c r="BJ194" s="104">
        <f t="shared" ca="1" si="81"/>
        <v>1</v>
      </c>
      <c r="BK194" s="104">
        <f t="shared" ca="1" si="81"/>
        <v>1</v>
      </c>
      <c r="BL194" s="104">
        <f t="shared" ca="1" si="81"/>
        <v>1</v>
      </c>
      <c r="BM194" s="104">
        <f t="shared" ca="1" si="81"/>
        <v>1</v>
      </c>
      <c r="BN194" s="104">
        <f t="shared" ca="1" si="81"/>
        <v>1</v>
      </c>
      <c r="BO194" s="104">
        <f t="shared" ref="BO194" ca="1" si="82">IF(ISERROR(BO184),1,BO184)</f>
        <v>1</v>
      </c>
      <c r="BP194" s="104">
        <f t="shared" ca="1" si="78"/>
        <v>1</v>
      </c>
      <c r="BQ194" s="104">
        <f t="shared" ca="1" si="78"/>
        <v>1</v>
      </c>
      <c r="BR194" s="104">
        <f t="shared" ca="1" si="78"/>
        <v>1</v>
      </c>
      <c r="BS194" s="104">
        <f t="shared" ca="1" si="78"/>
        <v>1</v>
      </c>
      <c r="BT194" s="104">
        <f t="shared" ca="1" si="78"/>
        <v>1</v>
      </c>
      <c r="BU194" s="104">
        <f t="shared" ca="1" si="78"/>
        <v>1</v>
      </c>
      <c r="BV194" s="104">
        <f t="shared" ca="1" si="78"/>
        <v>1</v>
      </c>
      <c r="BW194" s="104">
        <f t="shared" ca="1" si="78"/>
        <v>1</v>
      </c>
      <c r="BX194" s="104">
        <f t="shared" ca="1" si="78"/>
        <v>1</v>
      </c>
      <c r="BY194" s="104">
        <f t="shared" ca="1" si="78"/>
        <v>1</v>
      </c>
      <c r="BZ194" s="104">
        <f t="shared" ca="1" si="78"/>
        <v>1</v>
      </c>
      <c r="CA194" s="104">
        <f t="shared" ca="1" si="78"/>
        <v>1</v>
      </c>
      <c r="CB194" s="104">
        <f t="shared" ca="1" si="78"/>
        <v>1</v>
      </c>
      <c r="CC194" s="104">
        <f t="shared" ca="1" si="78"/>
        <v>1</v>
      </c>
      <c r="CD194" s="104">
        <f t="shared" ca="1" si="78"/>
        <v>1</v>
      </c>
      <c r="CE194" s="104">
        <f t="shared" ca="1" si="78"/>
        <v>1</v>
      </c>
      <c r="CF194" s="104">
        <f t="shared" ca="1" si="78"/>
        <v>1</v>
      </c>
      <c r="CG194" s="104">
        <f t="shared" ca="1" si="78"/>
        <v>1</v>
      </c>
      <c r="CH194" s="104">
        <f t="shared" ca="1" si="78"/>
        <v>1</v>
      </c>
      <c r="CI194" s="104">
        <f t="shared" ca="1" si="78"/>
        <v>1</v>
      </c>
      <c r="CJ194" s="104">
        <f t="shared" ca="1" si="78"/>
        <v>1</v>
      </c>
      <c r="CK194" s="104">
        <f t="shared" ca="1" si="78"/>
        <v>1</v>
      </c>
      <c r="CL194" s="104">
        <f t="shared" ca="1" si="78"/>
        <v>1</v>
      </c>
      <c r="CM194" s="104">
        <f t="shared" ca="1" si="78"/>
        <v>1</v>
      </c>
      <c r="CN194" s="104">
        <f t="shared" ca="1" si="78"/>
        <v>1</v>
      </c>
      <c r="CO194" s="104">
        <f t="shared" ca="1" si="78"/>
        <v>1</v>
      </c>
      <c r="CP194" s="104">
        <f t="shared" ca="1" si="78"/>
        <v>1</v>
      </c>
      <c r="CQ194" s="104">
        <f t="shared" ca="1" si="78"/>
        <v>1</v>
      </c>
      <c r="CR194" s="104">
        <f t="shared" ca="1" si="78"/>
        <v>1</v>
      </c>
      <c r="CS194" s="135">
        <f t="shared" ca="1" si="78"/>
        <v>1</v>
      </c>
      <c r="CT194" s="213">
        <v>1</v>
      </c>
      <c r="CU194" s="44"/>
      <c r="CV194" s="44"/>
    </row>
    <row r="195" spans="1:102" ht="15.75" thickBot="1" x14ac:dyDescent="0.3">
      <c r="A195" s="97">
        <f t="shared" si="79"/>
        <v>9</v>
      </c>
      <c r="B195" s="136" t="s">
        <v>12</v>
      </c>
      <c r="C195" s="137"/>
      <c r="D195" s="138">
        <f>MAX(D191,1)</f>
        <v>1.8888888888888888</v>
      </c>
      <c r="E195" s="138">
        <f t="shared" ref="E195:BP195" si="83">MAX(E191,1)</f>
        <v>1.125</v>
      </c>
      <c r="F195" s="138">
        <f t="shared" si="83"/>
        <v>1</v>
      </c>
      <c r="G195" s="138">
        <f t="shared" si="83"/>
        <v>1</v>
      </c>
      <c r="H195" s="138">
        <f t="shared" si="83"/>
        <v>1</v>
      </c>
      <c r="I195" s="138">
        <f t="shared" si="83"/>
        <v>1</v>
      </c>
      <c r="J195" s="138">
        <f t="shared" si="83"/>
        <v>1</v>
      </c>
      <c r="K195" s="138">
        <f t="shared" si="83"/>
        <v>1</v>
      </c>
      <c r="L195" s="138">
        <f t="shared" si="83"/>
        <v>1</v>
      </c>
      <c r="M195" s="138">
        <f t="shared" si="83"/>
        <v>1</v>
      </c>
      <c r="N195" s="138">
        <f t="shared" si="83"/>
        <v>1</v>
      </c>
      <c r="O195" s="138">
        <f t="shared" si="83"/>
        <v>1</v>
      </c>
      <c r="P195" s="138">
        <f t="shared" si="83"/>
        <v>1</v>
      </c>
      <c r="Q195" s="138">
        <f t="shared" si="83"/>
        <v>1</v>
      </c>
      <c r="R195" s="138">
        <f t="shared" si="83"/>
        <v>1</v>
      </c>
      <c r="S195" s="138">
        <f t="shared" si="83"/>
        <v>1</v>
      </c>
      <c r="T195" s="138">
        <f t="shared" si="83"/>
        <v>1</v>
      </c>
      <c r="U195" s="138">
        <f t="shared" si="83"/>
        <v>1</v>
      </c>
      <c r="V195" s="138">
        <f t="shared" si="83"/>
        <v>1</v>
      </c>
      <c r="W195" s="138">
        <f t="shared" si="83"/>
        <v>1</v>
      </c>
      <c r="X195" s="138">
        <f t="shared" si="83"/>
        <v>1</v>
      </c>
      <c r="Y195" s="138">
        <f t="shared" si="83"/>
        <v>1</v>
      </c>
      <c r="Z195" s="138">
        <f t="shared" si="83"/>
        <v>1</v>
      </c>
      <c r="AA195" s="138">
        <f t="shared" si="83"/>
        <v>1</v>
      </c>
      <c r="AB195" s="138">
        <f t="shared" si="83"/>
        <v>1</v>
      </c>
      <c r="AC195" s="138">
        <f t="shared" si="83"/>
        <v>1</v>
      </c>
      <c r="AD195" s="138">
        <f t="shared" si="83"/>
        <v>1</v>
      </c>
      <c r="AE195" s="138">
        <f t="shared" si="83"/>
        <v>1</v>
      </c>
      <c r="AF195" s="138">
        <f t="shared" si="83"/>
        <v>1</v>
      </c>
      <c r="AG195" s="138">
        <f t="shared" si="83"/>
        <v>1</v>
      </c>
      <c r="AH195" s="138">
        <f t="shared" si="83"/>
        <v>1</v>
      </c>
      <c r="AI195" s="138">
        <f t="shared" si="83"/>
        <v>1</v>
      </c>
      <c r="AJ195" s="138">
        <f t="shared" si="83"/>
        <v>1</v>
      </c>
      <c r="AK195" s="138">
        <f t="shared" si="83"/>
        <v>1</v>
      </c>
      <c r="AL195" s="138">
        <f t="shared" si="83"/>
        <v>1</v>
      </c>
      <c r="AM195" s="138">
        <f t="shared" si="83"/>
        <v>1</v>
      </c>
      <c r="AN195" s="138">
        <f t="shared" si="83"/>
        <v>1</v>
      </c>
      <c r="AO195" s="138">
        <f t="shared" si="83"/>
        <v>1</v>
      </c>
      <c r="AP195" s="138">
        <f t="shared" si="83"/>
        <v>1</v>
      </c>
      <c r="AQ195" s="138">
        <f t="shared" si="83"/>
        <v>1</v>
      </c>
      <c r="AR195" s="138">
        <f t="shared" si="83"/>
        <v>1</v>
      </c>
      <c r="AS195" s="138">
        <f t="shared" si="83"/>
        <v>1</v>
      </c>
      <c r="AT195" s="138">
        <f t="shared" si="83"/>
        <v>1</v>
      </c>
      <c r="AU195" s="138">
        <f t="shared" si="83"/>
        <v>1</v>
      </c>
      <c r="AV195" s="138">
        <f t="shared" si="83"/>
        <v>1</v>
      </c>
      <c r="AW195" s="138">
        <f t="shared" si="83"/>
        <v>1</v>
      </c>
      <c r="AX195" s="138">
        <f t="shared" si="83"/>
        <v>1</v>
      </c>
      <c r="AY195" s="138">
        <f t="shared" si="83"/>
        <v>1</v>
      </c>
      <c r="AZ195" s="138">
        <f t="shared" si="83"/>
        <v>1</v>
      </c>
      <c r="BA195" s="138">
        <f t="shared" si="83"/>
        <v>1</v>
      </c>
      <c r="BB195" s="138">
        <f t="shared" si="83"/>
        <v>1</v>
      </c>
      <c r="BC195" s="138">
        <f t="shared" si="83"/>
        <v>1</v>
      </c>
      <c r="BD195" s="138">
        <f t="shared" si="83"/>
        <v>1</v>
      </c>
      <c r="BE195" s="138">
        <f t="shared" si="83"/>
        <v>1</v>
      </c>
      <c r="BF195" s="138">
        <f t="shared" si="83"/>
        <v>1</v>
      </c>
      <c r="BG195" s="138">
        <f t="shared" si="83"/>
        <v>1</v>
      </c>
      <c r="BH195" s="138">
        <f t="shared" si="83"/>
        <v>1</v>
      </c>
      <c r="BI195" s="138">
        <f t="shared" si="83"/>
        <v>1</v>
      </c>
      <c r="BJ195" s="138">
        <f t="shared" si="83"/>
        <v>1</v>
      </c>
      <c r="BK195" s="138">
        <f t="shared" si="83"/>
        <v>1</v>
      </c>
      <c r="BL195" s="138">
        <f t="shared" si="83"/>
        <v>1</v>
      </c>
      <c r="BM195" s="138">
        <f t="shared" si="83"/>
        <v>1</v>
      </c>
      <c r="BN195" s="138">
        <f t="shared" si="83"/>
        <v>1</v>
      </c>
      <c r="BO195" s="138">
        <f t="shared" si="83"/>
        <v>1</v>
      </c>
      <c r="BP195" s="138">
        <f t="shared" si="83"/>
        <v>1</v>
      </c>
      <c r="BQ195" s="138">
        <f t="shared" ref="BQ195:CS195" si="84">MAX(BQ191,1)</f>
        <v>1</v>
      </c>
      <c r="BR195" s="138">
        <f t="shared" si="84"/>
        <v>1</v>
      </c>
      <c r="BS195" s="138">
        <f t="shared" si="84"/>
        <v>1</v>
      </c>
      <c r="BT195" s="138">
        <f t="shared" si="84"/>
        <v>1</v>
      </c>
      <c r="BU195" s="138">
        <f t="shared" si="84"/>
        <v>1</v>
      </c>
      <c r="BV195" s="138">
        <f t="shared" si="84"/>
        <v>1</v>
      </c>
      <c r="BW195" s="138">
        <f t="shared" si="84"/>
        <v>1</v>
      </c>
      <c r="BX195" s="138">
        <f t="shared" si="84"/>
        <v>1</v>
      </c>
      <c r="BY195" s="138">
        <f t="shared" si="84"/>
        <v>1</v>
      </c>
      <c r="BZ195" s="138">
        <f t="shared" si="84"/>
        <v>1</v>
      </c>
      <c r="CA195" s="138">
        <f t="shared" si="84"/>
        <v>1</v>
      </c>
      <c r="CB195" s="138">
        <f t="shared" si="84"/>
        <v>1</v>
      </c>
      <c r="CC195" s="138">
        <f t="shared" si="84"/>
        <v>1</v>
      </c>
      <c r="CD195" s="138">
        <f t="shared" si="84"/>
        <v>1</v>
      </c>
      <c r="CE195" s="138">
        <f t="shared" si="84"/>
        <v>1</v>
      </c>
      <c r="CF195" s="138">
        <f t="shared" si="84"/>
        <v>1</v>
      </c>
      <c r="CG195" s="138">
        <f t="shared" si="84"/>
        <v>1</v>
      </c>
      <c r="CH195" s="138">
        <f t="shared" si="84"/>
        <v>1</v>
      </c>
      <c r="CI195" s="138">
        <f t="shared" si="84"/>
        <v>1</v>
      </c>
      <c r="CJ195" s="138">
        <f t="shared" si="84"/>
        <v>1</v>
      </c>
      <c r="CK195" s="138">
        <f t="shared" si="84"/>
        <v>1</v>
      </c>
      <c r="CL195" s="138">
        <f t="shared" si="84"/>
        <v>1</v>
      </c>
      <c r="CM195" s="138">
        <f t="shared" si="84"/>
        <v>1</v>
      </c>
      <c r="CN195" s="138">
        <f t="shared" si="84"/>
        <v>1</v>
      </c>
      <c r="CO195" s="138">
        <f t="shared" si="84"/>
        <v>1</v>
      </c>
      <c r="CP195" s="138">
        <f t="shared" si="84"/>
        <v>1</v>
      </c>
      <c r="CQ195" s="138">
        <f t="shared" si="84"/>
        <v>1</v>
      </c>
      <c r="CR195" s="138">
        <f t="shared" si="84"/>
        <v>1</v>
      </c>
      <c r="CS195" s="139">
        <f t="shared" si="84"/>
        <v>1</v>
      </c>
      <c r="CT195" s="87"/>
      <c r="CU195" s="87"/>
      <c r="CV195" s="87"/>
      <c r="CW195" s="44"/>
    </row>
    <row r="196" spans="1:102" s="12" customFormat="1" ht="5.0999999999999996" customHeight="1" thickBot="1" x14ac:dyDescent="0.3">
      <c r="A196" s="124">
        <v>1</v>
      </c>
      <c r="B196" s="125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  <c r="AL196" s="87"/>
      <c r="AM196" s="87"/>
      <c r="AN196" s="87"/>
      <c r="AO196" s="87"/>
      <c r="AP196" s="87"/>
      <c r="AQ196" s="87"/>
      <c r="AR196" s="87"/>
      <c r="AS196" s="87"/>
      <c r="AT196" s="87"/>
      <c r="AU196" s="87"/>
      <c r="AV196" s="87"/>
      <c r="AW196" s="87"/>
      <c r="AX196" s="87"/>
      <c r="AY196" s="87"/>
      <c r="AZ196" s="87"/>
      <c r="BA196" s="87"/>
      <c r="BB196" s="87"/>
      <c r="BC196" s="87"/>
      <c r="BD196" s="87"/>
      <c r="BE196" s="87"/>
      <c r="BF196" s="87"/>
      <c r="BG196" s="87"/>
      <c r="BH196" s="87"/>
      <c r="BI196" s="87"/>
      <c r="BJ196" s="87"/>
      <c r="BK196" s="87"/>
      <c r="BL196" s="87"/>
      <c r="BM196" s="87"/>
      <c r="BN196" s="87"/>
      <c r="BO196" s="87"/>
      <c r="BP196" s="87"/>
      <c r="BQ196" s="87"/>
      <c r="BR196" s="87"/>
      <c r="BS196" s="87"/>
      <c r="BT196" s="87"/>
      <c r="BU196" s="87"/>
      <c r="BV196" s="87"/>
      <c r="BW196" s="87"/>
      <c r="BX196" s="87"/>
      <c r="BY196" s="87"/>
      <c r="BZ196" s="87"/>
      <c r="CA196" s="87"/>
      <c r="CB196" s="87"/>
      <c r="CC196" s="87"/>
      <c r="CD196" s="87"/>
      <c r="CE196" s="87"/>
      <c r="CF196" s="87"/>
      <c r="CG196" s="87"/>
      <c r="CH196" s="87"/>
      <c r="CI196" s="87"/>
      <c r="CJ196" s="87"/>
      <c r="CK196" s="87"/>
      <c r="CL196" s="87"/>
      <c r="CM196" s="87"/>
      <c r="CN196" s="87"/>
      <c r="CO196" s="87"/>
      <c r="CP196" s="87"/>
      <c r="CQ196" s="87"/>
      <c r="CR196" s="87"/>
      <c r="CS196" s="87"/>
      <c r="CT196" s="87"/>
      <c r="CU196" s="87"/>
      <c r="CV196" s="87"/>
      <c r="CW196" s="123"/>
    </row>
    <row r="197" spans="1:102" ht="15.75" thickBot="1" x14ac:dyDescent="0.3">
      <c r="A197" s="97">
        <v>1</v>
      </c>
      <c r="B197" s="140" t="s">
        <v>13</v>
      </c>
      <c r="C197" s="141"/>
      <c r="D197" s="145">
        <v>8</v>
      </c>
      <c r="E197" s="146">
        <v>8</v>
      </c>
      <c r="F197" s="146">
        <v>8</v>
      </c>
      <c r="G197" s="146">
        <v>8</v>
      </c>
      <c r="H197" s="146">
        <v>8</v>
      </c>
      <c r="I197" s="146">
        <v>8</v>
      </c>
      <c r="J197" s="146">
        <v>8</v>
      </c>
      <c r="K197" s="146">
        <v>8</v>
      </c>
      <c r="L197" s="146">
        <v>8</v>
      </c>
      <c r="M197" s="146">
        <v>8</v>
      </c>
      <c r="N197" s="146">
        <v>8</v>
      </c>
      <c r="O197" s="146">
        <v>8</v>
      </c>
      <c r="P197" s="146">
        <v>8</v>
      </c>
      <c r="Q197" s="146">
        <v>8</v>
      </c>
      <c r="R197" s="146">
        <v>8</v>
      </c>
      <c r="S197" s="146">
        <v>8</v>
      </c>
      <c r="T197" s="146">
        <v>8</v>
      </c>
      <c r="U197" s="146">
        <v>8</v>
      </c>
      <c r="V197" s="146">
        <v>8</v>
      </c>
      <c r="W197" s="146">
        <v>8</v>
      </c>
      <c r="X197" s="146">
        <v>8</v>
      </c>
      <c r="Y197" s="146">
        <v>8</v>
      </c>
      <c r="Z197" s="146">
        <v>8</v>
      </c>
      <c r="AA197" s="146">
        <v>8</v>
      </c>
      <c r="AB197" s="146">
        <v>8</v>
      </c>
      <c r="AC197" s="146">
        <v>8</v>
      </c>
      <c r="AD197" s="146">
        <v>8</v>
      </c>
      <c r="AE197" s="146">
        <v>8</v>
      </c>
      <c r="AF197" s="146">
        <v>8</v>
      </c>
      <c r="AG197" s="146">
        <v>8</v>
      </c>
      <c r="AH197" s="146">
        <v>8</v>
      </c>
      <c r="AI197" s="146">
        <v>8</v>
      </c>
      <c r="AJ197" s="146">
        <v>8</v>
      </c>
      <c r="AK197" s="146">
        <v>8</v>
      </c>
      <c r="AL197" s="146">
        <v>8</v>
      </c>
      <c r="AM197" s="146">
        <v>8</v>
      </c>
      <c r="AN197" s="146">
        <v>8</v>
      </c>
      <c r="AO197" s="146">
        <v>8</v>
      </c>
      <c r="AP197" s="146">
        <v>8</v>
      </c>
      <c r="AQ197" s="146">
        <v>8</v>
      </c>
      <c r="AR197" s="146">
        <v>8</v>
      </c>
      <c r="AS197" s="146">
        <v>8</v>
      </c>
      <c r="AT197" s="146">
        <v>8</v>
      </c>
      <c r="AU197" s="146">
        <v>8</v>
      </c>
      <c r="AV197" s="146">
        <v>8</v>
      </c>
      <c r="AW197" s="146">
        <v>8</v>
      </c>
      <c r="AX197" s="146">
        <v>8</v>
      </c>
      <c r="AY197" s="146">
        <v>8</v>
      </c>
      <c r="AZ197" s="146">
        <v>8</v>
      </c>
      <c r="BA197" s="146">
        <v>8</v>
      </c>
      <c r="BB197" s="146">
        <v>8</v>
      </c>
      <c r="BC197" s="146">
        <v>8</v>
      </c>
      <c r="BD197" s="146">
        <v>8</v>
      </c>
      <c r="BE197" s="146">
        <v>8</v>
      </c>
      <c r="BF197" s="146">
        <v>8</v>
      </c>
      <c r="BG197" s="146">
        <v>8</v>
      </c>
      <c r="BH197" s="146">
        <v>8</v>
      </c>
      <c r="BI197" s="146">
        <v>8</v>
      </c>
      <c r="BJ197" s="146">
        <v>8</v>
      </c>
      <c r="BK197" s="146">
        <v>8</v>
      </c>
      <c r="BL197" s="146">
        <v>8</v>
      </c>
      <c r="BM197" s="146">
        <v>8</v>
      </c>
      <c r="BN197" s="146">
        <v>8</v>
      </c>
      <c r="BO197" s="146">
        <v>8</v>
      </c>
      <c r="BP197" s="146">
        <v>8</v>
      </c>
      <c r="BQ197" s="146">
        <v>8</v>
      </c>
      <c r="BR197" s="146">
        <v>8</v>
      </c>
      <c r="BS197" s="146">
        <v>8</v>
      </c>
      <c r="BT197" s="146">
        <v>8</v>
      </c>
      <c r="BU197" s="146">
        <v>8</v>
      </c>
      <c r="BV197" s="146">
        <v>8</v>
      </c>
      <c r="BW197" s="146">
        <v>8</v>
      </c>
      <c r="BX197" s="146">
        <v>8</v>
      </c>
      <c r="BY197" s="146">
        <v>8</v>
      </c>
      <c r="BZ197" s="146">
        <v>8</v>
      </c>
      <c r="CA197" s="146">
        <v>8</v>
      </c>
      <c r="CB197" s="146">
        <v>8</v>
      </c>
      <c r="CC197" s="146">
        <v>8</v>
      </c>
      <c r="CD197" s="146">
        <v>8</v>
      </c>
      <c r="CE197" s="146">
        <v>8</v>
      </c>
      <c r="CF197" s="146">
        <v>8</v>
      </c>
      <c r="CG197" s="146">
        <v>8</v>
      </c>
      <c r="CH197" s="146">
        <v>8</v>
      </c>
      <c r="CI197" s="146">
        <v>8</v>
      </c>
      <c r="CJ197" s="146">
        <v>8</v>
      </c>
      <c r="CK197" s="146">
        <v>8</v>
      </c>
      <c r="CL197" s="146">
        <v>8</v>
      </c>
      <c r="CM197" s="146">
        <v>8</v>
      </c>
      <c r="CN197" s="146">
        <v>8</v>
      </c>
      <c r="CO197" s="146">
        <v>8</v>
      </c>
      <c r="CP197" s="146">
        <v>8</v>
      </c>
      <c r="CQ197" s="146">
        <v>8</v>
      </c>
      <c r="CR197" s="146">
        <v>8</v>
      </c>
      <c r="CS197" s="147">
        <v>8</v>
      </c>
      <c r="CT197" s="88"/>
      <c r="CU197" s="88"/>
      <c r="CV197" s="88"/>
      <c r="CW197" s="44"/>
    </row>
    <row r="198" spans="1:102" x14ac:dyDescent="0.25">
      <c r="A198" s="97">
        <v>1</v>
      </c>
      <c r="B198" s="31" t="s">
        <v>14</v>
      </c>
      <c r="D198" s="107" cm="1">
        <f t="array" aca="1" ref="D198" ca="1">INDEX(D$187:D$195,D197,1)</f>
        <v>2</v>
      </c>
      <c r="E198" s="102" cm="1">
        <f t="array" aca="1" ref="E198" ca="1">INDEX(E$187:E$195,E197,1)</f>
        <v>1.1333333333333333</v>
      </c>
      <c r="F198" s="102" cm="1">
        <f t="array" aca="1" ref="F198" ca="1">INDEX(F$187:F$195,F197,1)</f>
        <v>1</v>
      </c>
      <c r="G198" s="102" cm="1">
        <f t="array" aca="1" ref="G198" ca="1">INDEX(G$187:G$195,G197,1)</f>
        <v>1</v>
      </c>
      <c r="H198" s="102" cm="1">
        <f t="array" aca="1" ref="H198" ca="1">INDEX(H$187:H$195,H197,1)</f>
        <v>1</v>
      </c>
      <c r="I198" s="102" cm="1">
        <f t="array" aca="1" ref="I198" ca="1">INDEX(I$187:I$195,I197,1)</f>
        <v>1</v>
      </c>
      <c r="J198" s="102" cm="1">
        <f t="array" aca="1" ref="J198" ca="1">INDEX(J$187:J$195,J197,1)</f>
        <v>1</v>
      </c>
      <c r="K198" s="102" cm="1">
        <f t="array" aca="1" ref="K198" ca="1">INDEX(K$187:K$195,K197,1)</f>
        <v>1</v>
      </c>
      <c r="L198" s="102" cm="1">
        <f t="array" aca="1" ref="L198" ca="1">INDEX(L$187:L$195,L197,1)</f>
        <v>1</v>
      </c>
      <c r="M198" s="102" cm="1">
        <f t="array" aca="1" ref="M198" ca="1">INDEX(M$187:M$195,M197,1)</f>
        <v>1</v>
      </c>
      <c r="N198" s="102" cm="1">
        <f t="array" aca="1" ref="N198" ca="1">INDEX(N$187:N$195,N197,1)</f>
        <v>1</v>
      </c>
      <c r="O198" s="102" cm="1">
        <f t="array" aca="1" ref="O198" ca="1">INDEX(O$187:O$195,O197,1)</f>
        <v>1</v>
      </c>
      <c r="P198" s="102" cm="1">
        <f t="array" aca="1" ref="P198" ca="1">INDEX(P$187:P$195,P197,1)</f>
        <v>1</v>
      </c>
      <c r="Q198" s="102" cm="1">
        <f t="array" aca="1" ref="Q198" ca="1">INDEX(Q$187:Q$195,Q197,1)</f>
        <v>1</v>
      </c>
      <c r="R198" s="102" cm="1">
        <f t="array" aca="1" ref="R198" ca="1">INDEX(R$187:R$195,R197,1)</f>
        <v>1</v>
      </c>
      <c r="S198" s="102" cm="1">
        <f t="array" aca="1" ref="S198" ca="1">INDEX(S$187:S$195,S197,1)</f>
        <v>1</v>
      </c>
      <c r="T198" s="102" cm="1">
        <f t="array" aca="1" ref="T198" ca="1">INDEX(T$187:T$195,T197,1)</f>
        <v>1</v>
      </c>
      <c r="U198" s="102" cm="1">
        <f t="array" aca="1" ref="U198" ca="1">INDEX(U$187:U$195,U197,1)</f>
        <v>1</v>
      </c>
      <c r="V198" s="102" cm="1">
        <f t="array" aca="1" ref="V198" ca="1">INDEX(V$187:V$195,V197,1)</f>
        <v>1</v>
      </c>
      <c r="W198" s="102" cm="1">
        <f t="array" aca="1" ref="W198" ca="1">INDEX(W$187:W$195,W197,1)</f>
        <v>1</v>
      </c>
      <c r="X198" s="102" cm="1">
        <f t="array" aca="1" ref="X198" ca="1">INDEX(X$187:X$195,X197,1)</f>
        <v>1</v>
      </c>
      <c r="Y198" s="102" cm="1">
        <f t="array" aca="1" ref="Y198" ca="1">INDEX(Y$187:Y$195,Y197,1)</f>
        <v>1</v>
      </c>
      <c r="Z198" s="102" cm="1">
        <f t="array" aca="1" ref="Z198" ca="1">INDEX(Z$187:Z$195,Z197,1)</f>
        <v>1</v>
      </c>
      <c r="AA198" s="102" cm="1">
        <f t="array" aca="1" ref="AA198" ca="1">INDEX(AA$187:AA$195,AA197,1)</f>
        <v>1</v>
      </c>
      <c r="AB198" s="102" cm="1">
        <f t="array" aca="1" ref="AB198" ca="1">INDEX(AB$187:AB$195,AB197,1)</f>
        <v>1</v>
      </c>
      <c r="AC198" s="102" cm="1">
        <f t="array" aca="1" ref="AC198" ca="1">INDEX(AC$187:AC$195,AC197,1)</f>
        <v>1</v>
      </c>
      <c r="AD198" s="102" cm="1">
        <f t="array" aca="1" ref="AD198" ca="1">INDEX(AD$187:AD$195,AD197,1)</f>
        <v>1</v>
      </c>
      <c r="AE198" s="102" cm="1">
        <f t="array" aca="1" ref="AE198" ca="1">INDEX(AE$187:AE$195,AE197,1)</f>
        <v>1</v>
      </c>
      <c r="AF198" s="102" cm="1">
        <f t="array" aca="1" ref="AF198" ca="1">INDEX(AF$187:AF$195,AF197,1)</f>
        <v>1</v>
      </c>
      <c r="AG198" s="102" cm="1">
        <f t="array" aca="1" ref="AG198" ca="1">INDEX(AG$187:AG$195,AG197,1)</f>
        <v>1</v>
      </c>
      <c r="AH198" s="102" cm="1">
        <f t="array" aca="1" ref="AH198" ca="1">INDEX(AH$187:AH$195,AH197,1)</f>
        <v>1</v>
      </c>
      <c r="AI198" s="102" cm="1">
        <f t="array" aca="1" ref="AI198" ca="1">INDEX(AI$187:AI$195,AI197,1)</f>
        <v>1</v>
      </c>
      <c r="AJ198" s="102" cm="1">
        <f t="array" aca="1" ref="AJ198" ca="1">INDEX(AJ$187:AJ$195,AJ197,1)</f>
        <v>1</v>
      </c>
      <c r="AK198" s="102" cm="1">
        <f t="array" aca="1" ref="AK198" ca="1">INDEX(AK$187:AK$195,AK197,1)</f>
        <v>1</v>
      </c>
      <c r="AL198" s="102" cm="1">
        <f t="array" aca="1" ref="AL198" ca="1">INDEX(AL$187:AL$195,AL197,1)</f>
        <v>1</v>
      </c>
      <c r="AM198" s="102" cm="1">
        <f t="array" aca="1" ref="AM198" ca="1">INDEX(AM$187:AM$195,AM197,1)</f>
        <v>1</v>
      </c>
      <c r="AN198" s="102" cm="1">
        <f t="array" aca="1" ref="AN198" ca="1">INDEX(AN$187:AN$195,AN197,1)</f>
        <v>1</v>
      </c>
      <c r="AO198" s="102" cm="1">
        <f t="array" aca="1" ref="AO198" ca="1">INDEX(AO$187:AO$195,AO197,1)</f>
        <v>1</v>
      </c>
      <c r="AP198" s="102" cm="1">
        <f t="array" aca="1" ref="AP198" ca="1">INDEX(AP$187:AP$195,AP197,1)</f>
        <v>1</v>
      </c>
      <c r="AQ198" s="102" cm="1">
        <f t="array" aca="1" ref="AQ198" ca="1">INDEX(AQ$187:AQ$195,AQ197,1)</f>
        <v>1</v>
      </c>
      <c r="AR198" s="102" cm="1">
        <f t="array" aca="1" ref="AR198" ca="1">INDEX(AR$187:AR$195,AR197,1)</f>
        <v>1</v>
      </c>
      <c r="AS198" s="102" cm="1">
        <f t="array" aca="1" ref="AS198" ca="1">INDEX(AS$187:AS$195,AS197,1)</f>
        <v>1</v>
      </c>
      <c r="AT198" s="102" cm="1">
        <f t="array" aca="1" ref="AT198" ca="1">INDEX(AT$187:AT$195,AT197,1)</f>
        <v>1</v>
      </c>
      <c r="AU198" s="102" cm="1">
        <f t="array" aca="1" ref="AU198" ca="1">INDEX(AU$187:AU$195,AU197,1)</f>
        <v>1</v>
      </c>
      <c r="AV198" s="102" cm="1">
        <f t="array" aca="1" ref="AV198" ca="1">INDEX(AV$187:AV$195,AV197,1)</f>
        <v>1</v>
      </c>
      <c r="AW198" s="102" cm="1">
        <f t="array" aca="1" ref="AW198" ca="1">INDEX(AW$187:AW$195,AW197,1)</f>
        <v>1</v>
      </c>
      <c r="AX198" s="102" cm="1">
        <f t="array" aca="1" ref="AX198" ca="1">INDEX(AX$187:AX$195,AX197,1)</f>
        <v>1</v>
      </c>
      <c r="AY198" s="102" cm="1">
        <f t="array" aca="1" ref="AY198" ca="1">INDEX(AY$187:AY$195,AY197,1)</f>
        <v>1</v>
      </c>
      <c r="AZ198" s="102" cm="1">
        <f t="array" aca="1" ref="AZ198" ca="1">INDEX(AZ$187:AZ$195,AZ197,1)</f>
        <v>1</v>
      </c>
      <c r="BA198" s="102" cm="1">
        <f t="array" aca="1" ref="BA198" ca="1">INDEX(BA$187:BA$195,BA197,1)</f>
        <v>1</v>
      </c>
      <c r="BB198" s="102" cm="1">
        <f t="array" aca="1" ref="BB198" ca="1">INDEX(BB$187:BB$195,BB197,1)</f>
        <v>1</v>
      </c>
      <c r="BC198" s="102" cm="1">
        <f t="array" aca="1" ref="BC198" ca="1">INDEX(BC$187:BC$195,BC197,1)</f>
        <v>1</v>
      </c>
      <c r="BD198" s="102" cm="1">
        <f t="array" aca="1" ref="BD198" ca="1">INDEX(BD$187:BD$195,BD197,1)</f>
        <v>1</v>
      </c>
      <c r="BE198" s="102" cm="1">
        <f t="array" aca="1" ref="BE198" ca="1">INDEX(BE$187:BE$195,BE197,1)</f>
        <v>1</v>
      </c>
      <c r="BF198" s="102" cm="1">
        <f t="array" aca="1" ref="BF198" ca="1">INDEX(BF$187:BF$195,BF197,1)</f>
        <v>1</v>
      </c>
      <c r="BG198" s="102" cm="1">
        <f t="array" aca="1" ref="BG198" ca="1">INDEX(BG$187:BG$195,BG197,1)</f>
        <v>1</v>
      </c>
      <c r="BH198" s="102" cm="1">
        <f t="array" aca="1" ref="BH198" ca="1">INDEX(BH$187:BH$195,BH197,1)</f>
        <v>1</v>
      </c>
      <c r="BI198" s="102" cm="1">
        <f t="array" aca="1" ref="BI198" ca="1">INDEX(BI$187:BI$195,BI197,1)</f>
        <v>1</v>
      </c>
      <c r="BJ198" s="102" cm="1">
        <f t="array" aca="1" ref="BJ198" ca="1">INDEX(BJ$187:BJ$195,BJ197,1)</f>
        <v>1</v>
      </c>
      <c r="BK198" s="102" cm="1">
        <f t="array" aca="1" ref="BK198" ca="1">INDEX(BK$187:BK$195,BK197,1)</f>
        <v>1</v>
      </c>
      <c r="BL198" s="102" cm="1">
        <f t="array" aca="1" ref="BL198" ca="1">INDEX(BL$187:BL$195,BL197,1)</f>
        <v>1</v>
      </c>
      <c r="BM198" s="102" cm="1">
        <f t="array" aca="1" ref="BM198" ca="1">INDEX(BM$187:BM$195,BM197,1)</f>
        <v>1</v>
      </c>
      <c r="BN198" s="102" cm="1">
        <f t="array" aca="1" ref="BN198" ca="1">INDEX(BN$187:BN$195,BN197,1)</f>
        <v>1</v>
      </c>
      <c r="BO198" s="102" cm="1">
        <f t="array" aca="1" ref="BO198" ca="1">INDEX(BO$187:BO$195,BO197,1)</f>
        <v>1</v>
      </c>
      <c r="BP198" s="102" cm="1">
        <f t="array" aca="1" ref="BP198" ca="1">INDEX(BP$187:BP$195,BP197,1)</f>
        <v>1</v>
      </c>
      <c r="BQ198" s="102" cm="1">
        <f t="array" aca="1" ref="BQ198" ca="1">INDEX(BQ$187:BQ$195,BQ197,1)</f>
        <v>1</v>
      </c>
      <c r="BR198" s="102" cm="1">
        <f t="array" aca="1" ref="BR198" ca="1">INDEX(BR$187:BR$195,BR197,1)</f>
        <v>1</v>
      </c>
      <c r="BS198" s="102" cm="1">
        <f t="array" aca="1" ref="BS198" ca="1">INDEX(BS$187:BS$195,BS197,1)</f>
        <v>1</v>
      </c>
      <c r="BT198" s="102" cm="1">
        <f t="array" aca="1" ref="BT198" ca="1">INDEX(BT$187:BT$195,BT197,1)</f>
        <v>1</v>
      </c>
      <c r="BU198" s="102" cm="1">
        <f t="array" aca="1" ref="BU198" ca="1">INDEX(BU$187:BU$195,BU197,1)</f>
        <v>1</v>
      </c>
      <c r="BV198" s="102" cm="1">
        <f t="array" aca="1" ref="BV198" ca="1">INDEX(BV$187:BV$195,BV197,1)</f>
        <v>1</v>
      </c>
      <c r="BW198" s="102" cm="1">
        <f t="array" aca="1" ref="BW198" ca="1">INDEX(BW$187:BW$195,BW197,1)</f>
        <v>1</v>
      </c>
      <c r="BX198" s="102" cm="1">
        <f t="array" aca="1" ref="BX198" ca="1">INDEX(BX$187:BX$195,BX197,1)</f>
        <v>1</v>
      </c>
      <c r="BY198" s="102" cm="1">
        <f t="array" aca="1" ref="BY198" ca="1">INDEX(BY$187:BY$195,BY197,1)</f>
        <v>1</v>
      </c>
      <c r="BZ198" s="102" cm="1">
        <f t="array" aca="1" ref="BZ198" ca="1">INDEX(BZ$187:BZ$195,BZ197,1)</f>
        <v>1</v>
      </c>
      <c r="CA198" s="102" cm="1">
        <f t="array" aca="1" ref="CA198" ca="1">INDEX(CA$187:CA$195,CA197,1)</f>
        <v>1</v>
      </c>
      <c r="CB198" s="102" cm="1">
        <f t="array" aca="1" ref="CB198" ca="1">INDEX(CB$187:CB$195,CB197,1)</f>
        <v>1</v>
      </c>
      <c r="CC198" s="102" cm="1">
        <f t="array" aca="1" ref="CC198" ca="1">INDEX(CC$187:CC$195,CC197,1)</f>
        <v>1</v>
      </c>
      <c r="CD198" s="102" cm="1">
        <f t="array" aca="1" ref="CD198" ca="1">INDEX(CD$187:CD$195,CD197,1)</f>
        <v>1</v>
      </c>
      <c r="CE198" s="102" cm="1">
        <f t="array" aca="1" ref="CE198" ca="1">INDEX(CE$187:CE$195,CE197,1)</f>
        <v>1</v>
      </c>
      <c r="CF198" s="102" cm="1">
        <f t="array" aca="1" ref="CF198" ca="1">INDEX(CF$187:CF$195,CF197,1)</f>
        <v>1</v>
      </c>
      <c r="CG198" s="102" cm="1">
        <f t="array" aca="1" ref="CG198" ca="1">INDEX(CG$187:CG$195,CG197,1)</f>
        <v>1</v>
      </c>
      <c r="CH198" s="102" cm="1">
        <f t="array" aca="1" ref="CH198" ca="1">INDEX(CH$187:CH$195,CH197,1)</f>
        <v>1</v>
      </c>
      <c r="CI198" s="102" cm="1">
        <f t="array" aca="1" ref="CI198" ca="1">INDEX(CI$187:CI$195,CI197,1)</f>
        <v>1</v>
      </c>
      <c r="CJ198" s="102" cm="1">
        <f t="array" aca="1" ref="CJ198" ca="1">INDEX(CJ$187:CJ$195,CJ197,1)</f>
        <v>1</v>
      </c>
      <c r="CK198" s="102" cm="1">
        <f t="array" aca="1" ref="CK198" ca="1">INDEX(CK$187:CK$195,CK197,1)</f>
        <v>1</v>
      </c>
      <c r="CL198" s="102" cm="1">
        <f t="array" aca="1" ref="CL198" ca="1">INDEX(CL$187:CL$195,CL197,1)</f>
        <v>1</v>
      </c>
      <c r="CM198" s="102" cm="1">
        <f t="array" aca="1" ref="CM198" ca="1">INDEX(CM$187:CM$195,CM197,1)</f>
        <v>1</v>
      </c>
      <c r="CN198" s="102" cm="1">
        <f t="array" aca="1" ref="CN198" ca="1">INDEX(CN$187:CN$195,CN197,1)</f>
        <v>1</v>
      </c>
      <c r="CO198" s="102" cm="1">
        <f t="array" aca="1" ref="CO198" ca="1">INDEX(CO$187:CO$195,CO197,1)</f>
        <v>1</v>
      </c>
      <c r="CP198" s="102" cm="1">
        <f t="array" aca="1" ref="CP198" ca="1">INDEX(CP$187:CP$195,CP197,1)</f>
        <v>1</v>
      </c>
      <c r="CQ198" s="102" cm="1">
        <f t="array" aca="1" ref="CQ198" ca="1">INDEX(CQ$187:CQ$195,CQ197,1)</f>
        <v>1</v>
      </c>
      <c r="CR198" s="102" cm="1">
        <f t="array" aca="1" ref="CR198" ca="1">INDEX(CR$187:CR$195,CR197,1)</f>
        <v>1</v>
      </c>
      <c r="CS198" s="103" cm="1">
        <f t="array" aca="1" ref="CS198" ca="1">INDEX(CS$187:CS$195,CS197,1)</f>
        <v>1</v>
      </c>
      <c r="CT198" s="48" t="s">
        <v>15</v>
      </c>
      <c r="CU198" s="44"/>
      <c r="CV198" s="44"/>
    </row>
    <row r="199" spans="1:102" x14ac:dyDescent="0.25">
      <c r="A199" s="97">
        <v>1</v>
      </c>
      <c r="B199" s="31" t="s">
        <v>16</v>
      </c>
      <c r="D199" s="107">
        <f ca="1">IF(ISERR(D198),E199,D198*E199)</f>
        <v>2.2666666666666666</v>
      </c>
      <c r="E199" s="102">
        <f t="shared" ref="E199:R199" ca="1" si="85">IF(ISERR(E198),F199,E198*F199)</f>
        <v>1.1333333333333333</v>
      </c>
      <c r="F199" s="102">
        <f t="shared" ca="1" si="85"/>
        <v>1</v>
      </c>
      <c r="G199" s="102">
        <f t="shared" ca="1" si="85"/>
        <v>1</v>
      </c>
      <c r="H199" s="102">
        <f t="shared" ca="1" si="85"/>
        <v>1</v>
      </c>
      <c r="I199" s="102">
        <f t="shared" ca="1" si="85"/>
        <v>1</v>
      </c>
      <c r="J199" s="102">
        <f t="shared" ca="1" si="85"/>
        <v>1</v>
      </c>
      <c r="K199" s="102">
        <f t="shared" ca="1" si="85"/>
        <v>1</v>
      </c>
      <c r="L199" s="102">
        <f t="shared" ca="1" si="85"/>
        <v>1</v>
      </c>
      <c r="M199" s="102">
        <f t="shared" ca="1" si="85"/>
        <v>1</v>
      </c>
      <c r="N199" s="102">
        <f t="shared" ca="1" si="85"/>
        <v>1</v>
      </c>
      <c r="O199" s="102">
        <f t="shared" ca="1" si="85"/>
        <v>1</v>
      </c>
      <c r="P199" s="102">
        <f t="shared" ca="1" si="85"/>
        <v>1</v>
      </c>
      <c r="Q199" s="102">
        <f t="shared" ca="1" si="85"/>
        <v>1</v>
      </c>
      <c r="R199" s="102">
        <f t="shared" ca="1" si="85"/>
        <v>1</v>
      </c>
      <c r="S199" s="102">
        <f ca="1">IF(ISERR(S198),T199,S198*T199)</f>
        <v>1</v>
      </c>
      <c r="T199" s="102">
        <f t="shared" ref="T199:AI199" ca="1" si="86">IF(ISERR(T198),U199,T198*U199)</f>
        <v>1</v>
      </c>
      <c r="U199" s="102">
        <f t="shared" ca="1" si="86"/>
        <v>1</v>
      </c>
      <c r="V199" s="102">
        <f t="shared" ca="1" si="86"/>
        <v>1</v>
      </c>
      <c r="W199" s="102">
        <f t="shared" ca="1" si="86"/>
        <v>1</v>
      </c>
      <c r="X199" s="102">
        <f t="shared" ca="1" si="86"/>
        <v>1</v>
      </c>
      <c r="Y199" s="102">
        <f t="shared" ca="1" si="86"/>
        <v>1</v>
      </c>
      <c r="Z199" s="102">
        <f t="shared" ca="1" si="86"/>
        <v>1</v>
      </c>
      <c r="AA199" s="102">
        <f t="shared" ca="1" si="86"/>
        <v>1</v>
      </c>
      <c r="AB199" s="102">
        <f t="shared" ca="1" si="86"/>
        <v>1</v>
      </c>
      <c r="AC199" s="102">
        <f t="shared" ca="1" si="86"/>
        <v>1</v>
      </c>
      <c r="AD199" s="102">
        <f t="shared" ca="1" si="86"/>
        <v>1</v>
      </c>
      <c r="AE199" s="102">
        <f t="shared" ca="1" si="86"/>
        <v>1</v>
      </c>
      <c r="AF199" s="102">
        <f t="shared" ca="1" si="86"/>
        <v>1</v>
      </c>
      <c r="AG199" s="102">
        <f t="shared" ca="1" si="86"/>
        <v>1</v>
      </c>
      <c r="AH199" s="102">
        <f t="shared" ca="1" si="86"/>
        <v>1</v>
      </c>
      <c r="AI199" s="102">
        <f t="shared" ca="1" si="86"/>
        <v>1</v>
      </c>
      <c r="AJ199" s="102">
        <f ca="1">IF(ISERR(AJ198),AK199,AJ198*AK199)</f>
        <v>1</v>
      </c>
      <c r="AK199" s="102">
        <f t="shared" ref="AK199:CS199" ca="1" si="87">IF(ISERR(AK198),AL199,AK198*AL199)</f>
        <v>1</v>
      </c>
      <c r="AL199" s="102">
        <f t="shared" ca="1" si="87"/>
        <v>1</v>
      </c>
      <c r="AM199" s="102">
        <f t="shared" ca="1" si="87"/>
        <v>1</v>
      </c>
      <c r="AN199" s="102">
        <f t="shared" ca="1" si="87"/>
        <v>1</v>
      </c>
      <c r="AO199" s="102">
        <f t="shared" ca="1" si="87"/>
        <v>1</v>
      </c>
      <c r="AP199" s="102">
        <f t="shared" ca="1" si="87"/>
        <v>1</v>
      </c>
      <c r="AQ199" s="102">
        <f t="shared" ca="1" si="87"/>
        <v>1</v>
      </c>
      <c r="AR199" s="102">
        <f t="shared" ca="1" si="87"/>
        <v>1</v>
      </c>
      <c r="AS199" s="102">
        <f t="shared" ca="1" si="87"/>
        <v>1</v>
      </c>
      <c r="AT199" s="102">
        <f t="shared" ca="1" si="87"/>
        <v>1</v>
      </c>
      <c r="AU199" s="102">
        <f t="shared" ca="1" si="87"/>
        <v>1</v>
      </c>
      <c r="AV199" s="102">
        <f t="shared" ca="1" si="87"/>
        <v>1</v>
      </c>
      <c r="AW199" s="102">
        <f t="shared" ca="1" si="87"/>
        <v>1</v>
      </c>
      <c r="AX199" s="102">
        <f t="shared" ca="1" si="87"/>
        <v>1</v>
      </c>
      <c r="AY199" s="102">
        <f t="shared" ca="1" si="87"/>
        <v>1</v>
      </c>
      <c r="AZ199" s="102">
        <f t="shared" ca="1" si="87"/>
        <v>1</v>
      </c>
      <c r="BA199" s="102">
        <f t="shared" ca="1" si="87"/>
        <v>1</v>
      </c>
      <c r="BB199" s="102">
        <f t="shared" ca="1" si="87"/>
        <v>1</v>
      </c>
      <c r="BC199" s="102">
        <f t="shared" ca="1" si="87"/>
        <v>1</v>
      </c>
      <c r="BD199" s="102">
        <f t="shared" ca="1" si="87"/>
        <v>1</v>
      </c>
      <c r="BE199" s="102">
        <f t="shared" ca="1" si="87"/>
        <v>1</v>
      </c>
      <c r="BF199" s="102">
        <f t="shared" ca="1" si="87"/>
        <v>1</v>
      </c>
      <c r="BG199" s="102">
        <f t="shared" ca="1" si="87"/>
        <v>1</v>
      </c>
      <c r="BH199" s="102">
        <f t="shared" ca="1" si="87"/>
        <v>1</v>
      </c>
      <c r="BI199" s="102">
        <f t="shared" ca="1" si="87"/>
        <v>1</v>
      </c>
      <c r="BJ199" s="102">
        <f t="shared" ca="1" si="87"/>
        <v>1</v>
      </c>
      <c r="BK199" s="102">
        <f t="shared" ca="1" si="87"/>
        <v>1</v>
      </c>
      <c r="BL199" s="102">
        <f t="shared" ca="1" si="87"/>
        <v>1</v>
      </c>
      <c r="BM199" s="102">
        <f t="shared" ca="1" si="87"/>
        <v>1</v>
      </c>
      <c r="BN199" s="102">
        <f t="shared" ca="1" si="87"/>
        <v>1</v>
      </c>
      <c r="BO199" s="102">
        <f t="shared" ca="1" si="87"/>
        <v>1</v>
      </c>
      <c r="BP199" s="102">
        <f t="shared" ca="1" si="87"/>
        <v>1</v>
      </c>
      <c r="BQ199" s="102">
        <f t="shared" ca="1" si="87"/>
        <v>1</v>
      </c>
      <c r="BR199" s="102">
        <f t="shared" ca="1" si="87"/>
        <v>1</v>
      </c>
      <c r="BS199" s="102">
        <f t="shared" ca="1" si="87"/>
        <v>1</v>
      </c>
      <c r="BT199" s="102">
        <f t="shared" ca="1" si="87"/>
        <v>1</v>
      </c>
      <c r="BU199" s="102">
        <f t="shared" ca="1" si="87"/>
        <v>1</v>
      </c>
      <c r="BV199" s="102">
        <f t="shared" ca="1" si="87"/>
        <v>1</v>
      </c>
      <c r="BW199" s="102">
        <f t="shared" ca="1" si="87"/>
        <v>1</v>
      </c>
      <c r="BX199" s="102">
        <f t="shared" ca="1" si="87"/>
        <v>1</v>
      </c>
      <c r="BY199" s="102">
        <f t="shared" ca="1" si="87"/>
        <v>1</v>
      </c>
      <c r="BZ199" s="102">
        <f t="shared" ca="1" si="87"/>
        <v>1</v>
      </c>
      <c r="CA199" s="102">
        <f t="shared" ca="1" si="87"/>
        <v>1</v>
      </c>
      <c r="CB199" s="102">
        <f t="shared" ca="1" si="87"/>
        <v>1</v>
      </c>
      <c r="CC199" s="102">
        <f t="shared" ca="1" si="87"/>
        <v>1</v>
      </c>
      <c r="CD199" s="102">
        <f t="shared" ca="1" si="87"/>
        <v>1</v>
      </c>
      <c r="CE199" s="102">
        <f t="shared" ca="1" si="87"/>
        <v>1</v>
      </c>
      <c r="CF199" s="102">
        <f t="shared" ca="1" si="87"/>
        <v>1</v>
      </c>
      <c r="CG199" s="102">
        <f t="shared" ca="1" si="87"/>
        <v>1</v>
      </c>
      <c r="CH199" s="102">
        <f t="shared" ca="1" si="87"/>
        <v>1</v>
      </c>
      <c r="CI199" s="102">
        <f t="shared" ca="1" si="87"/>
        <v>1</v>
      </c>
      <c r="CJ199" s="102">
        <f t="shared" ca="1" si="87"/>
        <v>1</v>
      </c>
      <c r="CK199" s="102">
        <f t="shared" ca="1" si="87"/>
        <v>1</v>
      </c>
      <c r="CL199" s="102">
        <f t="shared" ca="1" si="87"/>
        <v>1</v>
      </c>
      <c r="CM199" s="102">
        <f t="shared" ca="1" si="87"/>
        <v>1</v>
      </c>
      <c r="CN199" s="102">
        <f t="shared" ca="1" si="87"/>
        <v>1</v>
      </c>
      <c r="CO199" s="102">
        <f t="shared" ca="1" si="87"/>
        <v>1</v>
      </c>
      <c r="CP199" s="102">
        <f t="shared" ca="1" si="87"/>
        <v>1</v>
      </c>
      <c r="CQ199" s="102">
        <f t="shared" ca="1" si="87"/>
        <v>1</v>
      </c>
      <c r="CR199" s="102">
        <f t="shared" ca="1" si="87"/>
        <v>1</v>
      </c>
      <c r="CS199" s="103">
        <f t="shared" ca="1" si="87"/>
        <v>1</v>
      </c>
      <c r="CT199" s="214">
        <v>1</v>
      </c>
      <c r="CU199" s="44"/>
      <c r="CV199" s="44"/>
      <c r="CX199" s="44"/>
    </row>
    <row r="200" spans="1:102" x14ac:dyDescent="0.25">
      <c r="A200" s="97">
        <v>1</v>
      </c>
      <c r="B200" s="31" t="s">
        <v>17</v>
      </c>
      <c r="C200" s="110">
        <f ca="1">1/D199</f>
        <v>0.44117647058823528</v>
      </c>
      <c r="D200" s="111">
        <f ca="1">1/E199</f>
        <v>0.88235294117647056</v>
      </c>
      <c r="E200" s="111">
        <f ca="1">1/F199</f>
        <v>1</v>
      </c>
      <c r="F200" s="111">
        <f t="shared" ref="F200" ca="1" si="88">1/G199</f>
        <v>1</v>
      </c>
      <c r="G200" s="111">
        <f ca="1">1/H199</f>
        <v>1</v>
      </c>
      <c r="H200" s="111">
        <f ca="1">1/I199</f>
        <v>1</v>
      </c>
      <c r="I200" s="111">
        <f t="shared" ref="I200:BT200" ca="1" si="89">1/J199</f>
        <v>1</v>
      </c>
      <c r="J200" s="111">
        <f t="shared" ca="1" si="89"/>
        <v>1</v>
      </c>
      <c r="K200" s="111">
        <f t="shared" ca="1" si="89"/>
        <v>1</v>
      </c>
      <c r="L200" s="111">
        <f t="shared" ca="1" si="89"/>
        <v>1</v>
      </c>
      <c r="M200" s="111">
        <f t="shared" ca="1" si="89"/>
        <v>1</v>
      </c>
      <c r="N200" s="111">
        <f t="shared" ca="1" si="89"/>
        <v>1</v>
      </c>
      <c r="O200" s="111">
        <f t="shared" ca="1" si="89"/>
        <v>1</v>
      </c>
      <c r="P200" s="111">
        <f t="shared" ca="1" si="89"/>
        <v>1</v>
      </c>
      <c r="Q200" s="111">
        <f t="shared" ca="1" si="89"/>
        <v>1</v>
      </c>
      <c r="R200" s="111">
        <f t="shared" ca="1" si="89"/>
        <v>1</v>
      </c>
      <c r="S200" s="111">
        <f t="shared" ca="1" si="89"/>
        <v>1</v>
      </c>
      <c r="T200" s="111">
        <f t="shared" ca="1" si="89"/>
        <v>1</v>
      </c>
      <c r="U200" s="111">
        <f t="shared" ca="1" si="89"/>
        <v>1</v>
      </c>
      <c r="V200" s="111">
        <f t="shared" ca="1" si="89"/>
        <v>1</v>
      </c>
      <c r="W200" s="111">
        <f t="shared" ca="1" si="89"/>
        <v>1</v>
      </c>
      <c r="X200" s="111">
        <f t="shared" ca="1" si="89"/>
        <v>1</v>
      </c>
      <c r="Y200" s="111">
        <f t="shared" ca="1" si="89"/>
        <v>1</v>
      </c>
      <c r="Z200" s="111">
        <f t="shared" ca="1" si="89"/>
        <v>1</v>
      </c>
      <c r="AA200" s="111">
        <f t="shared" ca="1" si="89"/>
        <v>1</v>
      </c>
      <c r="AB200" s="111">
        <f t="shared" ca="1" si="89"/>
        <v>1</v>
      </c>
      <c r="AC200" s="111">
        <f t="shared" ca="1" si="89"/>
        <v>1</v>
      </c>
      <c r="AD200" s="111">
        <f t="shared" ca="1" si="89"/>
        <v>1</v>
      </c>
      <c r="AE200" s="111">
        <f t="shared" ca="1" si="89"/>
        <v>1</v>
      </c>
      <c r="AF200" s="111">
        <f t="shared" ca="1" si="89"/>
        <v>1</v>
      </c>
      <c r="AG200" s="111">
        <f t="shared" ca="1" si="89"/>
        <v>1</v>
      </c>
      <c r="AH200" s="111">
        <f t="shared" ca="1" si="89"/>
        <v>1</v>
      </c>
      <c r="AI200" s="111">
        <f ca="1">1/AJ199</f>
        <v>1</v>
      </c>
      <c r="AJ200" s="111">
        <f t="shared" ca="1" si="89"/>
        <v>1</v>
      </c>
      <c r="AK200" s="111">
        <f t="shared" ca="1" si="89"/>
        <v>1</v>
      </c>
      <c r="AL200" s="111">
        <f t="shared" ca="1" si="89"/>
        <v>1</v>
      </c>
      <c r="AM200" s="111">
        <f t="shared" ca="1" si="89"/>
        <v>1</v>
      </c>
      <c r="AN200" s="111">
        <f t="shared" ca="1" si="89"/>
        <v>1</v>
      </c>
      <c r="AO200" s="111">
        <f t="shared" ca="1" si="89"/>
        <v>1</v>
      </c>
      <c r="AP200" s="111">
        <f t="shared" ca="1" si="89"/>
        <v>1</v>
      </c>
      <c r="AQ200" s="111">
        <f t="shared" ca="1" si="89"/>
        <v>1</v>
      </c>
      <c r="AR200" s="111">
        <f t="shared" ca="1" si="89"/>
        <v>1</v>
      </c>
      <c r="AS200" s="111">
        <f t="shared" ca="1" si="89"/>
        <v>1</v>
      </c>
      <c r="AT200" s="111">
        <f t="shared" ca="1" si="89"/>
        <v>1</v>
      </c>
      <c r="AU200" s="111">
        <f t="shared" ca="1" si="89"/>
        <v>1</v>
      </c>
      <c r="AV200" s="111">
        <f t="shared" ca="1" si="89"/>
        <v>1</v>
      </c>
      <c r="AW200" s="111">
        <f t="shared" ca="1" si="89"/>
        <v>1</v>
      </c>
      <c r="AX200" s="111">
        <f t="shared" ca="1" si="89"/>
        <v>1</v>
      </c>
      <c r="AY200" s="111">
        <f t="shared" ca="1" si="89"/>
        <v>1</v>
      </c>
      <c r="AZ200" s="111">
        <f t="shared" ca="1" si="89"/>
        <v>1</v>
      </c>
      <c r="BA200" s="111">
        <f t="shared" ca="1" si="89"/>
        <v>1</v>
      </c>
      <c r="BB200" s="111">
        <f t="shared" ca="1" si="89"/>
        <v>1</v>
      </c>
      <c r="BC200" s="111">
        <f t="shared" ca="1" si="89"/>
        <v>1</v>
      </c>
      <c r="BD200" s="111">
        <f t="shared" ca="1" si="89"/>
        <v>1</v>
      </c>
      <c r="BE200" s="111">
        <f t="shared" ca="1" si="89"/>
        <v>1</v>
      </c>
      <c r="BF200" s="111">
        <f t="shared" ca="1" si="89"/>
        <v>1</v>
      </c>
      <c r="BG200" s="111">
        <f t="shared" ca="1" si="89"/>
        <v>1</v>
      </c>
      <c r="BH200" s="111">
        <f t="shared" ca="1" si="89"/>
        <v>1</v>
      </c>
      <c r="BI200" s="111">
        <f t="shared" ca="1" si="89"/>
        <v>1</v>
      </c>
      <c r="BJ200" s="111">
        <f t="shared" ca="1" si="89"/>
        <v>1</v>
      </c>
      <c r="BK200" s="111">
        <f t="shared" ca="1" si="89"/>
        <v>1</v>
      </c>
      <c r="BL200" s="111">
        <f t="shared" ca="1" si="89"/>
        <v>1</v>
      </c>
      <c r="BM200" s="111">
        <f t="shared" ca="1" si="89"/>
        <v>1</v>
      </c>
      <c r="BN200" s="111">
        <f t="shared" ca="1" si="89"/>
        <v>1</v>
      </c>
      <c r="BO200" s="111">
        <f t="shared" ca="1" si="89"/>
        <v>1</v>
      </c>
      <c r="BP200" s="111">
        <f t="shared" ca="1" si="89"/>
        <v>1</v>
      </c>
      <c r="BQ200" s="111">
        <f t="shared" ca="1" si="89"/>
        <v>1</v>
      </c>
      <c r="BR200" s="111">
        <f t="shared" ca="1" si="89"/>
        <v>1</v>
      </c>
      <c r="BS200" s="111">
        <f t="shared" ca="1" si="89"/>
        <v>1</v>
      </c>
      <c r="BT200" s="111">
        <f t="shared" ca="1" si="89"/>
        <v>1</v>
      </c>
      <c r="BU200" s="111">
        <f t="shared" ref="BU200:CS200" ca="1" si="90">1/BV199</f>
        <v>1</v>
      </c>
      <c r="BV200" s="111">
        <f t="shared" ca="1" si="90"/>
        <v>1</v>
      </c>
      <c r="BW200" s="111">
        <f t="shared" ca="1" si="90"/>
        <v>1</v>
      </c>
      <c r="BX200" s="111">
        <f t="shared" ca="1" si="90"/>
        <v>1</v>
      </c>
      <c r="BY200" s="111">
        <f t="shared" ca="1" si="90"/>
        <v>1</v>
      </c>
      <c r="BZ200" s="111">
        <f t="shared" ca="1" si="90"/>
        <v>1</v>
      </c>
      <c r="CA200" s="111">
        <f t="shared" ca="1" si="90"/>
        <v>1</v>
      </c>
      <c r="CB200" s="111">
        <f t="shared" ca="1" si="90"/>
        <v>1</v>
      </c>
      <c r="CC200" s="111">
        <f t="shared" ca="1" si="90"/>
        <v>1</v>
      </c>
      <c r="CD200" s="111">
        <f t="shared" ca="1" si="90"/>
        <v>1</v>
      </c>
      <c r="CE200" s="111">
        <f t="shared" ca="1" si="90"/>
        <v>1</v>
      </c>
      <c r="CF200" s="111">
        <f t="shared" ca="1" si="90"/>
        <v>1</v>
      </c>
      <c r="CG200" s="111">
        <f t="shared" ca="1" si="90"/>
        <v>1</v>
      </c>
      <c r="CH200" s="111">
        <f t="shared" ca="1" si="90"/>
        <v>1</v>
      </c>
      <c r="CI200" s="111">
        <f t="shared" ca="1" si="90"/>
        <v>1</v>
      </c>
      <c r="CJ200" s="111">
        <f t="shared" ca="1" si="90"/>
        <v>1</v>
      </c>
      <c r="CK200" s="111">
        <f t="shared" ca="1" si="90"/>
        <v>1</v>
      </c>
      <c r="CL200" s="111">
        <f t="shared" ca="1" si="90"/>
        <v>1</v>
      </c>
      <c r="CM200" s="111">
        <f t="shared" ca="1" si="90"/>
        <v>1</v>
      </c>
      <c r="CN200" s="111">
        <f t="shared" ca="1" si="90"/>
        <v>1</v>
      </c>
      <c r="CO200" s="111">
        <f t="shared" ca="1" si="90"/>
        <v>1</v>
      </c>
      <c r="CP200" s="111">
        <f t="shared" ca="1" si="90"/>
        <v>1</v>
      </c>
      <c r="CQ200" s="111">
        <f t="shared" ca="1" si="90"/>
        <v>1</v>
      </c>
      <c r="CR200" s="111">
        <f t="shared" ca="1" si="90"/>
        <v>1</v>
      </c>
      <c r="CS200" s="112">
        <f t="shared" si="90"/>
        <v>1</v>
      </c>
      <c r="CT200" s="49"/>
      <c r="CU200" s="49"/>
      <c r="CV200" s="49"/>
      <c r="CW200" s="49"/>
    </row>
    <row r="201" spans="1:102" x14ac:dyDescent="0.25">
      <c r="A201" s="97">
        <v>1</v>
      </c>
      <c r="B201" s="109" t="str">
        <f>"Blind CL-L"&amp;$C$194</f>
        <v>Blind CL-L10</v>
      </c>
      <c r="C201" s="113">
        <f ca="1">1/PRODUCT(D$194:$CS$194)</f>
        <v>0.44117647058823528</v>
      </c>
      <c r="D201" s="114">
        <f ca="1">1/PRODUCT(E$194:$CS$194)</f>
        <v>0.88235294117647056</v>
      </c>
      <c r="E201" s="114">
        <f ca="1">1/PRODUCT(F$194:$CS$194)</f>
        <v>1</v>
      </c>
      <c r="F201" s="114">
        <f ca="1">1/PRODUCT(G$194:$CS$194)</f>
        <v>1</v>
      </c>
      <c r="G201" s="114">
        <f ca="1">1/PRODUCT(H$194:$CS$194)</f>
        <v>1</v>
      </c>
      <c r="H201" s="114">
        <f ca="1">1/PRODUCT(I$194:$CS$194)</f>
        <v>1</v>
      </c>
      <c r="I201" s="114">
        <f ca="1">1/PRODUCT(J$194:$CS$194)</f>
        <v>1</v>
      </c>
      <c r="J201" s="114">
        <f ca="1">1/PRODUCT(K$194:$CS$194)</f>
        <v>1</v>
      </c>
      <c r="K201" s="114">
        <f ca="1">1/PRODUCT(L$194:$CS$194)</f>
        <v>1</v>
      </c>
      <c r="L201" s="114">
        <f ca="1">1/PRODUCT(M$194:$CS$194)</f>
        <v>1</v>
      </c>
      <c r="M201" s="114">
        <f ca="1">1/PRODUCT(N$194:$CS$194)</f>
        <v>1</v>
      </c>
      <c r="N201" s="114">
        <f ca="1">1/PRODUCT(O$194:$CS$194)</f>
        <v>1</v>
      </c>
      <c r="O201" s="114">
        <f ca="1">1/PRODUCT(P$194:$CS$194)</f>
        <v>1</v>
      </c>
      <c r="P201" s="114">
        <f ca="1">1/PRODUCT(Q$194:$CS$194)</f>
        <v>1</v>
      </c>
      <c r="Q201" s="114">
        <f ca="1">1/PRODUCT(R$194:$CS$194)</f>
        <v>1</v>
      </c>
      <c r="R201" s="114">
        <f ca="1">1/PRODUCT(S$194:$CS$194)</f>
        <v>1</v>
      </c>
      <c r="S201" s="114">
        <f ca="1">1/PRODUCT(T$194:$CS$194)</f>
        <v>1</v>
      </c>
      <c r="T201" s="114">
        <f ca="1">1/PRODUCT(U$194:$CS$194)</f>
        <v>1</v>
      </c>
      <c r="U201" s="114">
        <f ca="1">1/PRODUCT(V$194:$CS$194)</f>
        <v>1</v>
      </c>
      <c r="V201" s="114">
        <f ca="1">1/PRODUCT(W$194:$CS$194)</f>
        <v>1</v>
      </c>
      <c r="W201" s="114">
        <f ca="1">1/PRODUCT(X$194:$CS$194)</f>
        <v>1</v>
      </c>
      <c r="X201" s="114">
        <f ca="1">1/PRODUCT(Y$194:$CS$194)</f>
        <v>1</v>
      </c>
      <c r="Y201" s="114">
        <f ca="1">1/PRODUCT(Z$194:$CS$194)</f>
        <v>1</v>
      </c>
      <c r="Z201" s="114">
        <f ca="1">1/PRODUCT(AA$194:$CS$194)</f>
        <v>1</v>
      </c>
      <c r="AA201" s="114">
        <f ca="1">1/PRODUCT(AB$194:$CS$194)</f>
        <v>1</v>
      </c>
      <c r="AB201" s="114">
        <f ca="1">1/PRODUCT(AC$194:$CS$194)</f>
        <v>1</v>
      </c>
      <c r="AC201" s="114">
        <f ca="1">1/PRODUCT(AD$194:$CS$194)</f>
        <v>1</v>
      </c>
      <c r="AD201" s="114">
        <f ca="1">1/PRODUCT(AE$194:$CS$194)</f>
        <v>1</v>
      </c>
      <c r="AE201" s="114">
        <f ca="1">1/PRODUCT(AF$194:$CS$194)</f>
        <v>1</v>
      </c>
      <c r="AF201" s="114">
        <f ca="1">1/PRODUCT(AG$194:$CS$194)</f>
        <v>1</v>
      </c>
      <c r="AG201" s="114">
        <f ca="1">1/PRODUCT(AH$194:$CS$194)</f>
        <v>1</v>
      </c>
      <c r="AH201" s="114">
        <f ca="1">1/PRODUCT(AI$194:$CS$194)</f>
        <v>1</v>
      </c>
      <c r="AI201" s="114">
        <f ca="1">1/PRODUCT(AJ$194:$CS$194)</f>
        <v>1</v>
      </c>
      <c r="AJ201" s="114">
        <f ca="1">1/PRODUCT(AK$194:$CS$194)</f>
        <v>1</v>
      </c>
      <c r="AK201" s="114">
        <f ca="1">1/PRODUCT(AL$194:$CS$194)</f>
        <v>1</v>
      </c>
      <c r="AL201" s="114">
        <f ca="1">1/PRODUCT(AM$194:$CS$194)</f>
        <v>1</v>
      </c>
      <c r="AM201" s="114">
        <f ca="1">1/PRODUCT(AN$194:$CS$194)</f>
        <v>1</v>
      </c>
      <c r="AN201" s="114">
        <f ca="1">1/PRODUCT(AO$194:$CS$194)</f>
        <v>1</v>
      </c>
      <c r="AO201" s="114">
        <f ca="1">1/PRODUCT(AP$194:$CS$194)</f>
        <v>1</v>
      </c>
      <c r="AP201" s="114">
        <f ca="1">1/PRODUCT(AQ$194:$CS$194)</f>
        <v>1</v>
      </c>
      <c r="AQ201" s="114">
        <f ca="1">1/PRODUCT(AR$194:$CS$194)</f>
        <v>1</v>
      </c>
      <c r="AR201" s="114">
        <f ca="1">1/PRODUCT(AS$194:$CS$194)</f>
        <v>1</v>
      </c>
      <c r="AS201" s="114">
        <f ca="1">1/PRODUCT(AT$194:$CS$194)</f>
        <v>1</v>
      </c>
      <c r="AT201" s="114">
        <f ca="1">1/PRODUCT(AU$194:$CS$194)</f>
        <v>1</v>
      </c>
      <c r="AU201" s="114">
        <f ca="1">1/PRODUCT(AV$194:$CS$194)</f>
        <v>1</v>
      </c>
      <c r="AV201" s="114">
        <f ca="1">1/PRODUCT(AW$194:$CS$194)</f>
        <v>1</v>
      </c>
      <c r="AW201" s="114">
        <f ca="1">1/PRODUCT(AX$194:$CS$194)</f>
        <v>1</v>
      </c>
      <c r="AX201" s="114">
        <f ca="1">1/PRODUCT(AY$194:$CS$194)</f>
        <v>1</v>
      </c>
      <c r="AY201" s="114">
        <f ca="1">1/PRODUCT(AZ$194:$CS$194)</f>
        <v>1</v>
      </c>
      <c r="AZ201" s="114">
        <f ca="1">1/PRODUCT(BA$194:$CS$194)</f>
        <v>1</v>
      </c>
      <c r="BA201" s="114">
        <f ca="1">1/PRODUCT(BB$194:$CS$194)</f>
        <v>1</v>
      </c>
      <c r="BB201" s="114">
        <f ca="1">1/PRODUCT(BC$194:$CS$194)</f>
        <v>1</v>
      </c>
      <c r="BC201" s="114">
        <f ca="1">1/PRODUCT(BD$194:$CS$194)</f>
        <v>1</v>
      </c>
      <c r="BD201" s="114">
        <f ca="1">1/PRODUCT(BE$194:$CS$194)</f>
        <v>1</v>
      </c>
      <c r="BE201" s="114">
        <f ca="1">1/PRODUCT(BF$194:$CS$194)</f>
        <v>1</v>
      </c>
      <c r="BF201" s="114">
        <f ca="1">1/PRODUCT(BG$194:$CS$194)</f>
        <v>1</v>
      </c>
      <c r="BG201" s="114">
        <f ca="1">1/PRODUCT(BH$194:$CS$194)</f>
        <v>1</v>
      </c>
      <c r="BH201" s="114">
        <f ca="1">1/PRODUCT(BI$194:$CS$194)</f>
        <v>1</v>
      </c>
      <c r="BI201" s="114">
        <f ca="1">1/PRODUCT(BJ$194:$CS$194)</f>
        <v>1</v>
      </c>
      <c r="BJ201" s="114">
        <f ca="1">1/PRODUCT(BK$194:$CS$194)</f>
        <v>1</v>
      </c>
      <c r="BK201" s="114">
        <f ca="1">1/PRODUCT(BL$194:$CS$194)</f>
        <v>1</v>
      </c>
      <c r="BL201" s="114">
        <f ca="1">1/PRODUCT(BM$194:$CS$194)</f>
        <v>1</v>
      </c>
      <c r="BM201" s="114">
        <f ca="1">1/PRODUCT(BN$194:$CS$194)</f>
        <v>1</v>
      </c>
      <c r="BN201" s="114">
        <f ca="1">1/PRODUCT(BO$194:$CS$194)</f>
        <v>1</v>
      </c>
      <c r="BO201" s="115">
        <f ca="1">1/PRODUCT(BP$194:$CS$194)</f>
        <v>1</v>
      </c>
      <c r="BP201" s="115">
        <f ca="1">1/PRODUCT(BQ$194:$CS$194)</f>
        <v>1</v>
      </c>
      <c r="BQ201" s="115">
        <f ca="1">1/PRODUCT(BR$194:$CS$194)</f>
        <v>1</v>
      </c>
      <c r="BR201" s="114">
        <f ca="1">1/PRODUCT(BS$194:$CS$194)</f>
        <v>1</v>
      </c>
      <c r="BS201" s="114">
        <f ca="1">1/PRODUCT(BT$194:$CS$194)</f>
        <v>1</v>
      </c>
      <c r="BT201" s="114">
        <f ca="1">1/PRODUCT(BU$194:$CS$194)</f>
        <v>1</v>
      </c>
      <c r="BU201" s="114">
        <f ca="1">1/PRODUCT(BV$194:$CS$194)</f>
        <v>1</v>
      </c>
      <c r="BV201" s="114">
        <f ca="1">1/PRODUCT(BW$194:$CS$194)</f>
        <v>1</v>
      </c>
      <c r="BW201" s="114">
        <f ca="1">1/PRODUCT(BX$194:$CS$194)</f>
        <v>1</v>
      </c>
      <c r="BX201" s="114">
        <f ca="1">1/PRODUCT(BY$194:$CS$194)</f>
        <v>1</v>
      </c>
      <c r="BY201" s="114">
        <f ca="1">1/PRODUCT(BZ$194:$CS$194)</f>
        <v>1</v>
      </c>
      <c r="BZ201" s="114">
        <f ca="1">1/PRODUCT(CA$194:$CS$194)</f>
        <v>1</v>
      </c>
      <c r="CA201" s="114">
        <f ca="1">1/PRODUCT(CB$194:$CS$194)</f>
        <v>1</v>
      </c>
      <c r="CB201" s="114">
        <f ca="1">1/PRODUCT(CC$194:$CS$194)</f>
        <v>1</v>
      </c>
      <c r="CC201" s="114">
        <f ca="1">1/PRODUCT(CD$194:$CS$194)</f>
        <v>1</v>
      </c>
      <c r="CD201" s="114">
        <f ca="1">1/PRODUCT(CE$194:$CS$194)</f>
        <v>1</v>
      </c>
      <c r="CE201" s="114">
        <f ca="1">1/PRODUCT(CF$194:$CS$194)</f>
        <v>1</v>
      </c>
      <c r="CF201" s="114">
        <f ca="1">1/PRODUCT(CG$194:$CS$194)</f>
        <v>1</v>
      </c>
      <c r="CG201" s="114">
        <f ca="1">1/PRODUCT(CH$194:$CS$194)</f>
        <v>1</v>
      </c>
      <c r="CH201" s="114">
        <f ca="1">1/PRODUCT(CI$194:$CS$194)</f>
        <v>1</v>
      </c>
      <c r="CI201" s="114">
        <f ca="1">1/PRODUCT(CJ$194:$CS$194)</f>
        <v>1</v>
      </c>
      <c r="CJ201" s="114">
        <f ca="1">1/PRODUCT(CK$194:$CS$194)</f>
        <v>1</v>
      </c>
      <c r="CK201" s="114">
        <f ca="1">1/PRODUCT(CL$194:$CS$194)</f>
        <v>1</v>
      </c>
      <c r="CL201" s="114">
        <f ca="1">1/PRODUCT(CM$194:$CS$194)</f>
        <v>1</v>
      </c>
      <c r="CM201" s="114">
        <f ca="1">1/PRODUCT(CN$194:$CS$194)</f>
        <v>1</v>
      </c>
      <c r="CN201" s="114">
        <f ca="1">1/PRODUCT(CO$194:$CS$194)</f>
        <v>1</v>
      </c>
      <c r="CO201" s="114">
        <f ca="1">1/PRODUCT(CP$194:$CS$194)</f>
        <v>1</v>
      </c>
      <c r="CP201" s="114">
        <f ca="1">1/PRODUCT(CQ$194:$CS$194)</f>
        <v>1</v>
      </c>
      <c r="CQ201" s="114">
        <f ca="1">1/PRODUCT(CR$194:$CS$194)</f>
        <v>1</v>
      </c>
      <c r="CR201" s="114">
        <f ca="1">1/PRODUCT(CS$194:$CS$194)</f>
        <v>1</v>
      </c>
      <c r="CS201" s="116">
        <f ca="1">1/PRODUCT($CS$194:CT$194)</f>
        <v>1</v>
      </c>
      <c r="CT201" s="50"/>
      <c r="CU201" s="50"/>
      <c r="CV201" s="50"/>
      <c r="CW201" s="49"/>
    </row>
    <row r="202" spans="1:102" x14ac:dyDescent="0.25">
      <c r="A202" s="97">
        <v>1</v>
      </c>
      <c r="B202" s="120"/>
      <c r="C202" s="121"/>
      <c r="D202" s="121"/>
      <c r="E202" s="121"/>
      <c r="F202" s="121"/>
      <c r="G202" s="121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  <c r="AA202" s="121"/>
      <c r="AB202" s="121"/>
      <c r="AC202" s="121"/>
      <c r="AD202" s="121"/>
      <c r="AE202" s="121"/>
      <c r="AF202" s="121"/>
      <c r="AG202" s="121"/>
      <c r="AH202" s="121"/>
      <c r="AI202" s="121"/>
      <c r="AJ202" s="121"/>
      <c r="AK202" s="121"/>
      <c r="AL202" s="121"/>
      <c r="AM202" s="121"/>
      <c r="AN202" s="121"/>
      <c r="AO202" s="121"/>
      <c r="AP202" s="121"/>
      <c r="AQ202" s="121"/>
      <c r="AR202" s="121"/>
      <c r="AS202" s="121"/>
      <c r="AT202" s="121"/>
      <c r="AU202" s="121"/>
      <c r="AV202" s="121"/>
      <c r="AW202" s="121"/>
      <c r="AX202" s="121"/>
      <c r="AY202" s="121"/>
      <c r="AZ202" s="121"/>
      <c r="BA202" s="121"/>
      <c r="BB202" s="121"/>
      <c r="BC202" s="121"/>
      <c r="BD202" s="121"/>
      <c r="BE202" s="121"/>
      <c r="BF202" s="121"/>
      <c r="BG202" s="121"/>
      <c r="BH202" s="121"/>
      <c r="BI202" s="121"/>
      <c r="BJ202" s="121"/>
      <c r="BK202" s="121"/>
      <c r="BL202" s="121"/>
      <c r="BM202" s="121"/>
      <c r="BN202" s="121"/>
      <c r="BO202" s="122"/>
      <c r="BP202" s="122"/>
      <c r="BQ202" s="122"/>
      <c r="BR202" s="121"/>
      <c r="BS202" s="121"/>
      <c r="BT202" s="121"/>
      <c r="BU202" s="121"/>
      <c r="BV202" s="121"/>
      <c r="BW202" s="121"/>
      <c r="BX202" s="121"/>
      <c r="BY202" s="121"/>
      <c r="BZ202" s="121"/>
      <c r="CA202" s="121"/>
      <c r="CB202" s="121"/>
      <c r="CC202" s="121"/>
      <c r="CD202" s="121"/>
      <c r="CE202" s="121"/>
      <c r="CF202" s="121"/>
      <c r="CG202" s="121"/>
      <c r="CH202" s="121"/>
      <c r="CI202" s="121"/>
      <c r="CJ202" s="121"/>
      <c r="CK202" s="121"/>
      <c r="CL202" s="121"/>
      <c r="CM202" s="121"/>
      <c r="CN202" s="121"/>
      <c r="CO202" s="121"/>
      <c r="CP202" s="121"/>
      <c r="CQ202" s="121"/>
      <c r="CR202" s="121"/>
      <c r="CS202" s="121"/>
      <c r="CT202" s="50"/>
      <c r="CU202" s="50"/>
      <c r="CV202" s="50"/>
      <c r="CW202" s="49"/>
    </row>
    <row r="203" spans="1:102" x14ac:dyDescent="0.25">
      <c r="A203" s="97">
        <v>1</v>
      </c>
      <c r="I203" s="11" t="s">
        <v>56</v>
      </c>
    </row>
    <row r="204" spans="1:102" x14ac:dyDescent="0.25">
      <c r="A204" s="97">
        <v>1</v>
      </c>
      <c r="B204" s="19" t="s">
        <v>18</v>
      </c>
      <c r="I204" s="119">
        <v>0.7</v>
      </c>
      <c r="L204" s="16" t="s">
        <v>19</v>
      </c>
      <c r="M204" s="149">
        <v>3</v>
      </c>
    </row>
    <row r="205" spans="1:102" x14ac:dyDescent="0.25">
      <c r="A205" s="97">
        <v>1</v>
      </c>
      <c r="B205" s="41" t="s">
        <v>2</v>
      </c>
      <c r="C205" s="41" t="s">
        <v>20</v>
      </c>
      <c r="D205" s="41" t="s">
        <v>21</v>
      </c>
      <c r="E205" s="41" t="s">
        <v>22</v>
      </c>
      <c r="F205" s="41" t="s">
        <v>55</v>
      </c>
      <c r="G205" s="41" t="s">
        <v>23</v>
      </c>
      <c r="H205" s="41" t="s">
        <v>12</v>
      </c>
      <c r="I205" s="41" t="s">
        <v>13</v>
      </c>
      <c r="J205" s="41" t="s">
        <v>24</v>
      </c>
      <c r="K205" s="41" t="s">
        <v>25</v>
      </c>
      <c r="L205" s="39"/>
      <c r="M205" s="41" t="s">
        <v>26</v>
      </c>
      <c r="N205" s="118"/>
      <c r="O205" s="41" t="s">
        <v>27</v>
      </c>
      <c r="P205" s="41" t="s">
        <v>28</v>
      </c>
      <c r="Q205" s="41" t="s">
        <v>29</v>
      </c>
    </row>
    <row r="206" spans="1:102" hidden="1" x14ac:dyDescent="0.25">
      <c r="A206" s="97">
        <f t="shared" ref="A206:A229" si="91">A14</f>
        <v>0</v>
      </c>
      <c r="B206" s="25">
        <f t="shared" ref="B206:B228" si="92">B207-1</f>
        <v>1996</v>
      </c>
      <c r="C206" s="84">
        <v>100000</v>
      </c>
      <c r="D206" s="13" t="str">
        <f t="shared" ref="D206:D229" si="93">IF(C42=0,"",CT14)</f>
        <v/>
      </c>
      <c r="E206" s="44" t="str">
        <f t="shared" ref="E206:E228" ca="1" si="94">IF(C42=1,OFFSET($C$199,0,CT42),"")</f>
        <v/>
      </c>
      <c r="F206" s="175" t="str">
        <f>IF(D206="","",D206*E206)</f>
        <v/>
      </c>
      <c r="G206" s="13" t="str">
        <f t="shared" ref="G206:G229" si="95">IF(OR(D206="",M206=""),"",M206*(1-1/E206)+D206)</f>
        <v/>
      </c>
      <c r="H206" s="117"/>
      <c r="I206" s="148" t="str">
        <f ca="1">IF(E206="","",IF(1/E206&lt;$I$204,"BF","CL"))</f>
        <v/>
      </c>
      <c r="J206" s="13">
        <f t="shared" ref="J206:J229" ca="1" si="96">IF(I206="CL",F206,IF(I206="BF",G206,H206))</f>
        <v>0</v>
      </c>
      <c r="K206" s="44">
        <f t="shared" ref="K206:K229" si="97">IFERROR(IF(D206="",1,J206/D206),"")</f>
        <v>1</v>
      </c>
      <c r="M206" s="150"/>
      <c r="N206" s="13"/>
      <c r="O206" s="51">
        <f t="shared" ref="O206:O229" ca="1" si="98">IFERROR(J206/C206,"")</f>
        <v>0</v>
      </c>
      <c r="P206" s="1">
        <v>1</v>
      </c>
      <c r="Q206" s="52">
        <f ca="1">IFERROR(SUMPRODUCT($J$206:$J206,$P$206:$P206)/SUMPRODUCT($C$206:$C206,$P$206:$P206),"")</f>
        <v>0</v>
      </c>
    </row>
    <row r="207" spans="1:102" hidden="1" x14ac:dyDescent="0.25">
      <c r="A207" s="97">
        <f t="shared" si="91"/>
        <v>0</v>
      </c>
      <c r="B207" s="25">
        <f t="shared" si="92"/>
        <v>1997</v>
      </c>
      <c r="C207" s="84">
        <v>100000</v>
      </c>
      <c r="D207" s="13" t="str">
        <f t="shared" si="93"/>
        <v/>
      </c>
      <c r="E207" s="44" t="str">
        <f t="shared" ca="1" si="94"/>
        <v/>
      </c>
      <c r="F207" s="175" t="str">
        <f t="shared" ref="F207:F219" si="99">IF(D207="","",D207*E207)</f>
        <v/>
      </c>
      <c r="G207" s="13" t="str">
        <f t="shared" ca="1" si="95"/>
        <v/>
      </c>
      <c r="H207" s="117"/>
      <c r="I207" s="148" t="str">
        <f t="shared" ref="I207:I229" ca="1" si="100">IF(E207="","",IF(1/E207&lt;$I$204,"BF","CL"))</f>
        <v/>
      </c>
      <c r="J207" s="13">
        <f t="shared" ca="1" si="96"/>
        <v>0</v>
      </c>
      <c r="K207" s="44">
        <f t="shared" si="97"/>
        <v>1</v>
      </c>
      <c r="M207" s="151" t="str">
        <f ca="1">IF((COUNTA($C$206:C206)-COUNTBLANK($C$206:C206))&lt;$M$204,"",SUM(OFFSET(J206,-$M$204+1,0,$M$204,1))/SUM(OFFSET(C206,-$M$204+1,0,$M$204,1))*C207)</f>
        <v/>
      </c>
      <c r="N207" s="13"/>
      <c r="O207" s="51">
        <f t="shared" ca="1" si="98"/>
        <v>0</v>
      </c>
      <c r="P207" s="1">
        <v>1</v>
      </c>
      <c r="Q207" s="52">
        <f ca="1">IFERROR(SUMPRODUCT($J$206:$J207,$P$206:$P207)/SUMPRODUCT($C$206:$C207,$P$206:$P207),"")</f>
        <v>0</v>
      </c>
    </row>
    <row r="208" spans="1:102" hidden="1" x14ac:dyDescent="0.25">
      <c r="A208" s="97">
        <f t="shared" si="91"/>
        <v>0</v>
      </c>
      <c r="B208" s="25">
        <f t="shared" si="92"/>
        <v>1998</v>
      </c>
      <c r="C208" s="84">
        <v>100000</v>
      </c>
      <c r="D208" s="13" t="str">
        <f t="shared" si="93"/>
        <v/>
      </c>
      <c r="E208" s="44" t="str">
        <f t="shared" ca="1" si="94"/>
        <v/>
      </c>
      <c r="F208" s="175" t="str">
        <f t="shared" si="99"/>
        <v/>
      </c>
      <c r="G208" s="13" t="str">
        <f t="shared" ca="1" si="95"/>
        <v/>
      </c>
      <c r="H208" s="117"/>
      <c r="I208" s="148" t="str">
        <f t="shared" ca="1" si="100"/>
        <v/>
      </c>
      <c r="J208" s="13">
        <f t="shared" ca="1" si="96"/>
        <v>0</v>
      </c>
      <c r="K208" s="44">
        <f t="shared" si="97"/>
        <v>1</v>
      </c>
      <c r="M208" s="151" t="str">
        <f ca="1">IF((COUNTA($C$206:C207)-COUNTBLANK($C$206:C207))&lt;$M$204,"",SUM(OFFSET(J207,-$M$204+1,0,$M$204,1))/SUM(OFFSET(C207,-$M$204+1,0,$M$204,1))*C208)</f>
        <v/>
      </c>
      <c r="N208" s="13"/>
      <c r="O208" s="51">
        <f t="shared" ca="1" si="98"/>
        <v>0</v>
      </c>
      <c r="P208" s="1">
        <v>1</v>
      </c>
      <c r="Q208" s="52">
        <f ca="1">IFERROR(SUMPRODUCT($J$206:$J208,$P$206:$P208)/SUMPRODUCT($C$206:$C208,$P$206:$P208),"")</f>
        <v>0</v>
      </c>
    </row>
    <row r="209" spans="1:17" hidden="1" x14ac:dyDescent="0.25">
      <c r="A209" s="97">
        <f t="shared" si="91"/>
        <v>0</v>
      </c>
      <c r="B209" s="25">
        <f t="shared" si="92"/>
        <v>1999</v>
      </c>
      <c r="C209" s="84">
        <v>100000</v>
      </c>
      <c r="D209" s="13" t="str">
        <f t="shared" si="93"/>
        <v/>
      </c>
      <c r="E209" s="44" t="str">
        <f t="shared" ca="1" si="94"/>
        <v/>
      </c>
      <c r="F209" s="175" t="str">
        <f t="shared" si="99"/>
        <v/>
      </c>
      <c r="G209" s="13" t="str">
        <f t="shared" ca="1" si="95"/>
        <v/>
      </c>
      <c r="H209" s="117"/>
      <c r="I209" s="148" t="str">
        <f t="shared" ca="1" si="100"/>
        <v/>
      </c>
      <c r="J209" s="13">
        <f t="shared" ca="1" si="96"/>
        <v>0</v>
      </c>
      <c r="K209" s="44">
        <f t="shared" si="97"/>
        <v>1</v>
      </c>
      <c r="M209" s="151">
        <f ca="1">IF((COUNTA($C$206:C208)-COUNTBLANK($C$206:C208))&lt;$M$204,"",SUM(OFFSET(J208,-$M$204+1,0,$M$204,1))/SUM(OFFSET(C208,-$M$204+1,0,$M$204,1))*C209)</f>
        <v>0</v>
      </c>
      <c r="N209" s="13"/>
      <c r="O209" s="51">
        <f t="shared" ca="1" si="98"/>
        <v>0</v>
      </c>
      <c r="P209" s="1">
        <v>1</v>
      </c>
      <c r="Q209" s="52">
        <f ca="1">IFERROR(SUMPRODUCT($J$206:$J209,$P$206:$P209)/SUMPRODUCT($C$206:$C209,$P$206:$P209),"")</f>
        <v>0</v>
      </c>
    </row>
    <row r="210" spans="1:17" x14ac:dyDescent="0.25">
      <c r="A210" s="97">
        <f t="shared" si="91"/>
        <v>0</v>
      </c>
      <c r="B210" s="25">
        <f t="shared" si="92"/>
        <v>2000</v>
      </c>
      <c r="C210" s="84">
        <v>100000</v>
      </c>
      <c r="D210" s="13" t="str">
        <f t="shared" si="93"/>
        <v/>
      </c>
      <c r="E210" s="44" t="str">
        <f t="shared" ca="1" si="94"/>
        <v/>
      </c>
      <c r="F210" s="175" t="str">
        <f t="shared" si="99"/>
        <v/>
      </c>
      <c r="G210" s="13" t="str">
        <f t="shared" ca="1" si="95"/>
        <v/>
      </c>
      <c r="H210" s="117"/>
      <c r="I210" s="148" t="str">
        <f t="shared" ca="1" si="100"/>
        <v/>
      </c>
      <c r="J210" s="13">
        <f t="shared" ca="1" si="96"/>
        <v>0</v>
      </c>
      <c r="K210" s="44">
        <f t="shared" si="97"/>
        <v>1</v>
      </c>
      <c r="M210" s="151">
        <f ca="1">IF((COUNTA($C$206:C209)-COUNTBLANK($C$206:C209))&lt;$M$204,"",SUM(OFFSET(J209,-$M$204+1,0,$M$204,1))/SUM(OFFSET(C209,-$M$204+1,0,$M$204,1))*C210)</f>
        <v>0</v>
      </c>
      <c r="N210" s="13"/>
      <c r="O210" s="51">
        <f t="shared" ca="1" si="98"/>
        <v>0</v>
      </c>
      <c r="P210" s="1">
        <v>1</v>
      </c>
      <c r="Q210" s="52">
        <f ca="1">IFERROR(SUMPRODUCT($J$206:$J210,$P$206:$P210)/SUMPRODUCT($C$206:$C210,$P$206:$P210),"")</f>
        <v>0</v>
      </c>
    </row>
    <row r="211" spans="1:17" x14ac:dyDescent="0.25">
      <c r="A211" s="97">
        <f t="shared" si="91"/>
        <v>0</v>
      </c>
      <c r="B211" s="25">
        <f t="shared" si="92"/>
        <v>2001</v>
      </c>
      <c r="C211" s="84">
        <v>100000</v>
      </c>
      <c r="D211" s="13" t="str">
        <f t="shared" si="93"/>
        <v/>
      </c>
      <c r="E211" s="44" t="str">
        <f t="shared" ca="1" si="94"/>
        <v/>
      </c>
      <c r="F211" s="175" t="str">
        <f t="shared" si="99"/>
        <v/>
      </c>
      <c r="G211" s="13" t="str">
        <f t="shared" ca="1" si="95"/>
        <v/>
      </c>
      <c r="H211" s="117"/>
      <c r="I211" s="148" t="str">
        <f t="shared" ca="1" si="100"/>
        <v/>
      </c>
      <c r="J211" s="13">
        <f t="shared" ca="1" si="96"/>
        <v>0</v>
      </c>
      <c r="K211" s="44">
        <f t="shared" si="97"/>
        <v>1</v>
      </c>
      <c r="M211" s="151">
        <f ca="1">IF((COUNTA($C$206:C210)-COUNTBLANK($C$206:C210))&lt;$M$204,"",SUM(OFFSET(J210,-$M$204+1,0,$M$204,1))/SUM(OFFSET(C210,-$M$204+1,0,$M$204,1))*C211)</f>
        <v>0</v>
      </c>
      <c r="N211" s="13"/>
      <c r="O211" s="51">
        <f t="shared" ca="1" si="98"/>
        <v>0</v>
      </c>
      <c r="P211" s="1">
        <v>1</v>
      </c>
      <c r="Q211" s="52">
        <f ca="1">IFERROR(SUMPRODUCT($J$206:$J211,$P$206:$P211)/SUMPRODUCT($C$206:$C211,$P$206:$P211),"")</f>
        <v>0</v>
      </c>
    </row>
    <row r="212" spans="1:17" x14ac:dyDescent="0.25">
      <c r="A212" s="97">
        <f t="shared" si="91"/>
        <v>0</v>
      </c>
      <c r="B212" s="25">
        <f t="shared" si="92"/>
        <v>2002</v>
      </c>
      <c r="C212" s="84">
        <v>100000</v>
      </c>
      <c r="D212" s="13" t="str">
        <f t="shared" si="93"/>
        <v/>
      </c>
      <c r="E212" s="44" t="str">
        <f t="shared" ca="1" si="94"/>
        <v/>
      </c>
      <c r="F212" s="175" t="str">
        <f t="shared" si="99"/>
        <v/>
      </c>
      <c r="G212" s="13" t="str">
        <f t="shared" ca="1" si="95"/>
        <v/>
      </c>
      <c r="H212" s="117"/>
      <c r="I212" s="148" t="str">
        <f t="shared" ca="1" si="100"/>
        <v/>
      </c>
      <c r="J212" s="13">
        <f t="shared" ca="1" si="96"/>
        <v>0</v>
      </c>
      <c r="K212" s="44">
        <f t="shared" si="97"/>
        <v>1</v>
      </c>
      <c r="M212" s="151">
        <f ca="1">IF((COUNTA($C$206:C211)-COUNTBLANK($C$206:C211))&lt;$M$204,"",SUM(OFFSET(J211,-$M$204+1,0,$M$204,1))/SUM(OFFSET(C211,-$M$204+1,0,$M$204,1))*C212)</f>
        <v>0</v>
      </c>
      <c r="N212" s="13"/>
      <c r="O212" s="51">
        <f t="shared" ca="1" si="98"/>
        <v>0</v>
      </c>
      <c r="P212" s="1">
        <v>1</v>
      </c>
      <c r="Q212" s="52">
        <f ca="1">IFERROR(SUMPRODUCT($J$206:$J212,$P$206:$P212)/SUMPRODUCT($C$206:$C212,$P$206:$P212),"")</f>
        <v>0</v>
      </c>
    </row>
    <row r="213" spans="1:17" x14ac:dyDescent="0.25">
      <c r="A213" s="97">
        <f t="shared" si="91"/>
        <v>0</v>
      </c>
      <c r="B213" s="25">
        <f t="shared" si="92"/>
        <v>2003</v>
      </c>
      <c r="C213" s="84">
        <v>100000</v>
      </c>
      <c r="D213" s="13" t="str">
        <f t="shared" si="93"/>
        <v/>
      </c>
      <c r="E213" s="44" t="str">
        <f t="shared" ca="1" si="94"/>
        <v/>
      </c>
      <c r="F213" s="175" t="str">
        <f t="shared" si="99"/>
        <v/>
      </c>
      <c r="G213" s="13" t="str">
        <f t="shared" ca="1" si="95"/>
        <v/>
      </c>
      <c r="H213" s="117"/>
      <c r="I213" s="148" t="str">
        <f t="shared" ca="1" si="100"/>
        <v/>
      </c>
      <c r="J213" s="13">
        <f t="shared" ca="1" si="96"/>
        <v>0</v>
      </c>
      <c r="K213" s="44">
        <f t="shared" si="97"/>
        <v>1</v>
      </c>
      <c r="M213" s="151">
        <f ca="1">IF((COUNTA($C$206:C212)-COUNTBLANK($C$206:C212))&lt;$M$204,"",SUM(OFFSET(J212,-$M$204+1,0,$M$204,1))/SUM(OFFSET(C212,-$M$204+1,0,$M$204,1))*C213)</f>
        <v>0</v>
      </c>
      <c r="N213" s="13"/>
      <c r="O213" s="51">
        <f t="shared" ca="1" si="98"/>
        <v>0</v>
      </c>
      <c r="P213" s="1">
        <v>1</v>
      </c>
      <c r="Q213" s="52">
        <f ca="1">IFERROR(SUMPRODUCT($J$206:$J213,$P$206:$P213)/SUMPRODUCT($C$206:$C213,$P$206:$P213),"")</f>
        <v>0</v>
      </c>
    </row>
    <row r="214" spans="1:17" x14ac:dyDescent="0.25">
      <c r="A214" s="97">
        <f t="shared" si="91"/>
        <v>0</v>
      </c>
      <c r="B214" s="25">
        <f t="shared" si="92"/>
        <v>2004</v>
      </c>
      <c r="C214" s="84">
        <v>100000</v>
      </c>
      <c r="D214" s="13" t="str">
        <f t="shared" si="93"/>
        <v/>
      </c>
      <c r="E214" s="44" t="str">
        <f t="shared" ca="1" si="94"/>
        <v/>
      </c>
      <c r="F214" s="175" t="str">
        <f t="shared" si="99"/>
        <v/>
      </c>
      <c r="G214" s="13" t="str">
        <f t="shared" ca="1" si="95"/>
        <v/>
      </c>
      <c r="H214" s="117"/>
      <c r="I214" s="148" t="str">
        <f t="shared" ca="1" si="100"/>
        <v/>
      </c>
      <c r="J214" s="13">
        <f t="shared" ca="1" si="96"/>
        <v>0</v>
      </c>
      <c r="K214" s="44">
        <f t="shared" si="97"/>
        <v>1</v>
      </c>
      <c r="M214" s="151">
        <f ca="1">IF((COUNTA($C$206:C213)-COUNTBLANK($C$206:C213))&lt;$M$204,"",SUM(OFFSET(J213,-$M$204+1,0,$M$204,1))/SUM(OFFSET(C213,-$M$204+1,0,$M$204,1))*C214)</f>
        <v>0</v>
      </c>
      <c r="N214" s="13"/>
      <c r="O214" s="51">
        <f t="shared" ca="1" si="98"/>
        <v>0</v>
      </c>
      <c r="P214" s="1">
        <v>1</v>
      </c>
      <c r="Q214" s="52">
        <f ca="1">IFERROR(SUMPRODUCT($J$206:$J214,$P$206:$P214)/SUMPRODUCT($C$206:$C214,$P$206:$P214),"")</f>
        <v>0</v>
      </c>
    </row>
    <row r="215" spans="1:17" x14ac:dyDescent="0.25">
      <c r="A215" s="97">
        <f t="shared" si="91"/>
        <v>0</v>
      </c>
      <c r="B215" s="25">
        <f t="shared" si="92"/>
        <v>2005</v>
      </c>
      <c r="C215" s="84">
        <v>100000</v>
      </c>
      <c r="D215" s="13" t="str">
        <f t="shared" si="93"/>
        <v/>
      </c>
      <c r="E215" s="44" t="str">
        <f t="shared" ca="1" si="94"/>
        <v/>
      </c>
      <c r="F215" s="175" t="str">
        <f t="shared" si="99"/>
        <v/>
      </c>
      <c r="G215" s="13" t="str">
        <f t="shared" ca="1" si="95"/>
        <v/>
      </c>
      <c r="H215" s="117"/>
      <c r="I215" s="148" t="str">
        <f t="shared" ca="1" si="100"/>
        <v/>
      </c>
      <c r="J215" s="13">
        <f t="shared" ca="1" si="96"/>
        <v>0</v>
      </c>
      <c r="K215" s="44">
        <f t="shared" si="97"/>
        <v>1</v>
      </c>
      <c r="M215" s="151">
        <f ca="1">IF((COUNTA($C$206:C214)-COUNTBLANK($C$206:C214))&lt;$M$204,"",SUM(OFFSET(J214,-$M$204+1,0,$M$204,1))/SUM(OFFSET(C214,-$M$204+1,0,$M$204,1))*C215)</f>
        <v>0</v>
      </c>
      <c r="N215" s="13"/>
      <c r="O215" s="51">
        <f t="shared" ca="1" si="98"/>
        <v>0</v>
      </c>
      <c r="P215" s="1">
        <v>1</v>
      </c>
      <c r="Q215" s="52">
        <f ca="1">IFERROR(SUMPRODUCT($J$206:$J215,$P$206:$P215)/SUMPRODUCT($C$206:$C215,$P$206:$P215),"")</f>
        <v>0</v>
      </c>
    </row>
    <row r="216" spans="1:17" x14ac:dyDescent="0.25">
      <c r="A216" s="97">
        <f t="shared" si="91"/>
        <v>0</v>
      </c>
      <c r="B216" s="25">
        <f t="shared" si="92"/>
        <v>2006</v>
      </c>
      <c r="C216" s="84">
        <v>100000</v>
      </c>
      <c r="D216" s="13" t="str">
        <f t="shared" si="93"/>
        <v/>
      </c>
      <c r="E216" s="44" t="str">
        <f t="shared" ca="1" si="94"/>
        <v/>
      </c>
      <c r="F216" s="175" t="str">
        <f t="shared" si="99"/>
        <v/>
      </c>
      <c r="G216" s="13" t="str">
        <f t="shared" ca="1" si="95"/>
        <v/>
      </c>
      <c r="H216" s="117"/>
      <c r="I216" s="148" t="str">
        <f t="shared" ca="1" si="100"/>
        <v/>
      </c>
      <c r="J216" s="13">
        <f t="shared" ca="1" si="96"/>
        <v>0</v>
      </c>
      <c r="K216" s="44">
        <f t="shared" si="97"/>
        <v>1</v>
      </c>
      <c r="M216" s="151">
        <f ca="1">IF((COUNTA($C$206:C215)-COUNTBLANK($C$206:C215))&lt;$M$204,"",SUM(OFFSET(J215,-$M$204+1,0,$M$204,1))/SUM(OFFSET(C215,-$M$204+1,0,$M$204,1))*C216)</f>
        <v>0</v>
      </c>
      <c r="N216" s="13"/>
      <c r="O216" s="51">
        <f t="shared" ca="1" si="98"/>
        <v>0</v>
      </c>
      <c r="P216" s="1">
        <v>1</v>
      </c>
      <c r="Q216" s="52">
        <f ca="1">IFERROR(SUMPRODUCT($J$206:$J216,$P$206:$P216)/SUMPRODUCT($C$206:$C216,$P$206:$P216),"")</f>
        <v>0</v>
      </c>
    </row>
    <row r="217" spans="1:17" x14ac:dyDescent="0.25">
      <c r="A217" s="97">
        <f t="shared" si="91"/>
        <v>0</v>
      </c>
      <c r="B217" s="25">
        <f t="shared" si="92"/>
        <v>2007</v>
      </c>
      <c r="C217" s="84">
        <v>100000</v>
      </c>
      <c r="D217" s="13" t="str">
        <f t="shared" si="93"/>
        <v/>
      </c>
      <c r="E217" s="44" t="str">
        <f t="shared" ca="1" si="94"/>
        <v/>
      </c>
      <c r="F217" s="175" t="str">
        <f t="shared" si="99"/>
        <v/>
      </c>
      <c r="G217" s="13" t="str">
        <f t="shared" ca="1" si="95"/>
        <v/>
      </c>
      <c r="H217" s="117"/>
      <c r="I217" s="148" t="str">
        <f t="shared" ca="1" si="100"/>
        <v/>
      </c>
      <c r="J217" s="13">
        <f t="shared" ca="1" si="96"/>
        <v>0</v>
      </c>
      <c r="K217" s="44">
        <f t="shared" si="97"/>
        <v>1</v>
      </c>
      <c r="M217" s="151">
        <f ca="1">IF((COUNTA($C$206:C216)-COUNTBLANK($C$206:C216))&lt;$M$204,"",SUM(OFFSET(J216,-$M$204+1,0,$M$204,1))/SUM(OFFSET(C216,-$M$204+1,0,$M$204,1))*C217)</f>
        <v>0</v>
      </c>
      <c r="N217" s="13"/>
      <c r="O217" s="51">
        <f t="shared" ca="1" si="98"/>
        <v>0</v>
      </c>
      <c r="P217" s="1">
        <v>1</v>
      </c>
      <c r="Q217" s="52">
        <f ca="1">IFERROR(SUMPRODUCT($J$206:$J217,$P$206:$P217)/SUMPRODUCT($C$206:$C217,$P$206:$P217),"")</f>
        <v>0</v>
      </c>
    </row>
    <row r="218" spans="1:17" x14ac:dyDescent="0.25">
      <c r="A218" s="97">
        <f t="shared" si="91"/>
        <v>0</v>
      </c>
      <c r="B218" s="25">
        <f t="shared" si="92"/>
        <v>2008</v>
      </c>
      <c r="C218" s="84">
        <v>100000</v>
      </c>
      <c r="D218" s="13" t="str">
        <f t="shared" si="93"/>
        <v/>
      </c>
      <c r="E218" s="44" t="str">
        <f t="shared" ca="1" si="94"/>
        <v/>
      </c>
      <c r="F218" s="175" t="str">
        <f t="shared" si="99"/>
        <v/>
      </c>
      <c r="G218" s="13" t="str">
        <f t="shared" ca="1" si="95"/>
        <v/>
      </c>
      <c r="H218" s="117"/>
      <c r="I218" s="148" t="str">
        <f t="shared" ca="1" si="100"/>
        <v/>
      </c>
      <c r="J218" s="13">
        <f t="shared" ca="1" si="96"/>
        <v>0</v>
      </c>
      <c r="K218" s="44">
        <f t="shared" si="97"/>
        <v>1</v>
      </c>
      <c r="M218" s="151">
        <f ca="1">IF((COUNTA($C$206:C217)-COUNTBLANK($C$206:C217))&lt;$M$204,"",SUM(OFFSET(J217,-$M$204+1,0,$M$204,1))/SUM(OFFSET(C217,-$M$204+1,0,$M$204,1))*C218)</f>
        <v>0</v>
      </c>
      <c r="N218" s="13"/>
      <c r="O218" s="51">
        <f t="shared" ca="1" si="98"/>
        <v>0</v>
      </c>
      <c r="P218" s="1">
        <v>1</v>
      </c>
      <c r="Q218" s="52">
        <f ca="1">IFERROR(SUMPRODUCT($J$206:$J218,$P$206:$P218)/SUMPRODUCT($C$206:$C218,$P$206:$P218),"")</f>
        <v>0</v>
      </c>
    </row>
    <row r="219" spans="1:17" x14ac:dyDescent="0.25">
      <c r="A219" s="97">
        <f t="shared" si="91"/>
        <v>0</v>
      </c>
      <c r="B219" s="25">
        <f t="shared" si="92"/>
        <v>2009</v>
      </c>
      <c r="C219" s="84">
        <v>100000</v>
      </c>
      <c r="D219" s="13" t="str">
        <f t="shared" si="93"/>
        <v/>
      </c>
      <c r="E219" s="44" t="str">
        <f t="shared" ca="1" si="94"/>
        <v/>
      </c>
      <c r="F219" s="175" t="str">
        <f t="shared" si="99"/>
        <v/>
      </c>
      <c r="G219" s="13" t="str">
        <f t="shared" ca="1" si="95"/>
        <v/>
      </c>
      <c r="H219" s="117"/>
      <c r="I219" s="148" t="str">
        <f t="shared" ca="1" si="100"/>
        <v/>
      </c>
      <c r="J219" s="13">
        <f t="shared" ca="1" si="96"/>
        <v>0</v>
      </c>
      <c r="K219" s="44">
        <f t="shared" si="97"/>
        <v>1</v>
      </c>
      <c r="M219" s="151">
        <f ca="1">IF((COUNTA($C$206:C218)-COUNTBLANK($C$206:C218))&lt;$M$204,"",SUM(OFFSET(J218,-$M$204+1,0,$M$204,1))/SUM(OFFSET(C218,-$M$204+1,0,$M$204,1))*C219)</f>
        <v>0</v>
      </c>
      <c r="N219" s="13"/>
      <c r="O219" s="51">
        <f t="shared" ca="1" si="98"/>
        <v>0</v>
      </c>
      <c r="P219" s="1">
        <v>1</v>
      </c>
      <c r="Q219" s="52">
        <f ca="1">IFERROR(SUMPRODUCT($J$206:$J219,$P$206:$P219)/SUMPRODUCT($C$206:$C219,$P$206:$P219),"")</f>
        <v>0</v>
      </c>
    </row>
    <row r="220" spans="1:17" x14ac:dyDescent="0.25">
      <c r="A220" s="97">
        <f t="shared" si="91"/>
        <v>1</v>
      </c>
      <c r="B220" s="25">
        <f t="shared" si="92"/>
        <v>2010</v>
      </c>
      <c r="C220" s="84">
        <v>100000</v>
      </c>
      <c r="D220" s="13">
        <f t="shared" ca="1" si="93"/>
        <v>6</v>
      </c>
      <c r="E220" s="44">
        <f t="shared" ca="1" si="94"/>
        <v>1</v>
      </c>
      <c r="F220" s="175">
        <f ca="1">IF(D220="","",D220*E220)</f>
        <v>6</v>
      </c>
      <c r="G220" s="13">
        <f t="shared" ca="1" si="95"/>
        <v>6</v>
      </c>
      <c r="H220" s="117"/>
      <c r="I220" s="148" t="str">
        <f t="shared" ca="1" si="100"/>
        <v>CL</v>
      </c>
      <c r="J220" s="13">
        <f t="shared" ca="1" si="96"/>
        <v>6</v>
      </c>
      <c r="K220" s="44">
        <f t="shared" ca="1" si="97"/>
        <v>1</v>
      </c>
      <c r="M220" s="151">
        <f ca="1">IF((COUNTA($C$206:C219)-COUNTBLANK($C$206:C219))&lt;$M$204,"",SUM(OFFSET(J219,-$M$204+1,0,$M$204,1))/SUM(OFFSET(C219,-$M$204+1,0,$M$204,1))*C220)</f>
        <v>0</v>
      </c>
      <c r="N220" s="13"/>
      <c r="O220" s="51">
        <f t="shared" ca="1" si="98"/>
        <v>6.0000000000000002E-5</v>
      </c>
      <c r="P220" s="1">
        <v>1</v>
      </c>
      <c r="Q220" s="52">
        <f ca="1">IFERROR(SUMPRODUCT($J$206:$J220,$P$206:$P220)/SUMPRODUCT($C$206:$C220,$P$206:$P220),"")</f>
        <v>3.9999999999999998E-6</v>
      </c>
    </row>
    <row r="221" spans="1:17" x14ac:dyDescent="0.25">
      <c r="A221" s="97">
        <f t="shared" si="91"/>
        <v>1</v>
      </c>
      <c r="B221" s="25">
        <f t="shared" si="92"/>
        <v>2011</v>
      </c>
      <c r="C221" s="84">
        <v>100000</v>
      </c>
      <c r="D221" s="13">
        <f t="shared" ca="1" si="93"/>
        <v>5</v>
      </c>
      <c r="E221" s="44">
        <f t="shared" ca="1" si="94"/>
        <v>1</v>
      </c>
      <c r="F221" s="175">
        <f t="shared" ref="F221:F229" ca="1" si="101">IF(D221="","",D221*E221)</f>
        <v>5</v>
      </c>
      <c r="G221" s="13">
        <f t="shared" ca="1" si="95"/>
        <v>5</v>
      </c>
      <c r="H221" s="117"/>
      <c r="I221" s="148" t="str">
        <f t="shared" ca="1" si="100"/>
        <v>CL</v>
      </c>
      <c r="J221" s="13">
        <f t="shared" ca="1" si="96"/>
        <v>5</v>
      </c>
      <c r="K221" s="44">
        <f t="shared" ca="1" si="97"/>
        <v>1</v>
      </c>
      <c r="M221" s="151">
        <f ca="1">IF((COUNTA($C$206:C220)-COUNTBLANK($C$206:C220))&lt;$M$204,"",SUM(OFFSET(J220,-$M$204+1,0,$M$204,1))/SUM(OFFSET(C220,-$M$204+1,0,$M$204,1))*C221)</f>
        <v>2</v>
      </c>
      <c r="N221" s="13"/>
      <c r="O221" s="51">
        <f t="shared" ca="1" si="98"/>
        <v>5.0000000000000002E-5</v>
      </c>
      <c r="P221" s="1">
        <v>1</v>
      </c>
      <c r="Q221" s="52">
        <f ca="1">IFERROR(SUMPRODUCT($J$206:$J221,$P$206:$P221)/SUMPRODUCT($C$206:$C221,$P$206:$P221),"")</f>
        <v>6.8750000000000002E-6</v>
      </c>
    </row>
    <row r="222" spans="1:17" x14ac:dyDescent="0.25">
      <c r="A222" s="97">
        <f t="shared" si="91"/>
        <v>1</v>
      </c>
      <c r="B222" s="25">
        <f t="shared" si="92"/>
        <v>2012</v>
      </c>
      <c r="C222" s="84">
        <v>100000</v>
      </c>
      <c r="D222" s="13">
        <f t="shared" ca="1" si="93"/>
        <v>3</v>
      </c>
      <c r="E222" s="44">
        <f t="shared" ca="1" si="94"/>
        <v>1</v>
      </c>
      <c r="F222" s="175">
        <f t="shared" ca="1" si="101"/>
        <v>3</v>
      </c>
      <c r="G222" s="13">
        <f t="shared" ca="1" si="95"/>
        <v>3</v>
      </c>
      <c r="H222" s="117"/>
      <c r="I222" s="148" t="str">
        <f t="shared" ca="1" si="100"/>
        <v>CL</v>
      </c>
      <c r="J222" s="13">
        <f t="shared" ca="1" si="96"/>
        <v>3</v>
      </c>
      <c r="K222" s="44">
        <f t="shared" ca="1" si="97"/>
        <v>1</v>
      </c>
      <c r="M222" s="151">
        <f ca="1">IF((COUNTA($C$206:C221)-COUNTBLANK($C$206:C221))&lt;$M$204,"",SUM(OFFSET(J221,-$M$204+1,0,$M$204,1))/SUM(OFFSET(C221,-$M$204+1,0,$M$204,1))*C222)</f>
        <v>3.6666666666666665</v>
      </c>
      <c r="N222" s="13"/>
      <c r="O222" s="51">
        <f t="shared" ca="1" si="98"/>
        <v>3.0000000000000001E-5</v>
      </c>
      <c r="P222" s="1">
        <v>1</v>
      </c>
      <c r="Q222" s="52">
        <f ca="1">IFERROR(SUMPRODUCT($J$206:$J222,$P$206:$P222)/SUMPRODUCT($C$206:$C222,$P$206:$P222),"")</f>
        <v>8.2352941176470581E-6</v>
      </c>
    </row>
    <row r="223" spans="1:17" x14ac:dyDescent="0.25">
      <c r="A223" s="97">
        <f t="shared" si="91"/>
        <v>1</v>
      </c>
      <c r="B223" s="25">
        <f t="shared" si="92"/>
        <v>2013</v>
      </c>
      <c r="C223" s="84">
        <v>100000</v>
      </c>
      <c r="D223" s="13">
        <f t="shared" ca="1" si="93"/>
        <v>0</v>
      </c>
      <c r="E223" s="44">
        <f t="shared" ca="1" si="94"/>
        <v>1</v>
      </c>
      <c r="F223" s="175">
        <f t="shared" ca="1" si="101"/>
        <v>0</v>
      </c>
      <c r="G223" s="13">
        <f t="shared" ca="1" si="95"/>
        <v>0</v>
      </c>
      <c r="H223" s="117"/>
      <c r="I223" s="148" t="str">
        <f t="shared" ca="1" si="100"/>
        <v>CL</v>
      </c>
      <c r="J223" s="13">
        <f t="shared" ca="1" si="96"/>
        <v>0</v>
      </c>
      <c r="K223" s="44" t="str">
        <f t="shared" ca="1" si="97"/>
        <v/>
      </c>
      <c r="M223" s="151">
        <f ca="1">IF((COUNTA($C$206:C222)-COUNTBLANK($C$206:C222))&lt;$M$204,"",SUM(OFFSET(J222,-$M$204+1,0,$M$204,1))/SUM(OFFSET(C222,-$M$204+1,0,$M$204,1))*C223)</f>
        <v>4.6666666666666661</v>
      </c>
      <c r="N223" s="13"/>
      <c r="O223" s="51">
        <f t="shared" ca="1" si="98"/>
        <v>0</v>
      </c>
      <c r="P223" s="1">
        <v>1</v>
      </c>
      <c r="Q223" s="52">
        <f ca="1">IFERROR(SUMPRODUCT($J$206:$J223,$P$206:$P223)/SUMPRODUCT($C$206:$C223,$P$206:$P223),"")</f>
        <v>7.7777777777777775E-6</v>
      </c>
    </row>
    <row r="224" spans="1:17" x14ac:dyDescent="0.25">
      <c r="A224" s="97">
        <f t="shared" si="91"/>
        <v>1</v>
      </c>
      <c r="B224" s="25">
        <f t="shared" si="92"/>
        <v>2014</v>
      </c>
      <c r="C224" s="84">
        <v>100000</v>
      </c>
      <c r="D224" s="13">
        <f t="shared" ca="1" si="93"/>
        <v>1</v>
      </c>
      <c r="E224" s="44">
        <f t="shared" ca="1" si="94"/>
        <v>1</v>
      </c>
      <c r="F224" s="175">
        <f t="shared" ca="1" si="101"/>
        <v>1</v>
      </c>
      <c r="G224" s="13">
        <f t="shared" ca="1" si="95"/>
        <v>1</v>
      </c>
      <c r="H224" s="117"/>
      <c r="I224" s="148" t="str">
        <f t="shared" ca="1" si="100"/>
        <v>CL</v>
      </c>
      <c r="J224" s="13">
        <f t="shared" ca="1" si="96"/>
        <v>1</v>
      </c>
      <c r="K224" s="44">
        <f t="shared" ca="1" si="97"/>
        <v>1</v>
      </c>
      <c r="M224" s="151">
        <f ca="1">IF((COUNTA($C$206:C223)-COUNTBLANK($C$206:C223))&lt;$M$204,"",SUM(OFFSET(J223,-$M$204+1,0,$M$204,1))/SUM(OFFSET(C223,-$M$204+1,0,$M$204,1))*C224)</f>
        <v>2.6666666666666665</v>
      </c>
      <c r="N224" s="13"/>
      <c r="O224" s="51">
        <f t="shared" ca="1" si="98"/>
        <v>1.0000000000000001E-5</v>
      </c>
      <c r="P224" s="1">
        <v>1</v>
      </c>
      <c r="Q224" s="52">
        <f ca="1">IFERROR(SUMPRODUCT($J$206:$J224,$P$206:$P224)/SUMPRODUCT($C$206:$C224,$P$206:$P224),"")</f>
        <v>7.8947368421052629E-6</v>
      </c>
    </row>
    <row r="225" spans="1:101" x14ac:dyDescent="0.25">
      <c r="A225" s="97">
        <f t="shared" si="91"/>
        <v>1</v>
      </c>
      <c r="B225" s="25">
        <f t="shared" si="92"/>
        <v>2015</v>
      </c>
      <c r="C225" s="84">
        <v>100000</v>
      </c>
      <c r="D225" s="13">
        <f t="shared" ca="1" si="93"/>
        <v>0</v>
      </c>
      <c r="E225" s="44">
        <f t="shared" ca="1" si="94"/>
        <v>1</v>
      </c>
      <c r="F225" s="175">
        <f t="shared" ca="1" si="101"/>
        <v>0</v>
      </c>
      <c r="G225" s="13">
        <f t="shared" ca="1" si="95"/>
        <v>0</v>
      </c>
      <c r="H225" s="117"/>
      <c r="I225" s="148" t="str">
        <f t="shared" ca="1" si="100"/>
        <v>CL</v>
      </c>
      <c r="J225" s="13">
        <f t="shared" ca="1" si="96"/>
        <v>0</v>
      </c>
      <c r="K225" s="44" t="str">
        <f t="shared" ca="1" si="97"/>
        <v/>
      </c>
      <c r="M225" s="151">
        <f ca="1">IF((COUNTA($C$206:C224)-COUNTBLANK($C$206:C224))&lt;$M$204,"",SUM(OFFSET(J224,-$M$204+1,0,$M$204,1))/SUM(OFFSET(C224,-$M$204+1,0,$M$204,1))*C225)</f>
        <v>1.3333333333333333</v>
      </c>
      <c r="N225" s="13"/>
      <c r="O225" s="51">
        <f t="shared" ca="1" si="98"/>
        <v>0</v>
      </c>
      <c r="P225" s="1">
        <v>1</v>
      </c>
      <c r="Q225" s="52">
        <f ca="1">IFERROR(SUMPRODUCT($J$206:$J225,$P$206:$P225)/SUMPRODUCT($C$206:$C225,$P$206:$P225),"")</f>
        <v>7.5000000000000002E-6</v>
      </c>
    </row>
    <row r="226" spans="1:101" x14ac:dyDescent="0.25">
      <c r="A226" s="97">
        <f t="shared" si="91"/>
        <v>1</v>
      </c>
      <c r="B226" s="25">
        <f t="shared" si="92"/>
        <v>2016</v>
      </c>
      <c r="C226" s="84">
        <v>100000</v>
      </c>
      <c r="D226" s="13">
        <f t="shared" ca="1" si="93"/>
        <v>2</v>
      </c>
      <c r="E226" s="44">
        <f t="shared" ca="1" si="94"/>
        <v>1</v>
      </c>
      <c r="F226" s="175">
        <f t="shared" ca="1" si="101"/>
        <v>2</v>
      </c>
      <c r="G226" s="13">
        <f t="shared" ca="1" si="95"/>
        <v>2</v>
      </c>
      <c r="H226" s="117"/>
      <c r="I226" s="148" t="str">
        <f t="shared" ca="1" si="100"/>
        <v>CL</v>
      </c>
      <c r="J226" s="13">
        <f t="shared" ca="1" si="96"/>
        <v>2</v>
      </c>
      <c r="K226" s="44">
        <f t="shared" ca="1" si="97"/>
        <v>1</v>
      </c>
      <c r="M226" s="151">
        <f ca="1">IF((COUNTA($C$206:C225)-COUNTBLANK($C$206:C225))&lt;$M$204,"",SUM(OFFSET(J225,-$M$204+1,0,$M$204,1))/SUM(OFFSET(C225,-$M$204+1,0,$M$204,1))*C226)</f>
        <v>0.33333333333333331</v>
      </c>
      <c r="N226" s="13"/>
      <c r="O226" s="51">
        <f t="shared" ca="1" si="98"/>
        <v>2.0000000000000002E-5</v>
      </c>
      <c r="P226" s="1">
        <v>1</v>
      </c>
      <c r="Q226" s="52">
        <f ca="1">IFERROR(SUMPRODUCT($J$206:$J226,$P$206:$P226)/SUMPRODUCT($C$206:$C226,$P$206:$P226),"")</f>
        <v>8.0952380952380949E-6</v>
      </c>
    </row>
    <row r="227" spans="1:101" x14ac:dyDescent="0.25">
      <c r="A227" s="97">
        <f t="shared" si="91"/>
        <v>1</v>
      </c>
      <c r="B227" s="25">
        <f t="shared" si="92"/>
        <v>2017</v>
      </c>
      <c r="C227" s="84">
        <v>100000</v>
      </c>
      <c r="D227" s="13">
        <f t="shared" ca="1" si="93"/>
        <v>1</v>
      </c>
      <c r="E227" s="44">
        <f t="shared" ca="1" si="94"/>
        <v>1</v>
      </c>
      <c r="F227" s="175">
        <f t="shared" ca="1" si="101"/>
        <v>1</v>
      </c>
      <c r="G227" s="13">
        <f t="shared" ca="1" si="95"/>
        <v>1</v>
      </c>
      <c r="H227" s="117"/>
      <c r="I227" s="148" t="str">
        <f t="shared" ca="1" si="100"/>
        <v>CL</v>
      </c>
      <c r="J227" s="13">
        <f t="shared" ca="1" si="96"/>
        <v>1</v>
      </c>
      <c r="K227" s="44">
        <f t="shared" ca="1" si="97"/>
        <v>1</v>
      </c>
      <c r="M227" s="151">
        <f ca="1">IF((COUNTA($C$206:C226)-COUNTBLANK($C$206:C226))&lt;$M$204,"",SUM(OFFSET(J226,-$M$204+1,0,$M$204,1))/SUM(OFFSET(C226,-$M$204+1,0,$M$204,1))*C227)</f>
        <v>1</v>
      </c>
      <c r="N227" s="13"/>
      <c r="O227" s="51">
        <f t="shared" ca="1" si="98"/>
        <v>1.0000000000000001E-5</v>
      </c>
      <c r="P227" s="1">
        <v>1</v>
      </c>
      <c r="Q227" s="52">
        <f ca="1">IFERROR(SUMPRODUCT($J$206:$J227,$P$206:$P227)/SUMPRODUCT($C$206:$C227,$P$206:$P227),"")</f>
        <v>8.1818181818181813E-6</v>
      </c>
    </row>
    <row r="228" spans="1:101" x14ac:dyDescent="0.25">
      <c r="A228" s="97">
        <f t="shared" si="91"/>
        <v>1</v>
      </c>
      <c r="B228" s="25">
        <f t="shared" si="92"/>
        <v>2018</v>
      </c>
      <c r="C228" s="84">
        <v>100000</v>
      </c>
      <c r="D228" s="13">
        <f t="shared" ca="1" si="93"/>
        <v>1</v>
      </c>
      <c r="E228" s="44">
        <f t="shared" ca="1" si="94"/>
        <v>1.1333333333333333</v>
      </c>
      <c r="F228" s="175">
        <f ca="1">IF(D228="","",D228*E228)</f>
        <v>1.1333333333333333</v>
      </c>
      <c r="G228" s="13">
        <f t="shared" ca="1" si="95"/>
        <v>1.1176470588235294</v>
      </c>
      <c r="H228" s="117"/>
      <c r="I228" s="148" t="str">
        <f t="shared" ca="1" si="100"/>
        <v>CL</v>
      </c>
      <c r="J228" s="13">
        <f ca="1">IF(I228="CL",F228,IF(I228="BF",G228,H228))</f>
        <v>1.1333333333333333</v>
      </c>
      <c r="K228" s="44">
        <f t="shared" ca="1" si="97"/>
        <v>1.1333333333333333</v>
      </c>
      <c r="M228" s="151">
        <f ca="1">IF((COUNTA($C$206:C227)-COUNTBLANK($C$206:C227))&lt;$M$204,"",SUM(OFFSET(J227,-$M$204+1,0,$M$204,1))/SUM(OFFSET(C227,-$M$204+1,0,$M$204,1))*C228)</f>
        <v>1</v>
      </c>
      <c r="N228" s="13"/>
      <c r="O228" s="51">
        <f t="shared" ca="1" si="98"/>
        <v>1.1333333333333334E-5</v>
      </c>
      <c r="P228" s="1">
        <v>1</v>
      </c>
      <c r="Q228" s="52">
        <f ca="1">IFERROR(SUMPRODUCT($J$206:$J228,$P$206:$P228)/SUMPRODUCT($C$206:$C228,$P$206:$P228),"")</f>
        <v>8.3188405797101454E-6</v>
      </c>
    </row>
    <row r="229" spans="1:101" x14ac:dyDescent="0.25">
      <c r="A229" s="97">
        <f t="shared" si="91"/>
        <v>1</v>
      </c>
      <c r="B229" s="25">
        <f>D9</f>
        <v>2019</v>
      </c>
      <c r="C229" s="84">
        <v>100000</v>
      </c>
      <c r="D229" s="13">
        <f t="shared" ca="1" si="93"/>
        <v>0</v>
      </c>
      <c r="E229" s="44">
        <f ca="1">IF(C65=1,OFFSET($C$199,0,CT65),"")</f>
        <v>2.2666666666666666</v>
      </c>
      <c r="F229" s="175">
        <f t="shared" ca="1" si="101"/>
        <v>0</v>
      </c>
      <c r="G229" s="13">
        <f t="shared" ca="1" si="95"/>
        <v>0.76993464052287575</v>
      </c>
      <c r="H229" s="117"/>
      <c r="I229" s="148" t="str">
        <f t="shared" ca="1" si="100"/>
        <v>BF</v>
      </c>
      <c r="J229" s="13">
        <f t="shared" ca="1" si="96"/>
        <v>0.76993464052287575</v>
      </c>
      <c r="K229" s="44" t="str">
        <f t="shared" ca="1" si="97"/>
        <v/>
      </c>
      <c r="M229" s="151">
        <f ca="1">IF((COUNTA($C$206:C228)-COUNTBLANK($C$206:C228))&lt;$M$204,"",SUM(OFFSET(J228,-$M$204+1,0,$M$204,1))/SUM(OFFSET(C228,-$M$204+1,0,$M$204,1))*C229)</f>
        <v>1.3777777777777775</v>
      </c>
      <c r="N229" s="13"/>
      <c r="O229" s="51">
        <f t="shared" ca="1" si="98"/>
        <v>7.699346405228758E-6</v>
      </c>
      <c r="P229" s="1">
        <v>1</v>
      </c>
      <c r="Q229" s="52">
        <f ca="1">IFERROR(SUMPRODUCT($J$206:$J229,$P$206:$P229)/SUMPRODUCT($C$206:$C229,$P$206:$P229),"")</f>
        <v>8.2930283224400879E-6</v>
      </c>
    </row>
    <row r="230" spans="1:101" x14ac:dyDescent="0.25">
      <c r="A230" s="97">
        <v>1</v>
      </c>
    </row>
    <row r="231" spans="1:101" ht="15" customHeight="1" x14ac:dyDescent="0.25">
      <c r="A231" s="97">
        <v>1</v>
      </c>
      <c r="CT231" s="12"/>
    </row>
    <row r="232" spans="1:101" x14ac:dyDescent="0.25">
      <c r="A232" s="97">
        <v>1</v>
      </c>
      <c r="B232" s="19" t="s">
        <v>30</v>
      </c>
      <c r="CQ232" s="12"/>
      <c r="CR232" s="12"/>
      <c r="CS232" s="12"/>
      <c r="CT232" s="12"/>
      <c r="CU232" s="12"/>
      <c r="CV232" s="12"/>
      <c r="CW232" s="12"/>
    </row>
    <row r="233" spans="1:101" x14ac:dyDescent="0.25">
      <c r="A233" s="97">
        <v>1</v>
      </c>
      <c r="B233" s="53" t="s">
        <v>42</v>
      </c>
      <c r="C233" s="24">
        <v>0</v>
      </c>
      <c r="D233" s="22">
        <v>1</v>
      </c>
      <c r="E233" s="23">
        <f t="shared" ref="E233:BP233" si="102">D233+1</f>
        <v>2</v>
      </c>
      <c r="F233" s="23">
        <f t="shared" si="102"/>
        <v>3</v>
      </c>
      <c r="G233" s="23">
        <f t="shared" si="102"/>
        <v>4</v>
      </c>
      <c r="H233" s="23">
        <f t="shared" si="102"/>
        <v>5</v>
      </c>
      <c r="I233" s="23">
        <f t="shared" si="102"/>
        <v>6</v>
      </c>
      <c r="J233" s="23">
        <f t="shared" si="102"/>
        <v>7</v>
      </c>
      <c r="K233" s="23">
        <f t="shared" si="102"/>
        <v>8</v>
      </c>
      <c r="L233" s="23">
        <f t="shared" si="102"/>
        <v>9</v>
      </c>
      <c r="M233" s="23">
        <f t="shared" si="102"/>
        <v>10</v>
      </c>
      <c r="N233" s="23">
        <f t="shared" si="102"/>
        <v>11</v>
      </c>
      <c r="O233" s="23">
        <f t="shared" si="102"/>
        <v>12</v>
      </c>
      <c r="P233" s="23">
        <f t="shared" si="102"/>
        <v>13</v>
      </c>
      <c r="Q233" s="23">
        <f t="shared" si="102"/>
        <v>14</v>
      </c>
      <c r="R233" s="23">
        <f t="shared" si="102"/>
        <v>15</v>
      </c>
      <c r="S233" s="23">
        <f t="shared" si="102"/>
        <v>16</v>
      </c>
      <c r="T233" s="23">
        <f t="shared" si="102"/>
        <v>17</v>
      </c>
      <c r="U233" s="23">
        <f t="shared" si="102"/>
        <v>18</v>
      </c>
      <c r="V233" s="23">
        <f t="shared" si="102"/>
        <v>19</v>
      </c>
      <c r="W233" s="23">
        <f t="shared" si="102"/>
        <v>20</v>
      </c>
      <c r="X233" s="23">
        <f t="shared" si="102"/>
        <v>21</v>
      </c>
      <c r="Y233" s="23">
        <f t="shared" si="102"/>
        <v>22</v>
      </c>
      <c r="Z233" s="23">
        <f t="shared" si="102"/>
        <v>23</v>
      </c>
      <c r="AA233" s="23">
        <f t="shared" si="102"/>
        <v>24</v>
      </c>
      <c r="AB233" s="23">
        <f t="shared" si="102"/>
        <v>25</v>
      </c>
      <c r="AC233" s="23">
        <f t="shared" si="102"/>
        <v>26</v>
      </c>
      <c r="AD233" s="23">
        <f t="shared" si="102"/>
        <v>27</v>
      </c>
      <c r="AE233" s="23">
        <f t="shared" si="102"/>
        <v>28</v>
      </c>
      <c r="AF233" s="23">
        <f t="shared" si="102"/>
        <v>29</v>
      </c>
      <c r="AG233" s="23">
        <f t="shared" si="102"/>
        <v>30</v>
      </c>
      <c r="AH233" s="23">
        <f t="shared" si="102"/>
        <v>31</v>
      </c>
      <c r="AI233" s="23">
        <f t="shared" si="102"/>
        <v>32</v>
      </c>
      <c r="AJ233" s="23">
        <f t="shared" si="102"/>
        <v>33</v>
      </c>
      <c r="AK233" s="23">
        <f t="shared" si="102"/>
        <v>34</v>
      </c>
      <c r="AL233" s="23">
        <f t="shared" si="102"/>
        <v>35</v>
      </c>
      <c r="AM233" s="23">
        <f t="shared" si="102"/>
        <v>36</v>
      </c>
      <c r="AN233" s="23">
        <f t="shared" si="102"/>
        <v>37</v>
      </c>
      <c r="AO233" s="23">
        <f t="shared" si="102"/>
        <v>38</v>
      </c>
      <c r="AP233" s="23">
        <f t="shared" si="102"/>
        <v>39</v>
      </c>
      <c r="AQ233" s="23">
        <f t="shared" si="102"/>
        <v>40</v>
      </c>
      <c r="AR233" s="23">
        <f t="shared" si="102"/>
        <v>41</v>
      </c>
      <c r="AS233" s="23">
        <f t="shared" si="102"/>
        <v>42</v>
      </c>
      <c r="AT233" s="23">
        <f t="shared" si="102"/>
        <v>43</v>
      </c>
      <c r="AU233" s="23">
        <f t="shared" si="102"/>
        <v>44</v>
      </c>
      <c r="AV233" s="23">
        <f t="shared" si="102"/>
        <v>45</v>
      </c>
      <c r="AW233" s="23">
        <f t="shared" si="102"/>
        <v>46</v>
      </c>
      <c r="AX233" s="23">
        <f t="shared" si="102"/>
        <v>47</v>
      </c>
      <c r="AY233" s="23">
        <f t="shared" si="102"/>
        <v>48</v>
      </c>
      <c r="AZ233" s="23">
        <f t="shared" si="102"/>
        <v>49</v>
      </c>
      <c r="BA233" s="23">
        <f t="shared" si="102"/>
        <v>50</v>
      </c>
      <c r="BB233" s="23">
        <f t="shared" si="102"/>
        <v>51</v>
      </c>
      <c r="BC233" s="23">
        <f t="shared" si="102"/>
        <v>52</v>
      </c>
      <c r="BD233" s="23">
        <f t="shared" si="102"/>
        <v>53</v>
      </c>
      <c r="BE233" s="23">
        <f t="shared" si="102"/>
        <v>54</v>
      </c>
      <c r="BF233" s="23">
        <f t="shared" si="102"/>
        <v>55</v>
      </c>
      <c r="BG233" s="23">
        <f t="shared" si="102"/>
        <v>56</v>
      </c>
      <c r="BH233" s="23">
        <f t="shared" si="102"/>
        <v>57</v>
      </c>
      <c r="BI233" s="23">
        <f t="shared" si="102"/>
        <v>58</v>
      </c>
      <c r="BJ233" s="23">
        <f t="shared" si="102"/>
        <v>59</v>
      </c>
      <c r="BK233" s="23">
        <f t="shared" si="102"/>
        <v>60</v>
      </c>
      <c r="BL233" s="23">
        <f t="shared" si="102"/>
        <v>61</v>
      </c>
      <c r="BM233" s="23">
        <f t="shared" si="102"/>
        <v>62</v>
      </c>
      <c r="BN233" s="23">
        <f t="shared" si="102"/>
        <v>63</v>
      </c>
      <c r="BO233" s="23">
        <f t="shared" si="102"/>
        <v>64</v>
      </c>
      <c r="BP233" s="23">
        <f t="shared" si="102"/>
        <v>65</v>
      </c>
      <c r="BQ233" s="23">
        <f t="shared" ref="BQ233:CS233" si="103">BP233+1</f>
        <v>66</v>
      </c>
      <c r="BR233" s="23">
        <f t="shared" si="103"/>
        <v>67</v>
      </c>
      <c r="BS233" s="23">
        <f t="shared" si="103"/>
        <v>68</v>
      </c>
      <c r="BT233" s="23">
        <f t="shared" si="103"/>
        <v>69</v>
      </c>
      <c r="BU233" s="23">
        <f t="shared" si="103"/>
        <v>70</v>
      </c>
      <c r="BV233" s="23">
        <f t="shared" si="103"/>
        <v>71</v>
      </c>
      <c r="BW233" s="23">
        <f t="shared" si="103"/>
        <v>72</v>
      </c>
      <c r="BX233" s="23">
        <f t="shared" si="103"/>
        <v>73</v>
      </c>
      <c r="BY233" s="23">
        <f t="shared" si="103"/>
        <v>74</v>
      </c>
      <c r="BZ233" s="23">
        <f t="shared" si="103"/>
        <v>75</v>
      </c>
      <c r="CA233" s="23">
        <f t="shared" si="103"/>
        <v>76</v>
      </c>
      <c r="CB233" s="23">
        <f t="shared" si="103"/>
        <v>77</v>
      </c>
      <c r="CC233" s="23">
        <f t="shared" si="103"/>
        <v>78</v>
      </c>
      <c r="CD233" s="23">
        <f t="shared" si="103"/>
        <v>79</v>
      </c>
      <c r="CE233" s="23">
        <f t="shared" si="103"/>
        <v>80</v>
      </c>
      <c r="CF233" s="23">
        <f t="shared" si="103"/>
        <v>81</v>
      </c>
      <c r="CG233" s="23">
        <f t="shared" si="103"/>
        <v>82</v>
      </c>
      <c r="CH233" s="23">
        <f t="shared" si="103"/>
        <v>83</v>
      </c>
      <c r="CI233" s="23">
        <f t="shared" si="103"/>
        <v>84</v>
      </c>
      <c r="CJ233" s="23">
        <f t="shared" si="103"/>
        <v>85</v>
      </c>
      <c r="CK233" s="23">
        <f t="shared" si="103"/>
        <v>86</v>
      </c>
      <c r="CL233" s="23">
        <f t="shared" si="103"/>
        <v>87</v>
      </c>
      <c r="CM233" s="23">
        <f t="shared" si="103"/>
        <v>88</v>
      </c>
      <c r="CN233" s="23">
        <f t="shared" si="103"/>
        <v>89</v>
      </c>
      <c r="CO233" s="23">
        <f t="shared" si="103"/>
        <v>90</v>
      </c>
      <c r="CP233" s="23">
        <f t="shared" si="103"/>
        <v>91</v>
      </c>
      <c r="CQ233" s="23">
        <f t="shared" si="103"/>
        <v>92</v>
      </c>
      <c r="CR233" s="23">
        <f t="shared" si="103"/>
        <v>93</v>
      </c>
      <c r="CS233" s="23">
        <f t="shared" si="103"/>
        <v>94</v>
      </c>
      <c r="CT233" s="118"/>
      <c r="CU233" s="118"/>
      <c r="CV233" s="118"/>
      <c r="CW233" s="142"/>
    </row>
    <row r="234" spans="1:101" hidden="1" x14ac:dyDescent="0.25">
      <c r="A234" s="97">
        <f>A14</f>
        <v>0</v>
      </c>
      <c r="B234" s="29">
        <f t="shared" ref="B234:B255" si="104">B206</f>
        <v>1996</v>
      </c>
      <c r="C234" s="154" t="str">
        <f>IFERROR(IF(AND(INDEX($AA$263:$AA$284,MATCH($B234,$Y$263:$Y$284,0))=1,C42=1),0,""),"")</f>
        <v/>
      </c>
      <c r="D234" s="110" t="e">
        <f>IF(C42=1,IF(C$13&lt;=COUNT($C14:$CS14),IF(INDEX($F$206:$F$229,MATCH($B234,$B$206:$B$229,FALSE))=0,NA(),INDEX(C$14:C$37,MATCH($B234,$B$14:$B$37,FALSE))/INDEX($F$206:$F$229,MATCH($B234,$B$206:$B$229,FALSE))),NA()),NA())</f>
        <v>#N/A</v>
      </c>
      <c r="E234" s="111" t="e">
        <f>IF(D42=1,IF(D$13&lt;=COUNT($C14:$CS14),IF(INDEX($F$206:$F$229,MATCH($B234,$B$206:$B$229,FALSE))=0,NA(),INDEX(D$14:D$37,MATCH($B234,$B$14:$B$37,FALSE))/INDEX($F$206:$F$229,MATCH($B234,$B$206:$B$229,FALSE))),NA()),NA())</f>
        <v>#N/A</v>
      </c>
      <c r="F234" s="111" t="e">
        <f>IF(E42=1,IF(E$13&lt;=COUNT($C14:$CS14),IF(INDEX($F$206:$F$229,MATCH($B234,$B$206:$B$229,FALSE))=0,NA(),INDEX(E$14:E$37,MATCH($B234,$B$14:$B$37,FALSE))/INDEX($F$206:$F$229,MATCH($B234,$B$206:$B$229,FALSE))),NA()),NA())</f>
        <v>#N/A</v>
      </c>
      <c r="G234" s="111" t="e">
        <f>IF(F42=1,IF(F$13&lt;=COUNT($C14:$CS14),IF(INDEX($F$206:$F$229,MATCH($B234,$B$206:$B$229,FALSE))=0,NA(),INDEX(F$14:F$37,MATCH($B234,$B$14:$B$37,FALSE))/INDEX($F$206:$F$229,MATCH($B234,$B$206:$B$229,FALSE))),NA()),NA())</f>
        <v>#N/A</v>
      </c>
      <c r="H234" s="111" t="e">
        <f>IF(G42=1,IF(G$13&lt;=COUNT($C14:$CS14),IF(INDEX($F$206:$F$229,MATCH($B234,$B$206:$B$229,FALSE))=0,NA(),INDEX(G$14:G$37,MATCH($B234,$B$14:$B$37,FALSE))/INDEX($F$206:$F$229,MATCH($B234,$B$206:$B$229,FALSE))),NA()),NA())</f>
        <v>#N/A</v>
      </c>
      <c r="I234" s="111" t="e">
        <f>IF(H42=1,IF(H$13&lt;=COUNT($C14:$CS14),IF(INDEX($F$206:$F$229,MATCH($B234,$B$206:$B$229,FALSE))=0,NA(),INDEX(H$14:H$37,MATCH($B234,$B$14:$B$37,FALSE))/INDEX($F$206:$F$229,MATCH($B234,$B$206:$B$229,FALSE))),NA()),NA())</f>
        <v>#N/A</v>
      </c>
      <c r="J234" s="111" t="e">
        <f>IF(I42=1,IF(I$13&lt;=COUNT($C14:$CS14),IF(INDEX($F$206:$F$229,MATCH($B234,$B$206:$B$229,FALSE))=0,NA(),INDEX(I$14:I$37,MATCH($B234,$B$14:$B$37,FALSE))/INDEX($F$206:$F$229,MATCH($B234,$B$206:$B$229,FALSE))),NA()),NA())</f>
        <v>#N/A</v>
      </c>
      <c r="K234" s="111" t="e">
        <f>IF(J42=1,IF(J$13&lt;=COUNT($C14:$CS14),IF(INDEX($F$206:$F$229,MATCH($B234,$B$206:$B$229,FALSE))=0,NA(),INDEX(J$14:J$37,MATCH($B234,$B$14:$B$37,FALSE))/INDEX($F$206:$F$229,MATCH($B234,$B$206:$B$229,FALSE))),NA()),NA())</f>
        <v>#N/A</v>
      </c>
      <c r="L234" s="111" t="e">
        <f>IF(K42=1,IF(K$13&lt;=COUNT($C14:$CS14),IF(INDEX($F$206:$F$229,MATCH($B234,$B$206:$B$229,FALSE))=0,NA(),INDEX(K$14:K$37,MATCH($B234,$B$14:$B$37,FALSE))/INDEX($F$206:$F$229,MATCH($B234,$B$206:$B$229,FALSE))),NA()),NA())</f>
        <v>#N/A</v>
      </c>
      <c r="M234" s="111" t="e">
        <f>IF(L42=1,IF(L$13&lt;=COUNT($C14:$CS14),IF(INDEX($F$206:$F$229,MATCH($B234,$B$206:$B$229,FALSE))=0,NA(),INDEX(L$14:L$37,MATCH($B234,$B$14:$B$37,FALSE))/INDEX($F$206:$F$229,MATCH($B234,$B$206:$B$229,FALSE))),NA()),NA())</f>
        <v>#N/A</v>
      </c>
      <c r="N234" s="111" t="e">
        <f>IF(M42=1,IF(M$13&lt;=COUNT($C14:$CS14),IF(INDEX($F$206:$F$229,MATCH($B234,$B$206:$B$229,FALSE))=0,NA(),INDEX(M$14:M$37,MATCH($B234,$B$14:$B$37,FALSE))/INDEX($F$206:$F$229,MATCH($B234,$B$206:$B$229,FALSE))),NA()),NA())</f>
        <v>#N/A</v>
      </c>
      <c r="O234" s="111" t="e">
        <f>IF(N42=1,IF(N$13&lt;=COUNT($C14:$CS14),IF(INDEX($F$206:$F$229,MATCH($B234,$B$206:$B$229,FALSE))=0,NA(),INDEX(N$14:N$37,MATCH($B234,$B$14:$B$37,FALSE))/INDEX($F$206:$F$229,MATCH($B234,$B$206:$B$229,FALSE))),NA()),NA())</f>
        <v>#N/A</v>
      </c>
      <c r="P234" s="111" t="e">
        <f>IF(O42=1,IF(O$13&lt;=COUNT($C14:$CS14),IF(INDEX($F$206:$F$229,MATCH($B234,$B$206:$B$229,FALSE))=0,NA(),INDEX(O$14:O$37,MATCH($B234,$B$14:$B$37,FALSE))/INDEX($F$206:$F$229,MATCH($B234,$B$206:$B$229,FALSE))),NA()),NA())</f>
        <v>#N/A</v>
      </c>
      <c r="Q234" s="111" t="e">
        <f>IF(P42=1,IF(P$13&lt;=COUNT($C14:$CS14),IF(INDEX($F$206:$F$229,MATCH($B234,$B$206:$B$229,FALSE))=0,NA(),INDEX(P$14:P$37,MATCH($B234,$B$14:$B$37,FALSE))/INDEX($F$206:$F$229,MATCH($B234,$B$206:$B$229,FALSE))),NA()),NA())</f>
        <v>#N/A</v>
      </c>
      <c r="R234" s="111" t="e">
        <f>IF(Q42=1,IF(Q$13&lt;=COUNT($C14:$CS14),IF(INDEX($F$206:$F$229,MATCH($B234,$B$206:$B$229,FALSE))=0,NA(),INDEX(Q$14:Q$37,MATCH($B234,$B$14:$B$37,FALSE))/INDEX($F$206:$F$229,MATCH($B234,$B$206:$B$229,FALSE))),NA()),NA())</f>
        <v>#N/A</v>
      </c>
      <c r="S234" s="111" t="e">
        <f>IF(R42=1,IF(R$13&lt;=COUNT($C14:$CS14),IF(INDEX($F$206:$F$229,MATCH($B234,$B$206:$B$229,FALSE))=0,NA(),INDEX(R$14:R$37,MATCH($B234,$B$14:$B$37,FALSE))/INDEX($F$206:$F$229,MATCH($B234,$B$206:$B$229,FALSE))),NA()),NA())</f>
        <v>#N/A</v>
      </c>
      <c r="T234" s="111" t="e">
        <f>IF(S42=1,IF(S$13&lt;=COUNT($C14:$CS14),IF(INDEX($F$206:$F$229,MATCH($B234,$B$206:$B$229,FALSE))=0,NA(),INDEX(S$14:S$37,MATCH($B234,$B$14:$B$37,FALSE))/INDEX($F$206:$F$229,MATCH($B234,$B$206:$B$229,FALSE))),NA()),NA())</f>
        <v>#N/A</v>
      </c>
      <c r="U234" s="111" t="e">
        <f>IF(T42=1,IF(T$13&lt;=COUNT($C14:$CS14),IF(INDEX($F$206:$F$229,MATCH($B234,$B$206:$B$229,FALSE))=0,NA(),INDEX(T$14:T$37,MATCH($B234,$B$14:$B$37,FALSE))/INDEX($F$206:$F$229,MATCH($B234,$B$206:$B$229,FALSE))),NA()),NA())</f>
        <v>#N/A</v>
      </c>
      <c r="V234" s="111" t="e">
        <f>IF(U42=1,IF(U$13&lt;=COUNT($C14:$CS14),IF(INDEX($F$206:$F$229,MATCH($B234,$B$206:$B$229,FALSE))=0,NA(),INDEX(U$14:U$37,MATCH($B234,$B$14:$B$37,FALSE))/INDEX($F$206:$F$229,MATCH($B234,$B$206:$B$229,FALSE))),NA()),NA())</f>
        <v>#N/A</v>
      </c>
      <c r="W234" s="111" t="e">
        <f>IF(V42=1,IF(V$13&lt;=COUNT($C14:$CS14),IF(INDEX($F$206:$F$229,MATCH($B234,$B$206:$B$229,FALSE))=0,NA(),INDEX(V$14:V$37,MATCH($B234,$B$14:$B$37,FALSE))/INDEX($F$206:$F$229,MATCH($B234,$B$206:$B$229,FALSE))),NA()),NA())</f>
        <v>#N/A</v>
      </c>
      <c r="X234" s="111" t="e">
        <f>IF(W42=1,IF(W$13&lt;=COUNT($C14:$CS14),IF(INDEX($F$206:$F$229,MATCH($B234,$B$206:$B$229,FALSE))=0,NA(),INDEX(W$14:W$37,MATCH($B234,$B$14:$B$37,FALSE))/INDEX($F$206:$F$229,MATCH($B234,$B$206:$B$229,FALSE))),NA()),NA())</f>
        <v>#N/A</v>
      </c>
      <c r="Y234" s="111" t="e">
        <f>IF(X42=1,IF(X$13&lt;=COUNT($C14:$CS14),IF(INDEX($F$206:$F$229,MATCH($B234,$B$206:$B$229,FALSE))=0,NA(),INDEX(X$14:X$37,MATCH($B234,$B$14:$B$37,FALSE))/INDEX($F$206:$F$229,MATCH($B234,$B$206:$B$229,FALSE))),NA()),NA())</f>
        <v>#N/A</v>
      </c>
      <c r="Z234" s="111" t="e">
        <f>IF(Y42=1,IF(Y$13&lt;=COUNT($C14:$CS14),IF(INDEX($F$206:$F$229,MATCH($B234,$B$206:$B$229,FALSE))=0,NA(),INDEX(Y$14:Y$37,MATCH($B234,$B$14:$B$37,FALSE))/INDEX($F$206:$F$229,MATCH($B234,$B$206:$B$229,FALSE))),NA()),NA())</f>
        <v>#N/A</v>
      </c>
      <c r="AA234" s="111" t="e">
        <f>IF(Z42=1,IF(Z$13&lt;=COUNT($C14:$CS14),IF(INDEX($F$206:$F$229,MATCH($B234,$B$206:$B$229,FALSE))=0,NA(),INDEX(Z$14:Z$37,MATCH($B234,$B$14:$B$37,FALSE))/INDEX($F$206:$F$229,MATCH($B234,$B$206:$B$229,FALSE))),NA()),NA())</f>
        <v>#N/A</v>
      </c>
      <c r="AB234" s="111" t="e">
        <f>IF(AA42=1,IF(AA$13&lt;=COUNT($C14:$CS14),IF(INDEX($F$206:$F$229,MATCH($B234,$B$206:$B$229,FALSE))=0,NA(),INDEX(AA$14:AA$37,MATCH($B234,$B$14:$B$37,FALSE))/INDEX($F$206:$F$229,MATCH($B234,$B$206:$B$229,FALSE))),NA()),NA())</f>
        <v>#N/A</v>
      </c>
      <c r="AC234" s="111" t="e">
        <f>IF(AB42=1,IF(AB$13&lt;=COUNT($C14:$CS14),IF(INDEX($F$206:$F$229,MATCH($B234,$B$206:$B$229,FALSE))=0,NA(),INDEX(AB$14:AB$37,MATCH($B234,$B$14:$B$37,FALSE))/INDEX($F$206:$F$229,MATCH($B234,$B$206:$B$229,FALSE))),NA()),NA())</f>
        <v>#N/A</v>
      </c>
      <c r="AD234" s="111" t="e">
        <f>IF(AC42=1,IF(AC$13&lt;=COUNT($C14:$CS14),IF(INDEX($F$206:$F$229,MATCH($B234,$B$206:$B$229,FALSE))=0,NA(),INDEX(AC$14:AC$37,MATCH($B234,$B$14:$B$37,FALSE))/INDEX($F$206:$F$229,MATCH($B234,$B$206:$B$229,FALSE))),NA()),NA())</f>
        <v>#N/A</v>
      </c>
      <c r="AE234" s="111" t="e">
        <f>IF(AD42=1,IF(AD$13&lt;=COUNT($C14:$CS14),IF(INDEX($F$206:$F$229,MATCH($B234,$B$206:$B$229,FALSE))=0,NA(),INDEX(AD$14:AD$37,MATCH($B234,$B$14:$B$37,FALSE))/INDEX($F$206:$F$229,MATCH($B234,$B$206:$B$229,FALSE))),NA()),NA())</f>
        <v>#N/A</v>
      </c>
      <c r="AF234" s="111" t="e">
        <f>IF(AE42=1,IF(AE$13&lt;=COUNT($C14:$CS14),IF(INDEX($F$206:$F$229,MATCH($B234,$B$206:$B$229,FALSE))=0,NA(),INDEX(AE$14:AE$37,MATCH($B234,$B$14:$B$37,FALSE))/INDEX($F$206:$F$229,MATCH($B234,$B$206:$B$229,FALSE))),NA()),NA())</f>
        <v>#N/A</v>
      </c>
      <c r="AG234" s="111" t="e">
        <f>IF(AF42=1,IF(AF$13&lt;=COUNT($C14:$CS14),IF(INDEX($F$206:$F$229,MATCH($B234,$B$206:$B$229,FALSE))=0,NA(),INDEX(AF$14:AF$37,MATCH($B234,$B$14:$B$37,FALSE))/INDEX($F$206:$F$229,MATCH($B234,$B$206:$B$229,FALSE))),NA()),NA())</f>
        <v>#N/A</v>
      </c>
      <c r="AH234" s="111" t="e">
        <f>IF(AG42=1,IF(AG$13&lt;=COUNT($C14:$CS14),IF(INDEX($F$206:$F$229,MATCH($B234,$B$206:$B$229,FALSE))=0,NA(),INDEX(AG$14:AG$37,MATCH($B234,$B$14:$B$37,FALSE))/INDEX($F$206:$F$229,MATCH($B234,$B$206:$B$229,FALSE))),NA()),NA())</f>
        <v>#N/A</v>
      </c>
      <c r="AI234" s="111" t="e">
        <f>IF(AH42=1,IF(AH$13&lt;=COUNT($C14:$CS14),IF(INDEX($F$206:$F$229,MATCH($B234,$B$206:$B$229,FALSE))=0,NA(),INDEX(AH$14:AH$37,MATCH($B234,$B$14:$B$37,FALSE))/INDEX($F$206:$F$229,MATCH($B234,$B$206:$B$229,FALSE))),NA()),NA())</f>
        <v>#N/A</v>
      </c>
      <c r="AJ234" s="111" t="e">
        <f>IF(AI42=1,IF(AI$13&lt;=COUNT($C14:$CS14),IF(INDEX($F$206:$F$229,MATCH($B234,$B$206:$B$229,FALSE))=0,NA(),INDEX(AI$14:AI$37,MATCH($B234,$B$14:$B$37,FALSE))/INDEX($F$206:$F$229,MATCH($B234,$B$206:$B$229,FALSE))),NA()),NA())</f>
        <v>#N/A</v>
      </c>
      <c r="AK234" s="111" t="e">
        <f>IF(AJ42=1,IF(AJ$13&lt;=COUNT($C14:$CS14),IF(INDEX($F$206:$F$229,MATCH($B234,$B$206:$B$229,FALSE))=0,NA(),INDEX(AJ$14:AJ$37,MATCH($B234,$B$14:$B$37,FALSE))/INDEX($F$206:$F$229,MATCH($B234,$B$206:$B$229,FALSE))),NA()),NA())</f>
        <v>#N/A</v>
      </c>
      <c r="AL234" s="111" t="e">
        <f>IF(AK42=1,IF(AK$13&lt;=COUNT($C14:$CS14),IF(INDEX($F$206:$F$229,MATCH($B234,$B$206:$B$229,FALSE))=0,NA(),INDEX(AK$14:AK$37,MATCH($B234,$B$14:$B$37,FALSE))/INDEX($F$206:$F$229,MATCH($B234,$B$206:$B$229,FALSE))),NA()),NA())</f>
        <v>#N/A</v>
      </c>
      <c r="AM234" s="111" t="e">
        <f>IF(AL42=1,IF(AL$13&lt;=COUNT($C14:$CS14),IF(INDEX($F$206:$F$229,MATCH($B234,$B$206:$B$229,FALSE))=0,NA(),INDEX(AL$14:AL$37,MATCH($B234,$B$14:$B$37,FALSE))/INDEX($F$206:$F$229,MATCH($B234,$B$206:$B$229,FALSE))),NA()),NA())</f>
        <v>#N/A</v>
      </c>
      <c r="AN234" s="111" t="e">
        <f>IF(AM42=1,IF(AM$13&lt;=COUNT($C14:$CS14),IF(INDEX($F$206:$F$229,MATCH($B234,$B$206:$B$229,FALSE))=0,NA(),INDEX(AM$14:AM$37,MATCH($B234,$B$14:$B$37,FALSE))/INDEX($F$206:$F$229,MATCH($B234,$B$206:$B$229,FALSE))),NA()),NA())</f>
        <v>#N/A</v>
      </c>
      <c r="AO234" s="111" t="e">
        <f>IF(AN42=1,IF(AN$13&lt;=COUNT($C14:$CS14),IF(INDEX($F$206:$F$229,MATCH($B234,$B$206:$B$229,FALSE))=0,NA(),INDEX(AN$14:AN$37,MATCH($B234,$B$14:$B$37,FALSE))/INDEX($F$206:$F$229,MATCH($B234,$B$206:$B$229,FALSE))),NA()),NA())</f>
        <v>#N/A</v>
      </c>
      <c r="AP234" s="111" t="e">
        <f>IF(AO42=1,IF(AO$13&lt;=COUNT($C14:$CS14),IF(INDEX($F$206:$F$229,MATCH($B234,$B$206:$B$229,FALSE))=0,NA(),INDEX(AO$14:AO$37,MATCH($B234,$B$14:$B$37,FALSE))/INDEX($F$206:$F$229,MATCH($B234,$B$206:$B$229,FALSE))),NA()),NA())</f>
        <v>#N/A</v>
      </c>
      <c r="AQ234" s="111" t="e">
        <f>IF(AP42=1,IF(AP$13&lt;=COUNT($C14:$CS14),IF(INDEX($F$206:$F$229,MATCH($B234,$B$206:$B$229,FALSE))=0,NA(),INDEX(AP$14:AP$37,MATCH($B234,$B$14:$B$37,FALSE))/INDEX($F$206:$F$229,MATCH($B234,$B$206:$B$229,FALSE))),NA()),NA())</f>
        <v>#N/A</v>
      </c>
      <c r="AR234" s="111" t="e">
        <f>IF(AQ42=1,IF(AQ$13&lt;=COUNT($C14:$CS14),IF(INDEX($F$206:$F$229,MATCH($B234,$B$206:$B$229,FALSE))=0,NA(),INDEX(AQ$14:AQ$37,MATCH($B234,$B$14:$B$37,FALSE))/INDEX($F$206:$F$229,MATCH($B234,$B$206:$B$229,FALSE))),NA()),NA())</f>
        <v>#N/A</v>
      </c>
      <c r="AS234" s="111" t="e">
        <f>IF(AR42=1,IF(AR$13&lt;=COUNT($C14:$CS14),IF(INDEX($F$206:$F$229,MATCH($B234,$B$206:$B$229,FALSE))=0,NA(),INDEX(AR$14:AR$37,MATCH($B234,$B$14:$B$37,FALSE))/INDEX($F$206:$F$229,MATCH($B234,$B$206:$B$229,FALSE))),NA()),NA())</f>
        <v>#N/A</v>
      </c>
      <c r="AT234" s="111" t="e">
        <f>IF(AS42=1,IF(AS$13&lt;=COUNT($C14:$CS14),IF(INDEX($F$206:$F$229,MATCH($B234,$B$206:$B$229,FALSE))=0,NA(),INDEX(AS$14:AS$37,MATCH($B234,$B$14:$B$37,FALSE))/INDEX($F$206:$F$229,MATCH($B234,$B$206:$B$229,FALSE))),NA()),NA())</f>
        <v>#N/A</v>
      </c>
      <c r="AU234" s="111" t="e">
        <f>IF(AT42=1,IF(AT$13&lt;=COUNT($C14:$CS14),IF(INDEX($F$206:$F$229,MATCH($B234,$B$206:$B$229,FALSE))=0,NA(),INDEX(AT$14:AT$37,MATCH($B234,$B$14:$B$37,FALSE))/INDEX($F$206:$F$229,MATCH($B234,$B$206:$B$229,FALSE))),NA()),NA())</f>
        <v>#N/A</v>
      </c>
      <c r="AV234" s="111" t="e">
        <f>IF(AU42=1,IF(AU$13&lt;=COUNT($C14:$CS14),IF(INDEX($F$206:$F$229,MATCH($B234,$B$206:$B$229,FALSE))=0,NA(),INDEX(AU$14:AU$37,MATCH($B234,$B$14:$B$37,FALSE))/INDEX($F$206:$F$229,MATCH($B234,$B$206:$B$229,FALSE))),NA()),NA())</f>
        <v>#N/A</v>
      </c>
      <c r="AW234" s="111" t="e">
        <f>IF(AV42=1,IF(AV$13&lt;=COUNT($C14:$CS14),IF(INDEX($F$206:$F$229,MATCH($B234,$B$206:$B$229,FALSE))=0,NA(),INDEX(AV$14:AV$37,MATCH($B234,$B$14:$B$37,FALSE))/INDEX($F$206:$F$229,MATCH($B234,$B$206:$B$229,FALSE))),NA()),NA())</f>
        <v>#N/A</v>
      </c>
      <c r="AX234" s="111" t="e">
        <f>IF(AW42=1,IF(AW$13&lt;=COUNT($C14:$CS14),IF(INDEX($F$206:$F$229,MATCH($B234,$B$206:$B$229,FALSE))=0,NA(),INDEX(AW$14:AW$37,MATCH($B234,$B$14:$B$37,FALSE))/INDEX($F$206:$F$229,MATCH($B234,$B$206:$B$229,FALSE))),NA()),NA())</f>
        <v>#N/A</v>
      </c>
      <c r="AY234" s="111" t="e">
        <f>IF(AX42=1,IF(AX$13&lt;=COUNT($C14:$CS14),IF(INDEX($F$206:$F$229,MATCH($B234,$B$206:$B$229,FALSE))=0,NA(),INDEX(AX$14:AX$37,MATCH($B234,$B$14:$B$37,FALSE))/INDEX($F$206:$F$229,MATCH($B234,$B$206:$B$229,FALSE))),NA()),NA())</f>
        <v>#N/A</v>
      </c>
      <c r="AZ234" s="111" t="e">
        <f>IF(AY42=1,IF(AY$13&lt;=COUNT($C14:$CS14),IF(INDEX($F$206:$F$229,MATCH($B234,$B$206:$B$229,FALSE))=0,NA(),INDEX(AY$14:AY$37,MATCH($B234,$B$14:$B$37,FALSE))/INDEX($F$206:$F$229,MATCH($B234,$B$206:$B$229,FALSE))),NA()),NA())</f>
        <v>#N/A</v>
      </c>
      <c r="BA234" s="111" t="e">
        <f>IF(AZ42=1,IF(AZ$13&lt;=COUNT($C14:$CS14),IF(INDEX($F$206:$F$229,MATCH($B234,$B$206:$B$229,FALSE))=0,NA(),INDEX(AZ$14:AZ$37,MATCH($B234,$B$14:$B$37,FALSE))/INDEX($F$206:$F$229,MATCH($B234,$B$206:$B$229,FALSE))),NA()),NA())</f>
        <v>#N/A</v>
      </c>
      <c r="BB234" s="111" t="e">
        <f>IF(BA42=1,IF(BA$13&lt;=COUNT($C14:$CS14),IF(INDEX($F$206:$F$229,MATCH($B234,$B$206:$B$229,FALSE))=0,NA(),INDEX(BA$14:BA$37,MATCH($B234,$B$14:$B$37,FALSE))/INDEX($F$206:$F$229,MATCH($B234,$B$206:$B$229,FALSE))),NA()),NA())</f>
        <v>#N/A</v>
      </c>
      <c r="BC234" s="111" t="e">
        <f>IF(BB42=1,IF(BB$13&lt;=COUNT($C14:$CS14),IF(INDEX($F$206:$F$229,MATCH($B234,$B$206:$B$229,FALSE))=0,NA(),INDEX(BB$14:BB$37,MATCH($B234,$B$14:$B$37,FALSE))/INDEX($F$206:$F$229,MATCH($B234,$B$206:$B$229,FALSE))),NA()),NA())</f>
        <v>#N/A</v>
      </c>
      <c r="BD234" s="111" t="e">
        <f>IF(BC42=1,IF(BC$13&lt;=COUNT($C14:$CS14),IF(INDEX($F$206:$F$229,MATCH($B234,$B$206:$B$229,FALSE))=0,NA(),INDEX(BC$14:BC$37,MATCH($B234,$B$14:$B$37,FALSE))/INDEX($F$206:$F$229,MATCH($B234,$B$206:$B$229,FALSE))),NA()),NA())</f>
        <v>#N/A</v>
      </c>
      <c r="BE234" s="111" t="e">
        <f>IF(BD42=1,IF(BD$13&lt;=COUNT($C14:$CS14),IF(INDEX($F$206:$F$229,MATCH($B234,$B$206:$B$229,FALSE))=0,NA(),INDEX(BD$14:BD$37,MATCH($B234,$B$14:$B$37,FALSE))/INDEX($F$206:$F$229,MATCH($B234,$B$206:$B$229,FALSE))),NA()),NA())</f>
        <v>#N/A</v>
      </c>
      <c r="BF234" s="111" t="e">
        <f>IF(BE42=1,IF(BE$13&lt;=COUNT($C14:$CS14),IF(INDEX($F$206:$F$229,MATCH($B234,$B$206:$B$229,FALSE))=0,NA(),INDEX(BE$14:BE$37,MATCH($B234,$B$14:$B$37,FALSE))/INDEX($F$206:$F$229,MATCH($B234,$B$206:$B$229,FALSE))),NA()),NA())</f>
        <v>#N/A</v>
      </c>
      <c r="BG234" s="111" t="e">
        <f>IF(BF42=1,IF(BF$13&lt;=COUNT($C14:$CS14),IF(INDEX($F$206:$F$229,MATCH($B234,$B$206:$B$229,FALSE))=0,NA(),INDEX(BF$14:BF$37,MATCH($B234,$B$14:$B$37,FALSE))/INDEX($F$206:$F$229,MATCH($B234,$B$206:$B$229,FALSE))),NA()),NA())</f>
        <v>#N/A</v>
      </c>
      <c r="BH234" s="111" t="e">
        <f>IF(BG42=1,IF(BG$13&lt;=COUNT($C14:$CS14),IF(INDEX($F$206:$F$229,MATCH($B234,$B$206:$B$229,FALSE))=0,NA(),INDEX(BG$14:BG$37,MATCH($B234,$B$14:$B$37,FALSE))/INDEX($F$206:$F$229,MATCH($B234,$B$206:$B$229,FALSE))),NA()),NA())</f>
        <v>#N/A</v>
      </c>
      <c r="BI234" s="111" t="e">
        <f>IF(BH42=1,IF(BH$13&lt;=COUNT($C14:$CS14),IF(INDEX($F$206:$F$229,MATCH($B234,$B$206:$B$229,FALSE))=0,NA(),INDEX(BH$14:BH$37,MATCH($B234,$B$14:$B$37,FALSE))/INDEX($F$206:$F$229,MATCH($B234,$B$206:$B$229,FALSE))),NA()),NA())</f>
        <v>#N/A</v>
      </c>
      <c r="BJ234" s="111" t="e">
        <f>IF(BI42=1,IF(BI$13&lt;=COUNT($C14:$CS14),IF(INDEX($F$206:$F$229,MATCH($B234,$B$206:$B$229,FALSE))=0,NA(),INDEX(BI$14:BI$37,MATCH($B234,$B$14:$B$37,FALSE))/INDEX($F$206:$F$229,MATCH($B234,$B$206:$B$229,FALSE))),NA()),NA())</f>
        <v>#N/A</v>
      </c>
      <c r="BK234" s="111" t="e">
        <f>IF(BJ42=1,IF(BJ$13&lt;=COUNT($C14:$CS14),IF(INDEX($F$206:$F$229,MATCH($B234,$B$206:$B$229,FALSE))=0,NA(),INDEX(BJ$14:BJ$37,MATCH($B234,$B$14:$B$37,FALSE))/INDEX($F$206:$F$229,MATCH($B234,$B$206:$B$229,FALSE))),NA()),NA())</f>
        <v>#N/A</v>
      </c>
      <c r="BL234" s="111" t="e">
        <f>IF(BK42=1,IF(BK$13&lt;=COUNT($C14:$CS14),IF(INDEX($F$206:$F$229,MATCH($B234,$B$206:$B$229,FALSE))=0,NA(),INDEX(BK$14:BK$37,MATCH($B234,$B$14:$B$37,FALSE))/INDEX($F$206:$F$229,MATCH($B234,$B$206:$B$229,FALSE))),NA()),NA())</f>
        <v>#N/A</v>
      </c>
      <c r="BM234" s="111" t="e">
        <f>IF(BL42=1,IF(BL$13&lt;=COUNT($C14:$CS14),IF(INDEX($F$206:$F$229,MATCH($B234,$B$206:$B$229,FALSE))=0,NA(),INDEX(BL$14:BL$37,MATCH($B234,$B$14:$B$37,FALSE))/INDEX($F$206:$F$229,MATCH($B234,$B$206:$B$229,FALSE))),NA()),NA())</f>
        <v>#N/A</v>
      </c>
      <c r="BN234" s="111" t="e">
        <f>IF(BM42=1,IF(BM$13&lt;=COUNT($C14:$CS14),IF(INDEX($F$206:$F$229,MATCH($B234,$B$206:$B$229,FALSE))=0,NA(),INDEX(BM$14:BM$37,MATCH($B234,$B$14:$B$37,FALSE))/INDEX($F$206:$F$229,MATCH($B234,$B$206:$B$229,FALSE))),NA()),NA())</f>
        <v>#N/A</v>
      </c>
      <c r="BO234" s="111" t="e">
        <f>IF(BN42=1,IF(BN$13&lt;=COUNT($C14:$CS14),IF(INDEX($F$206:$F$229,MATCH($B234,$B$206:$B$229,FALSE))=0,NA(),INDEX(BN$14:BN$37,MATCH($B234,$B$14:$B$37,FALSE))/INDEX($F$206:$F$229,MATCH($B234,$B$206:$B$229,FALSE))),NA()),NA())</f>
        <v>#N/A</v>
      </c>
      <c r="BP234" s="111" t="e">
        <f>IF(BO42=1,IF(BO$13&lt;=COUNT($C14:$CS14),IF(INDEX($F$206:$F$229,MATCH($B234,$B$206:$B$229,FALSE))=0,NA(),INDEX(BO$14:BO$37,MATCH($B234,$B$14:$B$37,FALSE))/INDEX($F$206:$F$229,MATCH($B234,$B$206:$B$229,FALSE))),NA()),NA())</f>
        <v>#N/A</v>
      </c>
      <c r="BQ234" s="111" t="e">
        <f>IF(BP42=1,IF(BP$13&lt;=COUNT($C14:$CS14),IF(INDEX($F$206:$F$229,MATCH($B234,$B$206:$B$229,FALSE))=0,NA(),INDEX(BP$14:BP$37,MATCH($B234,$B$14:$B$37,FALSE))/INDEX($F$206:$F$229,MATCH($B234,$B$206:$B$229,FALSE))),NA()),NA())</f>
        <v>#N/A</v>
      </c>
      <c r="BR234" s="111" t="e">
        <f>IF(BQ42=1,IF(BQ$13&lt;=COUNT($C14:$CS14),IF(INDEX($F$206:$F$229,MATCH($B234,$B$206:$B$229,FALSE))=0,NA(),INDEX(BQ$14:BQ$37,MATCH($B234,$B$14:$B$37,FALSE))/INDEX($F$206:$F$229,MATCH($B234,$B$206:$B$229,FALSE))),NA()),NA())</f>
        <v>#N/A</v>
      </c>
      <c r="BS234" s="111" t="e">
        <f>IF(BR42=1,IF(BR$13&lt;=COUNT($C14:$CS14),IF(INDEX($F$206:$F$229,MATCH($B234,$B$206:$B$229,FALSE))=0,NA(),INDEX(BR$14:BR$37,MATCH($B234,$B$14:$B$37,FALSE))/INDEX($F$206:$F$229,MATCH($B234,$B$206:$B$229,FALSE))),NA()),NA())</f>
        <v>#N/A</v>
      </c>
      <c r="BT234" s="111" t="e">
        <f>IF(BS42=1,IF(BS$13&lt;=COUNT($C14:$CS14),IF(INDEX($F$206:$F$229,MATCH($B234,$B$206:$B$229,FALSE))=0,NA(),INDEX(BS$14:BS$37,MATCH($B234,$B$14:$B$37,FALSE))/INDEX($F$206:$F$229,MATCH($B234,$B$206:$B$229,FALSE))),NA()),NA())</f>
        <v>#N/A</v>
      </c>
      <c r="BU234" s="111" t="e">
        <f>IF(BT42=1,IF(BT$13&lt;=COUNT($C14:$CS14),IF(INDEX($F$206:$F$229,MATCH($B234,$B$206:$B$229,FALSE))=0,NA(),INDEX(BT$14:BT$37,MATCH($B234,$B$14:$B$37,FALSE))/INDEX($F$206:$F$229,MATCH($B234,$B$206:$B$229,FALSE))),NA()),NA())</f>
        <v>#N/A</v>
      </c>
      <c r="BV234" s="111" t="e">
        <f>IF(BU42=1,IF(BU$13&lt;=COUNT($C14:$CS14),IF(INDEX($F$206:$F$229,MATCH($B234,$B$206:$B$229,FALSE))=0,NA(),INDEX(BU$14:BU$37,MATCH($B234,$B$14:$B$37,FALSE))/INDEX($F$206:$F$229,MATCH($B234,$B$206:$B$229,FALSE))),NA()),NA())</f>
        <v>#N/A</v>
      </c>
      <c r="BW234" s="111" t="e">
        <f>IF(BV42=1,IF(BV$13&lt;=COUNT($C14:$CS14),IF(INDEX($F$206:$F$229,MATCH($B234,$B$206:$B$229,FALSE))=0,NA(),INDEX(BV$14:BV$37,MATCH($B234,$B$14:$B$37,FALSE))/INDEX($F$206:$F$229,MATCH($B234,$B$206:$B$229,FALSE))),NA()),NA())</f>
        <v>#N/A</v>
      </c>
      <c r="BX234" s="111" t="e">
        <f>IF(BW42=1,IF(BW$13&lt;=COUNT($C14:$CS14),IF(INDEX($F$206:$F$229,MATCH($B234,$B$206:$B$229,FALSE))=0,NA(),INDEX(BW$14:BW$37,MATCH($B234,$B$14:$B$37,FALSE))/INDEX($F$206:$F$229,MATCH($B234,$B$206:$B$229,FALSE))),NA()),NA())</f>
        <v>#N/A</v>
      </c>
      <c r="BY234" s="111" t="e">
        <f>IF(BX42=1,IF(BX$13&lt;=COUNT($C14:$CS14),IF(INDEX($F$206:$F$229,MATCH($B234,$B$206:$B$229,FALSE))=0,NA(),INDEX(BX$14:BX$37,MATCH($B234,$B$14:$B$37,FALSE))/INDEX($F$206:$F$229,MATCH($B234,$B$206:$B$229,FALSE))),NA()),NA())</f>
        <v>#N/A</v>
      </c>
      <c r="BZ234" s="111" t="e">
        <f>IF(BY42=1,IF(BY$13&lt;=COUNT($C14:$CS14),IF(INDEX($F$206:$F$229,MATCH($B234,$B$206:$B$229,FALSE))=0,NA(),INDEX(BY$14:BY$37,MATCH($B234,$B$14:$B$37,FALSE))/INDEX($F$206:$F$229,MATCH($B234,$B$206:$B$229,FALSE))),NA()),NA())</f>
        <v>#N/A</v>
      </c>
      <c r="CA234" s="111" t="e">
        <f>IF(BZ42=1,IF(BZ$13&lt;=COUNT($C14:$CS14),IF(INDEX($F$206:$F$229,MATCH($B234,$B$206:$B$229,FALSE))=0,NA(),INDEX(BZ$14:BZ$37,MATCH($B234,$B$14:$B$37,FALSE))/INDEX($F$206:$F$229,MATCH($B234,$B$206:$B$229,FALSE))),NA()),NA())</f>
        <v>#N/A</v>
      </c>
      <c r="CB234" s="111" t="e">
        <f>IF(CA42=1,IF(CA$13&lt;=COUNT($C14:$CS14),IF(INDEX($F$206:$F$229,MATCH($B234,$B$206:$B$229,FALSE))=0,NA(),INDEX(CA$14:CA$37,MATCH($B234,$B$14:$B$37,FALSE))/INDEX($F$206:$F$229,MATCH($B234,$B$206:$B$229,FALSE))),NA()),NA())</f>
        <v>#N/A</v>
      </c>
      <c r="CC234" s="111" t="e">
        <f>IF(CB42=1,IF(CB$13&lt;=COUNT($C14:$CS14),IF(INDEX($F$206:$F$229,MATCH($B234,$B$206:$B$229,FALSE))=0,NA(),INDEX(CB$14:CB$37,MATCH($B234,$B$14:$B$37,FALSE))/INDEX($F$206:$F$229,MATCH($B234,$B$206:$B$229,FALSE))),NA()),NA())</f>
        <v>#N/A</v>
      </c>
      <c r="CD234" s="111" t="e">
        <f>IF(CC42=1,IF(CC$13&lt;=COUNT($C14:$CS14),IF(INDEX($F$206:$F$229,MATCH($B234,$B$206:$B$229,FALSE))=0,NA(),INDEX(CC$14:CC$37,MATCH($B234,$B$14:$B$37,FALSE))/INDEX($F$206:$F$229,MATCH($B234,$B$206:$B$229,FALSE))),NA()),NA())</f>
        <v>#N/A</v>
      </c>
      <c r="CE234" s="111" t="e">
        <f>IF(CD42=1,IF(CD$13&lt;=COUNT($C14:$CS14),IF(INDEX($F$206:$F$229,MATCH($B234,$B$206:$B$229,FALSE))=0,NA(),INDEX(CD$14:CD$37,MATCH($B234,$B$14:$B$37,FALSE))/INDEX($F$206:$F$229,MATCH($B234,$B$206:$B$229,FALSE))),NA()),NA())</f>
        <v>#N/A</v>
      </c>
      <c r="CF234" s="111" t="e">
        <f>IF(CE42=1,IF(CE$13&lt;=COUNT($C14:$CS14),IF(INDEX($F$206:$F$229,MATCH($B234,$B$206:$B$229,FALSE))=0,NA(),INDEX(CE$14:CE$37,MATCH($B234,$B$14:$B$37,FALSE))/INDEX($F$206:$F$229,MATCH($B234,$B$206:$B$229,FALSE))),NA()),NA())</f>
        <v>#N/A</v>
      </c>
      <c r="CG234" s="111" t="e">
        <f>IF(CF42=1,IF(CF$13&lt;=COUNT($C14:$CS14),IF(INDEX($F$206:$F$229,MATCH($B234,$B$206:$B$229,FALSE))=0,NA(),INDEX(CF$14:CF$37,MATCH($B234,$B$14:$B$37,FALSE))/INDEX($F$206:$F$229,MATCH($B234,$B$206:$B$229,FALSE))),NA()),NA())</f>
        <v>#N/A</v>
      </c>
      <c r="CH234" s="111" t="e">
        <f>IF(CG42=1,IF(CG$13&lt;=COUNT($C14:$CS14),IF(INDEX($F$206:$F$229,MATCH($B234,$B$206:$B$229,FALSE))=0,NA(),INDEX(CG$14:CG$37,MATCH($B234,$B$14:$B$37,FALSE))/INDEX($F$206:$F$229,MATCH($B234,$B$206:$B$229,FALSE))),NA()),NA())</f>
        <v>#N/A</v>
      </c>
      <c r="CI234" s="111" t="e">
        <f>IF(CH42=1,IF(CH$13&lt;=COUNT($C14:$CS14),IF(INDEX($F$206:$F$229,MATCH($B234,$B$206:$B$229,FALSE))=0,NA(),INDEX(CH$14:CH$37,MATCH($B234,$B$14:$B$37,FALSE))/INDEX($F$206:$F$229,MATCH($B234,$B$206:$B$229,FALSE))),NA()),NA())</f>
        <v>#N/A</v>
      </c>
      <c r="CJ234" s="111" t="e">
        <f>IF(CI42=1,IF(CI$13&lt;=COUNT($C14:$CS14),IF(INDEX($F$206:$F$229,MATCH($B234,$B$206:$B$229,FALSE))=0,NA(),INDEX(CI$14:CI$37,MATCH($B234,$B$14:$B$37,FALSE))/INDEX($F$206:$F$229,MATCH($B234,$B$206:$B$229,FALSE))),NA()),NA())</f>
        <v>#N/A</v>
      </c>
      <c r="CK234" s="111" t="e">
        <f>IF(CJ42=1,IF(CJ$13&lt;=COUNT($C14:$CS14),IF(INDEX($F$206:$F$229,MATCH($B234,$B$206:$B$229,FALSE))=0,NA(),INDEX(CJ$14:CJ$37,MATCH($B234,$B$14:$B$37,FALSE))/INDEX($F$206:$F$229,MATCH($B234,$B$206:$B$229,FALSE))),NA()),NA())</f>
        <v>#N/A</v>
      </c>
      <c r="CL234" s="111" t="e">
        <f>IF(CK42=1,IF(CK$13&lt;=COUNT($C14:$CS14),IF(INDEX($F$206:$F$229,MATCH($B234,$B$206:$B$229,FALSE))=0,NA(),INDEX(CK$14:CK$37,MATCH($B234,$B$14:$B$37,FALSE))/INDEX($F$206:$F$229,MATCH($B234,$B$206:$B$229,FALSE))),NA()),NA())</f>
        <v>#N/A</v>
      </c>
      <c r="CM234" s="111" t="e">
        <f>IF(CL42=1,IF(CL$13&lt;=COUNT($C14:$CS14),IF(INDEX($F$206:$F$229,MATCH($B234,$B$206:$B$229,FALSE))=0,NA(),INDEX(CL$14:CL$37,MATCH($B234,$B$14:$B$37,FALSE))/INDEX($F$206:$F$229,MATCH($B234,$B$206:$B$229,FALSE))),NA()),NA())</f>
        <v>#N/A</v>
      </c>
      <c r="CN234" s="111" t="e">
        <f>IF(CM42=1,IF(CM$13&lt;=COUNT($C14:$CS14),IF(INDEX($F$206:$F$229,MATCH($B234,$B$206:$B$229,FALSE))=0,NA(),INDEX(CM$14:CM$37,MATCH($B234,$B$14:$B$37,FALSE))/INDEX($F$206:$F$229,MATCH($B234,$B$206:$B$229,FALSE))),NA()),NA())</f>
        <v>#N/A</v>
      </c>
      <c r="CO234" s="111" t="e">
        <f>IF(CN42=1,IF(CN$13&lt;=COUNT($C14:$CS14),IF(INDEX($F$206:$F$229,MATCH($B234,$B$206:$B$229,FALSE))=0,NA(),INDEX(CN$14:CN$37,MATCH($B234,$B$14:$B$37,FALSE))/INDEX($F$206:$F$229,MATCH($B234,$B$206:$B$229,FALSE))),NA()),NA())</f>
        <v>#N/A</v>
      </c>
      <c r="CP234" s="111" t="e">
        <f>IF(CO42=1,IF(CO$13&lt;=COUNT($C14:$CS14),IF(INDEX($F$206:$F$229,MATCH($B234,$B$206:$B$229,FALSE))=0,NA(),INDEX(CO$14:CO$37,MATCH($B234,$B$14:$B$37,FALSE))/INDEX($F$206:$F$229,MATCH($B234,$B$206:$B$229,FALSE))),NA()),NA())</f>
        <v>#N/A</v>
      </c>
      <c r="CQ234" s="111" t="e">
        <f>IF(CP42=1,IF(CP$13&lt;=COUNT($C14:$CS14),IF(INDEX($F$206:$F$229,MATCH($B234,$B$206:$B$229,FALSE))=0,NA(),INDEX(CP$14:CP$37,MATCH($B234,$B$14:$B$37,FALSE))/INDEX($F$206:$F$229,MATCH($B234,$B$206:$B$229,FALSE))),NA()),NA())</f>
        <v>#N/A</v>
      </c>
      <c r="CR234" s="111" t="e">
        <f>IF(CQ42=1,IF(CQ$13&lt;=COUNT($C14:$CS14),IF(INDEX($F$206:$F$229,MATCH($B234,$B$206:$B$229,FALSE))=0,NA(),INDEX(CQ$14:CQ$37,MATCH($B234,$B$14:$B$37,FALSE))/INDEX($F$206:$F$229,MATCH($B234,$B$206:$B$229,FALSE))),NA()),NA())</f>
        <v>#N/A</v>
      </c>
      <c r="CS234" s="111" t="e">
        <f>IF(CR42=1,IF(CR$13&lt;=COUNT($C14:$CS14),IF(INDEX($F$206:$F$229,MATCH($B234,$B$206:$B$229,FALSE))=0,NA(),INDEX(CR$14:CR$37,MATCH($B234,$B$14:$B$37,FALSE))/INDEX($F$206:$F$229,MATCH($B234,$B$206:$B$229,FALSE))),NA()),NA())</f>
        <v>#N/A</v>
      </c>
      <c r="CT234" s="143"/>
      <c r="CU234" s="143"/>
      <c r="CV234" s="143"/>
      <c r="CW234" s="143"/>
    </row>
    <row r="235" spans="1:101" hidden="1" x14ac:dyDescent="0.25">
      <c r="A235" s="97">
        <f t="shared" ref="A235:A258" si="105">A15</f>
        <v>0</v>
      </c>
      <c r="B235" s="29">
        <f t="shared" si="104"/>
        <v>1997</v>
      </c>
      <c r="C235" s="154" t="str">
        <f t="shared" ref="C235:C257" si="106">IFERROR(IF(AND(INDEX($AA$263:$AA$284,MATCH($B235,$Y$263:$Y$284,0))=1,C43=1),0,""),"")</f>
        <v/>
      </c>
      <c r="D235" s="54" t="e">
        <f>IF(C43=1,IF(C$13&lt;=COUNT($C15:$CS15),IF(INDEX($F$206:$F$229,MATCH($B235,$B$206:$B$229,FALSE))=0,NA(),INDEX(C$14:C$37,MATCH($B235,$B$14:$B$37,FALSE))/INDEX($F$206:$F$229,MATCH($B235,$B$206:$B$229,FALSE))),NA()),NA())</f>
        <v>#N/A</v>
      </c>
      <c r="E235" s="65" t="e">
        <f>IF(D43=1,IF(D$13&lt;=COUNT($C15:$CS15),IF(INDEX($F$206:$F$229,MATCH($B235,$B$206:$B$229,FALSE))=0,NA(),INDEX(D$14:D$37,MATCH($B235,$B$14:$B$37,FALSE))/INDEX($F$206:$F$229,MATCH($B235,$B$206:$B$229,FALSE))),NA()),NA())</f>
        <v>#N/A</v>
      </c>
      <c r="F235" s="65" t="e">
        <f>IF(E43=1,IF(E$13&lt;=COUNT($C15:$CS15),IF(INDEX($F$206:$F$229,MATCH($B235,$B$206:$B$229,FALSE))=0,NA(),INDEX(E$14:E$37,MATCH($B235,$B$14:$B$37,FALSE))/INDEX($F$206:$F$229,MATCH($B235,$B$206:$B$229,FALSE))),NA()),NA())</f>
        <v>#N/A</v>
      </c>
      <c r="G235" s="65" t="e">
        <f>IF(F43=1,IF(F$13&lt;=COUNT($C15:$CS15),IF(INDEX($F$206:$F$229,MATCH($B235,$B$206:$B$229,FALSE))=0,NA(),INDEX(F$14:F$37,MATCH($B235,$B$14:$B$37,FALSE))/INDEX($F$206:$F$229,MATCH($B235,$B$206:$B$229,FALSE))),NA()),NA())</f>
        <v>#N/A</v>
      </c>
      <c r="H235" s="65" t="e">
        <f>IF(G43=1,IF(G$13&lt;=COUNT($C15:$CS15),IF(INDEX($F$206:$F$229,MATCH($B235,$B$206:$B$229,FALSE))=0,NA(),INDEX(G$14:G$37,MATCH($B235,$B$14:$B$37,FALSE))/INDEX($F$206:$F$229,MATCH($B235,$B$206:$B$229,FALSE))),NA()),NA())</f>
        <v>#N/A</v>
      </c>
      <c r="I235" s="65" t="e">
        <f>IF(H43=1,IF(H$13&lt;=COUNT($C15:$CS15),IF(INDEX($F$206:$F$229,MATCH($B235,$B$206:$B$229,FALSE))=0,NA(),INDEX(H$14:H$37,MATCH($B235,$B$14:$B$37,FALSE))/INDEX($F$206:$F$229,MATCH($B235,$B$206:$B$229,FALSE))),NA()),NA())</f>
        <v>#N/A</v>
      </c>
      <c r="J235" s="65" t="e">
        <f>IF(I43=1,IF(I$13&lt;=COUNT($C15:$CS15),IF(INDEX($F$206:$F$229,MATCH($B235,$B$206:$B$229,FALSE))=0,NA(),INDEX(I$14:I$37,MATCH($B235,$B$14:$B$37,FALSE))/INDEX($F$206:$F$229,MATCH($B235,$B$206:$B$229,FALSE))),NA()),NA())</f>
        <v>#N/A</v>
      </c>
      <c r="K235" s="65" t="e">
        <f>IF(J43=1,IF(J$13&lt;=COUNT($C15:$CS15),IF(INDEX($F$206:$F$229,MATCH($B235,$B$206:$B$229,FALSE))=0,NA(),INDEX(J$14:J$37,MATCH($B235,$B$14:$B$37,FALSE))/INDEX($F$206:$F$229,MATCH($B235,$B$206:$B$229,FALSE))),NA()),NA())</f>
        <v>#N/A</v>
      </c>
      <c r="L235" s="65" t="e">
        <f>IF(K43=1,IF(K$13&lt;=COUNT($C15:$CS15),IF(INDEX($F$206:$F$229,MATCH($B235,$B$206:$B$229,FALSE))=0,NA(),INDEX(K$14:K$37,MATCH($B235,$B$14:$B$37,FALSE))/INDEX($F$206:$F$229,MATCH($B235,$B$206:$B$229,FALSE))),NA()),NA())</f>
        <v>#N/A</v>
      </c>
      <c r="M235" s="65" t="e">
        <f>IF(L43=1,IF(L$13&lt;=COUNT($C15:$CS15),IF(INDEX($F$206:$F$229,MATCH($B235,$B$206:$B$229,FALSE))=0,NA(),INDEX(L$14:L$37,MATCH($B235,$B$14:$B$37,FALSE))/INDEX($F$206:$F$229,MATCH($B235,$B$206:$B$229,FALSE))),NA()),NA())</f>
        <v>#N/A</v>
      </c>
      <c r="N235" s="65" t="e">
        <f>IF(M43=1,IF(M$13&lt;=COUNT($C15:$CS15),IF(INDEX($F$206:$F$229,MATCH($B235,$B$206:$B$229,FALSE))=0,NA(),INDEX(M$14:M$37,MATCH($B235,$B$14:$B$37,FALSE))/INDEX($F$206:$F$229,MATCH($B235,$B$206:$B$229,FALSE))),NA()),NA())</f>
        <v>#N/A</v>
      </c>
      <c r="O235" s="65" t="e">
        <f>IF(N43=1,IF(N$13&lt;=COUNT($C15:$CS15),IF(INDEX($F$206:$F$229,MATCH($B235,$B$206:$B$229,FALSE))=0,NA(),INDEX(N$14:N$37,MATCH($B235,$B$14:$B$37,FALSE))/INDEX($F$206:$F$229,MATCH($B235,$B$206:$B$229,FALSE))),NA()),NA())</f>
        <v>#N/A</v>
      </c>
      <c r="P235" s="65" t="e">
        <f>IF(O43=1,IF(O$13&lt;=COUNT($C15:$CS15),IF(INDEX($F$206:$F$229,MATCH($B235,$B$206:$B$229,FALSE))=0,NA(),INDEX(O$14:O$37,MATCH($B235,$B$14:$B$37,FALSE))/INDEX($F$206:$F$229,MATCH($B235,$B$206:$B$229,FALSE))),NA()),NA())</f>
        <v>#N/A</v>
      </c>
      <c r="Q235" s="65" t="e">
        <f>IF(P43=1,IF(P$13&lt;=COUNT($C15:$CS15),IF(INDEX($F$206:$F$229,MATCH($B235,$B$206:$B$229,FALSE))=0,NA(),INDEX(P$14:P$37,MATCH($B235,$B$14:$B$37,FALSE))/INDEX($F$206:$F$229,MATCH($B235,$B$206:$B$229,FALSE))),NA()),NA())</f>
        <v>#N/A</v>
      </c>
      <c r="R235" s="65" t="e">
        <f>IF(Q43=1,IF(Q$13&lt;=COUNT($C15:$CS15),IF(INDEX($F$206:$F$229,MATCH($B235,$B$206:$B$229,FALSE))=0,NA(),INDEX(Q$14:Q$37,MATCH($B235,$B$14:$B$37,FALSE))/INDEX($F$206:$F$229,MATCH($B235,$B$206:$B$229,FALSE))),NA()),NA())</f>
        <v>#N/A</v>
      </c>
      <c r="S235" s="65" t="e">
        <f>IF(R43=1,IF(R$13&lt;=COUNT($C15:$CS15),IF(INDEX($F$206:$F$229,MATCH($B235,$B$206:$B$229,FALSE))=0,NA(),INDEX(R$14:R$37,MATCH($B235,$B$14:$B$37,FALSE))/INDEX($F$206:$F$229,MATCH($B235,$B$206:$B$229,FALSE))),NA()),NA())</f>
        <v>#N/A</v>
      </c>
      <c r="T235" s="65" t="e">
        <f>IF(S43=1,IF(S$13&lt;=COUNT($C15:$CS15),IF(INDEX($F$206:$F$229,MATCH($B235,$B$206:$B$229,FALSE))=0,NA(),INDEX(S$14:S$37,MATCH($B235,$B$14:$B$37,FALSE))/INDEX($F$206:$F$229,MATCH($B235,$B$206:$B$229,FALSE))),NA()),NA())</f>
        <v>#N/A</v>
      </c>
      <c r="U235" s="65" t="e">
        <f>IF(T43=1,IF(T$13&lt;=COUNT($C15:$CS15),IF(INDEX($F$206:$F$229,MATCH($B235,$B$206:$B$229,FALSE))=0,NA(),INDEX(T$14:T$37,MATCH($B235,$B$14:$B$37,FALSE))/INDEX($F$206:$F$229,MATCH($B235,$B$206:$B$229,FALSE))),NA()),NA())</f>
        <v>#N/A</v>
      </c>
      <c r="V235" s="65" t="e">
        <f>IF(U43=1,IF(U$13&lt;=COUNT($C15:$CS15),IF(INDEX($F$206:$F$229,MATCH($B235,$B$206:$B$229,FALSE))=0,NA(),INDEX(U$14:U$37,MATCH($B235,$B$14:$B$37,FALSE))/INDEX($F$206:$F$229,MATCH($B235,$B$206:$B$229,FALSE))),NA()),NA())</f>
        <v>#N/A</v>
      </c>
      <c r="W235" s="65" t="e">
        <f>IF(V43=1,IF(V$13&lt;=COUNT($C15:$CS15),IF(INDEX($F$206:$F$229,MATCH($B235,$B$206:$B$229,FALSE))=0,NA(),INDEX(V$14:V$37,MATCH($B235,$B$14:$B$37,FALSE))/INDEX($F$206:$F$229,MATCH($B235,$B$206:$B$229,FALSE))),NA()),NA())</f>
        <v>#N/A</v>
      </c>
      <c r="X235" s="65" t="e">
        <f>IF(W43=1,IF(W$13&lt;=COUNT($C15:$CS15),IF(INDEX($F$206:$F$229,MATCH($B235,$B$206:$B$229,FALSE))=0,NA(),INDEX(W$14:W$37,MATCH($B235,$B$14:$B$37,FALSE))/INDEX($F$206:$F$229,MATCH($B235,$B$206:$B$229,FALSE))),NA()),NA())</f>
        <v>#N/A</v>
      </c>
      <c r="Y235" s="65" t="e">
        <f>IF(X43=1,IF(X$13&lt;=COUNT($C15:$CS15),IF(INDEX($F$206:$F$229,MATCH($B235,$B$206:$B$229,FALSE))=0,NA(),INDEX(X$14:X$37,MATCH($B235,$B$14:$B$37,FALSE))/INDEX($F$206:$F$229,MATCH($B235,$B$206:$B$229,FALSE))),NA()),NA())</f>
        <v>#N/A</v>
      </c>
      <c r="Z235" s="65" t="e">
        <f>IF(Y43=1,IF(Y$13&lt;=COUNT($C15:$CS15),IF(INDEX($F$206:$F$229,MATCH($B235,$B$206:$B$229,FALSE))=0,NA(),INDEX(Y$14:Y$37,MATCH($B235,$B$14:$B$37,FALSE))/INDEX($F$206:$F$229,MATCH($B235,$B$206:$B$229,FALSE))),NA()),NA())</f>
        <v>#N/A</v>
      </c>
      <c r="AA235" s="65" t="e">
        <f>IF(Z43=1,IF(Z$13&lt;=COUNT($C15:$CS15),IF(INDEX($F$206:$F$229,MATCH($B235,$B$206:$B$229,FALSE))=0,NA(),INDEX(Z$14:Z$37,MATCH($B235,$B$14:$B$37,FALSE))/INDEX($F$206:$F$229,MATCH($B235,$B$206:$B$229,FALSE))),NA()),NA())</f>
        <v>#N/A</v>
      </c>
      <c r="AB235" s="65" t="e">
        <f>IF(AA43=1,IF(AA$13&lt;=COUNT($C15:$CS15),IF(INDEX($F$206:$F$229,MATCH($B235,$B$206:$B$229,FALSE))=0,NA(),INDEX(AA$14:AA$37,MATCH($B235,$B$14:$B$37,FALSE))/INDEX($F$206:$F$229,MATCH($B235,$B$206:$B$229,FALSE))),NA()),NA())</f>
        <v>#N/A</v>
      </c>
      <c r="AC235" s="65" t="e">
        <f>IF(AB43=1,IF(AB$13&lt;=COUNT($C15:$CS15),IF(INDEX($F$206:$F$229,MATCH($B235,$B$206:$B$229,FALSE))=0,NA(),INDEX(AB$14:AB$37,MATCH($B235,$B$14:$B$37,FALSE))/INDEX($F$206:$F$229,MATCH($B235,$B$206:$B$229,FALSE))),NA()),NA())</f>
        <v>#N/A</v>
      </c>
      <c r="AD235" s="65" t="e">
        <f>IF(AC43=1,IF(AC$13&lt;=COUNT($C15:$CS15),IF(INDEX($F$206:$F$229,MATCH($B235,$B$206:$B$229,FALSE))=0,NA(),INDEX(AC$14:AC$37,MATCH($B235,$B$14:$B$37,FALSE))/INDEX($F$206:$F$229,MATCH($B235,$B$206:$B$229,FALSE))),NA()),NA())</f>
        <v>#N/A</v>
      </c>
      <c r="AE235" s="65" t="e">
        <f>IF(AD43=1,IF(AD$13&lt;=COUNT($C15:$CS15),IF(INDEX($F$206:$F$229,MATCH($B235,$B$206:$B$229,FALSE))=0,NA(),INDEX(AD$14:AD$37,MATCH($B235,$B$14:$B$37,FALSE))/INDEX($F$206:$F$229,MATCH($B235,$B$206:$B$229,FALSE))),NA()),NA())</f>
        <v>#N/A</v>
      </c>
      <c r="AF235" s="65" t="e">
        <f>IF(AE43=1,IF(AE$13&lt;=COUNT($C15:$CS15),IF(INDEX($F$206:$F$229,MATCH($B235,$B$206:$B$229,FALSE))=0,NA(),INDEX(AE$14:AE$37,MATCH($B235,$B$14:$B$37,FALSE))/INDEX($F$206:$F$229,MATCH($B235,$B$206:$B$229,FALSE))),NA()),NA())</f>
        <v>#N/A</v>
      </c>
      <c r="AG235" s="65" t="e">
        <f>IF(AF43=1,IF(AF$13&lt;=COUNT($C15:$CS15),IF(INDEX($F$206:$F$229,MATCH($B235,$B$206:$B$229,FALSE))=0,NA(),INDEX(AF$14:AF$37,MATCH($B235,$B$14:$B$37,FALSE))/INDEX($F$206:$F$229,MATCH($B235,$B$206:$B$229,FALSE))),NA()),NA())</f>
        <v>#N/A</v>
      </c>
      <c r="AH235" s="65" t="e">
        <f>IF(AG43=1,IF(AG$13&lt;=COUNT($C15:$CS15),IF(INDEX($F$206:$F$229,MATCH($B235,$B$206:$B$229,FALSE))=0,NA(),INDEX(AG$14:AG$37,MATCH($B235,$B$14:$B$37,FALSE))/INDEX($F$206:$F$229,MATCH($B235,$B$206:$B$229,FALSE))),NA()),NA())</f>
        <v>#N/A</v>
      </c>
      <c r="AI235" s="65" t="e">
        <f>IF(AH43=1,IF(AH$13&lt;=COUNT($C15:$CS15),IF(INDEX($F$206:$F$229,MATCH($B235,$B$206:$B$229,FALSE))=0,NA(),INDEX(AH$14:AH$37,MATCH($B235,$B$14:$B$37,FALSE))/INDEX($F$206:$F$229,MATCH($B235,$B$206:$B$229,FALSE))),NA()),NA())</f>
        <v>#N/A</v>
      </c>
      <c r="AJ235" s="65" t="e">
        <f>IF(AI43=1,IF(AI$13&lt;=COUNT($C15:$CS15),IF(INDEX($F$206:$F$229,MATCH($B235,$B$206:$B$229,FALSE))=0,NA(),INDEX(AI$14:AI$37,MATCH($B235,$B$14:$B$37,FALSE))/INDEX($F$206:$F$229,MATCH($B235,$B$206:$B$229,FALSE))),NA()),NA())</f>
        <v>#N/A</v>
      </c>
      <c r="AK235" s="65" t="e">
        <f>IF(AJ43=1,IF(AJ$13&lt;=COUNT($C15:$CS15),IF(INDEX($F$206:$F$229,MATCH($B235,$B$206:$B$229,FALSE))=0,NA(),INDEX(AJ$14:AJ$37,MATCH($B235,$B$14:$B$37,FALSE))/INDEX($F$206:$F$229,MATCH($B235,$B$206:$B$229,FALSE))),NA()),NA())</f>
        <v>#N/A</v>
      </c>
      <c r="AL235" s="65" t="e">
        <f>IF(AK43=1,IF(AK$13&lt;=COUNT($C15:$CS15),IF(INDEX($F$206:$F$229,MATCH($B235,$B$206:$B$229,FALSE))=0,NA(),INDEX(AK$14:AK$37,MATCH($B235,$B$14:$B$37,FALSE))/INDEX($F$206:$F$229,MATCH($B235,$B$206:$B$229,FALSE))),NA()),NA())</f>
        <v>#N/A</v>
      </c>
      <c r="AM235" s="65" t="e">
        <f>IF(AL43=1,IF(AL$13&lt;=COUNT($C15:$CS15),IF(INDEX($F$206:$F$229,MATCH($B235,$B$206:$B$229,FALSE))=0,NA(),INDEX(AL$14:AL$37,MATCH($B235,$B$14:$B$37,FALSE))/INDEX($F$206:$F$229,MATCH($B235,$B$206:$B$229,FALSE))),NA()),NA())</f>
        <v>#N/A</v>
      </c>
      <c r="AN235" s="65" t="e">
        <f>IF(AM43=1,IF(AM$13&lt;=COUNT($C15:$CS15),IF(INDEX($F$206:$F$229,MATCH($B235,$B$206:$B$229,FALSE))=0,NA(),INDEX(AM$14:AM$37,MATCH($B235,$B$14:$B$37,FALSE))/INDEX($F$206:$F$229,MATCH($B235,$B$206:$B$229,FALSE))),NA()),NA())</f>
        <v>#N/A</v>
      </c>
      <c r="AO235" s="65" t="e">
        <f>IF(AN43=1,IF(AN$13&lt;=COUNT($C15:$CS15),IF(INDEX($F$206:$F$229,MATCH($B235,$B$206:$B$229,FALSE))=0,NA(),INDEX(AN$14:AN$37,MATCH($B235,$B$14:$B$37,FALSE))/INDEX($F$206:$F$229,MATCH($B235,$B$206:$B$229,FALSE))),NA()),NA())</f>
        <v>#N/A</v>
      </c>
      <c r="AP235" s="65" t="e">
        <f>IF(AO43=1,IF(AO$13&lt;=COUNT($C15:$CS15),IF(INDEX($F$206:$F$229,MATCH($B235,$B$206:$B$229,FALSE))=0,NA(),INDEX(AO$14:AO$37,MATCH($B235,$B$14:$B$37,FALSE))/INDEX($F$206:$F$229,MATCH($B235,$B$206:$B$229,FALSE))),NA()),NA())</f>
        <v>#N/A</v>
      </c>
      <c r="AQ235" s="65" t="e">
        <f>IF(AP43=1,IF(AP$13&lt;=COUNT($C15:$CS15),IF(INDEX($F$206:$F$229,MATCH($B235,$B$206:$B$229,FALSE))=0,NA(),INDEX(AP$14:AP$37,MATCH($B235,$B$14:$B$37,FALSE))/INDEX($F$206:$F$229,MATCH($B235,$B$206:$B$229,FALSE))),NA()),NA())</f>
        <v>#N/A</v>
      </c>
      <c r="AR235" s="65" t="e">
        <f>IF(AQ43=1,IF(AQ$13&lt;=COUNT($C15:$CS15),IF(INDEX($F$206:$F$229,MATCH($B235,$B$206:$B$229,FALSE))=0,NA(),INDEX(AQ$14:AQ$37,MATCH($B235,$B$14:$B$37,FALSE))/INDEX($F$206:$F$229,MATCH($B235,$B$206:$B$229,FALSE))),NA()),NA())</f>
        <v>#N/A</v>
      </c>
      <c r="AS235" s="65" t="e">
        <f>IF(AR43=1,IF(AR$13&lt;=COUNT($C15:$CS15),IF(INDEX($F$206:$F$229,MATCH($B235,$B$206:$B$229,FALSE))=0,NA(),INDEX(AR$14:AR$37,MATCH($B235,$B$14:$B$37,FALSE))/INDEX($F$206:$F$229,MATCH($B235,$B$206:$B$229,FALSE))),NA()),NA())</f>
        <v>#N/A</v>
      </c>
      <c r="AT235" s="65" t="e">
        <f>IF(AS43=1,IF(AS$13&lt;=COUNT($C15:$CS15),IF(INDEX($F$206:$F$229,MATCH($B235,$B$206:$B$229,FALSE))=0,NA(),INDEX(AS$14:AS$37,MATCH($B235,$B$14:$B$37,FALSE))/INDEX($F$206:$F$229,MATCH($B235,$B$206:$B$229,FALSE))),NA()),NA())</f>
        <v>#N/A</v>
      </c>
      <c r="AU235" s="65" t="e">
        <f>IF(AT43=1,IF(AT$13&lt;=COUNT($C15:$CS15),IF(INDEX($F$206:$F$229,MATCH($B235,$B$206:$B$229,FALSE))=0,NA(),INDEX(AT$14:AT$37,MATCH($B235,$B$14:$B$37,FALSE))/INDEX($F$206:$F$229,MATCH($B235,$B$206:$B$229,FALSE))),NA()),NA())</f>
        <v>#N/A</v>
      </c>
      <c r="AV235" s="65" t="e">
        <f>IF(AU43=1,IF(AU$13&lt;=COUNT($C15:$CS15),IF(INDEX($F$206:$F$229,MATCH($B235,$B$206:$B$229,FALSE))=0,NA(),INDEX(AU$14:AU$37,MATCH($B235,$B$14:$B$37,FALSE))/INDEX($F$206:$F$229,MATCH($B235,$B$206:$B$229,FALSE))),NA()),NA())</f>
        <v>#N/A</v>
      </c>
      <c r="AW235" s="65" t="e">
        <f>IF(AV43=1,IF(AV$13&lt;=COUNT($C15:$CS15),IF(INDEX($F$206:$F$229,MATCH($B235,$B$206:$B$229,FALSE))=0,NA(),INDEX(AV$14:AV$37,MATCH($B235,$B$14:$B$37,FALSE))/INDEX($F$206:$F$229,MATCH($B235,$B$206:$B$229,FALSE))),NA()),NA())</f>
        <v>#N/A</v>
      </c>
      <c r="AX235" s="65" t="e">
        <f>IF(AW43=1,IF(AW$13&lt;=COUNT($C15:$CS15),IF(INDEX($F$206:$F$229,MATCH($B235,$B$206:$B$229,FALSE))=0,NA(),INDEX(AW$14:AW$37,MATCH($B235,$B$14:$B$37,FALSE))/INDEX($F$206:$F$229,MATCH($B235,$B$206:$B$229,FALSE))),NA()),NA())</f>
        <v>#N/A</v>
      </c>
      <c r="AY235" s="65" t="e">
        <f>IF(AX43=1,IF(AX$13&lt;=COUNT($C15:$CS15),IF(INDEX($F$206:$F$229,MATCH($B235,$B$206:$B$229,FALSE))=0,NA(),INDEX(AX$14:AX$37,MATCH($B235,$B$14:$B$37,FALSE))/INDEX($F$206:$F$229,MATCH($B235,$B$206:$B$229,FALSE))),NA()),NA())</f>
        <v>#N/A</v>
      </c>
      <c r="AZ235" s="65" t="e">
        <f>IF(AY43=1,IF(AY$13&lt;=COUNT($C15:$CS15),IF(INDEX($F$206:$F$229,MATCH($B235,$B$206:$B$229,FALSE))=0,NA(),INDEX(AY$14:AY$37,MATCH($B235,$B$14:$B$37,FALSE))/INDEX($F$206:$F$229,MATCH($B235,$B$206:$B$229,FALSE))),NA()),NA())</f>
        <v>#N/A</v>
      </c>
      <c r="BA235" s="65" t="e">
        <f>IF(AZ43=1,IF(AZ$13&lt;=COUNT($C15:$CS15),IF(INDEX($F$206:$F$229,MATCH($B235,$B$206:$B$229,FALSE))=0,NA(),INDEX(AZ$14:AZ$37,MATCH($B235,$B$14:$B$37,FALSE))/INDEX($F$206:$F$229,MATCH($B235,$B$206:$B$229,FALSE))),NA()),NA())</f>
        <v>#N/A</v>
      </c>
      <c r="BB235" s="65" t="e">
        <f>IF(BA43=1,IF(BA$13&lt;=COUNT($C15:$CS15),IF(INDEX($F$206:$F$229,MATCH($B235,$B$206:$B$229,FALSE))=0,NA(),INDEX(BA$14:BA$37,MATCH($B235,$B$14:$B$37,FALSE))/INDEX($F$206:$F$229,MATCH($B235,$B$206:$B$229,FALSE))),NA()),NA())</f>
        <v>#N/A</v>
      </c>
      <c r="BC235" s="65" t="e">
        <f>IF(BB43=1,IF(BB$13&lt;=COUNT($C15:$CS15),IF(INDEX($F$206:$F$229,MATCH($B235,$B$206:$B$229,FALSE))=0,NA(),INDEX(BB$14:BB$37,MATCH($B235,$B$14:$B$37,FALSE))/INDEX($F$206:$F$229,MATCH($B235,$B$206:$B$229,FALSE))),NA()),NA())</f>
        <v>#N/A</v>
      </c>
      <c r="BD235" s="65" t="e">
        <f>IF(BC43=1,IF(BC$13&lt;=COUNT($C15:$CS15),IF(INDEX($F$206:$F$229,MATCH($B235,$B$206:$B$229,FALSE))=0,NA(),INDEX(BC$14:BC$37,MATCH($B235,$B$14:$B$37,FALSE))/INDEX($F$206:$F$229,MATCH($B235,$B$206:$B$229,FALSE))),NA()),NA())</f>
        <v>#N/A</v>
      </c>
      <c r="BE235" s="65" t="e">
        <f>IF(BD43=1,IF(BD$13&lt;=COUNT($C15:$CS15),IF(INDEX($F$206:$F$229,MATCH($B235,$B$206:$B$229,FALSE))=0,NA(),INDEX(BD$14:BD$37,MATCH($B235,$B$14:$B$37,FALSE))/INDEX($F$206:$F$229,MATCH($B235,$B$206:$B$229,FALSE))),NA()),NA())</f>
        <v>#N/A</v>
      </c>
      <c r="BF235" s="65" t="e">
        <f>IF(BE43=1,IF(BE$13&lt;=COUNT($C15:$CS15),IF(INDEX($F$206:$F$229,MATCH($B235,$B$206:$B$229,FALSE))=0,NA(),INDEX(BE$14:BE$37,MATCH($B235,$B$14:$B$37,FALSE))/INDEX($F$206:$F$229,MATCH($B235,$B$206:$B$229,FALSE))),NA()),NA())</f>
        <v>#N/A</v>
      </c>
      <c r="BG235" s="65" t="e">
        <f>IF(BF43=1,IF(BF$13&lt;=COUNT($C15:$CS15),IF(INDEX($F$206:$F$229,MATCH($B235,$B$206:$B$229,FALSE))=0,NA(),INDEX(BF$14:BF$37,MATCH($B235,$B$14:$B$37,FALSE))/INDEX($F$206:$F$229,MATCH($B235,$B$206:$B$229,FALSE))),NA()),NA())</f>
        <v>#N/A</v>
      </c>
      <c r="BH235" s="65" t="e">
        <f>IF(BG43=1,IF(BG$13&lt;=COUNT($C15:$CS15),IF(INDEX($F$206:$F$229,MATCH($B235,$B$206:$B$229,FALSE))=0,NA(),INDEX(BG$14:BG$37,MATCH($B235,$B$14:$B$37,FALSE))/INDEX($F$206:$F$229,MATCH($B235,$B$206:$B$229,FALSE))),NA()),NA())</f>
        <v>#N/A</v>
      </c>
      <c r="BI235" s="65" t="e">
        <f>IF(BH43=1,IF(BH$13&lt;=COUNT($C15:$CS15),IF(INDEX($F$206:$F$229,MATCH($B235,$B$206:$B$229,FALSE))=0,NA(),INDEX(BH$14:BH$37,MATCH($B235,$B$14:$B$37,FALSE))/INDEX($F$206:$F$229,MATCH($B235,$B$206:$B$229,FALSE))),NA()),NA())</f>
        <v>#N/A</v>
      </c>
      <c r="BJ235" s="65" t="e">
        <f>IF(BI43=1,IF(BI$13&lt;=COUNT($C15:$CS15),IF(INDEX($F$206:$F$229,MATCH($B235,$B$206:$B$229,FALSE))=0,NA(),INDEX(BI$14:BI$37,MATCH($B235,$B$14:$B$37,FALSE))/INDEX($F$206:$F$229,MATCH($B235,$B$206:$B$229,FALSE))),NA()),NA())</f>
        <v>#N/A</v>
      </c>
      <c r="BK235" s="65" t="e">
        <f>IF(BJ43=1,IF(BJ$13&lt;=COUNT($C15:$CS15),IF(INDEX($F$206:$F$229,MATCH($B235,$B$206:$B$229,FALSE))=0,NA(),INDEX(BJ$14:BJ$37,MATCH($B235,$B$14:$B$37,FALSE))/INDEX($F$206:$F$229,MATCH($B235,$B$206:$B$229,FALSE))),NA()),NA())</f>
        <v>#N/A</v>
      </c>
      <c r="BL235" s="65" t="e">
        <f>IF(BK43=1,IF(BK$13&lt;=COUNT($C15:$CS15),IF(INDEX($F$206:$F$229,MATCH($B235,$B$206:$B$229,FALSE))=0,NA(),INDEX(BK$14:BK$37,MATCH($B235,$B$14:$B$37,FALSE))/INDEX($F$206:$F$229,MATCH($B235,$B$206:$B$229,FALSE))),NA()),NA())</f>
        <v>#N/A</v>
      </c>
      <c r="BM235" s="65" t="e">
        <f>IF(BL43=1,IF(BL$13&lt;=COUNT($C15:$CS15),IF(INDEX($F$206:$F$229,MATCH($B235,$B$206:$B$229,FALSE))=0,NA(),INDEX(BL$14:BL$37,MATCH($B235,$B$14:$B$37,FALSE))/INDEX($F$206:$F$229,MATCH($B235,$B$206:$B$229,FALSE))),NA()),NA())</f>
        <v>#N/A</v>
      </c>
      <c r="BN235" s="65" t="e">
        <f>IF(BM43=1,IF(BM$13&lt;=COUNT($C15:$CS15),IF(INDEX($F$206:$F$229,MATCH($B235,$B$206:$B$229,FALSE))=0,NA(),INDEX(BM$14:BM$37,MATCH($B235,$B$14:$B$37,FALSE))/INDEX($F$206:$F$229,MATCH($B235,$B$206:$B$229,FALSE))),NA()),NA())</f>
        <v>#N/A</v>
      </c>
      <c r="BO235" s="65" t="e">
        <f>IF(BN43=1,IF(BN$13&lt;=COUNT($C15:$CS15),IF(INDEX($F$206:$F$229,MATCH($B235,$B$206:$B$229,FALSE))=0,NA(),INDEX(BN$14:BN$37,MATCH($B235,$B$14:$B$37,FALSE))/INDEX($F$206:$F$229,MATCH($B235,$B$206:$B$229,FALSE))),NA()),NA())</f>
        <v>#N/A</v>
      </c>
      <c r="BP235" s="65" t="e">
        <f>IF(BO43=1,IF(BO$13&lt;=COUNT($C15:$CS15),IF(INDEX($F$206:$F$229,MATCH($B235,$B$206:$B$229,FALSE))=0,NA(),INDEX(BO$14:BO$37,MATCH($B235,$B$14:$B$37,FALSE))/INDEX($F$206:$F$229,MATCH($B235,$B$206:$B$229,FALSE))),NA()),NA())</f>
        <v>#N/A</v>
      </c>
      <c r="BQ235" s="65" t="e">
        <f>IF(BP43=1,IF(BP$13&lt;=COUNT($C15:$CS15),IF(INDEX($F$206:$F$229,MATCH($B235,$B$206:$B$229,FALSE))=0,NA(),INDEX(BP$14:BP$37,MATCH($B235,$B$14:$B$37,FALSE))/INDEX($F$206:$F$229,MATCH($B235,$B$206:$B$229,FALSE))),NA()),NA())</f>
        <v>#N/A</v>
      </c>
      <c r="BR235" s="65" t="e">
        <f>IF(BQ43=1,IF(BQ$13&lt;=COUNT($C15:$CS15),IF(INDEX($F$206:$F$229,MATCH($B235,$B$206:$B$229,FALSE))=0,NA(),INDEX(BQ$14:BQ$37,MATCH($B235,$B$14:$B$37,FALSE))/INDEX($F$206:$F$229,MATCH($B235,$B$206:$B$229,FALSE))),NA()),NA())</f>
        <v>#N/A</v>
      </c>
      <c r="BS235" s="65" t="e">
        <f>IF(BR43=1,IF(BR$13&lt;=COUNT($C15:$CS15),IF(INDEX($F$206:$F$229,MATCH($B235,$B$206:$B$229,FALSE))=0,NA(),INDEX(BR$14:BR$37,MATCH($B235,$B$14:$B$37,FALSE))/INDEX($F$206:$F$229,MATCH($B235,$B$206:$B$229,FALSE))),NA()),NA())</f>
        <v>#N/A</v>
      </c>
      <c r="BT235" s="65" t="e">
        <f>IF(BS43=1,IF(BS$13&lt;=COUNT($C15:$CS15),IF(INDEX($F$206:$F$229,MATCH($B235,$B$206:$B$229,FALSE))=0,NA(),INDEX(BS$14:BS$37,MATCH($B235,$B$14:$B$37,FALSE))/INDEX($F$206:$F$229,MATCH($B235,$B$206:$B$229,FALSE))),NA()),NA())</f>
        <v>#N/A</v>
      </c>
      <c r="BU235" s="65" t="e">
        <f>IF(BT43=1,IF(BT$13&lt;=COUNT($C15:$CS15),IF(INDEX($F$206:$F$229,MATCH($B235,$B$206:$B$229,FALSE))=0,NA(),INDEX(BT$14:BT$37,MATCH($B235,$B$14:$B$37,FALSE))/INDEX($F$206:$F$229,MATCH($B235,$B$206:$B$229,FALSE))),NA()),NA())</f>
        <v>#N/A</v>
      </c>
      <c r="BV235" s="65" t="e">
        <f>IF(BU43=1,IF(BU$13&lt;=COUNT($C15:$CS15),IF(INDEX($F$206:$F$229,MATCH($B235,$B$206:$B$229,FALSE))=0,NA(),INDEX(BU$14:BU$37,MATCH($B235,$B$14:$B$37,FALSE))/INDEX($F$206:$F$229,MATCH($B235,$B$206:$B$229,FALSE))),NA()),NA())</f>
        <v>#N/A</v>
      </c>
      <c r="BW235" s="65" t="e">
        <f>IF(BV43=1,IF(BV$13&lt;=COUNT($C15:$CS15),IF(INDEX($F$206:$F$229,MATCH($B235,$B$206:$B$229,FALSE))=0,NA(),INDEX(BV$14:BV$37,MATCH($B235,$B$14:$B$37,FALSE))/INDEX($F$206:$F$229,MATCH($B235,$B$206:$B$229,FALSE))),NA()),NA())</f>
        <v>#N/A</v>
      </c>
      <c r="BX235" s="65" t="e">
        <f>IF(BW43=1,IF(BW$13&lt;=COUNT($C15:$CS15),IF(INDEX($F$206:$F$229,MATCH($B235,$B$206:$B$229,FALSE))=0,NA(),INDEX(BW$14:BW$37,MATCH($B235,$B$14:$B$37,FALSE))/INDEX($F$206:$F$229,MATCH($B235,$B$206:$B$229,FALSE))),NA()),NA())</f>
        <v>#N/A</v>
      </c>
      <c r="BY235" s="65" t="e">
        <f>IF(BX43=1,IF(BX$13&lt;=COUNT($C15:$CS15),IF(INDEX($F$206:$F$229,MATCH($B235,$B$206:$B$229,FALSE))=0,NA(),INDEX(BX$14:BX$37,MATCH($B235,$B$14:$B$37,FALSE))/INDEX($F$206:$F$229,MATCH($B235,$B$206:$B$229,FALSE))),NA()),NA())</f>
        <v>#N/A</v>
      </c>
      <c r="BZ235" s="65" t="e">
        <f>IF(BY43=1,IF(BY$13&lt;=COUNT($C15:$CS15),IF(INDEX($F$206:$F$229,MATCH($B235,$B$206:$B$229,FALSE))=0,NA(),INDEX(BY$14:BY$37,MATCH($B235,$B$14:$B$37,FALSE))/INDEX($F$206:$F$229,MATCH($B235,$B$206:$B$229,FALSE))),NA()),NA())</f>
        <v>#N/A</v>
      </c>
      <c r="CA235" s="65" t="e">
        <f>IF(BZ43=1,IF(BZ$13&lt;=COUNT($C15:$CS15),IF(INDEX($F$206:$F$229,MATCH($B235,$B$206:$B$229,FALSE))=0,NA(),INDEX(BZ$14:BZ$37,MATCH($B235,$B$14:$B$37,FALSE))/INDEX($F$206:$F$229,MATCH($B235,$B$206:$B$229,FALSE))),NA()),NA())</f>
        <v>#N/A</v>
      </c>
      <c r="CB235" s="65" t="e">
        <f>IF(CA43=1,IF(CA$13&lt;=COUNT($C15:$CS15),IF(INDEX($F$206:$F$229,MATCH($B235,$B$206:$B$229,FALSE))=0,NA(),INDEX(CA$14:CA$37,MATCH($B235,$B$14:$B$37,FALSE))/INDEX($F$206:$F$229,MATCH($B235,$B$206:$B$229,FALSE))),NA()),NA())</f>
        <v>#N/A</v>
      </c>
      <c r="CC235" s="65" t="e">
        <f>IF(CB43=1,IF(CB$13&lt;=COUNT($C15:$CS15),IF(INDEX($F$206:$F$229,MATCH($B235,$B$206:$B$229,FALSE))=0,NA(),INDEX(CB$14:CB$37,MATCH($B235,$B$14:$B$37,FALSE))/INDEX($F$206:$F$229,MATCH($B235,$B$206:$B$229,FALSE))),NA()),NA())</f>
        <v>#N/A</v>
      </c>
      <c r="CD235" s="65" t="e">
        <f>IF(CC43=1,IF(CC$13&lt;=COUNT($C15:$CS15),IF(INDEX($F$206:$F$229,MATCH($B235,$B$206:$B$229,FALSE))=0,NA(),INDEX(CC$14:CC$37,MATCH($B235,$B$14:$B$37,FALSE))/INDEX($F$206:$F$229,MATCH($B235,$B$206:$B$229,FALSE))),NA()),NA())</f>
        <v>#N/A</v>
      </c>
      <c r="CE235" s="65" t="e">
        <f>IF(CD43=1,IF(CD$13&lt;=COUNT($C15:$CS15),IF(INDEX($F$206:$F$229,MATCH($B235,$B$206:$B$229,FALSE))=0,NA(),INDEX(CD$14:CD$37,MATCH($B235,$B$14:$B$37,FALSE))/INDEX($F$206:$F$229,MATCH($B235,$B$206:$B$229,FALSE))),NA()),NA())</f>
        <v>#N/A</v>
      </c>
      <c r="CF235" s="65" t="e">
        <f>IF(CE43=1,IF(CE$13&lt;=COUNT($C15:$CS15),IF(INDEX($F$206:$F$229,MATCH($B235,$B$206:$B$229,FALSE))=0,NA(),INDEX(CE$14:CE$37,MATCH($B235,$B$14:$B$37,FALSE))/INDEX($F$206:$F$229,MATCH($B235,$B$206:$B$229,FALSE))),NA()),NA())</f>
        <v>#N/A</v>
      </c>
      <c r="CG235" s="65" t="e">
        <f>IF(CF43=1,IF(CF$13&lt;=COUNT($C15:$CS15),IF(INDEX($F$206:$F$229,MATCH($B235,$B$206:$B$229,FALSE))=0,NA(),INDEX(CF$14:CF$37,MATCH($B235,$B$14:$B$37,FALSE))/INDEX($F$206:$F$229,MATCH($B235,$B$206:$B$229,FALSE))),NA()),NA())</f>
        <v>#N/A</v>
      </c>
      <c r="CH235" s="65" t="e">
        <f>IF(CG43=1,IF(CG$13&lt;=COUNT($C15:$CS15),IF(INDEX($F$206:$F$229,MATCH($B235,$B$206:$B$229,FALSE))=0,NA(),INDEX(CG$14:CG$37,MATCH($B235,$B$14:$B$37,FALSE))/INDEX($F$206:$F$229,MATCH($B235,$B$206:$B$229,FALSE))),NA()),NA())</f>
        <v>#N/A</v>
      </c>
      <c r="CI235" s="65" t="e">
        <f>IF(CH43=1,IF(CH$13&lt;=COUNT($C15:$CS15),IF(INDEX($F$206:$F$229,MATCH($B235,$B$206:$B$229,FALSE))=0,NA(),INDEX(CH$14:CH$37,MATCH($B235,$B$14:$B$37,FALSE))/INDEX($F$206:$F$229,MATCH($B235,$B$206:$B$229,FALSE))),NA()),NA())</f>
        <v>#N/A</v>
      </c>
      <c r="CJ235" s="65" t="e">
        <f>IF(CI43=1,IF(CI$13&lt;=COUNT($C15:$CS15),IF(INDEX($F$206:$F$229,MATCH($B235,$B$206:$B$229,FALSE))=0,NA(),INDEX(CI$14:CI$37,MATCH($B235,$B$14:$B$37,FALSE))/INDEX($F$206:$F$229,MATCH($B235,$B$206:$B$229,FALSE))),NA()),NA())</f>
        <v>#N/A</v>
      </c>
      <c r="CK235" s="65" t="e">
        <f>IF(CJ43=1,IF(CJ$13&lt;=COUNT($C15:$CS15),IF(INDEX($F$206:$F$229,MATCH($B235,$B$206:$B$229,FALSE))=0,NA(),INDEX(CJ$14:CJ$37,MATCH($B235,$B$14:$B$37,FALSE))/INDEX($F$206:$F$229,MATCH($B235,$B$206:$B$229,FALSE))),NA()),NA())</f>
        <v>#N/A</v>
      </c>
      <c r="CL235" s="65" t="e">
        <f>IF(CK43=1,IF(CK$13&lt;=COUNT($C15:$CS15),IF(INDEX($F$206:$F$229,MATCH($B235,$B$206:$B$229,FALSE))=0,NA(),INDEX(CK$14:CK$37,MATCH($B235,$B$14:$B$37,FALSE))/INDEX($F$206:$F$229,MATCH($B235,$B$206:$B$229,FALSE))),NA()),NA())</f>
        <v>#N/A</v>
      </c>
      <c r="CM235" s="65" t="e">
        <f>IF(CL43=1,IF(CL$13&lt;=COUNT($C15:$CS15),IF(INDEX($F$206:$F$229,MATCH($B235,$B$206:$B$229,FALSE))=0,NA(),INDEX(CL$14:CL$37,MATCH($B235,$B$14:$B$37,FALSE))/INDEX($F$206:$F$229,MATCH($B235,$B$206:$B$229,FALSE))),NA()),NA())</f>
        <v>#N/A</v>
      </c>
      <c r="CN235" s="65" t="e">
        <f>IF(CM43=1,IF(CM$13&lt;=COUNT($C15:$CS15),IF(INDEX($F$206:$F$229,MATCH($B235,$B$206:$B$229,FALSE))=0,NA(),INDEX(CM$14:CM$37,MATCH($B235,$B$14:$B$37,FALSE))/INDEX($F$206:$F$229,MATCH($B235,$B$206:$B$229,FALSE))),NA()),NA())</f>
        <v>#N/A</v>
      </c>
      <c r="CO235" s="65" t="e">
        <f>IF(CN43=1,IF(CN$13&lt;=COUNT($C15:$CS15),IF(INDEX($F$206:$F$229,MATCH($B235,$B$206:$B$229,FALSE))=0,NA(),INDEX(CN$14:CN$37,MATCH($B235,$B$14:$B$37,FALSE))/INDEX($F$206:$F$229,MATCH($B235,$B$206:$B$229,FALSE))),NA()),NA())</f>
        <v>#N/A</v>
      </c>
      <c r="CP235" s="65" t="e">
        <f>IF(CO43=1,IF(CO$13&lt;=COUNT($C15:$CS15),IF(INDEX($F$206:$F$229,MATCH($B235,$B$206:$B$229,FALSE))=0,NA(),INDEX(CO$14:CO$37,MATCH($B235,$B$14:$B$37,FALSE))/INDEX($F$206:$F$229,MATCH($B235,$B$206:$B$229,FALSE))),NA()),NA())</f>
        <v>#N/A</v>
      </c>
      <c r="CQ235" s="65" t="e">
        <f>IF(CP43=1,IF(CP$13&lt;=COUNT($C15:$CS15),IF(INDEX($F$206:$F$229,MATCH($B235,$B$206:$B$229,FALSE))=0,NA(),INDEX(CP$14:CP$37,MATCH($B235,$B$14:$B$37,FALSE))/INDEX($F$206:$F$229,MATCH($B235,$B$206:$B$229,FALSE))),NA()),NA())</f>
        <v>#N/A</v>
      </c>
      <c r="CR235" s="65" t="e">
        <f>IF(CQ43=1,IF(CQ$13&lt;=COUNT($C15:$CS15),IF(INDEX($F$206:$F$229,MATCH($B235,$B$206:$B$229,FALSE))=0,NA(),INDEX(CQ$14:CQ$37,MATCH($B235,$B$14:$B$37,FALSE))/INDEX($F$206:$F$229,MATCH($B235,$B$206:$B$229,FALSE))),NA()),NA())</f>
        <v>#N/A</v>
      </c>
      <c r="CS235" s="65" t="e">
        <f>IF(CR43=1,IF(CR$13&lt;=COUNT($C15:$CS15),IF(INDEX($F$206:$F$229,MATCH($B235,$B$206:$B$229,FALSE))=0,NA(),INDEX(CR$14:CR$37,MATCH($B235,$B$14:$B$37,FALSE))/INDEX($F$206:$F$229,MATCH($B235,$B$206:$B$229,FALSE))),NA()),NA())</f>
        <v>#N/A</v>
      </c>
      <c r="CT235" s="143"/>
      <c r="CU235" s="143"/>
      <c r="CV235" s="143"/>
      <c r="CW235" s="143"/>
    </row>
    <row r="236" spans="1:101" hidden="1" x14ac:dyDescent="0.25">
      <c r="A236" s="97">
        <f t="shared" si="105"/>
        <v>0</v>
      </c>
      <c r="B236" s="29">
        <f t="shared" si="104"/>
        <v>1998</v>
      </c>
      <c r="C236" s="154" t="str">
        <f t="shared" si="106"/>
        <v/>
      </c>
      <c r="D236" s="54" t="e">
        <f>IF(C44=1,IF(C$13&lt;=COUNT($C16:$CS16),IF(INDEX($F$206:$F$229,MATCH($B236,$B$206:$B$229,FALSE))=0,NA(),INDEX(C$14:C$37,MATCH($B236,$B$14:$B$37,FALSE))/INDEX($F$206:$F$229,MATCH($B236,$B$206:$B$229,FALSE))),NA()),NA())</f>
        <v>#N/A</v>
      </c>
      <c r="E236" s="65" t="e">
        <f>IF(D44=1,IF(D$13&lt;=COUNT($C16:$CS16),IF(INDEX($F$206:$F$229,MATCH($B236,$B$206:$B$229,FALSE))=0,NA(),INDEX(D$14:D$37,MATCH($B236,$B$14:$B$37,FALSE))/INDEX($F$206:$F$229,MATCH($B236,$B$206:$B$229,FALSE))),NA()),NA())</f>
        <v>#N/A</v>
      </c>
      <c r="F236" s="65" t="e">
        <f>IF(E44=1,IF(E$13&lt;=COUNT($C16:$CS16),IF(INDEX($F$206:$F$229,MATCH($B236,$B$206:$B$229,FALSE))=0,NA(),INDEX(E$14:E$37,MATCH($B236,$B$14:$B$37,FALSE))/INDEX($F$206:$F$229,MATCH($B236,$B$206:$B$229,FALSE))),NA()),NA())</f>
        <v>#N/A</v>
      </c>
      <c r="G236" s="65" t="e">
        <f>IF(F44=1,IF(F$13&lt;=COUNT($C16:$CS16),IF(INDEX($F$206:$F$229,MATCH($B236,$B$206:$B$229,FALSE))=0,NA(),INDEX(F$14:F$37,MATCH($B236,$B$14:$B$37,FALSE))/INDEX($F$206:$F$229,MATCH($B236,$B$206:$B$229,FALSE))),NA()),NA())</f>
        <v>#N/A</v>
      </c>
      <c r="H236" s="65" t="e">
        <f>IF(G44=1,IF(G$13&lt;=COUNT($C16:$CS16),IF(INDEX($F$206:$F$229,MATCH($B236,$B$206:$B$229,FALSE))=0,NA(),INDEX(G$14:G$37,MATCH($B236,$B$14:$B$37,FALSE))/INDEX($F$206:$F$229,MATCH($B236,$B$206:$B$229,FALSE))),NA()),NA())</f>
        <v>#N/A</v>
      </c>
      <c r="I236" s="65" t="e">
        <f>IF(H44=1,IF(H$13&lt;=COUNT($C16:$CS16),IF(INDEX($F$206:$F$229,MATCH($B236,$B$206:$B$229,FALSE))=0,NA(),INDEX(H$14:H$37,MATCH($B236,$B$14:$B$37,FALSE))/INDEX($F$206:$F$229,MATCH($B236,$B$206:$B$229,FALSE))),NA()),NA())</f>
        <v>#N/A</v>
      </c>
      <c r="J236" s="65" t="e">
        <f>IF(I44=1,IF(I$13&lt;=COUNT($C16:$CS16),IF(INDEX($F$206:$F$229,MATCH($B236,$B$206:$B$229,FALSE))=0,NA(),INDEX(I$14:I$37,MATCH($B236,$B$14:$B$37,FALSE))/INDEX($F$206:$F$229,MATCH($B236,$B$206:$B$229,FALSE))),NA()),NA())</f>
        <v>#N/A</v>
      </c>
      <c r="K236" s="65" t="e">
        <f>IF(J44=1,IF(J$13&lt;=COUNT($C16:$CS16),IF(INDEX($F$206:$F$229,MATCH($B236,$B$206:$B$229,FALSE))=0,NA(),INDEX(J$14:J$37,MATCH($B236,$B$14:$B$37,FALSE))/INDEX($F$206:$F$229,MATCH($B236,$B$206:$B$229,FALSE))),NA()),NA())</f>
        <v>#N/A</v>
      </c>
      <c r="L236" s="65" t="e">
        <f>IF(K44=1,IF(K$13&lt;=COUNT($C16:$CS16),IF(INDEX($F$206:$F$229,MATCH($B236,$B$206:$B$229,FALSE))=0,NA(),INDEX(K$14:K$37,MATCH($B236,$B$14:$B$37,FALSE))/INDEX($F$206:$F$229,MATCH($B236,$B$206:$B$229,FALSE))),NA()),NA())</f>
        <v>#N/A</v>
      </c>
      <c r="M236" s="65" t="e">
        <f>IF(L44=1,IF(L$13&lt;=COUNT($C16:$CS16),IF(INDEX($F$206:$F$229,MATCH($B236,$B$206:$B$229,FALSE))=0,NA(),INDEX(L$14:L$37,MATCH($B236,$B$14:$B$37,FALSE))/INDEX($F$206:$F$229,MATCH($B236,$B$206:$B$229,FALSE))),NA()),NA())</f>
        <v>#N/A</v>
      </c>
      <c r="N236" s="65" t="e">
        <f>IF(M44=1,IF(M$13&lt;=COUNT($C16:$CS16),IF(INDEX($F$206:$F$229,MATCH($B236,$B$206:$B$229,FALSE))=0,NA(),INDEX(M$14:M$37,MATCH($B236,$B$14:$B$37,FALSE))/INDEX($F$206:$F$229,MATCH($B236,$B$206:$B$229,FALSE))),NA()),NA())</f>
        <v>#N/A</v>
      </c>
      <c r="O236" s="65" t="e">
        <f>IF(N44=1,IF(N$13&lt;=COUNT($C16:$CS16),IF(INDEX($F$206:$F$229,MATCH($B236,$B$206:$B$229,FALSE))=0,NA(),INDEX(N$14:N$37,MATCH($B236,$B$14:$B$37,FALSE))/INDEX($F$206:$F$229,MATCH($B236,$B$206:$B$229,FALSE))),NA()),NA())</f>
        <v>#N/A</v>
      </c>
      <c r="P236" s="65" t="e">
        <f>IF(O44=1,IF(O$13&lt;=COUNT($C16:$CS16),IF(INDEX($F$206:$F$229,MATCH($B236,$B$206:$B$229,FALSE))=0,NA(),INDEX(O$14:O$37,MATCH($B236,$B$14:$B$37,FALSE))/INDEX($F$206:$F$229,MATCH($B236,$B$206:$B$229,FALSE))),NA()),NA())</f>
        <v>#N/A</v>
      </c>
      <c r="Q236" s="65" t="e">
        <f>IF(P44=1,IF(P$13&lt;=COUNT($C16:$CS16),IF(INDEX($F$206:$F$229,MATCH($B236,$B$206:$B$229,FALSE))=0,NA(),INDEX(P$14:P$37,MATCH($B236,$B$14:$B$37,FALSE))/INDEX($F$206:$F$229,MATCH($B236,$B$206:$B$229,FALSE))),NA()),NA())</f>
        <v>#N/A</v>
      </c>
      <c r="R236" s="65" t="e">
        <f>IF(Q44=1,IF(Q$13&lt;=COUNT($C16:$CS16),IF(INDEX($F$206:$F$229,MATCH($B236,$B$206:$B$229,FALSE))=0,NA(),INDEX(Q$14:Q$37,MATCH($B236,$B$14:$B$37,FALSE))/INDEX($F$206:$F$229,MATCH($B236,$B$206:$B$229,FALSE))),NA()),NA())</f>
        <v>#N/A</v>
      </c>
      <c r="S236" s="65" t="e">
        <f>IF(R44=1,IF(R$13&lt;=COUNT($C16:$CS16),IF(INDEX($F$206:$F$229,MATCH($B236,$B$206:$B$229,FALSE))=0,NA(),INDEX(R$14:R$37,MATCH($B236,$B$14:$B$37,FALSE))/INDEX($F$206:$F$229,MATCH($B236,$B$206:$B$229,FALSE))),NA()),NA())</f>
        <v>#N/A</v>
      </c>
      <c r="T236" s="65" t="e">
        <f>IF(S44=1,IF(S$13&lt;=COUNT($C16:$CS16),IF(INDEX($F$206:$F$229,MATCH($B236,$B$206:$B$229,FALSE))=0,NA(),INDEX(S$14:S$37,MATCH($B236,$B$14:$B$37,FALSE))/INDEX($F$206:$F$229,MATCH($B236,$B$206:$B$229,FALSE))),NA()),NA())</f>
        <v>#N/A</v>
      </c>
      <c r="U236" s="65" t="e">
        <f>IF(T44=1,IF(T$13&lt;=COUNT($C16:$CS16),IF(INDEX($F$206:$F$229,MATCH($B236,$B$206:$B$229,FALSE))=0,NA(),INDEX(T$14:T$37,MATCH($B236,$B$14:$B$37,FALSE))/INDEX($F$206:$F$229,MATCH($B236,$B$206:$B$229,FALSE))),NA()),NA())</f>
        <v>#N/A</v>
      </c>
      <c r="V236" s="65" t="e">
        <f>IF(U44=1,IF(U$13&lt;=COUNT($C16:$CS16),IF(INDEX($F$206:$F$229,MATCH($B236,$B$206:$B$229,FALSE))=0,NA(),INDEX(U$14:U$37,MATCH($B236,$B$14:$B$37,FALSE))/INDEX($F$206:$F$229,MATCH($B236,$B$206:$B$229,FALSE))),NA()),NA())</f>
        <v>#N/A</v>
      </c>
      <c r="W236" s="65" t="e">
        <f>IF(V44=1,IF(V$13&lt;=COUNT($C16:$CS16),IF(INDEX($F$206:$F$229,MATCH($B236,$B$206:$B$229,FALSE))=0,NA(),INDEX(V$14:V$37,MATCH($B236,$B$14:$B$37,FALSE))/INDEX($F$206:$F$229,MATCH($B236,$B$206:$B$229,FALSE))),NA()),NA())</f>
        <v>#N/A</v>
      </c>
      <c r="X236" s="65" t="e">
        <f>IF(W44=1,IF(W$13&lt;=COUNT($C16:$CS16),IF(INDEX($F$206:$F$229,MATCH($B236,$B$206:$B$229,FALSE))=0,NA(),INDEX(W$14:W$37,MATCH($B236,$B$14:$B$37,FALSE))/INDEX($F$206:$F$229,MATCH($B236,$B$206:$B$229,FALSE))),NA()),NA())</f>
        <v>#N/A</v>
      </c>
      <c r="Y236" s="65" t="e">
        <f>IF(X44=1,IF(X$13&lt;=COUNT($C16:$CS16),IF(INDEX($F$206:$F$229,MATCH($B236,$B$206:$B$229,FALSE))=0,NA(),INDEX(X$14:X$37,MATCH($B236,$B$14:$B$37,FALSE))/INDEX($F$206:$F$229,MATCH($B236,$B$206:$B$229,FALSE))),NA()),NA())</f>
        <v>#N/A</v>
      </c>
      <c r="Z236" s="65" t="e">
        <f>IF(Y44=1,IF(Y$13&lt;=COUNT($C16:$CS16),IF(INDEX($F$206:$F$229,MATCH($B236,$B$206:$B$229,FALSE))=0,NA(),INDEX(Y$14:Y$37,MATCH($B236,$B$14:$B$37,FALSE))/INDEX($F$206:$F$229,MATCH($B236,$B$206:$B$229,FALSE))),NA()),NA())</f>
        <v>#N/A</v>
      </c>
      <c r="AA236" s="65" t="e">
        <f>IF(Z44=1,IF(Z$13&lt;=COUNT($C16:$CS16),IF(INDEX($F$206:$F$229,MATCH($B236,$B$206:$B$229,FALSE))=0,NA(),INDEX(Z$14:Z$37,MATCH($B236,$B$14:$B$37,FALSE))/INDEX($F$206:$F$229,MATCH($B236,$B$206:$B$229,FALSE))),NA()),NA())</f>
        <v>#N/A</v>
      </c>
      <c r="AB236" s="65" t="e">
        <f>IF(AA44=1,IF(AA$13&lt;=COUNT($C16:$CS16),IF(INDEX($F$206:$F$229,MATCH($B236,$B$206:$B$229,FALSE))=0,NA(),INDEX(AA$14:AA$37,MATCH($B236,$B$14:$B$37,FALSE))/INDEX($F$206:$F$229,MATCH($B236,$B$206:$B$229,FALSE))),NA()),NA())</f>
        <v>#N/A</v>
      </c>
      <c r="AC236" s="65" t="e">
        <f>IF(AB44=1,IF(AB$13&lt;=COUNT($C16:$CS16),IF(INDEX($F$206:$F$229,MATCH($B236,$B$206:$B$229,FALSE))=0,NA(),INDEX(AB$14:AB$37,MATCH($B236,$B$14:$B$37,FALSE))/INDEX($F$206:$F$229,MATCH($B236,$B$206:$B$229,FALSE))),NA()),NA())</f>
        <v>#N/A</v>
      </c>
      <c r="AD236" s="65" t="e">
        <f>IF(AC44=1,IF(AC$13&lt;=COUNT($C16:$CS16),IF(INDEX($F$206:$F$229,MATCH($B236,$B$206:$B$229,FALSE))=0,NA(),INDEX(AC$14:AC$37,MATCH($B236,$B$14:$B$37,FALSE))/INDEX($F$206:$F$229,MATCH($B236,$B$206:$B$229,FALSE))),NA()),NA())</f>
        <v>#N/A</v>
      </c>
      <c r="AE236" s="65" t="e">
        <f>IF(AD44=1,IF(AD$13&lt;=COUNT($C16:$CS16),IF(INDEX($F$206:$F$229,MATCH($B236,$B$206:$B$229,FALSE))=0,NA(),INDEX(AD$14:AD$37,MATCH($B236,$B$14:$B$37,FALSE))/INDEX($F$206:$F$229,MATCH($B236,$B$206:$B$229,FALSE))),NA()),NA())</f>
        <v>#N/A</v>
      </c>
      <c r="AF236" s="65" t="e">
        <f>IF(AE44=1,IF(AE$13&lt;=COUNT($C16:$CS16),IF(INDEX($F$206:$F$229,MATCH($B236,$B$206:$B$229,FALSE))=0,NA(),INDEX(AE$14:AE$37,MATCH($B236,$B$14:$B$37,FALSE))/INDEX($F$206:$F$229,MATCH($B236,$B$206:$B$229,FALSE))),NA()),NA())</f>
        <v>#N/A</v>
      </c>
      <c r="AG236" s="65" t="e">
        <f>IF(AF44=1,IF(AF$13&lt;=COUNT($C16:$CS16),IF(INDEX($F$206:$F$229,MATCH($B236,$B$206:$B$229,FALSE))=0,NA(),INDEX(AF$14:AF$37,MATCH($B236,$B$14:$B$37,FALSE))/INDEX($F$206:$F$229,MATCH($B236,$B$206:$B$229,FALSE))),NA()),NA())</f>
        <v>#N/A</v>
      </c>
      <c r="AH236" s="65" t="e">
        <f>IF(AG44=1,IF(AG$13&lt;=COUNT($C16:$CS16),IF(INDEX($F$206:$F$229,MATCH($B236,$B$206:$B$229,FALSE))=0,NA(),INDEX(AG$14:AG$37,MATCH($B236,$B$14:$B$37,FALSE))/INDEX($F$206:$F$229,MATCH($B236,$B$206:$B$229,FALSE))),NA()),NA())</f>
        <v>#N/A</v>
      </c>
      <c r="AI236" s="65" t="e">
        <f>IF(AH44=1,IF(AH$13&lt;=COUNT($C16:$CS16),IF(INDEX($F$206:$F$229,MATCH($B236,$B$206:$B$229,FALSE))=0,NA(),INDEX(AH$14:AH$37,MATCH($B236,$B$14:$B$37,FALSE))/INDEX($F$206:$F$229,MATCH($B236,$B$206:$B$229,FALSE))),NA()),NA())</f>
        <v>#N/A</v>
      </c>
      <c r="AJ236" s="65" t="e">
        <f>IF(AI44=1,IF(AI$13&lt;=COUNT($C16:$CS16),IF(INDEX($F$206:$F$229,MATCH($B236,$B$206:$B$229,FALSE))=0,NA(),INDEX(AI$14:AI$37,MATCH($B236,$B$14:$B$37,FALSE))/INDEX($F$206:$F$229,MATCH($B236,$B$206:$B$229,FALSE))),NA()),NA())</f>
        <v>#N/A</v>
      </c>
      <c r="AK236" s="65" t="e">
        <f>IF(AJ44=1,IF(AJ$13&lt;=COUNT($C16:$CS16),IF(INDEX($F$206:$F$229,MATCH($B236,$B$206:$B$229,FALSE))=0,NA(),INDEX(AJ$14:AJ$37,MATCH($B236,$B$14:$B$37,FALSE))/INDEX($F$206:$F$229,MATCH($B236,$B$206:$B$229,FALSE))),NA()),NA())</f>
        <v>#N/A</v>
      </c>
      <c r="AL236" s="65" t="e">
        <f>IF(AK44=1,IF(AK$13&lt;=COUNT($C16:$CS16),IF(INDEX($F$206:$F$229,MATCH($B236,$B$206:$B$229,FALSE))=0,NA(),INDEX(AK$14:AK$37,MATCH($B236,$B$14:$B$37,FALSE))/INDEX($F$206:$F$229,MATCH($B236,$B$206:$B$229,FALSE))),NA()),NA())</f>
        <v>#N/A</v>
      </c>
      <c r="AM236" s="65" t="e">
        <f>IF(AL44=1,IF(AL$13&lt;=COUNT($C16:$CS16),IF(INDEX($F$206:$F$229,MATCH($B236,$B$206:$B$229,FALSE))=0,NA(),INDEX(AL$14:AL$37,MATCH($B236,$B$14:$B$37,FALSE))/INDEX($F$206:$F$229,MATCH($B236,$B$206:$B$229,FALSE))),NA()),NA())</f>
        <v>#N/A</v>
      </c>
      <c r="AN236" s="65" t="e">
        <f>IF(AM44=1,IF(AM$13&lt;=COUNT($C16:$CS16),IF(INDEX($F$206:$F$229,MATCH($B236,$B$206:$B$229,FALSE))=0,NA(),INDEX(AM$14:AM$37,MATCH($B236,$B$14:$B$37,FALSE))/INDEX($F$206:$F$229,MATCH($B236,$B$206:$B$229,FALSE))),NA()),NA())</f>
        <v>#N/A</v>
      </c>
      <c r="AO236" s="65" t="e">
        <f>IF(AN44=1,IF(AN$13&lt;=COUNT($C16:$CS16),IF(INDEX($F$206:$F$229,MATCH($B236,$B$206:$B$229,FALSE))=0,NA(),INDEX(AN$14:AN$37,MATCH($B236,$B$14:$B$37,FALSE))/INDEX($F$206:$F$229,MATCH($B236,$B$206:$B$229,FALSE))),NA()),NA())</f>
        <v>#N/A</v>
      </c>
      <c r="AP236" s="65" t="e">
        <f>IF(AO44=1,IF(AO$13&lt;=COUNT($C16:$CS16),IF(INDEX($F$206:$F$229,MATCH($B236,$B$206:$B$229,FALSE))=0,NA(),INDEX(AO$14:AO$37,MATCH($B236,$B$14:$B$37,FALSE))/INDEX($F$206:$F$229,MATCH($B236,$B$206:$B$229,FALSE))),NA()),NA())</f>
        <v>#N/A</v>
      </c>
      <c r="AQ236" s="65" t="e">
        <f>IF(AP44=1,IF(AP$13&lt;=COUNT($C16:$CS16),IF(INDEX($F$206:$F$229,MATCH($B236,$B$206:$B$229,FALSE))=0,NA(),INDEX(AP$14:AP$37,MATCH($B236,$B$14:$B$37,FALSE))/INDEX($F$206:$F$229,MATCH($B236,$B$206:$B$229,FALSE))),NA()),NA())</f>
        <v>#N/A</v>
      </c>
      <c r="AR236" s="65" t="e">
        <f>IF(AQ44=1,IF(AQ$13&lt;=COUNT($C16:$CS16),IF(INDEX($F$206:$F$229,MATCH($B236,$B$206:$B$229,FALSE))=0,NA(),INDEX(AQ$14:AQ$37,MATCH($B236,$B$14:$B$37,FALSE))/INDEX($F$206:$F$229,MATCH($B236,$B$206:$B$229,FALSE))),NA()),NA())</f>
        <v>#N/A</v>
      </c>
      <c r="AS236" s="65" t="e">
        <f>IF(AR44=1,IF(AR$13&lt;=COUNT($C16:$CS16),IF(INDEX($F$206:$F$229,MATCH($B236,$B$206:$B$229,FALSE))=0,NA(),INDEX(AR$14:AR$37,MATCH($B236,$B$14:$B$37,FALSE))/INDEX($F$206:$F$229,MATCH($B236,$B$206:$B$229,FALSE))),NA()),NA())</f>
        <v>#N/A</v>
      </c>
      <c r="AT236" s="65" t="e">
        <f>IF(AS44=1,IF(AS$13&lt;=COUNT($C16:$CS16),IF(INDEX($F$206:$F$229,MATCH($B236,$B$206:$B$229,FALSE))=0,NA(),INDEX(AS$14:AS$37,MATCH($B236,$B$14:$B$37,FALSE))/INDEX($F$206:$F$229,MATCH($B236,$B$206:$B$229,FALSE))),NA()),NA())</f>
        <v>#N/A</v>
      </c>
      <c r="AU236" s="65" t="e">
        <f>IF(AT44=1,IF(AT$13&lt;=COUNT($C16:$CS16),IF(INDEX($F$206:$F$229,MATCH($B236,$B$206:$B$229,FALSE))=0,NA(),INDEX(AT$14:AT$37,MATCH($B236,$B$14:$B$37,FALSE))/INDEX($F$206:$F$229,MATCH($B236,$B$206:$B$229,FALSE))),NA()),NA())</f>
        <v>#N/A</v>
      </c>
      <c r="AV236" s="65" t="e">
        <f>IF(AU44=1,IF(AU$13&lt;=COUNT($C16:$CS16),IF(INDEX($F$206:$F$229,MATCH($B236,$B$206:$B$229,FALSE))=0,NA(),INDEX(AU$14:AU$37,MATCH($B236,$B$14:$B$37,FALSE))/INDEX($F$206:$F$229,MATCH($B236,$B$206:$B$229,FALSE))),NA()),NA())</f>
        <v>#N/A</v>
      </c>
      <c r="AW236" s="65" t="e">
        <f>IF(AV44=1,IF(AV$13&lt;=COUNT($C16:$CS16),IF(INDEX($F$206:$F$229,MATCH($B236,$B$206:$B$229,FALSE))=0,NA(),INDEX(AV$14:AV$37,MATCH($B236,$B$14:$B$37,FALSE))/INDEX($F$206:$F$229,MATCH($B236,$B$206:$B$229,FALSE))),NA()),NA())</f>
        <v>#N/A</v>
      </c>
      <c r="AX236" s="65" t="e">
        <f>IF(AW44=1,IF(AW$13&lt;=COUNT($C16:$CS16),IF(INDEX($F$206:$F$229,MATCH($B236,$B$206:$B$229,FALSE))=0,NA(),INDEX(AW$14:AW$37,MATCH($B236,$B$14:$B$37,FALSE))/INDEX($F$206:$F$229,MATCH($B236,$B$206:$B$229,FALSE))),NA()),NA())</f>
        <v>#N/A</v>
      </c>
      <c r="AY236" s="65" t="e">
        <f>IF(AX44=1,IF(AX$13&lt;=COUNT($C16:$CS16),IF(INDEX($F$206:$F$229,MATCH($B236,$B$206:$B$229,FALSE))=0,NA(),INDEX(AX$14:AX$37,MATCH($B236,$B$14:$B$37,FALSE))/INDEX($F$206:$F$229,MATCH($B236,$B$206:$B$229,FALSE))),NA()),NA())</f>
        <v>#N/A</v>
      </c>
      <c r="AZ236" s="65" t="e">
        <f>IF(AY44=1,IF(AY$13&lt;=COUNT($C16:$CS16),IF(INDEX($F$206:$F$229,MATCH($B236,$B$206:$B$229,FALSE))=0,NA(),INDEX(AY$14:AY$37,MATCH($B236,$B$14:$B$37,FALSE))/INDEX($F$206:$F$229,MATCH($B236,$B$206:$B$229,FALSE))),NA()),NA())</f>
        <v>#N/A</v>
      </c>
      <c r="BA236" s="65" t="e">
        <f>IF(AZ44=1,IF(AZ$13&lt;=COUNT($C16:$CS16),IF(INDEX($F$206:$F$229,MATCH($B236,$B$206:$B$229,FALSE))=0,NA(),INDEX(AZ$14:AZ$37,MATCH($B236,$B$14:$B$37,FALSE))/INDEX($F$206:$F$229,MATCH($B236,$B$206:$B$229,FALSE))),NA()),NA())</f>
        <v>#N/A</v>
      </c>
      <c r="BB236" s="65" t="e">
        <f>IF(BA44=1,IF(BA$13&lt;=COUNT($C16:$CS16),IF(INDEX($F$206:$F$229,MATCH($B236,$B$206:$B$229,FALSE))=0,NA(),INDEX(BA$14:BA$37,MATCH($B236,$B$14:$B$37,FALSE))/INDEX($F$206:$F$229,MATCH($B236,$B$206:$B$229,FALSE))),NA()),NA())</f>
        <v>#N/A</v>
      </c>
      <c r="BC236" s="65" t="e">
        <f>IF(BB44=1,IF(BB$13&lt;=COUNT($C16:$CS16),IF(INDEX($F$206:$F$229,MATCH($B236,$B$206:$B$229,FALSE))=0,NA(),INDEX(BB$14:BB$37,MATCH($B236,$B$14:$B$37,FALSE))/INDEX($F$206:$F$229,MATCH($B236,$B$206:$B$229,FALSE))),NA()),NA())</f>
        <v>#N/A</v>
      </c>
      <c r="BD236" s="65" t="e">
        <f>IF(BC44=1,IF(BC$13&lt;=COUNT($C16:$CS16),IF(INDEX($F$206:$F$229,MATCH($B236,$B$206:$B$229,FALSE))=0,NA(),INDEX(BC$14:BC$37,MATCH($B236,$B$14:$B$37,FALSE))/INDEX($F$206:$F$229,MATCH($B236,$B$206:$B$229,FALSE))),NA()),NA())</f>
        <v>#N/A</v>
      </c>
      <c r="BE236" s="65" t="e">
        <f>IF(BD44=1,IF(BD$13&lt;=COUNT($C16:$CS16),IF(INDEX($F$206:$F$229,MATCH($B236,$B$206:$B$229,FALSE))=0,NA(),INDEX(BD$14:BD$37,MATCH($B236,$B$14:$B$37,FALSE))/INDEX($F$206:$F$229,MATCH($B236,$B$206:$B$229,FALSE))),NA()),NA())</f>
        <v>#N/A</v>
      </c>
      <c r="BF236" s="65" t="e">
        <f>IF(BE44=1,IF(BE$13&lt;=COUNT($C16:$CS16),IF(INDEX($F$206:$F$229,MATCH($B236,$B$206:$B$229,FALSE))=0,NA(),INDEX(BE$14:BE$37,MATCH($B236,$B$14:$B$37,FALSE))/INDEX($F$206:$F$229,MATCH($B236,$B$206:$B$229,FALSE))),NA()),NA())</f>
        <v>#N/A</v>
      </c>
      <c r="BG236" s="65" t="e">
        <f>IF(BF44=1,IF(BF$13&lt;=COUNT($C16:$CS16),IF(INDEX($F$206:$F$229,MATCH($B236,$B$206:$B$229,FALSE))=0,NA(),INDEX(BF$14:BF$37,MATCH($B236,$B$14:$B$37,FALSE))/INDEX($F$206:$F$229,MATCH($B236,$B$206:$B$229,FALSE))),NA()),NA())</f>
        <v>#N/A</v>
      </c>
      <c r="BH236" s="65" t="e">
        <f>IF(BG44=1,IF(BG$13&lt;=COUNT($C16:$CS16),IF(INDEX($F$206:$F$229,MATCH($B236,$B$206:$B$229,FALSE))=0,NA(),INDEX(BG$14:BG$37,MATCH($B236,$B$14:$B$37,FALSE))/INDEX($F$206:$F$229,MATCH($B236,$B$206:$B$229,FALSE))),NA()),NA())</f>
        <v>#N/A</v>
      </c>
      <c r="BI236" s="65" t="e">
        <f>IF(BH44=1,IF(BH$13&lt;=COUNT($C16:$CS16),IF(INDEX($F$206:$F$229,MATCH($B236,$B$206:$B$229,FALSE))=0,NA(),INDEX(BH$14:BH$37,MATCH($B236,$B$14:$B$37,FALSE))/INDEX($F$206:$F$229,MATCH($B236,$B$206:$B$229,FALSE))),NA()),NA())</f>
        <v>#N/A</v>
      </c>
      <c r="BJ236" s="65" t="e">
        <f>IF(BI44=1,IF(BI$13&lt;=COUNT($C16:$CS16),IF(INDEX($F$206:$F$229,MATCH($B236,$B$206:$B$229,FALSE))=0,NA(),INDEX(BI$14:BI$37,MATCH($B236,$B$14:$B$37,FALSE))/INDEX($F$206:$F$229,MATCH($B236,$B$206:$B$229,FALSE))),NA()),NA())</f>
        <v>#N/A</v>
      </c>
      <c r="BK236" s="65" t="e">
        <f>IF(BJ44=1,IF(BJ$13&lt;=COUNT($C16:$CS16),IF(INDEX($F$206:$F$229,MATCH($B236,$B$206:$B$229,FALSE))=0,NA(),INDEX(BJ$14:BJ$37,MATCH($B236,$B$14:$B$37,FALSE))/INDEX($F$206:$F$229,MATCH($B236,$B$206:$B$229,FALSE))),NA()),NA())</f>
        <v>#N/A</v>
      </c>
      <c r="BL236" s="65" t="e">
        <f>IF(BK44=1,IF(BK$13&lt;=COUNT($C16:$CS16),IF(INDEX($F$206:$F$229,MATCH($B236,$B$206:$B$229,FALSE))=0,NA(),INDEX(BK$14:BK$37,MATCH($B236,$B$14:$B$37,FALSE))/INDEX($F$206:$F$229,MATCH($B236,$B$206:$B$229,FALSE))),NA()),NA())</f>
        <v>#N/A</v>
      </c>
      <c r="BM236" s="65" t="e">
        <f>IF(BL44=1,IF(BL$13&lt;=COUNT($C16:$CS16),IF(INDEX($F$206:$F$229,MATCH($B236,$B$206:$B$229,FALSE))=0,NA(),INDEX(BL$14:BL$37,MATCH($B236,$B$14:$B$37,FALSE))/INDEX($F$206:$F$229,MATCH($B236,$B$206:$B$229,FALSE))),NA()),NA())</f>
        <v>#N/A</v>
      </c>
      <c r="BN236" s="65" t="e">
        <f>IF(BM44=1,IF(BM$13&lt;=COUNT($C16:$CS16),IF(INDEX($F$206:$F$229,MATCH($B236,$B$206:$B$229,FALSE))=0,NA(),INDEX(BM$14:BM$37,MATCH($B236,$B$14:$B$37,FALSE))/INDEX($F$206:$F$229,MATCH($B236,$B$206:$B$229,FALSE))),NA()),NA())</f>
        <v>#N/A</v>
      </c>
      <c r="BO236" s="65" t="e">
        <f>IF(BN44=1,IF(BN$13&lt;=COUNT($C16:$CS16),IF(INDEX($F$206:$F$229,MATCH($B236,$B$206:$B$229,FALSE))=0,NA(),INDEX(BN$14:BN$37,MATCH($B236,$B$14:$B$37,FALSE))/INDEX($F$206:$F$229,MATCH($B236,$B$206:$B$229,FALSE))),NA()),NA())</f>
        <v>#N/A</v>
      </c>
      <c r="BP236" s="65" t="e">
        <f>IF(BO44=1,IF(BO$13&lt;=COUNT($C16:$CS16),IF(INDEX($F$206:$F$229,MATCH($B236,$B$206:$B$229,FALSE))=0,NA(),INDEX(BO$14:BO$37,MATCH($B236,$B$14:$B$37,FALSE))/INDEX($F$206:$F$229,MATCH($B236,$B$206:$B$229,FALSE))),NA()),NA())</f>
        <v>#N/A</v>
      </c>
      <c r="BQ236" s="65" t="e">
        <f>IF(BP44=1,IF(BP$13&lt;=COUNT($C16:$CS16),IF(INDEX($F$206:$F$229,MATCH($B236,$B$206:$B$229,FALSE))=0,NA(),INDEX(BP$14:BP$37,MATCH($B236,$B$14:$B$37,FALSE))/INDEX($F$206:$F$229,MATCH($B236,$B$206:$B$229,FALSE))),NA()),NA())</f>
        <v>#N/A</v>
      </c>
      <c r="BR236" s="65" t="e">
        <f>IF(BQ44=1,IF(BQ$13&lt;=COUNT($C16:$CS16),IF(INDEX($F$206:$F$229,MATCH($B236,$B$206:$B$229,FALSE))=0,NA(),INDEX(BQ$14:BQ$37,MATCH($B236,$B$14:$B$37,FALSE))/INDEX($F$206:$F$229,MATCH($B236,$B$206:$B$229,FALSE))),NA()),NA())</f>
        <v>#N/A</v>
      </c>
      <c r="BS236" s="65" t="e">
        <f>IF(BR44=1,IF(BR$13&lt;=COUNT($C16:$CS16),IF(INDEX($F$206:$F$229,MATCH($B236,$B$206:$B$229,FALSE))=0,NA(),INDEX(BR$14:BR$37,MATCH($B236,$B$14:$B$37,FALSE))/INDEX($F$206:$F$229,MATCH($B236,$B$206:$B$229,FALSE))),NA()),NA())</f>
        <v>#N/A</v>
      </c>
      <c r="BT236" s="65" t="e">
        <f>IF(BS44=1,IF(BS$13&lt;=COUNT($C16:$CS16),IF(INDEX($F$206:$F$229,MATCH($B236,$B$206:$B$229,FALSE))=0,NA(),INDEX(BS$14:BS$37,MATCH($B236,$B$14:$B$37,FALSE))/INDEX($F$206:$F$229,MATCH($B236,$B$206:$B$229,FALSE))),NA()),NA())</f>
        <v>#N/A</v>
      </c>
      <c r="BU236" s="65" t="e">
        <f>IF(BT44=1,IF(BT$13&lt;=COUNT($C16:$CS16),IF(INDEX($F$206:$F$229,MATCH($B236,$B$206:$B$229,FALSE))=0,NA(),INDEX(BT$14:BT$37,MATCH($B236,$B$14:$B$37,FALSE))/INDEX($F$206:$F$229,MATCH($B236,$B$206:$B$229,FALSE))),NA()),NA())</f>
        <v>#N/A</v>
      </c>
      <c r="BV236" s="65" t="e">
        <f>IF(BU44=1,IF(BU$13&lt;=COUNT($C16:$CS16),IF(INDEX($F$206:$F$229,MATCH($B236,$B$206:$B$229,FALSE))=0,NA(),INDEX(BU$14:BU$37,MATCH($B236,$B$14:$B$37,FALSE))/INDEX($F$206:$F$229,MATCH($B236,$B$206:$B$229,FALSE))),NA()),NA())</f>
        <v>#N/A</v>
      </c>
      <c r="BW236" s="65" t="e">
        <f>IF(BV44=1,IF(BV$13&lt;=COUNT($C16:$CS16),IF(INDEX($F$206:$F$229,MATCH($B236,$B$206:$B$229,FALSE))=0,NA(),INDEX(BV$14:BV$37,MATCH($B236,$B$14:$B$37,FALSE))/INDEX($F$206:$F$229,MATCH($B236,$B$206:$B$229,FALSE))),NA()),NA())</f>
        <v>#N/A</v>
      </c>
      <c r="BX236" s="65" t="e">
        <f>IF(BW44=1,IF(BW$13&lt;=COUNT($C16:$CS16),IF(INDEX($F$206:$F$229,MATCH($B236,$B$206:$B$229,FALSE))=0,NA(),INDEX(BW$14:BW$37,MATCH($B236,$B$14:$B$37,FALSE))/INDEX($F$206:$F$229,MATCH($B236,$B$206:$B$229,FALSE))),NA()),NA())</f>
        <v>#N/A</v>
      </c>
      <c r="BY236" s="65" t="e">
        <f>IF(BX44=1,IF(BX$13&lt;=COUNT($C16:$CS16),IF(INDEX($F$206:$F$229,MATCH($B236,$B$206:$B$229,FALSE))=0,NA(),INDEX(BX$14:BX$37,MATCH($B236,$B$14:$B$37,FALSE))/INDEX($F$206:$F$229,MATCH($B236,$B$206:$B$229,FALSE))),NA()),NA())</f>
        <v>#N/A</v>
      </c>
      <c r="BZ236" s="65" t="e">
        <f>IF(BY44=1,IF(BY$13&lt;=COUNT($C16:$CS16),IF(INDEX($F$206:$F$229,MATCH($B236,$B$206:$B$229,FALSE))=0,NA(),INDEX(BY$14:BY$37,MATCH($B236,$B$14:$B$37,FALSE))/INDEX($F$206:$F$229,MATCH($B236,$B$206:$B$229,FALSE))),NA()),NA())</f>
        <v>#N/A</v>
      </c>
      <c r="CA236" s="65" t="e">
        <f>IF(BZ44=1,IF(BZ$13&lt;=COUNT($C16:$CS16),IF(INDEX($F$206:$F$229,MATCH($B236,$B$206:$B$229,FALSE))=0,NA(),INDEX(BZ$14:BZ$37,MATCH($B236,$B$14:$B$37,FALSE))/INDEX($F$206:$F$229,MATCH($B236,$B$206:$B$229,FALSE))),NA()),NA())</f>
        <v>#N/A</v>
      </c>
      <c r="CB236" s="65" t="e">
        <f>IF(CA44=1,IF(CA$13&lt;=COUNT($C16:$CS16),IF(INDEX($F$206:$F$229,MATCH($B236,$B$206:$B$229,FALSE))=0,NA(),INDEX(CA$14:CA$37,MATCH($B236,$B$14:$B$37,FALSE))/INDEX($F$206:$F$229,MATCH($B236,$B$206:$B$229,FALSE))),NA()),NA())</f>
        <v>#N/A</v>
      </c>
      <c r="CC236" s="65" t="e">
        <f>IF(CB44=1,IF(CB$13&lt;=COUNT($C16:$CS16),IF(INDEX($F$206:$F$229,MATCH($B236,$B$206:$B$229,FALSE))=0,NA(),INDEX(CB$14:CB$37,MATCH($B236,$B$14:$B$37,FALSE))/INDEX($F$206:$F$229,MATCH($B236,$B$206:$B$229,FALSE))),NA()),NA())</f>
        <v>#N/A</v>
      </c>
      <c r="CD236" s="65" t="e">
        <f>IF(CC44=1,IF(CC$13&lt;=COUNT($C16:$CS16),IF(INDEX($F$206:$F$229,MATCH($B236,$B$206:$B$229,FALSE))=0,NA(),INDEX(CC$14:CC$37,MATCH($B236,$B$14:$B$37,FALSE))/INDEX($F$206:$F$229,MATCH($B236,$B$206:$B$229,FALSE))),NA()),NA())</f>
        <v>#N/A</v>
      </c>
      <c r="CE236" s="65" t="e">
        <f>IF(CD44=1,IF(CD$13&lt;=COUNT($C16:$CS16),IF(INDEX($F$206:$F$229,MATCH($B236,$B$206:$B$229,FALSE))=0,NA(),INDEX(CD$14:CD$37,MATCH($B236,$B$14:$B$37,FALSE))/INDEX($F$206:$F$229,MATCH($B236,$B$206:$B$229,FALSE))),NA()),NA())</f>
        <v>#N/A</v>
      </c>
      <c r="CF236" s="65" t="e">
        <f>IF(CE44=1,IF(CE$13&lt;=COUNT($C16:$CS16),IF(INDEX($F$206:$F$229,MATCH($B236,$B$206:$B$229,FALSE))=0,NA(),INDEX(CE$14:CE$37,MATCH($B236,$B$14:$B$37,FALSE))/INDEX($F$206:$F$229,MATCH($B236,$B$206:$B$229,FALSE))),NA()),NA())</f>
        <v>#N/A</v>
      </c>
      <c r="CG236" s="65" t="e">
        <f>IF(CF44=1,IF(CF$13&lt;=COUNT($C16:$CS16),IF(INDEX($F$206:$F$229,MATCH($B236,$B$206:$B$229,FALSE))=0,NA(),INDEX(CF$14:CF$37,MATCH($B236,$B$14:$B$37,FALSE))/INDEX($F$206:$F$229,MATCH($B236,$B$206:$B$229,FALSE))),NA()),NA())</f>
        <v>#N/A</v>
      </c>
      <c r="CH236" s="65" t="e">
        <f>IF(CG44=1,IF(CG$13&lt;=COUNT($C16:$CS16),IF(INDEX($F$206:$F$229,MATCH($B236,$B$206:$B$229,FALSE))=0,NA(),INDEX(CG$14:CG$37,MATCH($B236,$B$14:$B$37,FALSE))/INDEX($F$206:$F$229,MATCH($B236,$B$206:$B$229,FALSE))),NA()),NA())</f>
        <v>#N/A</v>
      </c>
      <c r="CI236" s="65" t="e">
        <f>IF(CH44=1,IF(CH$13&lt;=COUNT($C16:$CS16),IF(INDEX($F$206:$F$229,MATCH($B236,$B$206:$B$229,FALSE))=0,NA(),INDEX(CH$14:CH$37,MATCH($B236,$B$14:$B$37,FALSE))/INDEX($F$206:$F$229,MATCH($B236,$B$206:$B$229,FALSE))),NA()),NA())</f>
        <v>#N/A</v>
      </c>
      <c r="CJ236" s="65" t="e">
        <f>IF(CI44=1,IF(CI$13&lt;=COUNT($C16:$CS16),IF(INDEX($F$206:$F$229,MATCH($B236,$B$206:$B$229,FALSE))=0,NA(),INDEX(CI$14:CI$37,MATCH($B236,$B$14:$B$37,FALSE))/INDEX($F$206:$F$229,MATCH($B236,$B$206:$B$229,FALSE))),NA()),NA())</f>
        <v>#N/A</v>
      </c>
      <c r="CK236" s="65" t="e">
        <f>IF(CJ44=1,IF(CJ$13&lt;=COUNT($C16:$CS16),IF(INDEX($F$206:$F$229,MATCH($B236,$B$206:$B$229,FALSE))=0,NA(),INDEX(CJ$14:CJ$37,MATCH($B236,$B$14:$B$37,FALSE))/INDEX($F$206:$F$229,MATCH($B236,$B$206:$B$229,FALSE))),NA()),NA())</f>
        <v>#N/A</v>
      </c>
      <c r="CL236" s="65" t="e">
        <f>IF(CK44=1,IF(CK$13&lt;=COUNT($C16:$CS16),IF(INDEX($F$206:$F$229,MATCH($B236,$B$206:$B$229,FALSE))=0,NA(),INDEX(CK$14:CK$37,MATCH($B236,$B$14:$B$37,FALSE))/INDEX($F$206:$F$229,MATCH($B236,$B$206:$B$229,FALSE))),NA()),NA())</f>
        <v>#N/A</v>
      </c>
      <c r="CM236" s="65" t="e">
        <f>IF(CL44=1,IF(CL$13&lt;=COUNT($C16:$CS16),IF(INDEX($F$206:$F$229,MATCH($B236,$B$206:$B$229,FALSE))=0,NA(),INDEX(CL$14:CL$37,MATCH($B236,$B$14:$B$37,FALSE))/INDEX($F$206:$F$229,MATCH($B236,$B$206:$B$229,FALSE))),NA()),NA())</f>
        <v>#N/A</v>
      </c>
      <c r="CN236" s="65" t="e">
        <f>IF(CM44=1,IF(CM$13&lt;=COUNT($C16:$CS16),IF(INDEX($F$206:$F$229,MATCH($B236,$B$206:$B$229,FALSE))=0,NA(),INDEX(CM$14:CM$37,MATCH($B236,$B$14:$B$37,FALSE))/INDEX($F$206:$F$229,MATCH($B236,$B$206:$B$229,FALSE))),NA()),NA())</f>
        <v>#N/A</v>
      </c>
      <c r="CO236" s="65" t="e">
        <f>IF(CN44=1,IF(CN$13&lt;=COUNT($C16:$CS16),IF(INDEX($F$206:$F$229,MATCH($B236,$B$206:$B$229,FALSE))=0,NA(),INDEX(CN$14:CN$37,MATCH($B236,$B$14:$B$37,FALSE))/INDEX($F$206:$F$229,MATCH($B236,$B$206:$B$229,FALSE))),NA()),NA())</f>
        <v>#N/A</v>
      </c>
      <c r="CP236" s="65" t="e">
        <f>IF(CO44=1,IF(CO$13&lt;=COUNT($C16:$CS16),IF(INDEX($F$206:$F$229,MATCH($B236,$B$206:$B$229,FALSE))=0,NA(),INDEX(CO$14:CO$37,MATCH($B236,$B$14:$B$37,FALSE))/INDEX($F$206:$F$229,MATCH($B236,$B$206:$B$229,FALSE))),NA()),NA())</f>
        <v>#N/A</v>
      </c>
      <c r="CQ236" s="65" t="e">
        <f>IF(CP44=1,IF(CP$13&lt;=COUNT($C16:$CS16),IF(INDEX($F$206:$F$229,MATCH($B236,$B$206:$B$229,FALSE))=0,NA(),INDEX(CP$14:CP$37,MATCH($B236,$B$14:$B$37,FALSE))/INDEX($F$206:$F$229,MATCH($B236,$B$206:$B$229,FALSE))),NA()),NA())</f>
        <v>#N/A</v>
      </c>
      <c r="CR236" s="65" t="e">
        <f>IF(CQ44=1,IF(CQ$13&lt;=COUNT($C16:$CS16),IF(INDEX($F$206:$F$229,MATCH($B236,$B$206:$B$229,FALSE))=0,NA(),INDEX(CQ$14:CQ$37,MATCH($B236,$B$14:$B$37,FALSE))/INDEX($F$206:$F$229,MATCH($B236,$B$206:$B$229,FALSE))),NA()),NA())</f>
        <v>#N/A</v>
      </c>
      <c r="CS236" s="65" t="e">
        <f>IF(CR44=1,IF(CR$13&lt;=COUNT($C16:$CS16),IF(INDEX($F$206:$F$229,MATCH($B236,$B$206:$B$229,FALSE))=0,NA(),INDEX(CR$14:CR$37,MATCH($B236,$B$14:$B$37,FALSE))/INDEX($F$206:$F$229,MATCH($B236,$B$206:$B$229,FALSE))),NA()),NA())</f>
        <v>#N/A</v>
      </c>
      <c r="CT236" s="49"/>
      <c r="CU236" s="49"/>
      <c r="CV236" s="49"/>
      <c r="CW236" s="49"/>
    </row>
    <row r="237" spans="1:101" hidden="1" x14ac:dyDescent="0.25">
      <c r="A237" s="97">
        <f t="shared" si="105"/>
        <v>0</v>
      </c>
      <c r="B237" s="29">
        <f t="shared" si="104"/>
        <v>1999</v>
      </c>
      <c r="C237" s="154" t="str">
        <f t="shared" si="106"/>
        <v/>
      </c>
      <c r="D237" s="54" t="e">
        <f>IF(C45=1,IF(C$13&lt;=COUNT($C17:$CS17),IF(INDEX($F$206:$F$229,MATCH($B237,$B$206:$B$229,FALSE))=0,NA(),INDEX(C$14:C$37,MATCH($B237,$B$14:$B$37,FALSE))/INDEX($F$206:$F$229,MATCH($B237,$B$206:$B$229,FALSE))),NA()),NA())</f>
        <v>#N/A</v>
      </c>
      <c r="E237" s="65" t="e">
        <f>IF(D45=1,IF(D$13&lt;=COUNT($C17:$CS17),IF(INDEX($F$206:$F$229,MATCH($B237,$B$206:$B$229,FALSE))=0,NA(),INDEX(D$14:D$37,MATCH($B237,$B$14:$B$37,FALSE))/INDEX($F$206:$F$229,MATCH($B237,$B$206:$B$229,FALSE))),NA()),NA())</f>
        <v>#N/A</v>
      </c>
      <c r="F237" s="65" t="e">
        <f>IF(E45=1,IF(E$13&lt;=COUNT($C17:$CS17),IF(INDEX($F$206:$F$229,MATCH($B237,$B$206:$B$229,FALSE))=0,NA(),INDEX(E$14:E$37,MATCH($B237,$B$14:$B$37,FALSE))/INDEX($F$206:$F$229,MATCH($B237,$B$206:$B$229,FALSE))),NA()),NA())</f>
        <v>#N/A</v>
      </c>
      <c r="G237" s="65" t="e">
        <f>IF(F45=1,IF(F$13&lt;=COUNT($C17:$CS17),IF(INDEX($F$206:$F$229,MATCH($B237,$B$206:$B$229,FALSE))=0,NA(),INDEX(F$14:F$37,MATCH($B237,$B$14:$B$37,FALSE))/INDEX($F$206:$F$229,MATCH($B237,$B$206:$B$229,FALSE))),NA()),NA())</f>
        <v>#N/A</v>
      </c>
      <c r="H237" s="65" t="e">
        <f>IF(G45=1,IF(G$13&lt;=COUNT($C17:$CS17),IF(INDEX($F$206:$F$229,MATCH($B237,$B$206:$B$229,FALSE))=0,NA(),INDEX(G$14:G$37,MATCH($B237,$B$14:$B$37,FALSE))/INDEX($F$206:$F$229,MATCH($B237,$B$206:$B$229,FALSE))),NA()),NA())</f>
        <v>#N/A</v>
      </c>
      <c r="I237" s="65" t="e">
        <f>IF(H45=1,IF(H$13&lt;=COUNT($C17:$CS17),IF(INDEX($F$206:$F$229,MATCH($B237,$B$206:$B$229,FALSE))=0,NA(),INDEX(H$14:H$37,MATCH($B237,$B$14:$B$37,FALSE))/INDEX($F$206:$F$229,MATCH($B237,$B$206:$B$229,FALSE))),NA()),NA())</f>
        <v>#N/A</v>
      </c>
      <c r="J237" s="65" t="e">
        <f>IF(I45=1,IF(I$13&lt;=COUNT($C17:$CS17),IF(INDEX($F$206:$F$229,MATCH($B237,$B$206:$B$229,FALSE))=0,NA(),INDEX(I$14:I$37,MATCH($B237,$B$14:$B$37,FALSE))/INDEX($F$206:$F$229,MATCH($B237,$B$206:$B$229,FALSE))),NA()),NA())</f>
        <v>#N/A</v>
      </c>
      <c r="K237" s="65" t="e">
        <f>IF(J45=1,IF(J$13&lt;=COUNT($C17:$CS17),IF(INDEX($F$206:$F$229,MATCH($B237,$B$206:$B$229,FALSE))=0,NA(),INDEX(J$14:J$37,MATCH($B237,$B$14:$B$37,FALSE))/INDEX($F$206:$F$229,MATCH($B237,$B$206:$B$229,FALSE))),NA()),NA())</f>
        <v>#N/A</v>
      </c>
      <c r="L237" s="65" t="e">
        <f>IF(K45=1,IF(K$13&lt;=COUNT($C17:$CS17),IF(INDEX($F$206:$F$229,MATCH($B237,$B$206:$B$229,FALSE))=0,NA(),INDEX(K$14:K$37,MATCH($B237,$B$14:$B$37,FALSE))/INDEX($F$206:$F$229,MATCH($B237,$B$206:$B$229,FALSE))),NA()),NA())</f>
        <v>#N/A</v>
      </c>
      <c r="M237" s="65" t="e">
        <f>IF(L45=1,IF(L$13&lt;=COUNT($C17:$CS17),IF(INDEX($F$206:$F$229,MATCH($B237,$B$206:$B$229,FALSE))=0,NA(),INDEX(L$14:L$37,MATCH($B237,$B$14:$B$37,FALSE))/INDEX($F$206:$F$229,MATCH($B237,$B$206:$B$229,FALSE))),NA()),NA())</f>
        <v>#N/A</v>
      </c>
      <c r="N237" s="65" t="e">
        <f>IF(M45=1,IF(M$13&lt;=COUNT($C17:$CS17),IF(INDEX($F$206:$F$229,MATCH($B237,$B$206:$B$229,FALSE))=0,NA(),INDEX(M$14:M$37,MATCH($B237,$B$14:$B$37,FALSE))/INDEX($F$206:$F$229,MATCH($B237,$B$206:$B$229,FALSE))),NA()),NA())</f>
        <v>#N/A</v>
      </c>
      <c r="O237" s="65" t="e">
        <f>IF(N45=1,IF(N$13&lt;=COUNT($C17:$CS17),IF(INDEX($F$206:$F$229,MATCH($B237,$B$206:$B$229,FALSE))=0,NA(),INDEX(N$14:N$37,MATCH($B237,$B$14:$B$37,FALSE))/INDEX($F$206:$F$229,MATCH($B237,$B$206:$B$229,FALSE))),NA()),NA())</f>
        <v>#N/A</v>
      </c>
      <c r="P237" s="65" t="e">
        <f>IF(O45=1,IF(O$13&lt;=COUNT($C17:$CS17),IF(INDEX($F$206:$F$229,MATCH($B237,$B$206:$B$229,FALSE))=0,NA(),INDEX(O$14:O$37,MATCH($B237,$B$14:$B$37,FALSE))/INDEX($F$206:$F$229,MATCH($B237,$B$206:$B$229,FALSE))),NA()),NA())</f>
        <v>#N/A</v>
      </c>
      <c r="Q237" s="65" t="e">
        <f>IF(P45=1,IF(P$13&lt;=COUNT($C17:$CS17),IF(INDEX($F$206:$F$229,MATCH($B237,$B$206:$B$229,FALSE))=0,NA(),INDEX(P$14:P$37,MATCH($B237,$B$14:$B$37,FALSE))/INDEX($F$206:$F$229,MATCH($B237,$B$206:$B$229,FALSE))),NA()),NA())</f>
        <v>#N/A</v>
      </c>
      <c r="R237" s="65" t="e">
        <f>IF(Q45=1,IF(Q$13&lt;=COUNT($C17:$CS17),IF(INDEX($F$206:$F$229,MATCH($B237,$B$206:$B$229,FALSE))=0,NA(),INDEX(Q$14:Q$37,MATCH($B237,$B$14:$B$37,FALSE))/INDEX($F$206:$F$229,MATCH($B237,$B$206:$B$229,FALSE))),NA()),NA())</f>
        <v>#N/A</v>
      </c>
      <c r="S237" s="65" t="e">
        <f>IF(R45=1,IF(R$13&lt;=COUNT($C17:$CS17),IF(INDEX($F$206:$F$229,MATCH($B237,$B$206:$B$229,FALSE))=0,NA(),INDEX(R$14:R$37,MATCH($B237,$B$14:$B$37,FALSE))/INDEX($F$206:$F$229,MATCH($B237,$B$206:$B$229,FALSE))),NA()),NA())</f>
        <v>#N/A</v>
      </c>
      <c r="T237" s="65" t="e">
        <f>IF(S45=1,IF(S$13&lt;=COUNT($C17:$CS17),IF(INDEX($F$206:$F$229,MATCH($B237,$B$206:$B$229,FALSE))=0,NA(),INDEX(S$14:S$37,MATCH($B237,$B$14:$B$37,FALSE))/INDEX($F$206:$F$229,MATCH($B237,$B$206:$B$229,FALSE))),NA()),NA())</f>
        <v>#N/A</v>
      </c>
      <c r="U237" s="65" t="e">
        <f>IF(T45=1,IF(T$13&lt;=COUNT($C17:$CS17),IF(INDEX($F$206:$F$229,MATCH($B237,$B$206:$B$229,FALSE))=0,NA(),INDEX(T$14:T$37,MATCH($B237,$B$14:$B$37,FALSE))/INDEX($F$206:$F$229,MATCH($B237,$B$206:$B$229,FALSE))),NA()),NA())</f>
        <v>#N/A</v>
      </c>
      <c r="V237" s="65" t="e">
        <f>IF(U45=1,IF(U$13&lt;=COUNT($C17:$CS17),IF(INDEX($F$206:$F$229,MATCH($B237,$B$206:$B$229,FALSE))=0,NA(),INDEX(U$14:U$37,MATCH($B237,$B$14:$B$37,FALSE))/INDEX($F$206:$F$229,MATCH($B237,$B$206:$B$229,FALSE))),NA()),NA())</f>
        <v>#N/A</v>
      </c>
      <c r="W237" s="65" t="e">
        <f>IF(V45=1,IF(V$13&lt;=COUNT($C17:$CS17),IF(INDEX($F$206:$F$229,MATCH($B237,$B$206:$B$229,FALSE))=0,NA(),INDEX(V$14:V$37,MATCH($B237,$B$14:$B$37,FALSE))/INDEX($F$206:$F$229,MATCH($B237,$B$206:$B$229,FALSE))),NA()),NA())</f>
        <v>#N/A</v>
      </c>
      <c r="X237" s="65" t="e">
        <f>IF(W45=1,IF(W$13&lt;=COUNT($C17:$CS17),IF(INDEX($F$206:$F$229,MATCH($B237,$B$206:$B$229,FALSE))=0,NA(),INDEX(W$14:W$37,MATCH($B237,$B$14:$B$37,FALSE))/INDEX($F$206:$F$229,MATCH($B237,$B$206:$B$229,FALSE))),NA()),NA())</f>
        <v>#N/A</v>
      </c>
      <c r="Y237" s="65" t="e">
        <f>IF(X45=1,IF(X$13&lt;=COUNT($C17:$CS17),IF(INDEX($F$206:$F$229,MATCH($B237,$B$206:$B$229,FALSE))=0,NA(),INDEX(X$14:X$37,MATCH($B237,$B$14:$B$37,FALSE))/INDEX($F$206:$F$229,MATCH($B237,$B$206:$B$229,FALSE))),NA()),NA())</f>
        <v>#N/A</v>
      </c>
      <c r="Z237" s="65" t="e">
        <f>IF(Y45=1,IF(Y$13&lt;=COUNT($C17:$CS17),IF(INDEX($F$206:$F$229,MATCH($B237,$B$206:$B$229,FALSE))=0,NA(),INDEX(Y$14:Y$37,MATCH($B237,$B$14:$B$37,FALSE))/INDEX($F$206:$F$229,MATCH($B237,$B$206:$B$229,FALSE))),NA()),NA())</f>
        <v>#N/A</v>
      </c>
      <c r="AA237" s="65" t="e">
        <f>IF(Z45=1,IF(Z$13&lt;=COUNT($C17:$CS17),IF(INDEX($F$206:$F$229,MATCH($B237,$B$206:$B$229,FALSE))=0,NA(),INDEX(Z$14:Z$37,MATCH($B237,$B$14:$B$37,FALSE))/INDEX($F$206:$F$229,MATCH($B237,$B$206:$B$229,FALSE))),NA()),NA())</f>
        <v>#N/A</v>
      </c>
      <c r="AB237" s="65" t="e">
        <f>IF(AA45=1,IF(AA$13&lt;=COUNT($C17:$CS17),IF(INDEX($F$206:$F$229,MATCH($B237,$B$206:$B$229,FALSE))=0,NA(),INDEX(AA$14:AA$37,MATCH($B237,$B$14:$B$37,FALSE))/INDEX($F$206:$F$229,MATCH($B237,$B$206:$B$229,FALSE))),NA()),NA())</f>
        <v>#N/A</v>
      </c>
      <c r="AC237" s="65" t="e">
        <f>IF(AB45=1,IF(AB$13&lt;=COUNT($C17:$CS17),IF(INDEX($F$206:$F$229,MATCH($B237,$B$206:$B$229,FALSE))=0,NA(),INDEX(AB$14:AB$37,MATCH($B237,$B$14:$B$37,FALSE))/INDEX($F$206:$F$229,MATCH($B237,$B$206:$B$229,FALSE))),NA()),NA())</f>
        <v>#N/A</v>
      </c>
      <c r="AD237" s="65" t="e">
        <f>IF(AC45=1,IF(AC$13&lt;=COUNT($C17:$CS17),IF(INDEX($F$206:$F$229,MATCH($B237,$B$206:$B$229,FALSE))=0,NA(),INDEX(AC$14:AC$37,MATCH($B237,$B$14:$B$37,FALSE))/INDEX($F$206:$F$229,MATCH($B237,$B$206:$B$229,FALSE))),NA()),NA())</f>
        <v>#N/A</v>
      </c>
      <c r="AE237" s="65" t="e">
        <f>IF(AD45=1,IF(AD$13&lt;=COUNT($C17:$CS17),IF(INDEX($F$206:$F$229,MATCH($B237,$B$206:$B$229,FALSE))=0,NA(),INDEX(AD$14:AD$37,MATCH($B237,$B$14:$B$37,FALSE))/INDEX($F$206:$F$229,MATCH($B237,$B$206:$B$229,FALSE))),NA()),NA())</f>
        <v>#N/A</v>
      </c>
      <c r="AF237" s="65" t="e">
        <f>IF(AE45=1,IF(AE$13&lt;=COUNT($C17:$CS17),IF(INDEX($F$206:$F$229,MATCH($B237,$B$206:$B$229,FALSE))=0,NA(),INDEX(AE$14:AE$37,MATCH($B237,$B$14:$B$37,FALSE))/INDEX($F$206:$F$229,MATCH($B237,$B$206:$B$229,FALSE))),NA()),NA())</f>
        <v>#N/A</v>
      </c>
      <c r="AG237" s="65" t="e">
        <f>IF(AF45=1,IF(AF$13&lt;=COUNT($C17:$CS17),IF(INDEX($F$206:$F$229,MATCH($B237,$B$206:$B$229,FALSE))=0,NA(),INDEX(AF$14:AF$37,MATCH($B237,$B$14:$B$37,FALSE))/INDEX($F$206:$F$229,MATCH($B237,$B$206:$B$229,FALSE))),NA()),NA())</f>
        <v>#N/A</v>
      </c>
      <c r="AH237" s="65" t="e">
        <f>IF(AG45=1,IF(AG$13&lt;=COUNT($C17:$CS17),IF(INDEX($F$206:$F$229,MATCH($B237,$B$206:$B$229,FALSE))=0,NA(),INDEX(AG$14:AG$37,MATCH($B237,$B$14:$B$37,FALSE))/INDEX($F$206:$F$229,MATCH($B237,$B$206:$B$229,FALSE))),NA()),NA())</f>
        <v>#N/A</v>
      </c>
      <c r="AI237" s="65" t="e">
        <f>IF(AH45=1,IF(AH$13&lt;=COUNT($C17:$CS17),IF(INDEX($F$206:$F$229,MATCH($B237,$B$206:$B$229,FALSE))=0,NA(),INDEX(AH$14:AH$37,MATCH($B237,$B$14:$B$37,FALSE))/INDEX($F$206:$F$229,MATCH($B237,$B$206:$B$229,FALSE))),NA()),NA())</f>
        <v>#N/A</v>
      </c>
      <c r="AJ237" s="65" t="e">
        <f>IF(AI45=1,IF(AI$13&lt;=COUNT($C17:$CS17),IF(INDEX($F$206:$F$229,MATCH($B237,$B$206:$B$229,FALSE))=0,NA(),INDEX(AI$14:AI$37,MATCH($B237,$B$14:$B$37,FALSE))/INDEX($F$206:$F$229,MATCH($B237,$B$206:$B$229,FALSE))),NA()),NA())</f>
        <v>#N/A</v>
      </c>
      <c r="AK237" s="65" t="e">
        <f>IF(AJ45=1,IF(AJ$13&lt;=COUNT($C17:$CS17),IF(INDEX($F$206:$F$229,MATCH($B237,$B$206:$B$229,FALSE))=0,NA(),INDEX(AJ$14:AJ$37,MATCH($B237,$B$14:$B$37,FALSE))/INDEX($F$206:$F$229,MATCH($B237,$B$206:$B$229,FALSE))),NA()),NA())</f>
        <v>#N/A</v>
      </c>
      <c r="AL237" s="65" t="e">
        <f>IF(AK45=1,IF(AK$13&lt;=COUNT($C17:$CS17),IF(INDEX($F$206:$F$229,MATCH($B237,$B$206:$B$229,FALSE))=0,NA(),INDEX(AK$14:AK$37,MATCH($B237,$B$14:$B$37,FALSE))/INDEX($F$206:$F$229,MATCH($B237,$B$206:$B$229,FALSE))),NA()),NA())</f>
        <v>#N/A</v>
      </c>
      <c r="AM237" s="65" t="e">
        <f>IF(AL45=1,IF(AL$13&lt;=COUNT($C17:$CS17),IF(INDEX($F$206:$F$229,MATCH($B237,$B$206:$B$229,FALSE))=0,NA(),INDEX(AL$14:AL$37,MATCH($B237,$B$14:$B$37,FALSE))/INDEX($F$206:$F$229,MATCH($B237,$B$206:$B$229,FALSE))),NA()),NA())</f>
        <v>#N/A</v>
      </c>
      <c r="AN237" s="65" t="e">
        <f>IF(AM45=1,IF(AM$13&lt;=COUNT($C17:$CS17),IF(INDEX($F$206:$F$229,MATCH($B237,$B$206:$B$229,FALSE))=0,NA(),INDEX(AM$14:AM$37,MATCH($B237,$B$14:$B$37,FALSE))/INDEX($F$206:$F$229,MATCH($B237,$B$206:$B$229,FALSE))),NA()),NA())</f>
        <v>#N/A</v>
      </c>
      <c r="AO237" s="65" t="e">
        <f>IF(AN45=1,IF(AN$13&lt;=COUNT($C17:$CS17),IF(INDEX($F$206:$F$229,MATCH($B237,$B$206:$B$229,FALSE))=0,NA(),INDEX(AN$14:AN$37,MATCH($B237,$B$14:$B$37,FALSE))/INDEX($F$206:$F$229,MATCH($B237,$B$206:$B$229,FALSE))),NA()),NA())</f>
        <v>#N/A</v>
      </c>
      <c r="AP237" s="65" t="e">
        <f>IF(AO45=1,IF(AO$13&lt;=COUNT($C17:$CS17),IF(INDEX($F$206:$F$229,MATCH($B237,$B$206:$B$229,FALSE))=0,NA(),INDEX(AO$14:AO$37,MATCH($B237,$B$14:$B$37,FALSE))/INDEX($F$206:$F$229,MATCH($B237,$B$206:$B$229,FALSE))),NA()),NA())</f>
        <v>#N/A</v>
      </c>
      <c r="AQ237" s="65" t="e">
        <f>IF(AP45=1,IF(AP$13&lt;=COUNT($C17:$CS17),IF(INDEX($F$206:$F$229,MATCH($B237,$B$206:$B$229,FALSE))=0,NA(),INDEX(AP$14:AP$37,MATCH($B237,$B$14:$B$37,FALSE))/INDEX($F$206:$F$229,MATCH($B237,$B$206:$B$229,FALSE))),NA()),NA())</f>
        <v>#N/A</v>
      </c>
      <c r="AR237" s="65" t="e">
        <f>IF(AQ45=1,IF(AQ$13&lt;=COUNT($C17:$CS17),IF(INDEX($F$206:$F$229,MATCH($B237,$B$206:$B$229,FALSE))=0,NA(),INDEX(AQ$14:AQ$37,MATCH($B237,$B$14:$B$37,FALSE))/INDEX($F$206:$F$229,MATCH($B237,$B$206:$B$229,FALSE))),NA()),NA())</f>
        <v>#N/A</v>
      </c>
      <c r="AS237" s="65" t="e">
        <f>IF(AR45=1,IF(AR$13&lt;=COUNT($C17:$CS17),IF(INDEX($F$206:$F$229,MATCH($B237,$B$206:$B$229,FALSE))=0,NA(),INDEX(AR$14:AR$37,MATCH($B237,$B$14:$B$37,FALSE))/INDEX($F$206:$F$229,MATCH($B237,$B$206:$B$229,FALSE))),NA()),NA())</f>
        <v>#N/A</v>
      </c>
      <c r="AT237" s="65" t="e">
        <f>IF(AS45=1,IF(AS$13&lt;=COUNT($C17:$CS17),IF(INDEX($F$206:$F$229,MATCH($B237,$B$206:$B$229,FALSE))=0,NA(),INDEX(AS$14:AS$37,MATCH($B237,$B$14:$B$37,FALSE))/INDEX($F$206:$F$229,MATCH($B237,$B$206:$B$229,FALSE))),NA()),NA())</f>
        <v>#N/A</v>
      </c>
      <c r="AU237" s="65" t="e">
        <f>IF(AT45=1,IF(AT$13&lt;=COUNT($C17:$CS17),IF(INDEX($F$206:$F$229,MATCH($B237,$B$206:$B$229,FALSE))=0,NA(),INDEX(AT$14:AT$37,MATCH($B237,$B$14:$B$37,FALSE))/INDEX($F$206:$F$229,MATCH($B237,$B$206:$B$229,FALSE))),NA()),NA())</f>
        <v>#N/A</v>
      </c>
      <c r="AV237" s="65" t="e">
        <f>IF(AU45=1,IF(AU$13&lt;=COUNT($C17:$CS17),IF(INDEX($F$206:$F$229,MATCH($B237,$B$206:$B$229,FALSE))=0,NA(),INDEX(AU$14:AU$37,MATCH($B237,$B$14:$B$37,FALSE))/INDEX($F$206:$F$229,MATCH($B237,$B$206:$B$229,FALSE))),NA()),NA())</f>
        <v>#N/A</v>
      </c>
      <c r="AW237" s="65" t="e">
        <f>IF(AV45=1,IF(AV$13&lt;=COUNT($C17:$CS17),IF(INDEX($F$206:$F$229,MATCH($B237,$B$206:$B$229,FALSE))=0,NA(),INDEX(AV$14:AV$37,MATCH($B237,$B$14:$B$37,FALSE))/INDEX($F$206:$F$229,MATCH($B237,$B$206:$B$229,FALSE))),NA()),NA())</f>
        <v>#N/A</v>
      </c>
      <c r="AX237" s="65" t="e">
        <f>IF(AW45=1,IF(AW$13&lt;=COUNT($C17:$CS17),IF(INDEX($F$206:$F$229,MATCH($B237,$B$206:$B$229,FALSE))=0,NA(),INDEX(AW$14:AW$37,MATCH($B237,$B$14:$B$37,FALSE))/INDEX($F$206:$F$229,MATCH($B237,$B$206:$B$229,FALSE))),NA()),NA())</f>
        <v>#N/A</v>
      </c>
      <c r="AY237" s="65" t="e">
        <f>IF(AX45=1,IF(AX$13&lt;=COUNT($C17:$CS17),IF(INDEX($F$206:$F$229,MATCH($B237,$B$206:$B$229,FALSE))=0,NA(),INDEX(AX$14:AX$37,MATCH($B237,$B$14:$B$37,FALSE))/INDEX($F$206:$F$229,MATCH($B237,$B$206:$B$229,FALSE))),NA()),NA())</f>
        <v>#N/A</v>
      </c>
      <c r="AZ237" s="65" t="e">
        <f>IF(AY45=1,IF(AY$13&lt;=COUNT($C17:$CS17),IF(INDEX($F$206:$F$229,MATCH($B237,$B$206:$B$229,FALSE))=0,NA(),INDEX(AY$14:AY$37,MATCH($B237,$B$14:$B$37,FALSE))/INDEX($F$206:$F$229,MATCH($B237,$B$206:$B$229,FALSE))),NA()),NA())</f>
        <v>#N/A</v>
      </c>
      <c r="BA237" s="65" t="e">
        <f>IF(AZ45=1,IF(AZ$13&lt;=COUNT($C17:$CS17),IF(INDEX($F$206:$F$229,MATCH($B237,$B$206:$B$229,FALSE))=0,NA(),INDEX(AZ$14:AZ$37,MATCH($B237,$B$14:$B$37,FALSE))/INDEX($F$206:$F$229,MATCH($B237,$B$206:$B$229,FALSE))),NA()),NA())</f>
        <v>#N/A</v>
      </c>
      <c r="BB237" s="65" t="e">
        <f>IF(BA45=1,IF(BA$13&lt;=COUNT($C17:$CS17),IF(INDEX($F$206:$F$229,MATCH($B237,$B$206:$B$229,FALSE))=0,NA(),INDEX(BA$14:BA$37,MATCH($B237,$B$14:$B$37,FALSE))/INDEX($F$206:$F$229,MATCH($B237,$B$206:$B$229,FALSE))),NA()),NA())</f>
        <v>#N/A</v>
      </c>
      <c r="BC237" s="65" t="e">
        <f>IF(BB45=1,IF(BB$13&lt;=COUNT($C17:$CS17),IF(INDEX($F$206:$F$229,MATCH($B237,$B$206:$B$229,FALSE))=0,NA(),INDEX(BB$14:BB$37,MATCH($B237,$B$14:$B$37,FALSE))/INDEX($F$206:$F$229,MATCH($B237,$B$206:$B$229,FALSE))),NA()),NA())</f>
        <v>#N/A</v>
      </c>
      <c r="BD237" s="65" t="e">
        <f>IF(BC45=1,IF(BC$13&lt;=COUNT($C17:$CS17),IF(INDEX($F$206:$F$229,MATCH($B237,$B$206:$B$229,FALSE))=0,NA(),INDEX(BC$14:BC$37,MATCH($B237,$B$14:$B$37,FALSE))/INDEX($F$206:$F$229,MATCH($B237,$B$206:$B$229,FALSE))),NA()),NA())</f>
        <v>#N/A</v>
      </c>
      <c r="BE237" s="65" t="e">
        <f>IF(BD45=1,IF(BD$13&lt;=COUNT($C17:$CS17),IF(INDEX($F$206:$F$229,MATCH($B237,$B$206:$B$229,FALSE))=0,NA(),INDEX(BD$14:BD$37,MATCH($B237,$B$14:$B$37,FALSE))/INDEX($F$206:$F$229,MATCH($B237,$B$206:$B$229,FALSE))),NA()),NA())</f>
        <v>#N/A</v>
      </c>
      <c r="BF237" s="65" t="e">
        <f>IF(BE45=1,IF(BE$13&lt;=COUNT($C17:$CS17),IF(INDEX($F$206:$F$229,MATCH($B237,$B$206:$B$229,FALSE))=0,NA(),INDEX(BE$14:BE$37,MATCH($B237,$B$14:$B$37,FALSE))/INDEX($F$206:$F$229,MATCH($B237,$B$206:$B$229,FALSE))),NA()),NA())</f>
        <v>#N/A</v>
      </c>
      <c r="BG237" s="65" t="e">
        <f>IF(BF45=1,IF(BF$13&lt;=COUNT($C17:$CS17),IF(INDEX($F$206:$F$229,MATCH($B237,$B$206:$B$229,FALSE))=0,NA(),INDEX(BF$14:BF$37,MATCH($B237,$B$14:$B$37,FALSE))/INDEX($F$206:$F$229,MATCH($B237,$B$206:$B$229,FALSE))),NA()),NA())</f>
        <v>#N/A</v>
      </c>
      <c r="BH237" s="65" t="e">
        <f>IF(BG45=1,IF(BG$13&lt;=COUNT($C17:$CS17),IF(INDEX($F$206:$F$229,MATCH($B237,$B$206:$B$229,FALSE))=0,NA(),INDEX(BG$14:BG$37,MATCH($B237,$B$14:$B$37,FALSE))/INDEX($F$206:$F$229,MATCH($B237,$B$206:$B$229,FALSE))),NA()),NA())</f>
        <v>#N/A</v>
      </c>
      <c r="BI237" s="65" t="e">
        <f>IF(BH45=1,IF(BH$13&lt;=COUNT($C17:$CS17),IF(INDEX($F$206:$F$229,MATCH($B237,$B$206:$B$229,FALSE))=0,NA(),INDEX(BH$14:BH$37,MATCH($B237,$B$14:$B$37,FALSE))/INDEX($F$206:$F$229,MATCH($B237,$B$206:$B$229,FALSE))),NA()),NA())</f>
        <v>#N/A</v>
      </c>
      <c r="BJ237" s="65" t="e">
        <f>IF(BI45=1,IF(BI$13&lt;=COUNT($C17:$CS17),IF(INDEX($F$206:$F$229,MATCH($B237,$B$206:$B$229,FALSE))=0,NA(),INDEX(BI$14:BI$37,MATCH($B237,$B$14:$B$37,FALSE))/INDEX($F$206:$F$229,MATCH($B237,$B$206:$B$229,FALSE))),NA()),NA())</f>
        <v>#N/A</v>
      </c>
      <c r="BK237" s="65" t="e">
        <f>IF(BJ45=1,IF(BJ$13&lt;=COUNT($C17:$CS17),IF(INDEX($F$206:$F$229,MATCH($B237,$B$206:$B$229,FALSE))=0,NA(),INDEX(BJ$14:BJ$37,MATCH($B237,$B$14:$B$37,FALSE))/INDEX($F$206:$F$229,MATCH($B237,$B$206:$B$229,FALSE))),NA()),NA())</f>
        <v>#N/A</v>
      </c>
      <c r="BL237" s="65" t="e">
        <f>IF(BK45=1,IF(BK$13&lt;=COUNT($C17:$CS17),IF(INDEX($F$206:$F$229,MATCH($B237,$B$206:$B$229,FALSE))=0,NA(),INDEX(BK$14:BK$37,MATCH($B237,$B$14:$B$37,FALSE))/INDEX($F$206:$F$229,MATCH($B237,$B$206:$B$229,FALSE))),NA()),NA())</f>
        <v>#N/A</v>
      </c>
      <c r="BM237" s="65" t="e">
        <f>IF(BL45=1,IF(BL$13&lt;=COUNT($C17:$CS17),IF(INDEX($F$206:$F$229,MATCH($B237,$B$206:$B$229,FALSE))=0,NA(),INDEX(BL$14:BL$37,MATCH($B237,$B$14:$B$37,FALSE))/INDEX($F$206:$F$229,MATCH($B237,$B$206:$B$229,FALSE))),NA()),NA())</f>
        <v>#N/A</v>
      </c>
      <c r="BN237" s="65" t="e">
        <f>IF(BM45=1,IF(BM$13&lt;=COUNT($C17:$CS17),IF(INDEX($F$206:$F$229,MATCH($B237,$B$206:$B$229,FALSE))=0,NA(),INDEX(BM$14:BM$37,MATCH($B237,$B$14:$B$37,FALSE))/INDEX($F$206:$F$229,MATCH($B237,$B$206:$B$229,FALSE))),NA()),NA())</f>
        <v>#N/A</v>
      </c>
      <c r="BO237" s="65" t="e">
        <f>IF(BN45=1,IF(BN$13&lt;=COUNT($C17:$CS17),IF(INDEX($F$206:$F$229,MATCH($B237,$B$206:$B$229,FALSE))=0,NA(),INDEX(BN$14:BN$37,MATCH($B237,$B$14:$B$37,FALSE))/INDEX($F$206:$F$229,MATCH($B237,$B$206:$B$229,FALSE))),NA()),NA())</f>
        <v>#N/A</v>
      </c>
      <c r="BP237" s="65" t="e">
        <f>IF(BO45=1,IF(BO$13&lt;=COUNT($C17:$CS17),IF(INDEX($F$206:$F$229,MATCH($B237,$B$206:$B$229,FALSE))=0,NA(),INDEX(BO$14:BO$37,MATCH($B237,$B$14:$B$37,FALSE))/INDEX($F$206:$F$229,MATCH($B237,$B$206:$B$229,FALSE))),NA()),NA())</f>
        <v>#N/A</v>
      </c>
      <c r="BQ237" s="65" t="e">
        <f>IF(BP45=1,IF(BP$13&lt;=COUNT($C17:$CS17),IF(INDEX($F$206:$F$229,MATCH($B237,$B$206:$B$229,FALSE))=0,NA(),INDEX(BP$14:BP$37,MATCH($B237,$B$14:$B$37,FALSE))/INDEX($F$206:$F$229,MATCH($B237,$B$206:$B$229,FALSE))),NA()),NA())</f>
        <v>#N/A</v>
      </c>
      <c r="BR237" s="65" t="e">
        <f>IF(BQ45=1,IF(BQ$13&lt;=COUNT($C17:$CS17),IF(INDEX($F$206:$F$229,MATCH($B237,$B$206:$B$229,FALSE))=0,NA(),INDEX(BQ$14:BQ$37,MATCH($B237,$B$14:$B$37,FALSE))/INDEX($F$206:$F$229,MATCH($B237,$B$206:$B$229,FALSE))),NA()),NA())</f>
        <v>#N/A</v>
      </c>
      <c r="BS237" s="65" t="e">
        <f>IF(BR45=1,IF(BR$13&lt;=COUNT($C17:$CS17),IF(INDEX($F$206:$F$229,MATCH($B237,$B$206:$B$229,FALSE))=0,NA(),INDEX(BR$14:BR$37,MATCH($B237,$B$14:$B$37,FALSE))/INDEX($F$206:$F$229,MATCH($B237,$B$206:$B$229,FALSE))),NA()),NA())</f>
        <v>#N/A</v>
      </c>
      <c r="BT237" s="65" t="e">
        <f>IF(BS45=1,IF(BS$13&lt;=COUNT($C17:$CS17),IF(INDEX($F$206:$F$229,MATCH($B237,$B$206:$B$229,FALSE))=0,NA(),INDEX(BS$14:BS$37,MATCH($B237,$B$14:$B$37,FALSE))/INDEX($F$206:$F$229,MATCH($B237,$B$206:$B$229,FALSE))),NA()),NA())</f>
        <v>#N/A</v>
      </c>
      <c r="BU237" s="65" t="e">
        <f>IF(BT45=1,IF(BT$13&lt;=COUNT($C17:$CS17),IF(INDEX($F$206:$F$229,MATCH($B237,$B$206:$B$229,FALSE))=0,NA(),INDEX(BT$14:BT$37,MATCH($B237,$B$14:$B$37,FALSE))/INDEX($F$206:$F$229,MATCH($B237,$B$206:$B$229,FALSE))),NA()),NA())</f>
        <v>#N/A</v>
      </c>
      <c r="BV237" s="65" t="e">
        <f>IF(BU45=1,IF(BU$13&lt;=COUNT($C17:$CS17),IF(INDEX($F$206:$F$229,MATCH($B237,$B$206:$B$229,FALSE))=0,NA(),INDEX(BU$14:BU$37,MATCH($B237,$B$14:$B$37,FALSE))/INDEX($F$206:$F$229,MATCH($B237,$B$206:$B$229,FALSE))),NA()),NA())</f>
        <v>#N/A</v>
      </c>
      <c r="BW237" s="65" t="e">
        <f>IF(BV45=1,IF(BV$13&lt;=COUNT($C17:$CS17),IF(INDEX($F$206:$F$229,MATCH($B237,$B$206:$B$229,FALSE))=0,NA(),INDEX(BV$14:BV$37,MATCH($B237,$B$14:$B$37,FALSE))/INDEX($F$206:$F$229,MATCH($B237,$B$206:$B$229,FALSE))),NA()),NA())</f>
        <v>#N/A</v>
      </c>
      <c r="BX237" s="65" t="e">
        <f>IF(BW45=1,IF(BW$13&lt;=COUNT($C17:$CS17),IF(INDEX($F$206:$F$229,MATCH($B237,$B$206:$B$229,FALSE))=0,NA(),INDEX(BW$14:BW$37,MATCH($B237,$B$14:$B$37,FALSE))/INDEX($F$206:$F$229,MATCH($B237,$B$206:$B$229,FALSE))),NA()),NA())</f>
        <v>#N/A</v>
      </c>
      <c r="BY237" s="65" t="e">
        <f>IF(BX45=1,IF(BX$13&lt;=COUNT($C17:$CS17),IF(INDEX($F$206:$F$229,MATCH($B237,$B$206:$B$229,FALSE))=0,NA(),INDEX(BX$14:BX$37,MATCH($B237,$B$14:$B$37,FALSE))/INDEX($F$206:$F$229,MATCH($B237,$B$206:$B$229,FALSE))),NA()),NA())</f>
        <v>#N/A</v>
      </c>
      <c r="BZ237" s="65" t="e">
        <f>IF(BY45=1,IF(BY$13&lt;=COUNT($C17:$CS17),IF(INDEX($F$206:$F$229,MATCH($B237,$B$206:$B$229,FALSE))=0,NA(),INDEX(BY$14:BY$37,MATCH($B237,$B$14:$B$37,FALSE))/INDEX($F$206:$F$229,MATCH($B237,$B$206:$B$229,FALSE))),NA()),NA())</f>
        <v>#N/A</v>
      </c>
      <c r="CA237" s="65" t="e">
        <f>IF(BZ45=1,IF(BZ$13&lt;=COUNT($C17:$CS17),IF(INDEX($F$206:$F$229,MATCH($B237,$B$206:$B$229,FALSE))=0,NA(),INDEX(BZ$14:BZ$37,MATCH($B237,$B$14:$B$37,FALSE))/INDEX($F$206:$F$229,MATCH($B237,$B$206:$B$229,FALSE))),NA()),NA())</f>
        <v>#N/A</v>
      </c>
      <c r="CB237" s="65" t="e">
        <f>IF(CA45=1,IF(CA$13&lt;=COUNT($C17:$CS17),IF(INDEX($F$206:$F$229,MATCH($B237,$B$206:$B$229,FALSE))=0,NA(),INDEX(CA$14:CA$37,MATCH($B237,$B$14:$B$37,FALSE))/INDEX($F$206:$F$229,MATCH($B237,$B$206:$B$229,FALSE))),NA()),NA())</f>
        <v>#N/A</v>
      </c>
      <c r="CC237" s="65" t="e">
        <f>IF(CB45=1,IF(CB$13&lt;=COUNT($C17:$CS17),IF(INDEX($F$206:$F$229,MATCH($B237,$B$206:$B$229,FALSE))=0,NA(),INDEX(CB$14:CB$37,MATCH($B237,$B$14:$B$37,FALSE))/INDEX($F$206:$F$229,MATCH($B237,$B$206:$B$229,FALSE))),NA()),NA())</f>
        <v>#N/A</v>
      </c>
      <c r="CD237" s="65" t="e">
        <f>IF(CC45=1,IF(CC$13&lt;=COUNT($C17:$CS17),IF(INDEX($F$206:$F$229,MATCH($B237,$B$206:$B$229,FALSE))=0,NA(),INDEX(CC$14:CC$37,MATCH($B237,$B$14:$B$37,FALSE))/INDEX($F$206:$F$229,MATCH($B237,$B$206:$B$229,FALSE))),NA()),NA())</f>
        <v>#N/A</v>
      </c>
      <c r="CE237" s="65" t="e">
        <f>IF(CD45=1,IF(CD$13&lt;=COUNT($C17:$CS17),IF(INDEX($F$206:$F$229,MATCH($B237,$B$206:$B$229,FALSE))=0,NA(),INDEX(CD$14:CD$37,MATCH($B237,$B$14:$B$37,FALSE))/INDEX($F$206:$F$229,MATCH($B237,$B$206:$B$229,FALSE))),NA()),NA())</f>
        <v>#N/A</v>
      </c>
      <c r="CF237" s="65" t="e">
        <f>IF(CE45=1,IF(CE$13&lt;=COUNT($C17:$CS17),IF(INDEX($F$206:$F$229,MATCH($B237,$B$206:$B$229,FALSE))=0,NA(),INDEX(CE$14:CE$37,MATCH($B237,$B$14:$B$37,FALSE))/INDEX($F$206:$F$229,MATCH($B237,$B$206:$B$229,FALSE))),NA()),NA())</f>
        <v>#N/A</v>
      </c>
      <c r="CG237" s="65" t="e">
        <f>IF(CF45=1,IF(CF$13&lt;=COUNT($C17:$CS17),IF(INDEX($F$206:$F$229,MATCH($B237,$B$206:$B$229,FALSE))=0,NA(),INDEX(CF$14:CF$37,MATCH($B237,$B$14:$B$37,FALSE))/INDEX($F$206:$F$229,MATCH($B237,$B$206:$B$229,FALSE))),NA()),NA())</f>
        <v>#N/A</v>
      </c>
      <c r="CH237" s="65" t="e">
        <f>IF(CG45=1,IF(CG$13&lt;=COUNT($C17:$CS17),IF(INDEX($F$206:$F$229,MATCH($B237,$B$206:$B$229,FALSE))=0,NA(),INDEX(CG$14:CG$37,MATCH($B237,$B$14:$B$37,FALSE))/INDEX($F$206:$F$229,MATCH($B237,$B$206:$B$229,FALSE))),NA()),NA())</f>
        <v>#N/A</v>
      </c>
      <c r="CI237" s="65" t="e">
        <f>IF(CH45=1,IF(CH$13&lt;=COUNT($C17:$CS17),IF(INDEX($F$206:$F$229,MATCH($B237,$B$206:$B$229,FALSE))=0,NA(),INDEX(CH$14:CH$37,MATCH($B237,$B$14:$B$37,FALSE))/INDEX($F$206:$F$229,MATCH($B237,$B$206:$B$229,FALSE))),NA()),NA())</f>
        <v>#N/A</v>
      </c>
      <c r="CJ237" s="65" t="e">
        <f>IF(CI45=1,IF(CI$13&lt;=COUNT($C17:$CS17),IF(INDEX($F$206:$F$229,MATCH($B237,$B$206:$B$229,FALSE))=0,NA(),INDEX(CI$14:CI$37,MATCH($B237,$B$14:$B$37,FALSE))/INDEX($F$206:$F$229,MATCH($B237,$B$206:$B$229,FALSE))),NA()),NA())</f>
        <v>#N/A</v>
      </c>
      <c r="CK237" s="65" t="e">
        <f>IF(CJ45=1,IF(CJ$13&lt;=COUNT($C17:$CS17),IF(INDEX($F$206:$F$229,MATCH($B237,$B$206:$B$229,FALSE))=0,NA(),INDEX(CJ$14:CJ$37,MATCH($B237,$B$14:$B$37,FALSE))/INDEX($F$206:$F$229,MATCH($B237,$B$206:$B$229,FALSE))),NA()),NA())</f>
        <v>#N/A</v>
      </c>
      <c r="CL237" s="65" t="e">
        <f>IF(CK45=1,IF(CK$13&lt;=COUNT($C17:$CS17),IF(INDEX($F$206:$F$229,MATCH($B237,$B$206:$B$229,FALSE))=0,NA(),INDEX(CK$14:CK$37,MATCH($B237,$B$14:$B$37,FALSE))/INDEX($F$206:$F$229,MATCH($B237,$B$206:$B$229,FALSE))),NA()),NA())</f>
        <v>#N/A</v>
      </c>
      <c r="CM237" s="65" t="e">
        <f>IF(CL45=1,IF(CL$13&lt;=COUNT($C17:$CS17),IF(INDEX($F$206:$F$229,MATCH($B237,$B$206:$B$229,FALSE))=0,NA(),INDEX(CL$14:CL$37,MATCH($B237,$B$14:$B$37,FALSE))/INDEX($F$206:$F$229,MATCH($B237,$B$206:$B$229,FALSE))),NA()),NA())</f>
        <v>#N/A</v>
      </c>
      <c r="CN237" s="65" t="e">
        <f>IF(CM45=1,IF(CM$13&lt;=COUNT($C17:$CS17),IF(INDEX($F$206:$F$229,MATCH($B237,$B$206:$B$229,FALSE))=0,NA(),INDEX(CM$14:CM$37,MATCH($B237,$B$14:$B$37,FALSE))/INDEX($F$206:$F$229,MATCH($B237,$B$206:$B$229,FALSE))),NA()),NA())</f>
        <v>#N/A</v>
      </c>
      <c r="CO237" s="65" t="e">
        <f>IF(CN45=1,IF(CN$13&lt;=COUNT($C17:$CS17),IF(INDEX($F$206:$F$229,MATCH($B237,$B$206:$B$229,FALSE))=0,NA(),INDEX(CN$14:CN$37,MATCH($B237,$B$14:$B$37,FALSE))/INDEX($F$206:$F$229,MATCH($B237,$B$206:$B$229,FALSE))),NA()),NA())</f>
        <v>#N/A</v>
      </c>
      <c r="CP237" s="65" t="e">
        <f>IF(CO45=1,IF(CO$13&lt;=COUNT($C17:$CS17),IF(INDEX($F$206:$F$229,MATCH($B237,$B$206:$B$229,FALSE))=0,NA(),INDEX(CO$14:CO$37,MATCH($B237,$B$14:$B$37,FALSE))/INDEX($F$206:$F$229,MATCH($B237,$B$206:$B$229,FALSE))),NA()),NA())</f>
        <v>#N/A</v>
      </c>
      <c r="CQ237" s="65" t="e">
        <f>IF(CP45=1,IF(CP$13&lt;=COUNT($C17:$CS17),IF(INDEX($F$206:$F$229,MATCH($B237,$B$206:$B$229,FALSE))=0,NA(),INDEX(CP$14:CP$37,MATCH($B237,$B$14:$B$37,FALSE))/INDEX($F$206:$F$229,MATCH($B237,$B$206:$B$229,FALSE))),NA()),NA())</f>
        <v>#N/A</v>
      </c>
      <c r="CR237" s="65" t="e">
        <f>IF(CQ45=1,IF(CQ$13&lt;=COUNT($C17:$CS17),IF(INDEX($F$206:$F$229,MATCH($B237,$B$206:$B$229,FALSE))=0,NA(),INDEX(CQ$14:CQ$37,MATCH($B237,$B$14:$B$37,FALSE))/INDEX($F$206:$F$229,MATCH($B237,$B$206:$B$229,FALSE))),NA()),NA())</f>
        <v>#N/A</v>
      </c>
      <c r="CS237" s="65" t="e">
        <f>IF(CR45=1,IF(CR$13&lt;=COUNT($C17:$CS17),IF(INDEX($F$206:$F$229,MATCH($B237,$B$206:$B$229,FALSE))=0,NA(),INDEX(CR$14:CR$37,MATCH($B237,$B$14:$B$37,FALSE))/INDEX($F$206:$F$229,MATCH($B237,$B$206:$B$229,FALSE))),NA()),NA())</f>
        <v>#N/A</v>
      </c>
      <c r="CT237" s="49"/>
      <c r="CU237" s="49"/>
      <c r="CV237" s="49"/>
      <c r="CW237" s="49"/>
    </row>
    <row r="238" spans="1:101" x14ac:dyDescent="0.25">
      <c r="A238" s="97">
        <f t="shared" si="105"/>
        <v>0</v>
      </c>
      <c r="B238" s="29">
        <f t="shared" si="104"/>
        <v>2000</v>
      </c>
      <c r="C238" s="154" t="str">
        <f t="shared" si="106"/>
        <v/>
      </c>
      <c r="D238" s="54" t="e">
        <f>IF(C46=1,IF(C$13&lt;=COUNT($C18:$CS18),IF(INDEX($F$206:$F$229,MATCH($B238,$B$206:$B$229,FALSE))=0,NA(),INDEX(C$14:C$37,MATCH($B238,$B$14:$B$37,FALSE))/INDEX($F$206:$F$229,MATCH($B238,$B$206:$B$229,FALSE))),NA()),NA())</f>
        <v>#N/A</v>
      </c>
      <c r="E238" s="65" t="e">
        <f>IF(D46=1,IF(D$13&lt;=COUNT($C18:$CS18),IF(INDEX($F$206:$F$229,MATCH($B238,$B$206:$B$229,FALSE))=0,NA(),INDEX(D$14:D$37,MATCH($B238,$B$14:$B$37,FALSE))/INDEX($F$206:$F$229,MATCH($B238,$B$206:$B$229,FALSE))),NA()),NA())</f>
        <v>#N/A</v>
      </c>
      <c r="F238" s="65" t="e">
        <f>IF(E46=1,IF(E$13&lt;=COUNT($C18:$CS18),IF(INDEX($F$206:$F$229,MATCH($B238,$B$206:$B$229,FALSE))=0,NA(),INDEX(E$14:E$37,MATCH($B238,$B$14:$B$37,FALSE))/INDEX($F$206:$F$229,MATCH($B238,$B$206:$B$229,FALSE))),NA()),NA())</f>
        <v>#N/A</v>
      </c>
      <c r="G238" s="65" t="e">
        <f>IF(F46=1,IF(F$13&lt;=COUNT($C18:$CS18),IF(INDEX($F$206:$F$229,MATCH($B238,$B$206:$B$229,FALSE))=0,NA(),INDEX(F$14:F$37,MATCH($B238,$B$14:$B$37,FALSE))/INDEX($F$206:$F$229,MATCH($B238,$B$206:$B$229,FALSE))),NA()),NA())</f>
        <v>#N/A</v>
      </c>
      <c r="H238" s="65" t="e">
        <f>IF(G46=1,IF(G$13&lt;=COUNT($C18:$CS18),IF(INDEX($F$206:$F$229,MATCH($B238,$B$206:$B$229,FALSE))=0,NA(),INDEX(G$14:G$37,MATCH($B238,$B$14:$B$37,FALSE))/INDEX($F$206:$F$229,MATCH($B238,$B$206:$B$229,FALSE))),NA()),NA())</f>
        <v>#N/A</v>
      </c>
      <c r="I238" s="65" t="e">
        <f>IF(H46=1,IF(H$13&lt;=COUNT($C18:$CS18),IF(INDEX($F$206:$F$229,MATCH($B238,$B$206:$B$229,FALSE))=0,NA(),INDEX(H$14:H$37,MATCH($B238,$B$14:$B$37,FALSE))/INDEX($F$206:$F$229,MATCH($B238,$B$206:$B$229,FALSE))),NA()),NA())</f>
        <v>#N/A</v>
      </c>
      <c r="J238" s="65" t="e">
        <f>IF(I46=1,IF(I$13&lt;=COUNT($C18:$CS18),IF(INDEX($F$206:$F$229,MATCH($B238,$B$206:$B$229,FALSE))=0,NA(),INDEX(I$14:I$37,MATCH($B238,$B$14:$B$37,FALSE))/INDEX($F$206:$F$229,MATCH($B238,$B$206:$B$229,FALSE))),NA()),NA())</f>
        <v>#N/A</v>
      </c>
      <c r="K238" s="65" t="e">
        <f>IF(J46=1,IF(J$13&lt;=COUNT($C18:$CS18),IF(INDEX($F$206:$F$229,MATCH($B238,$B$206:$B$229,FALSE))=0,NA(),INDEX(J$14:J$37,MATCH($B238,$B$14:$B$37,FALSE))/INDEX($F$206:$F$229,MATCH($B238,$B$206:$B$229,FALSE))),NA()),NA())</f>
        <v>#N/A</v>
      </c>
      <c r="L238" s="65" t="e">
        <f>IF(K46=1,IF(K$13&lt;=COUNT($C18:$CS18),IF(INDEX($F$206:$F$229,MATCH($B238,$B$206:$B$229,FALSE))=0,NA(),INDEX(K$14:K$37,MATCH($B238,$B$14:$B$37,FALSE))/INDEX($F$206:$F$229,MATCH($B238,$B$206:$B$229,FALSE))),NA()),NA())</f>
        <v>#N/A</v>
      </c>
      <c r="M238" s="65" t="e">
        <f>IF(L46=1,IF(L$13&lt;=COUNT($C18:$CS18),IF(INDEX($F$206:$F$229,MATCH($B238,$B$206:$B$229,FALSE))=0,NA(),INDEX(L$14:L$37,MATCH($B238,$B$14:$B$37,FALSE))/INDEX($F$206:$F$229,MATCH($B238,$B$206:$B$229,FALSE))),NA()),NA())</f>
        <v>#N/A</v>
      </c>
      <c r="N238" s="65" t="e">
        <f>IF(M46=1,IF(M$13&lt;=COUNT($C18:$CS18),IF(INDEX($F$206:$F$229,MATCH($B238,$B$206:$B$229,FALSE))=0,NA(),INDEX(M$14:M$37,MATCH($B238,$B$14:$B$37,FALSE))/INDEX($F$206:$F$229,MATCH($B238,$B$206:$B$229,FALSE))),NA()),NA())</f>
        <v>#N/A</v>
      </c>
      <c r="O238" s="65" t="e">
        <f>IF(N46=1,IF(N$13&lt;=COUNT($C18:$CS18),IF(INDEX($F$206:$F$229,MATCH($B238,$B$206:$B$229,FALSE))=0,NA(),INDEX(N$14:N$37,MATCH($B238,$B$14:$B$37,FALSE))/INDEX($F$206:$F$229,MATCH($B238,$B$206:$B$229,FALSE))),NA()),NA())</f>
        <v>#N/A</v>
      </c>
      <c r="P238" s="65" t="e">
        <f>IF(O46=1,IF(O$13&lt;=COUNT($C18:$CS18),IF(INDEX($F$206:$F$229,MATCH($B238,$B$206:$B$229,FALSE))=0,NA(),INDEX(O$14:O$37,MATCH($B238,$B$14:$B$37,FALSE))/INDEX($F$206:$F$229,MATCH($B238,$B$206:$B$229,FALSE))),NA()),NA())</f>
        <v>#N/A</v>
      </c>
      <c r="Q238" s="65" t="e">
        <f>IF(P46=1,IF(P$13&lt;=COUNT($C18:$CS18),IF(INDEX($F$206:$F$229,MATCH($B238,$B$206:$B$229,FALSE))=0,NA(),INDEX(P$14:P$37,MATCH($B238,$B$14:$B$37,FALSE))/INDEX($F$206:$F$229,MATCH($B238,$B$206:$B$229,FALSE))),NA()),NA())</f>
        <v>#N/A</v>
      </c>
      <c r="R238" s="65" t="e">
        <f>IF(Q46=1,IF(Q$13&lt;=COUNT($C18:$CS18),IF(INDEX($F$206:$F$229,MATCH($B238,$B$206:$B$229,FALSE))=0,NA(),INDEX(Q$14:Q$37,MATCH($B238,$B$14:$B$37,FALSE))/INDEX($F$206:$F$229,MATCH($B238,$B$206:$B$229,FALSE))),NA()),NA())</f>
        <v>#N/A</v>
      </c>
      <c r="S238" s="65" t="e">
        <f>IF(R46=1,IF(R$13&lt;=COUNT($C18:$CS18),IF(INDEX($F$206:$F$229,MATCH($B238,$B$206:$B$229,FALSE))=0,NA(),INDEX(R$14:R$37,MATCH($B238,$B$14:$B$37,FALSE))/INDEX($F$206:$F$229,MATCH($B238,$B$206:$B$229,FALSE))),NA()),NA())</f>
        <v>#N/A</v>
      </c>
      <c r="T238" s="65" t="e">
        <f>IF(S46=1,IF(S$13&lt;=COUNT($C18:$CS18),IF(INDEX($F$206:$F$229,MATCH($B238,$B$206:$B$229,FALSE))=0,NA(),INDEX(S$14:S$37,MATCH($B238,$B$14:$B$37,FALSE))/INDEX($F$206:$F$229,MATCH($B238,$B$206:$B$229,FALSE))),NA()),NA())</f>
        <v>#N/A</v>
      </c>
      <c r="U238" s="65" t="e">
        <f>IF(T46=1,IF(T$13&lt;=COUNT($C18:$CS18),IF(INDEX($F$206:$F$229,MATCH($B238,$B$206:$B$229,FALSE))=0,NA(),INDEX(T$14:T$37,MATCH($B238,$B$14:$B$37,FALSE))/INDEX($F$206:$F$229,MATCH($B238,$B$206:$B$229,FALSE))),NA()),NA())</f>
        <v>#N/A</v>
      </c>
      <c r="V238" s="65" t="e">
        <f>IF(U46=1,IF(U$13&lt;=COUNT($C18:$CS18),IF(INDEX($F$206:$F$229,MATCH($B238,$B$206:$B$229,FALSE))=0,NA(),INDEX(U$14:U$37,MATCH($B238,$B$14:$B$37,FALSE))/INDEX($F$206:$F$229,MATCH($B238,$B$206:$B$229,FALSE))),NA()),NA())</f>
        <v>#N/A</v>
      </c>
      <c r="W238" s="65" t="e">
        <f>IF(V46=1,IF(V$13&lt;=COUNT($C18:$CS18),IF(INDEX($F$206:$F$229,MATCH($B238,$B$206:$B$229,FALSE))=0,NA(),INDEX(V$14:V$37,MATCH($B238,$B$14:$B$37,FALSE))/INDEX($F$206:$F$229,MATCH($B238,$B$206:$B$229,FALSE))),NA()),NA())</f>
        <v>#N/A</v>
      </c>
      <c r="X238" s="65" t="e">
        <f>IF(W46=1,IF(W$13&lt;=COUNT($C18:$CS18),IF(INDEX($F$206:$F$229,MATCH($B238,$B$206:$B$229,FALSE))=0,NA(),INDEX(W$14:W$37,MATCH($B238,$B$14:$B$37,FALSE))/INDEX($F$206:$F$229,MATCH($B238,$B$206:$B$229,FALSE))),NA()),NA())</f>
        <v>#N/A</v>
      </c>
      <c r="Y238" s="65" t="e">
        <f>IF(X46=1,IF(X$13&lt;=COUNT($C18:$CS18),IF(INDEX($F$206:$F$229,MATCH($B238,$B$206:$B$229,FALSE))=0,NA(),INDEX(X$14:X$37,MATCH($B238,$B$14:$B$37,FALSE))/INDEX($F$206:$F$229,MATCH($B238,$B$206:$B$229,FALSE))),NA()),NA())</f>
        <v>#N/A</v>
      </c>
      <c r="Z238" s="65" t="e">
        <f>IF(Y46=1,IF(Y$13&lt;=COUNT($C18:$CS18),IF(INDEX($F$206:$F$229,MATCH($B238,$B$206:$B$229,FALSE))=0,NA(),INDEX(Y$14:Y$37,MATCH($B238,$B$14:$B$37,FALSE))/INDEX($F$206:$F$229,MATCH($B238,$B$206:$B$229,FALSE))),NA()),NA())</f>
        <v>#N/A</v>
      </c>
      <c r="AA238" s="65" t="e">
        <f>IF(Z46=1,IF(Z$13&lt;=COUNT($C18:$CS18),IF(INDEX($F$206:$F$229,MATCH($B238,$B$206:$B$229,FALSE))=0,NA(),INDEX(Z$14:Z$37,MATCH($B238,$B$14:$B$37,FALSE))/INDEX($F$206:$F$229,MATCH($B238,$B$206:$B$229,FALSE))),NA()),NA())</f>
        <v>#N/A</v>
      </c>
      <c r="AB238" s="65" t="e">
        <f>IF(AA46=1,IF(AA$13&lt;=COUNT($C18:$CS18),IF(INDEX($F$206:$F$229,MATCH($B238,$B$206:$B$229,FALSE))=0,NA(),INDEX(AA$14:AA$37,MATCH($B238,$B$14:$B$37,FALSE))/INDEX($F$206:$F$229,MATCH($B238,$B$206:$B$229,FALSE))),NA()),NA())</f>
        <v>#N/A</v>
      </c>
      <c r="AC238" s="65" t="e">
        <f>IF(AB46=1,IF(AB$13&lt;=COUNT($C18:$CS18),IF(INDEX($F$206:$F$229,MATCH($B238,$B$206:$B$229,FALSE))=0,NA(),INDEX(AB$14:AB$37,MATCH($B238,$B$14:$B$37,FALSE))/INDEX($F$206:$F$229,MATCH($B238,$B$206:$B$229,FALSE))),NA()),NA())</f>
        <v>#N/A</v>
      </c>
      <c r="AD238" s="65" t="e">
        <f>IF(AC46=1,IF(AC$13&lt;=COUNT($C18:$CS18),IF(INDEX($F$206:$F$229,MATCH($B238,$B$206:$B$229,FALSE))=0,NA(),INDEX(AC$14:AC$37,MATCH($B238,$B$14:$B$37,FALSE))/INDEX($F$206:$F$229,MATCH($B238,$B$206:$B$229,FALSE))),NA()),NA())</f>
        <v>#N/A</v>
      </c>
      <c r="AE238" s="65" t="e">
        <f>IF(AD46=1,IF(AD$13&lt;=COUNT($C18:$CS18),IF(INDEX($F$206:$F$229,MATCH($B238,$B$206:$B$229,FALSE))=0,NA(),INDEX(AD$14:AD$37,MATCH($B238,$B$14:$B$37,FALSE))/INDEX($F$206:$F$229,MATCH($B238,$B$206:$B$229,FALSE))),NA()),NA())</f>
        <v>#N/A</v>
      </c>
      <c r="AF238" s="65" t="e">
        <f>IF(AE46=1,IF(AE$13&lt;=COUNT($C18:$CS18),IF(INDEX($F$206:$F$229,MATCH($B238,$B$206:$B$229,FALSE))=0,NA(),INDEX(AE$14:AE$37,MATCH($B238,$B$14:$B$37,FALSE))/INDEX($F$206:$F$229,MATCH($B238,$B$206:$B$229,FALSE))),NA()),NA())</f>
        <v>#N/A</v>
      </c>
      <c r="AG238" s="65" t="e">
        <f>IF(AF46=1,IF(AF$13&lt;=COUNT($C18:$CS18),IF(INDEX($F$206:$F$229,MATCH($B238,$B$206:$B$229,FALSE))=0,NA(),INDEX(AF$14:AF$37,MATCH($B238,$B$14:$B$37,FALSE))/INDEX($F$206:$F$229,MATCH($B238,$B$206:$B$229,FALSE))),NA()),NA())</f>
        <v>#N/A</v>
      </c>
      <c r="AH238" s="65" t="e">
        <f>IF(AG46=1,IF(AG$13&lt;=COUNT($C18:$CS18),IF(INDEX($F$206:$F$229,MATCH($B238,$B$206:$B$229,FALSE))=0,NA(),INDEX(AG$14:AG$37,MATCH($B238,$B$14:$B$37,FALSE))/INDEX($F$206:$F$229,MATCH($B238,$B$206:$B$229,FALSE))),NA()),NA())</f>
        <v>#N/A</v>
      </c>
      <c r="AI238" s="65" t="e">
        <f>IF(AH46=1,IF(AH$13&lt;=COUNT($C18:$CS18),IF(INDEX($F$206:$F$229,MATCH($B238,$B$206:$B$229,FALSE))=0,NA(),INDEX(AH$14:AH$37,MATCH($B238,$B$14:$B$37,FALSE))/INDEX($F$206:$F$229,MATCH($B238,$B$206:$B$229,FALSE))),NA()),NA())</f>
        <v>#N/A</v>
      </c>
      <c r="AJ238" s="65" t="e">
        <f>IF(AI46=1,IF(AI$13&lt;=COUNT($C18:$CS18),IF(INDEX($F$206:$F$229,MATCH($B238,$B$206:$B$229,FALSE))=0,NA(),INDEX(AI$14:AI$37,MATCH($B238,$B$14:$B$37,FALSE))/INDEX($F$206:$F$229,MATCH($B238,$B$206:$B$229,FALSE))),NA()),NA())</f>
        <v>#N/A</v>
      </c>
      <c r="AK238" s="65" t="e">
        <f>IF(AJ46=1,IF(AJ$13&lt;=COUNT($C18:$CS18),IF(INDEX($F$206:$F$229,MATCH($B238,$B$206:$B$229,FALSE))=0,NA(),INDEX(AJ$14:AJ$37,MATCH($B238,$B$14:$B$37,FALSE))/INDEX($F$206:$F$229,MATCH($B238,$B$206:$B$229,FALSE))),NA()),NA())</f>
        <v>#N/A</v>
      </c>
      <c r="AL238" s="65" t="e">
        <f>IF(AK46=1,IF(AK$13&lt;=COUNT($C18:$CS18),IF(INDEX($F$206:$F$229,MATCH($B238,$B$206:$B$229,FALSE))=0,NA(),INDEX(AK$14:AK$37,MATCH($B238,$B$14:$B$37,FALSE))/INDEX($F$206:$F$229,MATCH($B238,$B$206:$B$229,FALSE))),NA()),NA())</f>
        <v>#N/A</v>
      </c>
      <c r="AM238" s="65" t="e">
        <f>IF(AL46=1,IF(AL$13&lt;=COUNT($C18:$CS18),IF(INDEX($F$206:$F$229,MATCH($B238,$B$206:$B$229,FALSE))=0,NA(),INDEX(AL$14:AL$37,MATCH($B238,$B$14:$B$37,FALSE))/INDEX($F$206:$F$229,MATCH($B238,$B$206:$B$229,FALSE))),NA()),NA())</f>
        <v>#N/A</v>
      </c>
      <c r="AN238" s="65" t="e">
        <f>IF(AM46=1,IF(AM$13&lt;=COUNT($C18:$CS18),IF(INDEX($F$206:$F$229,MATCH($B238,$B$206:$B$229,FALSE))=0,NA(),INDEX(AM$14:AM$37,MATCH($B238,$B$14:$B$37,FALSE))/INDEX($F$206:$F$229,MATCH($B238,$B$206:$B$229,FALSE))),NA()),NA())</f>
        <v>#N/A</v>
      </c>
      <c r="AO238" s="65" t="e">
        <f>IF(AN46=1,IF(AN$13&lt;=COUNT($C18:$CS18),IF(INDEX($F$206:$F$229,MATCH($B238,$B$206:$B$229,FALSE))=0,NA(),INDEX(AN$14:AN$37,MATCH($B238,$B$14:$B$37,FALSE))/INDEX($F$206:$F$229,MATCH($B238,$B$206:$B$229,FALSE))),NA()),NA())</f>
        <v>#N/A</v>
      </c>
      <c r="AP238" s="65" t="e">
        <f>IF(AO46=1,IF(AO$13&lt;=COUNT($C18:$CS18),IF(INDEX($F$206:$F$229,MATCH($B238,$B$206:$B$229,FALSE))=0,NA(),INDEX(AO$14:AO$37,MATCH($B238,$B$14:$B$37,FALSE))/INDEX($F$206:$F$229,MATCH($B238,$B$206:$B$229,FALSE))),NA()),NA())</f>
        <v>#N/A</v>
      </c>
      <c r="AQ238" s="65" t="e">
        <f>IF(AP46=1,IF(AP$13&lt;=COUNT($C18:$CS18),IF(INDEX($F$206:$F$229,MATCH($B238,$B$206:$B$229,FALSE))=0,NA(),INDEX(AP$14:AP$37,MATCH($B238,$B$14:$B$37,FALSE))/INDEX($F$206:$F$229,MATCH($B238,$B$206:$B$229,FALSE))),NA()),NA())</f>
        <v>#N/A</v>
      </c>
      <c r="AR238" s="65" t="e">
        <f>IF(AQ46=1,IF(AQ$13&lt;=COUNT($C18:$CS18),IF(INDEX($F$206:$F$229,MATCH($B238,$B$206:$B$229,FALSE))=0,NA(),INDEX(AQ$14:AQ$37,MATCH($B238,$B$14:$B$37,FALSE))/INDEX($F$206:$F$229,MATCH($B238,$B$206:$B$229,FALSE))),NA()),NA())</f>
        <v>#N/A</v>
      </c>
      <c r="AS238" s="65" t="e">
        <f>IF(AR46=1,IF(AR$13&lt;=COUNT($C18:$CS18),IF(INDEX($F$206:$F$229,MATCH($B238,$B$206:$B$229,FALSE))=0,NA(),INDEX(AR$14:AR$37,MATCH($B238,$B$14:$B$37,FALSE))/INDEX($F$206:$F$229,MATCH($B238,$B$206:$B$229,FALSE))),NA()),NA())</f>
        <v>#N/A</v>
      </c>
      <c r="AT238" s="65" t="e">
        <f>IF(AS46=1,IF(AS$13&lt;=COUNT($C18:$CS18),IF(INDEX($F$206:$F$229,MATCH($B238,$B$206:$B$229,FALSE))=0,NA(),INDEX(AS$14:AS$37,MATCH($B238,$B$14:$B$37,FALSE))/INDEX($F$206:$F$229,MATCH($B238,$B$206:$B$229,FALSE))),NA()),NA())</f>
        <v>#N/A</v>
      </c>
      <c r="AU238" s="65" t="e">
        <f>IF(AT46=1,IF(AT$13&lt;=COUNT($C18:$CS18),IF(INDEX($F$206:$F$229,MATCH($B238,$B$206:$B$229,FALSE))=0,NA(),INDEX(AT$14:AT$37,MATCH($B238,$B$14:$B$37,FALSE))/INDEX($F$206:$F$229,MATCH($B238,$B$206:$B$229,FALSE))),NA()),NA())</f>
        <v>#N/A</v>
      </c>
      <c r="AV238" s="65" t="e">
        <f>IF(AU46=1,IF(AU$13&lt;=COUNT($C18:$CS18),IF(INDEX($F$206:$F$229,MATCH($B238,$B$206:$B$229,FALSE))=0,NA(),INDEX(AU$14:AU$37,MATCH($B238,$B$14:$B$37,FALSE))/INDEX($F$206:$F$229,MATCH($B238,$B$206:$B$229,FALSE))),NA()),NA())</f>
        <v>#N/A</v>
      </c>
      <c r="AW238" s="65" t="e">
        <f>IF(AV46=1,IF(AV$13&lt;=COUNT($C18:$CS18),IF(INDEX($F$206:$F$229,MATCH($B238,$B$206:$B$229,FALSE))=0,NA(),INDEX(AV$14:AV$37,MATCH($B238,$B$14:$B$37,FALSE))/INDEX($F$206:$F$229,MATCH($B238,$B$206:$B$229,FALSE))),NA()),NA())</f>
        <v>#N/A</v>
      </c>
      <c r="AX238" s="65" t="e">
        <f>IF(AW46=1,IF(AW$13&lt;=COUNT($C18:$CS18),IF(INDEX($F$206:$F$229,MATCH($B238,$B$206:$B$229,FALSE))=0,NA(),INDEX(AW$14:AW$37,MATCH($B238,$B$14:$B$37,FALSE))/INDEX($F$206:$F$229,MATCH($B238,$B$206:$B$229,FALSE))),NA()),NA())</f>
        <v>#N/A</v>
      </c>
      <c r="AY238" s="65" t="e">
        <f>IF(AX46=1,IF(AX$13&lt;=COUNT($C18:$CS18),IF(INDEX($F$206:$F$229,MATCH($B238,$B$206:$B$229,FALSE))=0,NA(),INDEX(AX$14:AX$37,MATCH($B238,$B$14:$B$37,FALSE))/INDEX($F$206:$F$229,MATCH($B238,$B$206:$B$229,FALSE))),NA()),NA())</f>
        <v>#N/A</v>
      </c>
      <c r="AZ238" s="65" t="e">
        <f>IF(AY46=1,IF(AY$13&lt;=COUNT($C18:$CS18),IF(INDEX($F$206:$F$229,MATCH($B238,$B$206:$B$229,FALSE))=0,NA(),INDEX(AY$14:AY$37,MATCH($B238,$B$14:$B$37,FALSE))/INDEX($F$206:$F$229,MATCH($B238,$B$206:$B$229,FALSE))),NA()),NA())</f>
        <v>#N/A</v>
      </c>
      <c r="BA238" s="65" t="e">
        <f>IF(AZ46=1,IF(AZ$13&lt;=COUNT($C18:$CS18),IF(INDEX($F$206:$F$229,MATCH($B238,$B$206:$B$229,FALSE))=0,NA(),INDEX(AZ$14:AZ$37,MATCH($B238,$B$14:$B$37,FALSE))/INDEX($F$206:$F$229,MATCH($B238,$B$206:$B$229,FALSE))),NA()),NA())</f>
        <v>#N/A</v>
      </c>
      <c r="BB238" s="65" t="e">
        <f>IF(BA46=1,IF(BA$13&lt;=COUNT($C18:$CS18),IF(INDEX($F$206:$F$229,MATCH($B238,$B$206:$B$229,FALSE))=0,NA(),INDEX(BA$14:BA$37,MATCH($B238,$B$14:$B$37,FALSE))/INDEX($F$206:$F$229,MATCH($B238,$B$206:$B$229,FALSE))),NA()),NA())</f>
        <v>#N/A</v>
      </c>
      <c r="BC238" s="65" t="e">
        <f>IF(BB46=1,IF(BB$13&lt;=COUNT($C18:$CS18),IF(INDEX($F$206:$F$229,MATCH($B238,$B$206:$B$229,FALSE))=0,NA(),INDEX(BB$14:BB$37,MATCH($B238,$B$14:$B$37,FALSE))/INDEX($F$206:$F$229,MATCH($B238,$B$206:$B$229,FALSE))),NA()),NA())</f>
        <v>#N/A</v>
      </c>
      <c r="BD238" s="65" t="e">
        <f>IF(BC46=1,IF(BC$13&lt;=COUNT($C18:$CS18),IF(INDEX($F$206:$F$229,MATCH($B238,$B$206:$B$229,FALSE))=0,NA(),INDEX(BC$14:BC$37,MATCH($B238,$B$14:$B$37,FALSE))/INDEX($F$206:$F$229,MATCH($B238,$B$206:$B$229,FALSE))),NA()),NA())</f>
        <v>#N/A</v>
      </c>
      <c r="BE238" s="65" t="e">
        <f>IF(BD46=1,IF(BD$13&lt;=COUNT($C18:$CS18),IF(INDEX($F$206:$F$229,MATCH($B238,$B$206:$B$229,FALSE))=0,NA(),INDEX(BD$14:BD$37,MATCH($B238,$B$14:$B$37,FALSE))/INDEX($F$206:$F$229,MATCH($B238,$B$206:$B$229,FALSE))),NA()),NA())</f>
        <v>#N/A</v>
      </c>
      <c r="BF238" s="65" t="e">
        <f>IF(BE46=1,IF(BE$13&lt;=COUNT($C18:$CS18),IF(INDEX($F$206:$F$229,MATCH($B238,$B$206:$B$229,FALSE))=0,NA(),INDEX(BE$14:BE$37,MATCH($B238,$B$14:$B$37,FALSE))/INDEX($F$206:$F$229,MATCH($B238,$B$206:$B$229,FALSE))),NA()),NA())</f>
        <v>#N/A</v>
      </c>
      <c r="BG238" s="65" t="e">
        <f>IF(BF46=1,IF(BF$13&lt;=COUNT($C18:$CS18),IF(INDEX($F$206:$F$229,MATCH($B238,$B$206:$B$229,FALSE))=0,NA(),INDEX(BF$14:BF$37,MATCH($B238,$B$14:$B$37,FALSE))/INDEX($F$206:$F$229,MATCH($B238,$B$206:$B$229,FALSE))),NA()),NA())</f>
        <v>#N/A</v>
      </c>
      <c r="BH238" s="65" t="e">
        <f>IF(BG46=1,IF(BG$13&lt;=COUNT($C18:$CS18),IF(INDEX($F$206:$F$229,MATCH($B238,$B$206:$B$229,FALSE))=0,NA(),INDEX(BG$14:BG$37,MATCH($B238,$B$14:$B$37,FALSE))/INDEX($F$206:$F$229,MATCH($B238,$B$206:$B$229,FALSE))),NA()),NA())</f>
        <v>#N/A</v>
      </c>
      <c r="BI238" s="65" t="e">
        <f>IF(BH46=1,IF(BH$13&lt;=COUNT($C18:$CS18),IF(INDEX($F$206:$F$229,MATCH($B238,$B$206:$B$229,FALSE))=0,NA(),INDEX(BH$14:BH$37,MATCH($B238,$B$14:$B$37,FALSE))/INDEX($F$206:$F$229,MATCH($B238,$B$206:$B$229,FALSE))),NA()),NA())</f>
        <v>#N/A</v>
      </c>
      <c r="BJ238" s="65" t="e">
        <f>IF(BI46=1,IF(BI$13&lt;=COUNT($C18:$CS18),IF(INDEX($F$206:$F$229,MATCH($B238,$B$206:$B$229,FALSE))=0,NA(),INDEX(BI$14:BI$37,MATCH($B238,$B$14:$B$37,FALSE))/INDEX($F$206:$F$229,MATCH($B238,$B$206:$B$229,FALSE))),NA()),NA())</f>
        <v>#N/A</v>
      </c>
      <c r="BK238" s="65" t="e">
        <f>IF(BJ46=1,IF(BJ$13&lt;=COUNT($C18:$CS18),IF(INDEX($F$206:$F$229,MATCH($B238,$B$206:$B$229,FALSE))=0,NA(),INDEX(BJ$14:BJ$37,MATCH($B238,$B$14:$B$37,FALSE))/INDEX($F$206:$F$229,MATCH($B238,$B$206:$B$229,FALSE))),NA()),NA())</f>
        <v>#N/A</v>
      </c>
      <c r="BL238" s="65" t="e">
        <f>IF(BK46=1,IF(BK$13&lt;=COUNT($C18:$CS18),IF(INDEX($F$206:$F$229,MATCH($B238,$B$206:$B$229,FALSE))=0,NA(),INDEX(BK$14:BK$37,MATCH($B238,$B$14:$B$37,FALSE))/INDEX($F$206:$F$229,MATCH($B238,$B$206:$B$229,FALSE))),NA()),NA())</f>
        <v>#N/A</v>
      </c>
      <c r="BM238" s="65" t="e">
        <f>IF(BL46=1,IF(BL$13&lt;=COUNT($C18:$CS18),IF(INDEX($F$206:$F$229,MATCH($B238,$B$206:$B$229,FALSE))=0,NA(),INDEX(BL$14:BL$37,MATCH($B238,$B$14:$B$37,FALSE))/INDEX($F$206:$F$229,MATCH($B238,$B$206:$B$229,FALSE))),NA()),NA())</f>
        <v>#N/A</v>
      </c>
      <c r="BN238" s="65" t="e">
        <f>IF(BM46=1,IF(BM$13&lt;=COUNT($C18:$CS18),IF(INDEX($F$206:$F$229,MATCH($B238,$B$206:$B$229,FALSE))=0,NA(),INDEX(BM$14:BM$37,MATCH($B238,$B$14:$B$37,FALSE))/INDEX($F$206:$F$229,MATCH($B238,$B$206:$B$229,FALSE))),NA()),NA())</f>
        <v>#N/A</v>
      </c>
      <c r="BO238" s="65" t="e">
        <f>IF(BN46=1,IF(BN$13&lt;=COUNT($C18:$CS18),IF(INDEX($F$206:$F$229,MATCH($B238,$B$206:$B$229,FALSE))=0,NA(),INDEX(BN$14:BN$37,MATCH($B238,$B$14:$B$37,FALSE))/INDEX($F$206:$F$229,MATCH($B238,$B$206:$B$229,FALSE))),NA()),NA())</f>
        <v>#N/A</v>
      </c>
      <c r="BP238" s="65" t="e">
        <f>IF(BO46=1,IF(BO$13&lt;=COUNT($C18:$CS18),IF(INDEX($F$206:$F$229,MATCH($B238,$B$206:$B$229,FALSE))=0,NA(),INDEX(BO$14:BO$37,MATCH($B238,$B$14:$B$37,FALSE))/INDEX($F$206:$F$229,MATCH($B238,$B$206:$B$229,FALSE))),NA()),NA())</f>
        <v>#N/A</v>
      </c>
      <c r="BQ238" s="65" t="e">
        <f>IF(BP46=1,IF(BP$13&lt;=COUNT($C18:$CS18),IF(INDEX($F$206:$F$229,MATCH($B238,$B$206:$B$229,FALSE))=0,NA(),INDEX(BP$14:BP$37,MATCH($B238,$B$14:$B$37,FALSE))/INDEX($F$206:$F$229,MATCH($B238,$B$206:$B$229,FALSE))),NA()),NA())</f>
        <v>#N/A</v>
      </c>
      <c r="BR238" s="65" t="e">
        <f>IF(BQ46=1,IF(BQ$13&lt;=COUNT($C18:$CS18),IF(INDEX($F$206:$F$229,MATCH($B238,$B$206:$B$229,FALSE))=0,NA(),INDEX(BQ$14:BQ$37,MATCH($B238,$B$14:$B$37,FALSE))/INDEX($F$206:$F$229,MATCH($B238,$B$206:$B$229,FALSE))),NA()),NA())</f>
        <v>#N/A</v>
      </c>
      <c r="BS238" s="65" t="e">
        <f>IF(BR46=1,IF(BR$13&lt;=COUNT($C18:$CS18),IF(INDEX($F$206:$F$229,MATCH($B238,$B$206:$B$229,FALSE))=0,NA(),INDEX(BR$14:BR$37,MATCH($B238,$B$14:$B$37,FALSE))/INDEX($F$206:$F$229,MATCH($B238,$B$206:$B$229,FALSE))),NA()),NA())</f>
        <v>#N/A</v>
      </c>
      <c r="BT238" s="65" t="e">
        <f>IF(BS46=1,IF(BS$13&lt;=COUNT($C18:$CS18),IF(INDEX($F$206:$F$229,MATCH($B238,$B$206:$B$229,FALSE))=0,NA(),INDEX(BS$14:BS$37,MATCH($B238,$B$14:$B$37,FALSE))/INDEX($F$206:$F$229,MATCH($B238,$B$206:$B$229,FALSE))),NA()),NA())</f>
        <v>#N/A</v>
      </c>
      <c r="BU238" s="65" t="e">
        <f>IF(BT46=1,IF(BT$13&lt;=COUNT($C18:$CS18),IF(INDEX($F$206:$F$229,MATCH($B238,$B$206:$B$229,FALSE))=0,NA(),INDEX(BT$14:BT$37,MATCH($B238,$B$14:$B$37,FALSE))/INDEX($F$206:$F$229,MATCH($B238,$B$206:$B$229,FALSE))),NA()),NA())</f>
        <v>#N/A</v>
      </c>
      <c r="BV238" s="65" t="e">
        <f>IF(BU46=1,IF(BU$13&lt;=COUNT($C18:$CS18),IF(INDEX($F$206:$F$229,MATCH($B238,$B$206:$B$229,FALSE))=0,NA(),INDEX(BU$14:BU$37,MATCH($B238,$B$14:$B$37,FALSE))/INDEX($F$206:$F$229,MATCH($B238,$B$206:$B$229,FALSE))),NA()),NA())</f>
        <v>#N/A</v>
      </c>
      <c r="BW238" s="65" t="e">
        <f>IF(BV46=1,IF(BV$13&lt;=COUNT($C18:$CS18),IF(INDEX($F$206:$F$229,MATCH($B238,$B$206:$B$229,FALSE))=0,NA(),INDEX(BV$14:BV$37,MATCH($B238,$B$14:$B$37,FALSE))/INDEX($F$206:$F$229,MATCH($B238,$B$206:$B$229,FALSE))),NA()),NA())</f>
        <v>#N/A</v>
      </c>
      <c r="BX238" s="65" t="e">
        <f>IF(BW46=1,IF(BW$13&lt;=COUNT($C18:$CS18),IF(INDEX($F$206:$F$229,MATCH($B238,$B$206:$B$229,FALSE))=0,NA(),INDEX(BW$14:BW$37,MATCH($B238,$B$14:$B$37,FALSE))/INDEX($F$206:$F$229,MATCH($B238,$B$206:$B$229,FALSE))),NA()),NA())</f>
        <v>#N/A</v>
      </c>
      <c r="BY238" s="65" t="e">
        <f>IF(BX46=1,IF(BX$13&lt;=COUNT($C18:$CS18),IF(INDEX($F$206:$F$229,MATCH($B238,$B$206:$B$229,FALSE))=0,NA(),INDEX(BX$14:BX$37,MATCH($B238,$B$14:$B$37,FALSE))/INDEX($F$206:$F$229,MATCH($B238,$B$206:$B$229,FALSE))),NA()),NA())</f>
        <v>#N/A</v>
      </c>
      <c r="BZ238" s="65" t="e">
        <f>IF(BY46=1,IF(BY$13&lt;=COUNT($C18:$CS18),IF(INDEX($F$206:$F$229,MATCH($B238,$B$206:$B$229,FALSE))=0,NA(),INDEX(BY$14:BY$37,MATCH($B238,$B$14:$B$37,FALSE))/INDEX($F$206:$F$229,MATCH($B238,$B$206:$B$229,FALSE))),NA()),NA())</f>
        <v>#N/A</v>
      </c>
      <c r="CA238" s="65" t="e">
        <f>IF(BZ46=1,IF(BZ$13&lt;=COUNT($C18:$CS18),IF(INDEX($F$206:$F$229,MATCH($B238,$B$206:$B$229,FALSE))=0,NA(),INDEX(BZ$14:BZ$37,MATCH($B238,$B$14:$B$37,FALSE))/INDEX($F$206:$F$229,MATCH($B238,$B$206:$B$229,FALSE))),NA()),NA())</f>
        <v>#N/A</v>
      </c>
      <c r="CB238" s="65" t="e">
        <f>IF(CA46=1,IF(CA$13&lt;=COUNT($C18:$CS18),IF(INDEX($F$206:$F$229,MATCH($B238,$B$206:$B$229,FALSE))=0,NA(),INDEX(CA$14:CA$37,MATCH($B238,$B$14:$B$37,FALSE))/INDEX($F$206:$F$229,MATCH($B238,$B$206:$B$229,FALSE))),NA()),NA())</f>
        <v>#N/A</v>
      </c>
      <c r="CC238" s="65" t="e">
        <f>IF(CB46=1,IF(CB$13&lt;=COUNT($C18:$CS18),IF(INDEX($F$206:$F$229,MATCH($B238,$B$206:$B$229,FALSE))=0,NA(),INDEX(CB$14:CB$37,MATCH($B238,$B$14:$B$37,FALSE))/INDEX($F$206:$F$229,MATCH($B238,$B$206:$B$229,FALSE))),NA()),NA())</f>
        <v>#N/A</v>
      </c>
      <c r="CD238" s="65" t="e">
        <f>IF(CC46=1,IF(CC$13&lt;=COUNT($C18:$CS18),IF(INDEX($F$206:$F$229,MATCH($B238,$B$206:$B$229,FALSE))=0,NA(),INDEX(CC$14:CC$37,MATCH($B238,$B$14:$B$37,FALSE))/INDEX($F$206:$F$229,MATCH($B238,$B$206:$B$229,FALSE))),NA()),NA())</f>
        <v>#N/A</v>
      </c>
      <c r="CE238" s="65" t="e">
        <f>IF(CD46=1,IF(CD$13&lt;=COUNT($C18:$CS18),IF(INDEX($F$206:$F$229,MATCH($B238,$B$206:$B$229,FALSE))=0,NA(),INDEX(CD$14:CD$37,MATCH($B238,$B$14:$B$37,FALSE))/INDEX($F$206:$F$229,MATCH($B238,$B$206:$B$229,FALSE))),NA()),NA())</f>
        <v>#N/A</v>
      </c>
      <c r="CF238" s="65" t="e">
        <f>IF(CE46=1,IF(CE$13&lt;=COUNT($C18:$CS18),IF(INDEX($F$206:$F$229,MATCH($B238,$B$206:$B$229,FALSE))=0,NA(),INDEX(CE$14:CE$37,MATCH($B238,$B$14:$B$37,FALSE))/INDEX($F$206:$F$229,MATCH($B238,$B$206:$B$229,FALSE))),NA()),NA())</f>
        <v>#N/A</v>
      </c>
      <c r="CG238" s="65" t="e">
        <f>IF(CF46=1,IF(CF$13&lt;=COUNT($C18:$CS18),IF(INDEX($F$206:$F$229,MATCH($B238,$B$206:$B$229,FALSE))=0,NA(),INDEX(CF$14:CF$37,MATCH($B238,$B$14:$B$37,FALSE))/INDEX($F$206:$F$229,MATCH($B238,$B$206:$B$229,FALSE))),NA()),NA())</f>
        <v>#N/A</v>
      </c>
      <c r="CH238" s="65" t="e">
        <f>IF(CG46=1,IF(CG$13&lt;=COUNT($C18:$CS18),IF(INDEX($F$206:$F$229,MATCH($B238,$B$206:$B$229,FALSE))=0,NA(),INDEX(CG$14:CG$37,MATCH($B238,$B$14:$B$37,FALSE))/INDEX($F$206:$F$229,MATCH($B238,$B$206:$B$229,FALSE))),NA()),NA())</f>
        <v>#N/A</v>
      </c>
      <c r="CI238" s="65" t="e">
        <f>IF(CH46=1,IF(CH$13&lt;=COUNT($C18:$CS18),IF(INDEX($F$206:$F$229,MATCH($B238,$B$206:$B$229,FALSE))=0,NA(),INDEX(CH$14:CH$37,MATCH($B238,$B$14:$B$37,FALSE))/INDEX($F$206:$F$229,MATCH($B238,$B$206:$B$229,FALSE))),NA()),NA())</f>
        <v>#N/A</v>
      </c>
      <c r="CJ238" s="65" t="e">
        <f>IF(CI46=1,IF(CI$13&lt;=COUNT($C18:$CS18),IF(INDEX($F$206:$F$229,MATCH($B238,$B$206:$B$229,FALSE))=0,NA(),INDEX(CI$14:CI$37,MATCH($B238,$B$14:$B$37,FALSE))/INDEX($F$206:$F$229,MATCH($B238,$B$206:$B$229,FALSE))),NA()),NA())</f>
        <v>#N/A</v>
      </c>
      <c r="CK238" s="65" t="e">
        <f>IF(CJ46=1,IF(CJ$13&lt;=COUNT($C18:$CS18),IF(INDEX($F$206:$F$229,MATCH($B238,$B$206:$B$229,FALSE))=0,NA(),INDEX(CJ$14:CJ$37,MATCH($B238,$B$14:$B$37,FALSE))/INDEX($F$206:$F$229,MATCH($B238,$B$206:$B$229,FALSE))),NA()),NA())</f>
        <v>#N/A</v>
      </c>
      <c r="CL238" s="65" t="e">
        <f>IF(CK46=1,IF(CK$13&lt;=COUNT($C18:$CS18),IF(INDEX($F$206:$F$229,MATCH($B238,$B$206:$B$229,FALSE))=0,NA(),INDEX(CK$14:CK$37,MATCH($B238,$B$14:$B$37,FALSE))/INDEX($F$206:$F$229,MATCH($B238,$B$206:$B$229,FALSE))),NA()),NA())</f>
        <v>#N/A</v>
      </c>
      <c r="CM238" s="65" t="e">
        <f>IF(CL46=1,IF(CL$13&lt;=COUNT($C18:$CS18),IF(INDEX($F$206:$F$229,MATCH($B238,$B$206:$B$229,FALSE))=0,NA(),INDEX(CL$14:CL$37,MATCH($B238,$B$14:$B$37,FALSE))/INDEX($F$206:$F$229,MATCH($B238,$B$206:$B$229,FALSE))),NA()),NA())</f>
        <v>#N/A</v>
      </c>
      <c r="CN238" s="65" t="e">
        <f>IF(CM46=1,IF(CM$13&lt;=COUNT($C18:$CS18),IF(INDEX($F$206:$F$229,MATCH($B238,$B$206:$B$229,FALSE))=0,NA(),INDEX(CM$14:CM$37,MATCH($B238,$B$14:$B$37,FALSE))/INDEX($F$206:$F$229,MATCH($B238,$B$206:$B$229,FALSE))),NA()),NA())</f>
        <v>#N/A</v>
      </c>
      <c r="CO238" s="65" t="e">
        <f>IF(CN46=1,IF(CN$13&lt;=COUNT($C18:$CS18),IF(INDEX($F$206:$F$229,MATCH($B238,$B$206:$B$229,FALSE))=0,NA(),INDEX(CN$14:CN$37,MATCH($B238,$B$14:$B$37,FALSE))/INDEX($F$206:$F$229,MATCH($B238,$B$206:$B$229,FALSE))),NA()),NA())</f>
        <v>#N/A</v>
      </c>
      <c r="CP238" s="65" t="e">
        <f>IF(CO46=1,IF(CO$13&lt;=COUNT($C18:$CS18),IF(INDEX($F$206:$F$229,MATCH($B238,$B$206:$B$229,FALSE))=0,NA(),INDEX(CO$14:CO$37,MATCH($B238,$B$14:$B$37,FALSE))/INDEX($F$206:$F$229,MATCH($B238,$B$206:$B$229,FALSE))),NA()),NA())</f>
        <v>#N/A</v>
      </c>
      <c r="CQ238" s="65" t="e">
        <f>IF(CP46=1,IF(CP$13&lt;=COUNT($C18:$CS18),IF(INDEX($F$206:$F$229,MATCH($B238,$B$206:$B$229,FALSE))=0,NA(),INDEX(CP$14:CP$37,MATCH($B238,$B$14:$B$37,FALSE))/INDEX($F$206:$F$229,MATCH($B238,$B$206:$B$229,FALSE))),NA()),NA())</f>
        <v>#N/A</v>
      </c>
      <c r="CR238" s="65" t="e">
        <f>IF(CQ46=1,IF(CQ$13&lt;=COUNT($C18:$CS18),IF(INDEX($F$206:$F$229,MATCH($B238,$B$206:$B$229,FALSE))=0,NA(),INDEX(CQ$14:CQ$37,MATCH($B238,$B$14:$B$37,FALSE))/INDEX($F$206:$F$229,MATCH($B238,$B$206:$B$229,FALSE))),NA()),NA())</f>
        <v>#N/A</v>
      </c>
      <c r="CS238" s="65" t="e">
        <f>IF(CR46=1,IF(CR$13&lt;=COUNT($C18:$CS18),IF(INDEX($F$206:$F$229,MATCH($B238,$B$206:$B$229,FALSE))=0,NA(),INDEX(CR$14:CR$37,MATCH($B238,$B$14:$B$37,FALSE))/INDEX($F$206:$F$229,MATCH($B238,$B$206:$B$229,FALSE))),NA()),NA())</f>
        <v>#N/A</v>
      </c>
      <c r="CT238" s="49"/>
      <c r="CU238" s="49"/>
      <c r="CV238" s="49"/>
      <c r="CW238" s="49"/>
    </row>
    <row r="239" spans="1:101" x14ac:dyDescent="0.25">
      <c r="A239" s="97">
        <f t="shared" si="105"/>
        <v>0</v>
      </c>
      <c r="B239" s="29">
        <f t="shared" si="104"/>
        <v>2001</v>
      </c>
      <c r="C239" s="154" t="str">
        <f t="shared" si="106"/>
        <v/>
      </c>
      <c r="D239" s="54" t="e">
        <f>IF(C47=1,IF(C$13&lt;=COUNT($C19:$CS19),IF(INDEX($F$206:$F$229,MATCH($B239,$B$206:$B$229,FALSE))=0,NA(),INDEX(C$14:C$37,MATCH($B239,$B$14:$B$37,FALSE))/INDEX($F$206:$F$229,MATCH($B239,$B$206:$B$229,FALSE))),NA()),NA())</f>
        <v>#N/A</v>
      </c>
      <c r="E239" s="65" t="e">
        <f>IF(D47=1,IF(D$13&lt;=COUNT($C19:$CS19),IF(INDEX($F$206:$F$229,MATCH($B239,$B$206:$B$229,FALSE))=0,NA(),INDEX(D$14:D$37,MATCH($B239,$B$14:$B$37,FALSE))/INDEX($F$206:$F$229,MATCH($B239,$B$206:$B$229,FALSE))),NA()),NA())</f>
        <v>#N/A</v>
      </c>
      <c r="F239" s="65" t="e">
        <f>IF(E47=1,IF(E$13&lt;=COUNT($C19:$CS19),IF(INDEX($F$206:$F$229,MATCH($B239,$B$206:$B$229,FALSE))=0,NA(),INDEX(E$14:E$37,MATCH($B239,$B$14:$B$37,FALSE))/INDEX($F$206:$F$229,MATCH($B239,$B$206:$B$229,FALSE))),NA()),NA())</f>
        <v>#N/A</v>
      </c>
      <c r="G239" s="65" t="e">
        <f>IF(F47=1,IF(F$13&lt;=COUNT($C19:$CS19),IF(INDEX($F$206:$F$229,MATCH($B239,$B$206:$B$229,FALSE))=0,NA(),INDEX(F$14:F$37,MATCH($B239,$B$14:$B$37,FALSE))/INDEX($F$206:$F$229,MATCH($B239,$B$206:$B$229,FALSE))),NA()),NA())</f>
        <v>#N/A</v>
      </c>
      <c r="H239" s="65" t="e">
        <f>IF(G47=1,IF(G$13&lt;=COUNT($C19:$CS19),IF(INDEX($F$206:$F$229,MATCH($B239,$B$206:$B$229,FALSE))=0,NA(),INDEX(G$14:G$37,MATCH($B239,$B$14:$B$37,FALSE))/INDEX($F$206:$F$229,MATCH($B239,$B$206:$B$229,FALSE))),NA()),NA())</f>
        <v>#N/A</v>
      </c>
      <c r="I239" s="65" t="e">
        <f>IF(H47=1,IF(H$13&lt;=COUNT($C19:$CS19),IF(INDEX($F$206:$F$229,MATCH($B239,$B$206:$B$229,FALSE))=0,NA(),INDEX(H$14:H$37,MATCH($B239,$B$14:$B$37,FALSE))/INDEX($F$206:$F$229,MATCH($B239,$B$206:$B$229,FALSE))),NA()),NA())</f>
        <v>#N/A</v>
      </c>
      <c r="J239" s="65" t="e">
        <f>IF(I47=1,IF(I$13&lt;=COUNT($C19:$CS19),IF(INDEX($F$206:$F$229,MATCH($B239,$B$206:$B$229,FALSE))=0,NA(),INDEX(I$14:I$37,MATCH($B239,$B$14:$B$37,FALSE))/INDEX($F$206:$F$229,MATCH($B239,$B$206:$B$229,FALSE))),NA()),NA())</f>
        <v>#N/A</v>
      </c>
      <c r="K239" s="65" t="e">
        <f>IF(J47=1,IF(J$13&lt;=COUNT($C19:$CS19),IF(INDEX($F$206:$F$229,MATCH($B239,$B$206:$B$229,FALSE))=0,NA(),INDEX(J$14:J$37,MATCH($B239,$B$14:$B$37,FALSE))/INDEX($F$206:$F$229,MATCH($B239,$B$206:$B$229,FALSE))),NA()),NA())</f>
        <v>#N/A</v>
      </c>
      <c r="L239" s="65" t="e">
        <f>IF(K47=1,IF(K$13&lt;=COUNT($C19:$CS19),IF(INDEX($F$206:$F$229,MATCH($B239,$B$206:$B$229,FALSE))=0,NA(),INDEX(K$14:K$37,MATCH($B239,$B$14:$B$37,FALSE))/INDEX($F$206:$F$229,MATCH($B239,$B$206:$B$229,FALSE))),NA()),NA())</f>
        <v>#N/A</v>
      </c>
      <c r="M239" s="65" t="e">
        <f>IF(L47=1,IF(L$13&lt;=COUNT($C19:$CS19),IF(INDEX($F$206:$F$229,MATCH($B239,$B$206:$B$229,FALSE))=0,NA(),INDEX(L$14:L$37,MATCH($B239,$B$14:$B$37,FALSE))/INDEX($F$206:$F$229,MATCH($B239,$B$206:$B$229,FALSE))),NA()),NA())</f>
        <v>#N/A</v>
      </c>
      <c r="N239" s="65" t="e">
        <f>IF(M47=1,IF(M$13&lt;=COUNT($C19:$CS19),IF(INDEX($F$206:$F$229,MATCH($B239,$B$206:$B$229,FALSE))=0,NA(),INDEX(M$14:M$37,MATCH($B239,$B$14:$B$37,FALSE))/INDEX($F$206:$F$229,MATCH($B239,$B$206:$B$229,FALSE))),NA()),NA())</f>
        <v>#N/A</v>
      </c>
      <c r="O239" s="65" t="e">
        <f>IF(N47=1,IF(N$13&lt;=COUNT($C19:$CS19),IF(INDEX($F$206:$F$229,MATCH($B239,$B$206:$B$229,FALSE))=0,NA(),INDEX(N$14:N$37,MATCH($B239,$B$14:$B$37,FALSE))/INDEX($F$206:$F$229,MATCH($B239,$B$206:$B$229,FALSE))),NA()),NA())</f>
        <v>#N/A</v>
      </c>
      <c r="P239" s="65" t="e">
        <f>IF(O47=1,IF(O$13&lt;=COUNT($C19:$CS19),IF(INDEX($F$206:$F$229,MATCH($B239,$B$206:$B$229,FALSE))=0,NA(),INDEX(O$14:O$37,MATCH($B239,$B$14:$B$37,FALSE))/INDEX($F$206:$F$229,MATCH($B239,$B$206:$B$229,FALSE))),NA()),NA())</f>
        <v>#N/A</v>
      </c>
      <c r="Q239" s="65" t="e">
        <f>IF(P47=1,IF(P$13&lt;=COUNT($C19:$CS19),IF(INDEX($F$206:$F$229,MATCH($B239,$B$206:$B$229,FALSE))=0,NA(),INDEX(P$14:P$37,MATCH($B239,$B$14:$B$37,FALSE))/INDEX($F$206:$F$229,MATCH($B239,$B$206:$B$229,FALSE))),NA()),NA())</f>
        <v>#N/A</v>
      </c>
      <c r="R239" s="65" t="e">
        <f>IF(Q47=1,IF(Q$13&lt;=COUNT($C19:$CS19),IF(INDEX($F$206:$F$229,MATCH($B239,$B$206:$B$229,FALSE))=0,NA(),INDEX(Q$14:Q$37,MATCH($B239,$B$14:$B$37,FALSE))/INDEX($F$206:$F$229,MATCH($B239,$B$206:$B$229,FALSE))),NA()),NA())</f>
        <v>#N/A</v>
      </c>
      <c r="S239" s="65" t="e">
        <f>IF(R47=1,IF(R$13&lt;=COUNT($C19:$CS19),IF(INDEX($F$206:$F$229,MATCH($B239,$B$206:$B$229,FALSE))=0,NA(),INDEX(R$14:R$37,MATCH($B239,$B$14:$B$37,FALSE))/INDEX($F$206:$F$229,MATCH($B239,$B$206:$B$229,FALSE))),NA()),NA())</f>
        <v>#N/A</v>
      </c>
      <c r="T239" s="65" t="e">
        <f>IF(S47=1,IF(S$13&lt;=COUNT($C19:$CS19),IF(INDEX($F$206:$F$229,MATCH($B239,$B$206:$B$229,FALSE))=0,NA(),INDEX(S$14:S$37,MATCH($B239,$B$14:$B$37,FALSE))/INDEX($F$206:$F$229,MATCH($B239,$B$206:$B$229,FALSE))),NA()),NA())</f>
        <v>#N/A</v>
      </c>
      <c r="U239" s="65" t="e">
        <f>IF(T47=1,IF(T$13&lt;=COUNT($C19:$CS19),IF(INDEX($F$206:$F$229,MATCH($B239,$B$206:$B$229,FALSE))=0,NA(),INDEX(T$14:T$37,MATCH($B239,$B$14:$B$37,FALSE))/INDEX($F$206:$F$229,MATCH($B239,$B$206:$B$229,FALSE))),NA()),NA())</f>
        <v>#N/A</v>
      </c>
      <c r="V239" s="65" t="e">
        <f>IF(U47=1,IF(U$13&lt;=COUNT($C19:$CS19),IF(INDEX($F$206:$F$229,MATCH($B239,$B$206:$B$229,FALSE))=0,NA(),INDEX(U$14:U$37,MATCH($B239,$B$14:$B$37,FALSE))/INDEX($F$206:$F$229,MATCH($B239,$B$206:$B$229,FALSE))),NA()),NA())</f>
        <v>#N/A</v>
      </c>
      <c r="W239" s="65" t="e">
        <f>IF(V47=1,IF(V$13&lt;=COUNT($C19:$CS19),IF(INDEX($F$206:$F$229,MATCH($B239,$B$206:$B$229,FALSE))=0,NA(),INDEX(V$14:V$37,MATCH($B239,$B$14:$B$37,FALSE))/INDEX($F$206:$F$229,MATCH($B239,$B$206:$B$229,FALSE))),NA()),NA())</f>
        <v>#N/A</v>
      </c>
      <c r="X239" s="65" t="e">
        <f>IF(W47=1,IF(W$13&lt;=COUNT($C19:$CS19),IF(INDEX($F$206:$F$229,MATCH($B239,$B$206:$B$229,FALSE))=0,NA(),INDEX(W$14:W$37,MATCH($B239,$B$14:$B$37,FALSE))/INDEX($F$206:$F$229,MATCH($B239,$B$206:$B$229,FALSE))),NA()),NA())</f>
        <v>#N/A</v>
      </c>
      <c r="Y239" s="65" t="e">
        <f>IF(X47=1,IF(X$13&lt;=COUNT($C19:$CS19),IF(INDEX($F$206:$F$229,MATCH($B239,$B$206:$B$229,FALSE))=0,NA(),INDEX(X$14:X$37,MATCH($B239,$B$14:$B$37,FALSE))/INDEX($F$206:$F$229,MATCH($B239,$B$206:$B$229,FALSE))),NA()),NA())</f>
        <v>#N/A</v>
      </c>
      <c r="Z239" s="65" t="e">
        <f>IF(Y47=1,IF(Y$13&lt;=COUNT($C19:$CS19),IF(INDEX($F$206:$F$229,MATCH($B239,$B$206:$B$229,FALSE))=0,NA(),INDEX(Y$14:Y$37,MATCH($B239,$B$14:$B$37,FALSE))/INDEX($F$206:$F$229,MATCH($B239,$B$206:$B$229,FALSE))),NA()),NA())</f>
        <v>#N/A</v>
      </c>
      <c r="AA239" s="65" t="e">
        <f>IF(Z47=1,IF(Z$13&lt;=COUNT($C19:$CS19),IF(INDEX($F$206:$F$229,MATCH($B239,$B$206:$B$229,FALSE))=0,NA(),INDEX(Z$14:Z$37,MATCH($B239,$B$14:$B$37,FALSE))/INDEX($F$206:$F$229,MATCH($B239,$B$206:$B$229,FALSE))),NA()),NA())</f>
        <v>#N/A</v>
      </c>
      <c r="AB239" s="65" t="e">
        <f>IF(AA47=1,IF(AA$13&lt;=COUNT($C19:$CS19),IF(INDEX($F$206:$F$229,MATCH($B239,$B$206:$B$229,FALSE))=0,NA(),INDEX(AA$14:AA$37,MATCH($B239,$B$14:$B$37,FALSE))/INDEX($F$206:$F$229,MATCH($B239,$B$206:$B$229,FALSE))),NA()),NA())</f>
        <v>#N/A</v>
      </c>
      <c r="AC239" s="65" t="e">
        <f>IF(AB47=1,IF(AB$13&lt;=COUNT($C19:$CS19),IF(INDEX($F$206:$F$229,MATCH($B239,$B$206:$B$229,FALSE))=0,NA(),INDEX(AB$14:AB$37,MATCH($B239,$B$14:$B$37,FALSE))/INDEX($F$206:$F$229,MATCH($B239,$B$206:$B$229,FALSE))),NA()),NA())</f>
        <v>#N/A</v>
      </c>
      <c r="AD239" s="65" t="e">
        <f>IF(AC47=1,IF(AC$13&lt;=COUNT($C19:$CS19),IF(INDEX($F$206:$F$229,MATCH($B239,$B$206:$B$229,FALSE))=0,NA(),INDEX(AC$14:AC$37,MATCH($B239,$B$14:$B$37,FALSE))/INDEX($F$206:$F$229,MATCH($B239,$B$206:$B$229,FALSE))),NA()),NA())</f>
        <v>#N/A</v>
      </c>
      <c r="AE239" s="65" t="e">
        <f>IF(AD47=1,IF(AD$13&lt;=COUNT($C19:$CS19),IF(INDEX($F$206:$F$229,MATCH($B239,$B$206:$B$229,FALSE))=0,NA(),INDEX(AD$14:AD$37,MATCH($B239,$B$14:$B$37,FALSE))/INDEX($F$206:$F$229,MATCH($B239,$B$206:$B$229,FALSE))),NA()),NA())</f>
        <v>#N/A</v>
      </c>
      <c r="AF239" s="65" t="e">
        <f>IF(AE47=1,IF(AE$13&lt;=COUNT($C19:$CS19),IF(INDEX($F$206:$F$229,MATCH($B239,$B$206:$B$229,FALSE))=0,NA(),INDEX(AE$14:AE$37,MATCH($B239,$B$14:$B$37,FALSE))/INDEX($F$206:$F$229,MATCH($B239,$B$206:$B$229,FALSE))),NA()),NA())</f>
        <v>#N/A</v>
      </c>
      <c r="AG239" s="65" t="e">
        <f>IF(AF47=1,IF(AF$13&lt;=COUNT($C19:$CS19),IF(INDEX($F$206:$F$229,MATCH($B239,$B$206:$B$229,FALSE))=0,NA(),INDEX(AF$14:AF$37,MATCH($B239,$B$14:$B$37,FALSE))/INDEX($F$206:$F$229,MATCH($B239,$B$206:$B$229,FALSE))),NA()),NA())</f>
        <v>#N/A</v>
      </c>
      <c r="AH239" s="65" t="e">
        <f>IF(AG47=1,IF(AG$13&lt;=COUNT($C19:$CS19),IF(INDEX($F$206:$F$229,MATCH($B239,$B$206:$B$229,FALSE))=0,NA(),INDEX(AG$14:AG$37,MATCH($B239,$B$14:$B$37,FALSE))/INDEX($F$206:$F$229,MATCH($B239,$B$206:$B$229,FALSE))),NA()),NA())</f>
        <v>#N/A</v>
      </c>
      <c r="AI239" s="65" t="e">
        <f>IF(AH47=1,IF(AH$13&lt;=COUNT($C19:$CS19),IF(INDEX($F$206:$F$229,MATCH($B239,$B$206:$B$229,FALSE))=0,NA(),INDEX(AH$14:AH$37,MATCH($B239,$B$14:$B$37,FALSE))/INDEX($F$206:$F$229,MATCH($B239,$B$206:$B$229,FALSE))),NA()),NA())</f>
        <v>#N/A</v>
      </c>
      <c r="AJ239" s="65" t="e">
        <f>IF(AI47=1,IF(AI$13&lt;=COUNT($C19:$CS19),IF(INDEX($F$206:$F$229,MATCH($B239,$B$206:$B$229,FALSE))=0,NA(),INDEX(AI$14:AI$37,MATCH($B239,$B$14:$B$37,FALSE))/INDEX($F$206:$F$229,MATCH($B239,$B$206:$B$229,FALSE))),NA()),NA())</f>
        <v>#N/A</v>
      </c>
      <c r="AK239" s="65" t="e">
        <f>IF(AJ47=1,IF(AJ$13&lt;=COUNT($C19:$CS19),IF(INDEX($F$206:$F$229,MATCH($B239,$B$206:$B$229,FALSE))=0,NA(),INDEX(AJ$14:AJ$37,MATCH($B239,$B$14:$B$37,FALSE))/INDEX($F$206:$F$229,MATCH($B239,$B$206:$B$229,FALSE))),NA()),NA())</f>
        <v>#N/A</v>
      </c>
      <c r="AL239" s="65" t="e">
        <f>IF(AK47=1,IF(AK$13&lt;=COUNT($C19:$CS19),IF(INDEX($F$206:$F$229,MATCH($B239,$B$206:$B$229,FALSE))=0,NA(),INDEX(AK$14:AK$37,MATCH($B239,$B$14:$B$37,FALSE))/INDEX($F$206:$F$229,MATCH($B239,$B$206:$B$229,FALSE))),NA()),NA())</f>
        <v>#N/A</v>
      </c>
      <c r="AM239" s="65" t="e">
        <f>IF(AL47=1,IF(AL$13&lt;=COUNT($C19:$CS19),IF(INDEX($F$206:$F$229,MATCH($B239,$B$206:$B$229,FALSE))=0,NA(),INDEX(AL$14:AL$37,MATCH($B239,$B$14:$B$37,FALSE))/INDEX($F$206:$F$229,MATCH($B239,$B$206:$B$229,FALSE))),NA()),NA())</f>
        <v>#N/A</v>
      </c>
      <c r="AN239" s="65" t="e">
        <f>IF(AM47=1,IF(AM$13&lt;=COUNT($C19:$CS19),IF(INDEX($F$206:$F$229,MATCH($B239,$B$206:$B$229,FALSE))=0,NA(),INDEX(AM$14:AM$37,MATCH($B239,$B$14:$B$37,FALSE))/INDEX($F$206:$F$229,MATCH($B239,$B$206:$B$229,FALSE))),NA()),NA())</f>
        <v>#N/A</v>
      </c>
      <c r="AO239" s="65" t="e">
        <f>IF(AN47=1,IF(AN$13&lt;=COUNT($C19:$CS19),IF(INDEX($F$206:$F$229,MATCH($B239,$B$206:$B$229,FALSE))=0,NA(),INDEX(AN$14:AN$37,MATCH($B239,$B$14:$B$37,FALSE))/INDEX($F$206:$F$229,MATCH($B239,$B$206:$B$229,FALSE))),NA()),NA())</f>
        <v>#N/A</v>
      </c>
      <c r="AP239" s="65" t="e">
        <f>IF(AO47=1,IF(AO$13&lt;=COUNT($C19:$CS19),IF(INDEX($F$206:$F$229,MATCH($B239,$B$206:$B$229,FALSE))=0,NA(),INDEX(AO$14:AO$37,MATCH($B239,$B$14:$B$37,FALSE))/INDEX($F$206:$F$229,MATCH($B239,$B$206:$B$229,FALSE))),NA()),NA())</f>
        <v>#N/A</v>
      </c>
      <c r="AQ239" s="65" t="e">
        <f>IF(AP47=1,IF(AP$13&lt;=COUNT($C19:$CS19),IF(INDEX($F$206:$F$229,MATCH($B239,$B$206:$B$229,FALSE))=0,NA(),INDEX(AP$14:AP$37,MATCH($B239,$B$14:$B$37,FALSE))/INDEX($F$206:$F$229,MATCH($B239,$B$206:$B$229,FALSE))),NA()),NA())</f>
        <v>#N/A</v>
      </c>
      <c r="AR239" s="65" t="e">
        <f>IF(AQ47=1,IF(AQ$13&lt;=COUNT($C19:$CS19),IF(INDEX($F$206:$F$229,MATCH($B239,$B$206:$B$229,FALSE))=0,NA(),INDEX(AQ$14:AQ$37,MATCH($B239,$B$14:$B$37,FALSE))/INDEX($F$206:$F$229,MATCH($B239,$B$206:$B$229,FALSE))),NA()),NA())</f>
        <v>#N/A</v>
      </c>
      <c r="AS239" s="65" t="e">
        <f>IF(AR47=1,IF(AR$13&lt;=COUNT($C19:$CS19),IF(INDEX($F$206:$F$229,MATCH($B239,$B$206:$B$229,FALSE))=0,NA(),INDEX(AR$14:AR$37,MATCH($B239,$B$14:$B$37,FALSE))/INDEX($F$206:$F$229,MATCH($B239,$B$206:$B$229,FALSE))),NA()),NA())</f>
        <v>#N/A</v>
      </c>
      <c r="AT239" s="65" t="e">
        <f>IF(AS47=1,IF(AS$13&lt;=COUNT($C19:$CS19),IF(INDEX($F$206:$F$229,MATCH($B239,$B$206:$B$229,FALSE))=0,NA(),INDEX(AS$14:AS$37,MATCH($B239,$B$14:$B$37,FALSE))/INDEX($F$206:$F$229,MATCH($B239,$B$206:$B$229,FALSE))),NA()),NA())</f>
        <v>#N/A</v>
      </c>
      <c r="AU239" s="65" t="e">
        <f>IF(AT47=1,IF(AT$13&lt;=COUNT($C19:$CS19),IF(INDEX($F$206:$F$229,MATCH($B239,$B$206:$B$229,FALSE))=0,NA(),INDEX(AT$14:AT$37,MATCH($B239,$B$14:$B$37,FALSE))/INDEX($F$206:$F$229,MATCH($B239,$B$206:$B$229,FALSE))),NA()),NA())</f>
        <v>#N/A</v>
      </c>
      <c r="AV239" s="65" t="e">
        <f>IF(AU47=1,IF(AU$13&lt;=COUNT($C19:$CS19),IF(INDEX($F$206:$F$229,MATCH($B239,$B$206:$B$229,FALSE))=0,NA(),INDEX(AU$14:AU$37,MATCH($B239,$B$14:$B$37,FALSE))/INDEX($F$206:$F$229,MATCH($B239,$B$206:$B$229,FALSE))),NA()),NA())</f>
        <v>#N/A</v>
      </c>
      <c r="AW239" s="65" t="e">
        <f>IF(AV47=1,IF(AV$13&lt;=COUNT($C19:$CS19),IF(INDEX($F$206:$F$229,MATCH($B239,$B$206:$B$229,FALSE))=0,NA(),INDEX(AV$14:AV$37,MATCH($B239,$B$14:$B$37,FALSE))/INDEX($F$206:$F$229,MATCH($B239,$B$206:$B$229,FALSE))),NA()),NA())</f>
        <v>#N/A</v>
      </c>
      <c r="AX239" s="65" t="e">
        <f>IF(AW47=1,IF(AW$13&lt;=COUNT($C19:$CS19),IF(INDEX($F$206:$F$229,MATCH($B239,$B$206:$B$229,FALSE))=0,NA(),INDEX(AW$14:AW$37,MATCH($B239,$B$14:$B$37,FALSE))/INDEX($F$206:$F$229,MATCH($B239,$B$206:$B$229,FALSE))),NA()),NA())</f>
        <v>#N/A</v>
      </c>
      <c r="AY239" s="65" t="e">
        <f>IF(AX47=1,IF(AX$13&lt;=COUNT($C19:$CS19),IF(INDEX($F$206:$F$229,MATCH($B239,$B$206:$B$229,FALSE))=0,NA(),INDEX(AX$14:AX$37,MATCH($B239,$B$14:$B$37,FALSE))/INDEX($F$206:$F$229,MATCH($B239,$B$206:$B$229,FALSE))),NA()),NA())</f>
        <v>#N/A</v>
      </c>
      <c r="AZ239" s="65" t="e">
        <f>IF(AY47=1,IF(AY$13&lt;=COUNT($C19:$CS19),IF(INDEX($F$206:$F$229,MATCH($B239,$B$206:$B$229,FALSE))=0,NA(),INDEX(AY$14:AY$37,MATCH($B239,$B$14:$B$37,FALSE))/INDEX($F$206:$F$229,MATCH($B239,$B$206:$B$229,FALSE))),NA()),NA())</f>
        <v>#N/A</v>
      </c>
      <c r="BA239" s="65" t="e">
        <f>IF(AZ47=1,IF(AZ$13&lt;=COUNT($C19:$CS19),IF(INDEX($F$206:$F$229,MATCH($B239,$B$206:$B$229,FALSE))=0,NA(),INDEX(AZ$14:AZ$37,MATCH($B239,$B$14:$B$37,FALSE))/INDEX($F$206:$F$229,MATCH($B239,$B$206:$B$229,FALSE))),NA()),NA())</f>
        <v>#N/A</v>
      </c>
      <c r="BB239" s="65" t="e">
        <f>IF(BA47=1,IF(BA$13&lt;=COUNT($C19:$CS19),IF(INDEX($F$206:$F$229,MATCH($B239,$B$206:$B$229,FALSE))=0,NA(),INDEX(BA$14:BA$37,MATCH($B239,$B$14:$B$37,FALSE))/INDEX($F$206:$F$229,MATCH($B239,$B$206:$B$229,FALSE))),NA()),NA())</f>
        <v>#N/A</v>
      </c>
      <c r="BC239" s="65" t="e">
        <f>IF(BB47=1,IF(BB$13&lt;=COUNT($C19:$CS19),IF(INDEX($F$206:$F$229,MATCH($B239,$B$206:$B$229,FALSE))=0,NA(),INDEX(BB$14:BB$37,MATCH($B239,$B$14:$B$37,FALSE))/INDEX($F$206:$F$229,MATCH($B239,$B$206:$B$229,FALSE))),NA()),NA())</f>
        <v>#N/A</v>
      </c>
      <c r="BD239" s="65" t="e">
        <f>IF(BC47=1,IF(BC$13&lt;=COUNT($C19:$CS19),IF(INDEX($F$206:$F$229,MATCH($B239,$B$206:$B$229,FALSE))=0,NA(),INDEX(BC$14:BC$37,MATCH($B239,$B$14:$B$37,FALSE))/INDEX($F$206:$F$229,MATCH($B239,$B$206:$B$229,FALSE))),NA()),NA())</f>
        <v>#N/A</v>
      </c>
      <c r="BE239" s="65" t="e">
        <f>IF(BD47=1,IF(BD$13&lt;=COUNT($C19:$CS19),IF(INDEX($F$206:$F$229,MATCH($B239,$B$206:$B$229,FALSE))=0,NA(),INDEX(BD$14:BD$37,MATCH($B239,$B$14:$B$37,FALSE))/INDEX($F$206:$F$229,MATCH($B239,$B$206:$B$229,FALSE))),NA()),NA())</f>
        <v>#N/A</v>
      </c>
      <c r="BF239" s="65" t="e">
        <f>IF(BE47=1,IF(BE$13&lt;=COUNT($C19:$CS19),IF(INDEX($F$206:$F$229,MATCH($B239,$B$206:$B$229,FALSE))=0,NA(),INDEX(BE$14:BE$37,MATCH($B239,$B$14:$B$37,FALSE))/INDEX($F$206:$F$229,MATCH($B239,$B$206:$B$229,FALSE))),NA()),NA())</f>
        <v>#N/A</v>
      </c>
      <c r="BG239" s="65" t="e">
        <f>IF(BF47=1,IF(BF$13&lt;=COUNT($C19:$CS19),IF(INDEX($F$206:$F$229,MATCH($B239,$B$206:$B$229,FALSE))=0,NA(),INDEX(BF$14:BF$37,MATCH($B239,$B$14:$B$37,FALSE))/INDEX($F$206:$F$229,MATCH($B239,$B$206:$B$229,FALSE))),NA()),NA())</f>
        <v>#N/A</v>
      </c>
      <c r="BH239" s="65" t="e">
        <f>IF(BG47=1,IF(BG$13&lt;=COUNT($C19:$CS19),IF(INDEX($F$206:$F$229,MATCH($B239,$B$206:$B$229,FALSE))=0,NA(),INDEX(BG$14:BG$37,MATCH($B239,$B$14:$B$37,FALSE))/INDEX($F$206:$F$229,MATCH($B239,$B$206:$B$229,FALSE))),NA()),NA())</f>
        <v>#N/A</v>
      </c>
      <c r="BI239" s="65" t="e">
        <f>IF(BH47=1,IF(BH$13&lt;=COUNT($C19:$CS19),IF(INDEX($F$206:$F$229,MATCH($B239,$B$206:$B$229,FALSE))=0,NA(),INDEX(BH$14:BH$37,MATCH($B239,$B$14:$B$37,FALSE))/INDEX($F$206:$F$229,MATCH($B239,$B$206:$B$229,FALSE))),NA()),NA())</f>
        <v>#N/A</v>
      </c>
      <c r="BJ239" s="65" t="e">
        <f>IF(BI47=1,IF(BI$13&lt;=COUNT($C19:$CS19),IF(INDEX($F$206:$F$229,MATCH($B239,$B$206:$B$229,FALSE))=0,NA(),INDEX(BI$14:BI$37,MATCH($B239,$B$14:$B$37,FALSE))/INDEX($F$206:$F$229,MATCH($B239,$B$206:$B$229,FALSE))),NA()),NA())</f>
        <v>#N/A</v>
      </c>
      <c r="BK239" s="65" t="e">
        <f>IF(BJ47=1,IF(BJ$13&lt;=COUNT($C19:$CS19),IF(INDEX($F$206:$F$229,MATCH($B239,$B$206:$B$229,FALSE))=0,NA(),INDEX(BJ$14:BJ$37,MATCH($B239,$B$14:$B$37,FALSE))/INDEX($F$206:$F$229,MATCH($B239,$B$206:$B$229,FALSE))),NA()),NA())</f>
        <v>#N/A</v>
      </c>
      <c r="BL239" s="65" t="e">
        <f>IF(BK47=1,IF(BK$13&lt;=COUNT($C19:$CS19),IF(INDEX($F$206:$F$229,MATCH($B239,$B$206:$B$229,FALSE))=0,NA(),INDEX(BK$14:BK$37,MATCH($B239,$B$14:$B$37,FALSE))/INDEX($F$206:$F$229,MATCH($B239,$B$206:$B$229,FALSE))),NA()),NA())</f>
        <v>#N/A</v>
      </c>
      <c r="BM239" s="65" t="e">
        <f>IF(BL47=1,IF(BL$13&lt;=COUNT($C19:$CS19),IF(INDEX($F$206:$F$229,MATCH($B239,$B$206:$B$229,FALSE))=0,NA(),INDEX(BL$14:BL$37,MATCH($B239,$B$14:$B$37,FALSE))/INDEX($F$206:$F$229,MATCH($B239,$B$206:$B$229,FALSE))),NA()),NA())</f>
        <v>#N/A</v>
      </c>
      <c r="BN239" s="65" t="e">
        <f>IF(BM47=1,IF(BM$13&lt;=COUNT($C19:$CS19),IF(INDEX($F$206:$F$229,MATCH($B239,$B$206:$B$229,FALSE))=0,NA(),INDEX(BM$14:BM$37,MATCH($B239,$B$14:$B$37,FALSE))/INDEX($F$206:$F$229,MATCH($B239,$B$206:$B$229,FALSE))),NA()),NA())</f>
        <v>#N/A</v>
      </c>
      <c r="BO239" s="65" t="e">
        <f>IF(BN47=1,IF(BN$13&lt;=COUNT($C19:$CS19),IF(INDEX($F$206:$F$229,MATCH($B239,$B$206:$B$229,FALSE))=0,NA(),INDEX(BN$14:BN$37,MATCH($B239,$B$14:$B$37,FALSE))/INDEX($F$206:$F$229,MATCH($B239,$B$206:$B$229,FALSE))),NA()),NA())</f>
        <v>#N/A</v>
      </c>
      <c r="BP239" s="65" t="e">
        <f>IF(BO47=1,IF(BO$13&lt;=COUNT($C19:$CS19),IF(INDEX($F$206:$F$229,MATCH($B239,$B$206:$B$229,FALSE))=0,NA(),INDEX(BO$14:BO$37,MATCH($B239,$B$14:$B$37,FALSE))/INDEX($F$206:$F$229,MATCH($B239,$B$206:$B$229,FALSE))),NA()),NA())</f>
        <v>#N/A</v>
      </c>
      <c r="BQ239" s="65" t="e">
        <f>IF(BP47=1,IF(BP$13&lt;=COUNT($C19:$CS19),IF(INDEX($F$206:$F$229,MATCH($B239,$B$206:$B$229,FALSE))=0,NA(),INDEX(BP$14:BP$37,MATCH($B239,$B$14:$B$37,FALSE))/INDEX($F$206:$F$229,MATCH($B239,$B$206:$B$229,FALSE))),NA()),NA())</f>
        <v>#N/A</v>
      </c>
      <c r="BR239" s="65" t="e">
        <f>IF(BQ47=1,IF(BQ$13&lt;=COUNT($C19:$CS19),IF(INDEX($F$206:$F$229,MATCH($B239,$B$206:$B$229,FALSE))=0,NA(),INDEX(BQ$14:BQ$37,MATCH($B239,$B$14:$B$37,FALSE))/INDEX($F$206:$F$229,MATCH($B239,$B$206:$B$229,FALSE))),NA()),NA())</f>
        <v>#N/A</v>
      </c>
      <c r="BS239" s="65" t="e">
        <f>IF(BR47=1,IF(BR$13&lt;=COUNT($C19:$CS19),IF(INDEX($F$206:$F$229,MATCH($B239,$B$206:$B$229,FALSE))=0,NA(),INDEX(BR$14:BR$37,MATCH($B239,$B$14:$B$37,FALSE))/INDEX($F$206:$F$229,MATCH($B239,$B$206:$B$229,FALSE))),NA()),NA())</f>
        <v>#N/A</v>
      </c>
      <c r="BT239" s="65" t="e">
        <f>IF(BS47=1,IF(BS$13&lt;=COUNT($C19:$CS19),IF(INDEX($F$206:$F$229,MATCH($B239,$B$206:$B$229,FALSE))=0,NA(),INDEX(BS$14:BS$37,MATCH($B239,$B$14:$B$37,FALSE))/INDEX($F$206:$F$229,MATCH($B239,$B$206:$B$229,FALSE))),NA()),NA())</f>
        <v>#N/A</v>
      </c>
      <c r="BU239" s="65" t="e">
        <f>IF(BT47=1,IF(BT$13&lt;=COUNT($C19:$CS19),IF(INDEX($F$206:$F$229,MATCH($B239,$B$206:$B$229,FALSE))=0,NA(),INDEX(BT$14:BT$37,MATCH($B239,$B$14:$B$37,FALSE))/INDEX($F$206:$F$229,MATCH($B239,$B$206:$B$229,FALSE))),NA()),NA())</f>
        <v>#N/A</v>
      </c>
      <c r="BV239" s="65" t="e">
        <f>IF(BU47=1,IF(BU$13&lt;=COUNT($C19:$CS19),IF(INDEX($F$206:$F$229,MATCH($B239,$B$206:$B$229,FALSE))=0,NA(),INDEX(BU$14:BU$37,MATCH($B239,$B$14:$B$37,FALSE))/INDEX($F$206:$F$229,MATCH($B239,$B$206:$B$229,FALSE))),NA()),NA())</f>
        <v>#N/A</v>
      </c>
      <c r="BW239" s="65" t="e">
        <f>IF(BV47=1,IF(BV$13&lt;=COUNT($C19:$CS19),IF(INDEX($F$206:$F$229,MATCH($B239,$B$206:$B$229,FALSE))=0,NA(),INDEX(BV$14:BV$37,MATCH($B239,$B$14:$B$37,FALSE))/INDEX($F$206:$F$229,MATCH($B239,$B$206:$B$229,FALSE))),NA()),NA())</f>
        <v>#N/A</v>
      </c>
      <c r="BX239" s="65" t="e">
        <f>IF(BW47=1,IF(BW$13&lt;=COUNT($C19:$CS19),IF(INDEX($F$206:$F$229,MATCH($B239,$B$206:$B$229,FALSE))=0,NA(),INDEX(BW$14:BW$37,MATCH($B239,$B$14:$B$37,FALSE))/INDEX($F$206:$F$229,MATCH($B239,$B$206:$B$229,FALSE))),NA()),NA())</f>
        <v>#N/A</v>
      </c>
      <c r="BY239" s="65" t="e">
        <f>IF(BX47=1,IF(BX$13&lt;=COUNT($C19:$CS19),IF(INDEX($F$206:$F$229,MATCH($B239,$B$206:$B$229,FALSE))=0,NA(),INDEX(BX$14:BX$37,MATCH($B239,$B$14:$B$37,FALSE))/INDEX($F$206:$F$229,MATCH($B239,$B$206:$B$229,FALSE))),NA()),NA())</f>
        <v>#N/A</v>
      </c>
      <c r="BZ239" s="65" t="e">
        <f>IF(BY47=1,IF(BY$13&lt;=COUNT($C19:$CS19),IF(INDEX($F$206:$F$229,MATCH($B239,$B$206:$B$229,FALSE))=0,NA(),INDEX(BY$14:BY$37,MATCH($B239,$B$14:$B$37,FALSE))/INDEX($F$206:$F$229,MATCH($B239,$B$206:$B$229,FALSE))),NA()),NA())</f>
        <v>#N/A</v>
      </c>
      <c r="CA239" s="65" t="e">
        <f>IF(BZ47=1,IF(BZ$13&lt;=COUNT($C19:$CS19),IF(INDEX($F$206:$F$229,MATCH($B239,$B$206:$B$229,FALSE))=0,NA(),INDEX(BZ$14:BZ$37,MATCH($B239,$B$14:$B$37,FALSE))/INDEX($F$206:$F$229,MATCH($B239,$B$206:$B$229,FALSE))),NA()),NA())</f>
        <v>#N/A</v>
      </c>
      <c r="CB239" s="65" t="e">
        <f>IF(CA47=1,IF(CA$13&lt;=COUNT($C19:$CS19),IF(INDEX($F$206:$F$229,MATCH($B239,$B$206:$B$229,FALSE))=0,NA(),INDEX(CA$14:CA$37,MATCH($B239,$B$14:$B$37,FALSE))/INDEX($F$206:$F$229,MATCH($B239,$B$206:$B$229,FALSE))),NA()),NA())</f>
        <v>#N/A</v>
      </c>
      <c r="CC239" s="65" t="e">
        <f>IF(CB47=1,IF(CB$13&lt;=COUNT($C19:$CS19),IF(INDEX($F$206:$F$229,MATCH($B239,$B$206:$B$229,FALSE))=0,NA(),INDEX(CB$14:CB$37,MATCH($B239,$B$14:$B$37,FALSE))/INDEX($F$206:$F$229,MATCH($B239,$B$206:$B$229,FALSE))),NA()),NA())</f>
        <v>#N/A</v>
      </c>
      <c r="CD239" s="65" t="e">
        <f>IF(CC47=1,IF(CC$13&lt;=COUNT($C19:$CS19),IF(INDEX($F$206:$F$229,MATCH($B239,$B$206:$B$229,FALSE))=0,NA(),INDEX(CC$14:CC$37,MATCH($B239,$B$14:$B$37,FALSE))/INDEX($F$206:$F$229,MATCH($B239,$B$206:$B$229,FALSE))),NA()),NA())</f>
        <v>#N/A</v>
      </c>
      <c r="CE239" s="65" t="e">
        <f>IF(CD47=1,IF(CD$13&lt;=COUNT($C19:$CS19),IF(INDEX($F$206:$F$229,MATCH($B239,$B$206:$B$229,FALSE))=0,NA(),INDEX(CD$14:CD$37,MATCH($B239,$B$14:$B$37,FALSE))/INDEX($F$206:$F$229,MATCH($B239,$B$206:$B$229,FALSE))),NA()),NA())</f>
        <v>#N/A</v>
      </c>
      <c r="CF239" s="65" t="e">
        <f>IF(CE47=1,IF(CE$13&lt;=COUNT($C19:$CS19),IF(INDEX($F$206:$F$229,MATCH($B239,$B$206:$B$229,FALSE))=0,NA(),INDEX(CE$14:CE$37,MATCH($B239,$B$14:$B$37,FALSE))/INDEX($F$206:$F$229,MATCH($B239,$B$206:$B$229,FALSE))),NA()),NA())</f>
        <v>#N/A</v>
      </c>
      <c r="CG239" s="65" t="e">
        <f>IF(CF47=1,IF(CF$13&lt;=COUNT($C19:$CS19),IF(INDEX($F$206:$F$229,MATCH($B239,$B$206:$B$229,FALSE))=0,NA(),INDEX(CF$14:CF$37,MATCH($B239,$B$14:$B$37,FALSE))/INDEX($F$206:$F$229,MATCH($B239,$B$206:$B$229,FALSE))),NA()),NA())</f>
        <v>#N/A</v>
      </c>
      <c r="CH239" s="65" t="e">
        <f>IF(CG47=1,IF(CG$13&lt;=COUNT($C19:$CS19),IF(INDEX($F$206:$F$229,MATCH($B239,$B$206:$B$229,FALSE))=0,NA(),INDEX(CG$14:CG$37,MATCH($B239,$B$14:$B$37,FALSE))/INDEX($F$206:$F$229,MATCH($B239,$B$206:$B$229,FALSE))),NA()),NA())</f>
        <v>#N/A</v>
      </c>
      <c r="CI239" s="65" t="e">
        <f>IF(CH47=1,IF(CH$13&lt;=COUNT($C19:$CS19),IF(INDEX($F$206:$F$229,MATCH($B239,$B$206:$B$229,FALSE))=0,NA(),INDEX(CH$14:CH$37,MATCH($B239,$B$14:$B$37,FALSE))/INDEX($F$206:$F$229,MATCH($B239,$B$206:$B$229,FALSE))),NA()),NA())</f>
        <v>#N/A</v>
      </c>
      <c r="CJ239" s="65" t="e">
        <f>IF(CI47=1,IF(CI$13&lt;=COUNT($C19:$CS19),IF(INDEX($F$206:$F$229,MATCH($B239,$B$206:$B$229,FALSE))=0,NA(),INDEX(CI$14:CI$37,MATCH($B239,$B$14:$B$37,FALSE))/INDEX($F$206:$F$229,MATCH($B239,$B$206:$B$229,FALSE))),NA()),NA())</f>
        <v>#N/A</v>
      </c>
      <c r="CK239" s="65" t="e">
        <f>IF(CJ47=1,IF(CJ$13&lt;=COUNT($C19:$CS19),IF(INDEX($F$206:$F$229,MATCH($B239,$B$206:$B$229,FALSE))=0,NA(),INDEX(CJ$14:CJ$37,MATCH($B239,$B$14:$B$37,FALSE))/INDEX($F$206:$F$229,MATCH($B239,$B$206:$B$229,FALSE))),NA()),NA())</f>
        <v>#N/A</v>
      </c>
      <c r="CL239" s="65" t="e">
        <f>IF(CK47=1,IF(CK$13&lt;=COUNT($C19:$CS19),IF(INDEX($F$206:$F$229,MATCH($B239,$B$206:$B$229,FALSE))=0,NA(),INDEX(CK$14:CK$37,MATCH($B239,$B$14:$B$37,FALSE))/INDEX($F$206:$F$229,MATCH($B239,$B$206:$B$229,FALSE))),NA()),NA())</f>
        <v>#N/A</v>
      </c>
      <c r="CM239" s="65" t="e">
        <f>IF(CL47=1,IF(CL$13&lt;=COUNT($C19:$CS19),IF(INDEX($F$206:$F$229,MATCH($B239,$B$206:$B$229,FALSE))=0,NA(),INDEX(CL$14:CL$37,MATCH($B239,$B$14:$B$37,FALSE))/INDEX($F$206:$F$229,MATCH($B239,$B$206:$B$229,FALSE))),NA()),NA())</f>
        <v>#N/A</v>
      </c>
      <c r="CN239" s="65" t="e">
        <f>IF(CM47=1,IF(CM$13&lt;=COUNT($C19:$CS19),IF(INDEX($F$206:$F$229,MATCH($B239,$B$206:$B$229,FALSE))=0,NA(),INDEX(CM$14:CM$37,MATCH($B239,$B$14:$B$37,FALSE))/INDEX($F$206:$F$229,MATCH($B239,$B$206:$B$229,FALSE))),NA()),NA())</f>
        <v>#N/A</v>
      </c>
      <c r="CO239" s="65" t="e">
        <f>IF(CN47=1,IF(CN$13&lt;=COUNT($C19:$CS19),IF(INDEX($F$206:$F$229,MATCH($B239,$B$206:$B$229,FALSE))=0,NA(),INDEX(CN$14:CN$37,MATCH($B239,$B$14:$B$37,FALSE))/INDEX($F$206:$F$229,MATCH($B239,$B$206:$B$229,FALSE))),NA()),NA())</f>
        <v>#N/A</v>
      </c>
      <c r="CP239" s="65" t="e">
        <f>IF(CO47=1,IF(CO$13&lt;=COUNT($C19:$CS19),IF(INDEX($F$206:$F$229,MATCH($B239,$B$206:$B$229,FALSE))=0,NA(),INDEX(CO$14:CO$37,MATCH($B239,$B$14:$B$37,FALSE))/INDEX($F$206:$F$229,MATCH($B239,$B$206:$B$229,FALSE))),NA()),NA())</f>
        <v>#N/A</v>
      </c>
      <c r="CQ239" s="65" t="e">
        <f>IF(CP47=1,IF(CP$13&lt;=COUNT($C19:$CS19),IF(INDEX($F$206:$F$229,MATCH($B239,$B$206:$B$229,FALSE))=0,NA(),INDEX(CP$14:CP$37,MATCH($B239,$B$14:$B$37,FALSE))/INDEX($F$206:$F$229,MATCH($B239,$B$206:$B$229,FALSE))),NA()),NA())</f>
        <v>#N/A</v>
      </c>
      <c r="CR239" s="65" t="e">
        <f>IF(CQ47=1,IF(CQ$13&lt;=COUNT($C19:$CS19),IF(INDEX($F$206:$F$229,MATCH($B239,$B$206:$B$229,FALSE))=0,NA(),INDEX(CQ$14:CQ$37,MATCH($B239,$B$14:$B$37,FALSE))/INDEX($F$206:$F$229,MATCH($B239,$B$206:$B$229,FALSE))),NA()),NA())</f>
        <v>#N/A</v>
      </c>
      <c r="CS239" s="65" t="e">
        <f>IF(CR47=1,IF(CR$13&lt;=COUNT($C19:$CS19),IF(INDEX($F$206:$F$229,MATCH($B239,$B$206:$B$229,FALSE))=0,NA(),INDEX(CR$14:CR$37,MATCH($B239,$B$14:$B$37,FALSE))/INDEX($F$206:$F$229,MATCH($B239,$B$206:$B$229,FALSE))),NA()),NA())</f>
        <v>#N/A</v>
      </c>
      <c r="CT239" s="49"/>
      <c r="CU239" s="49"/>
      <c r="CV239" s="49"/>
      <c r="CW239" s="49"/>
    </row>
    <row r="240" spans="1:101" x14ac:dyDescent="0.25">
      <c r="A240" s="97">
        <f t="shared" si="105"/>
        <v>0</v>
      </c>
      <c r="B240" s="29">
        <f t="shared" si="104"/>
        <v>2002</v>
      </c>
      <c r="C240" s="154" t="str">
        <f t="shared" si="106"/>
        <v/>
      </c>
      <c r="D240" s="54" t="e">
        <f>IF(C48=1,IF(C$13&lt;=COUNT($C20:$CS20),IF(INDEX($F$206:$F$229,MATCH($B240,$B$206:$B$229,FALSE))=0,NA(),INDEX(C$14:C$37,MATCH($B240,$B$14:$B$37,FALSE))/INDEX($F$206:$F$229,MATCH($B240,$B$206:$B$229,FALSE))),NA()),NA())</f>
        <v>#N/A</v>
      </c>
      <c r="E240" s="65" t="e">
        <f>IF(D48=1,IF(D$13&lt;=COUNT($C20:$CS20),IF(INDEX($F$206:$F$229,MATCH($B240,$B$206:$B$229,FALSE))=0,NA(),INDEX(D$14:D$37,MATCH($B240,$B$14:$B$37,FALSE))/INDEX($F$206:$F$229,MATCH($B240,$B$206:$B$229,FALSE))),NA()),NA())</f>
        <v>#N/A</v>
      </c>
      <c r="F240" s="65" t="e">
        <f>IF(E48=1,IF(E$13&lt;=COUNT($C20:$CS20),IF(INDEX($F$206:$F$229,MATCH($B240,$B$206:$B$229,FALSE))=0,NA(),INDEX(E$14:E$37,MATCH($B240,$B$14:$B$37,FALSE))/INDEX($F$206:$F$229,MATCH($B240,$B$206:$B$229,FALSE))),NA()),NA())</f>
        <v>#N/A</v>
      </c>
      <c r="G240" s="65" t="e">
        <f>IF(F48=1,IF(F$13&lt;=COUNT($C20:$CS20),IF(INDEX($F$206:$F$229,MATCH($B240,$B$206:$B$229,FALSE))=0,NA(),INDEX(F$14:F$37,MATCH($B240,$B$14:$B$37,FALSE))/INDEX($F$206:$F$229,MATCH($B240,$B$206:$B$229,FALSE))),NA()),NA())</f>
        <v>#N/A</v>
      </c>
      <c r="H240" s="65" t="e">
        <f>IF(G48=1,IF(G$13&lt;=COUNT($C20:$CS20),IF(INDEX($F$206:$F$229,MATCH($B240,$B$206:$B$229,FALSE))=0,NA(),INDEX(G$14:G$37,MATCH($B240,$B$14:$B$37,FALSE))/INDEX($F$206:$F$229,MATCH($B240,$B$206:$B$229,FALSE))),NA()),NA())</f>
        <v>#N/A</v>
      </c>
      <c r="I240" s="65" t="e">
        <f>IF(H48=1,IF(H$13&lt;=COUNT($C20:$CS20),IF(INDEX($F$206:$F$229,MATCH($B240,$B$206:$B$229,FALSE))=0,NA(),INDEX(H$14:H$37,MATCH($B240,$B$14:$B$37,FALSE))/INDEX($F$206:$F$229,MATCH($B240,$B$206:$B$229,FALSE))),NA()),NA())</f>
        <v>#N/A</v>
      </c>
      <c r="J240" s="65" t="e">
        <f>IF(I48=1,IF(I$13&lt;=COUNT($C20:$CS20),IF(INDEX($F$206:$F$229,MATCH($B240,$B$206:$B$229,FALSE))=0,NA(),INDEX(I$14:I$37,MATCH($B240,$B$14:$B$37,FALSE))/INDEX($F$206:$F$229,MATCH($B240,$B$206:$B$229,FALSE))),NA()),NA())</f>
        <v>#N/A</v>
      </c>
      <c r="K240" s="65" t="e">
        <f>IF(J48=1,IF(J$13&lt;=COUNT($C20:$CS20),IF(INDEX($F$206:$F$229,MATCH($B240,$B$206:$B$229,FALSE))=0,NA(),INDEX(J$14:J$37,MATCH($B240,$B$14:$B$37,FALSE))/INDEX($F$206:$F$229,MATCH($B240,$B$206:$B$229,FALSE))),NA()),NA())</f>
        <v>#N/A</v>
      </c>
      <c r="L240" s="65" t="e">
        <f>IF(K48=1,IF(K$13&lt;=COUNT($C20:$CS20),IF(INDEX($F$206:$F$229,MATCH($B240,$B$206:$B$229,FALSE))=0,NA(),INDEX(K$14:K$37,MATCH($B240,$B$14:$B$37,FALSE))/INDEX($F$206:$F$229,MATCH($B240,$B$206:$B$229,FALSE))),NA()),NA())</f>
        <v>#N/A</v>
      </c>
      <c r="M240" s="65" t="e">
        <f>IF(L48=1,IF(L$13&lt;=COUNT($C20:$CS20),IF(INDEX($F$206:$F$229,MATCH($B240,$B$206:$B$229,FALSE))=0,NA(),INDEX(L$14:L$37,MATCH($B240,$B$14:$B$37,FALSE))/INDEX($F$206:$F$229,MATCH($B240,$B$206:$B$229,FALSE))),NA()),NA())</f>
        <v>#N/A</v>
      </c>
      <c r="N240" s="65" t="e">
        <f>IF(M48=1,IF(M$13&lt;=COUNT($C20:$CS20),IF(INDEX($F$206:$F$229,MATCH($B240,$B$206:$B$229,FALSE))=0,NA(),INDEX(M$14:M$37,MATCH($B240,$B$14:$B$37,FALSE))/INDEX($F$206:$F$229,MATCH($B240,$B$206:$B$229,FALSE))),NA()),NA())</f>
        <v>#N/A</v>
      </c>
      <c r="O240" s="65" t="e">
        <f>IF(N48=1,IF(N$13&lt;=COUNT($C20:$CS20),IF(INDEX($F$206:$F$229,MATCH($B240,$B$206:$B$229,FALSE))=0,NA(),INDEX(N$14:N$37,MATCH($B240,$B$14:$B$37,FALSE))/INDEX($F$206:$F$229,MATCH($B240,$B$206:$B$229,FALSE))),NA()),NA())</f>
        <v>#N/A</v>
      </c>
      <c r="P240" s="65" t="e">
        <f>IF(O48=1,IF(O$13&lt;=COUNT($C20:$CS20),IF(INDEX($F$206:$F$229,MATCH($B240,$B$206:$B$229,FALSE))=0,NA(),INDEX(O$14:O$37,MATCH($B240,$B$14:$B$37,FALSE))/INDEX($F$206:$F$229,MATCH($B240,$B$206:$B$229,FALSE))),NA()),NA())</f>
        <v>#N/A</v>
      </c>
      <c r="Q240" s="65" t="e">
        <f>IF(P48=1,IF(P$13&lt;=COUNT($C20:$CS20),IF(INDEX($F$206:$F$229,MATCH($B240,$B$206:$B$229,FALSE))=0,NA(),INDEX(P$14:P$37,MATCH($B240,$B$14:$B$37,FALSE))/INDEX($F$206:$F$229,MATCH($B240,$B$206:$B$229,FALSE))),NA()),NA())</f>
        <v>#N/A</v>
      </c>
      <c r="R240" s="65" t="e">
        <f>IF(Q48=1,IF(Q$13&lt;=COUNT($C20:$CS20),IF(INDEX($F$206:$F$229,MATCH($B240,$B$206:$B$229,FALSE))=0,NA(),INDEX(Q$14:Q$37,MATCH($B240,$B$14:$B$37,FALSE))/INDEX($F$206:$F$229,MATCH($B240,$B$206:$B$229,FALSE))),NA()),NA())</f>
        <v>#N/A</v>
      </c>
      <c r="S240" s="65" t="e">
        <f>IF(R48=1,IF(R$13&lt;=COUNT($C20:$CS20),IF(INDEX($F$206:$F$229,MATCH($B240,$B$206:$B$229,FALSE))=0,NA(),INDEX(R$14:R$37,MATCH($B240,$B$14:$B$37,FALSE))/INDEX($F$206:$F$229,MATCH($B240,$B$206:$B$229,FALSE))),NA()),NA())</f>
        <v>#N/A</v>
      </c>
      <c r="T240" s="65" t="e">
        <f>IF(S48=1,IF(S$13&lt;=COUNT($C20:$CS20),IF(INDEX($F$206:$F$229,MATCH($B240,$B$206:$B$229,FALSE))=0,NA(),INDEX(S$14:S$37,MATCH($B240,$B$14:$B$37,FALSE))/INDEX($F$206:$F$229,MATCH($B240,$B$206:$B$229,FALSE))),NA()),NA())</f>
        <v>#N/A</v>
      </c>
      <c r="U240" s="65" t="e">
        <f>IF(T48=1,IF(T$13&lt;=COUNT($C20:$CS20),IF(INDEX($F$206:$F$229,MATCH($B240,$B$206:$B$229,FALSE))=0,NA(),INDEX(T$14:T$37,MATCH($B240,$B$14:$B$37,FALSE))/INDEX($F$206:$F$229,MATCH($B240,$B$206:$B$229,FALSE))),NA()),NA())</f>
        <v>#N/A</v>
      </c>
      <c r="V240" s="65" t="e">
        <f>IF(U48=1,IF(U$13&lt;=COUNT($C20:$CS20),IF(INDEX($F$206:$F$229,MATCH($B240,$B$206:$B$229,FALSE))=0,NA(),INDEX(U$14:U$37,MATCH($B240,$B$14:$B$37,FALSE))/INDEX($F$206:$F$229,MATCH($B240,$B$206:$B$229,FALSE))),NA()),NA())</f>
        <v>#N/A</v>
      </c>
      <c r="W240" s="65" t="e">
        <f>IF(V48=1,IF(V$13&lt;=COUNT($C20:$CS20),IF(INDEX($F$206:$F$229,MATCH($B240,$B$206:$B$229,FALSE))=0,NA(),INDEX(V$14:V$37,MATCH($B240,$B$14:$B$37,FALSE))/INDEX($F$206:$F$229,MATCH($B240,$B$206:$B$229,FALSE))),NA()),NA())</f>
        <v>#N/A</v>
      </c>
      <c r="X240" s="65" t="e">
        <f>IF(W48=1,IF(W$13&lt;=COUNT($C20:$CS20),IF(INDEX($F$206:$F$229,MATCH($B240,$B$206:$B$229,FALSE))=0,NA(),INDEX(W$14:W$37,MATCH($B240,$B$14:$B$37,FALSE))/INDEX($F$206:$F$229,MATCH($B240,$B$206:$B$229,FALSE))),NA()),NA())</f>
        <v>#N/A</v>
      </c>
      <c r="Y240" s="65" t="e">
        <f>IF(X48=1,IF(X$13&lt;=COUNT($C20:$CS20),IF(INDEX($F$206:$F$229,MATCH($B240,$B$206:$B$229,FALSE))=0,NA(),INDEX(X$14:X$37,MATCH($B240,$B$14:$B$37,FALSE))/INDEX($F$206:$F$229,MATCH($B240,$B$206:$B$229,FALSE))),NA()),NA())</f>
        <v>#N/A</v>
      </c>
      <c r="Z240" s="65" t="e">
        <f>IF(Y48=1,IF(Y$13&lt;=COUNT($C20:$CS20),IF(INDEX($F$206:$F$229,MATCH($B240,$B$206:$B$229,FALSE))=0,NA(),INDEX(Y$14:Y$37,MATCH($B240,$B$14:$B$37,FALSE))/INDEX($F$206:$F$229,MATCH($B240,$B$206:$B$229,FALSE))),NA()),NA())</f>
        <v>#N/A</v>
      </c>
      <c r="AA240" s="65" t="e">
        <f>IF(Z48=1,IF(Z$13&lt;=COUNT($C20:$CS20),IF(INDEX($F$206:$F$229,MATCH($B240,$B$206:$B$229,FALSE))=0,NA(),INDEX(Z$14:Z$37,MATCH($B240,$B$14:$B$37,FALSE))/INDEX($F$206:$F$229,MATCH($B240,$B$206:$B$229,FALSE))),NA()),NA())</f>
        <v>#N/A</v>
      </c>
      <c r="AB240" s="65" t="e">
        <f>IF(AA48=1,IF(AA$13&lt;=COUNT($C20:$CS20),IF(INDEX($F$206:$F$229,MATCH($B240,$B$206:$B$229,FALSE))=0,NA(),INDEX(AA$14:AA$37,MATCH($B240,$B$14:$B$37,FALSE))/INDEX($F$206:$F$229,MATCH($B240,$B$206:$B$229,FALSE))),NA()),NA())</f>
        <v>#N/A</v>
      </c>
      <c r="AC240" s="65" t="e">
        <f>IF(AB48=1,IF(AB$13&lt;=COUNT($C20:$CS20),IF(INDEX($F$206:$F$229,MATCH($B240,$B$206:$B$229,FALSE))=0,NA(),INDEX(AB$14:AB$37,MATCH($B240,$B$14:$B$37,FALSE))/INDEX($F$206:$F$229,MATCH($B240,$B$206:$B$229,FALSE))),NA()),NA())</f>
        <v>#N/A</v>
      </c>
      <c r="AD240" s="65" t="e">
        <f>IF(AC48=1,IF(AC$13&lt;=COUNT($C20:$CS20),IF(INDEX($F$206:$F$229,MATCH($B240,$B$206:$B$229,FALSE))=0,NA(),INDEX(AC$14:AC$37,MATCH($B240,$B$14:$B$37,FALSE))/INDEX($F$206:$F$229,MATCH($B240,$B$206:$B$229,FALSE))),NA()),NA())</f>
        <v>#N/A</v>
      </c>
      <c r="AE240" s="65" t="e">
        <f>IF(AD48=1,IF(AD$13&lt;=COUNT($C20:$CS20),IF(INDEX($F$206:$F$229,MATCH($B240,$B$206:$B$229,FALSE))=0,NA(),INDEX(AD$14:AD$37,MATCH($B240,$B$14:$B$37,FALSE))/INDEX($F$206:$F$229,MATCH($B240,$B$206:$B$229,FALSE))),NA()),NA())</f>
        <v>#N/A</v>
      </c>
      <c r="AF240" s="65" t="e">
        <f>IF(AE48=1,IF(AE$13&lt;=COUNT($C20:$CS20),IF(INDEX($F$206:$F$229,MATCH($B240,$B$206:$B$229,FALSE))=0,NA(),INDEX(AE$14:AE$37,MATCH($B240,$B$14:$B$37,FALSE))/INDEX($F$206:$F$229,MATCH($B240,$B$206:$B$229,FALSE))),NA()),NA())</f>
        <v>#N/A</v>
      </c>
      <c r="AG240" s="65" t="e">
        <f>IF(AF48=1,IF(AF$13&lt;=COUNT($C20:$CS20),IF(INDEX($F$206:$F$229,MATCH($B240,$B$206:$B$229,FALSE))=0,NA(),INDEX(AF$14:AF$37,MATCH($B240,$B$14:$B$37,FALSE))/INDEX($F$206:$F$229,MATCH($B240,$B$206:$B$229,FALSE))),NA()),NA())</f>
        <v>#N/A</v>
      </c>
      <c r="AH240" s="65" t="e">
        <f>IF(AG48=1,IF(AG$13&lt;=COUNT($C20:$CS20),IF(INDEX($F$206:$F$229,MATCH($B240,$B$206:$B$229,FALSE))=0,NA(),INDEX(AG$14:AG$37,MATCH($B240,$B$14:$B$37,FALSE))/INDEX($F$206:$F$229,MATCH($B240,$B$206:$B$229,FALSE))),NA()),NA())</f>
        <v>#N/A</v>
      </c>
      <c r="AI240" s="65" t="e">
        <f>IF(AH48=1,IF(AH$13&lt;=COUNT($C20:$CS20),IF(INDEX($F$206:$F$229,MATCH($B240,$B$206:$B$229,FALSE))=0,NA(),INDEX(AH$14:AH$37,MATCH($B240,$B$14:$B$37,FALSE))/INDEX($F$206:$F$229,MATCH($B240,$B$206:$B$229,FALSE))),NA()),NA())</f>
        <v>#N/A</v>
      </c>
      <c r="AJ240" s="65" t="e">
        <f>IF(AI48=1,IF(AI$13&lt;=COUNT($C20:$CS20),IF(INDEX($F$206:$F$229,MATCH($B240,$B$206:$B$229,FALSE))=0,NA(),INDEX(AI$14:AI$37,MATCH($B240,$B$14:$B$37,FALSE))/INDEX($F$206:$F$229,MATCH($B240,$B$206:$B$229,FALSE))),NA()),NA())</f>
        <v>#N/A</v>
      </c>
      <c r="AK240" s="65" t="e">
        <f>IF(AJ48=1,IF(AJ$13&lt;=COUNT($C20:$CS20),IF(INDEX($F$206:$F$229,MATCH($B240,$B$206:$B$229,FALSE))=0,NA(),INDEX(AJ$14:AJ$37,MATCH($B240,$B$14:$B$37,FALSE))/INDEX($F$206:$F$229,MATCH($B240,$B$206:$B$229,FALSE))),NA()),NA())</f>
        <v>#N/A</v>
      </c>
      <c r="AL240" s="65" t="e">
        <f>IF(AK48=1,IF(AK$13&lt;=COUNT($C20:$CS20),IF(INDEX($F$206:$F$229,MATCH($B240,$B$206:$B$229,FALSE))=0,NA(),INDEX(AK$14:AK$37,MATCH($B240,$B$14:$B$37,FALSE))/INDEX($F$206:$F$229,MATCH($B240,$B$206:$B$229,FALSE))),NA()),NA())</f>
        <v>#N/A</v>
      </c>
      <c r="AM240" s="65" t="e">
        <f>IF(AL48=1,IF(AL$13&lt;=COUNT($C20:$CS20),IF(INDEX($F$206:$F$229,MATCH($B240,$B$206:$B$229,FALSE))=0,NA(),INDEX(AL$14:AL$37,MATCH($B240,$B$14:$B$37,FALSE))/INDEX($F$206:$F$229,MATCH($B240,$B$206:$B$229,FALSE))),NA()),NA())</f>
        <v>#N/A</v>
      </c>
      <c r="AN240" s="65" t="e">
        <f>IF(AM48=1,IF(AM$13&lt;=COUNT($C20:$CS20),IF(INDEX($F$206:$F$229,MATCH($B240,$B$206:$B$229,FALSE))=0,NA(),INDEX(AM$14:AM$37,MATCH($B240,$B$14:$B$37,FALSE))/INDEX($F$206:$F$229,MATCH($B240,$B$206:$B$229,FALSE))),NA()),NA())</f>
        <v>#N/A</v>
      </c>
      <c r="AO240" s="65" t="e">
        <f>IF(AN48=1,IF(AN$13&lt;=COUNT($C20:$CS20),IF(INDEX($F$206:$F$229,MATCH($B240,$B$206:$B$229,FALSE))=0,NA(),INDEX(AN$14:AN$37,MATCH($B240,$B$14:$B$37,FALSE))/INDEX($F$206:$F$229,MATCH($B240,$B$206:$B$229,FALSE))),NA()),NA())</f>
        <v>#N/A</v>
      </c>
      <c r="AP240" s="65" t="e">
        <f>IF(AO48=1,IF(AO$13&lt;=COUNT($C20:$CS20),IF(INDEX($F$206:$F$229,MATCH($B240,$B$206:$B$229,FALSE))=0,NA(),INDEX(AO$14:AO$37,MATCH($B240,$B$14:$B$37,FALSE))/INDEX($F$206:$F$229,MATCH($B240,$B$206:$B$229,FALSE))),NA()),NA())</f>
        <v>#N/A</v>
      </c>
      <c r="AQ240" s="65" t="e">
        <f>IF(AP48=1,IF(AP$13&lt;=COUNT($C20:$CS20),IF(INDEX($F$206:$F$229,MATCH($B240,$B$206:$B$229,FALSE))=0,NA(),INDEX(AP$14:AP$37,MATCH($B240,$B$14:$B$37,FALSE))/INDEX($F$206:$F$229,MATCH($B240,$B$206:$B$229,FALSE))),NA()),NA())</f>
        <v>#N/A</v>
      </c>
      <c r="AR240" s="65" t="e">
        <f>IF(AQ48=1,IF(AQ$13&lt;=COUNT($C20:$CS20),IF(INDEX($F$206:$F$229,MATCH($B240,$B$206:$B$229,FALSE))=0,NA(),INDEX(AQ$14:AQ$37,MATCH($B240,$B$14:$B$37,FALSE))/INDEX($F$206:$F$229,MATCH($B240,$B$206:$B$229,FALSE))),NA()),NA())</f>
        <v>#N/A</v>
      </c>
      <c r="AS240" s="65" t="e">
        <f>IF(AR48=1,IF(AR$13&lt;=COUNT($C20:$CS20),IF(INDEX($F$206:$F$229,MATCH($B240,$B$206:$B$229,FALSE))=0,NA(),INDEX(AR$14:AR$37,MATCH($B240,$B$14:$B$37,FALSE))/INDEX($F$206:$F$229,MATCH($B240,$B$206:$B$229,FALSE))),NA()),NA())</f>
        <v>#N/A</v>
      </c>
      <c r="AT240" s="65" t="e">
        <f>IF(AS48=1,IF(AS$13&lt;=COUNT($C20:$CS20),IF(INDEX($F$206:$F$229,MATCH($B240,$B$206:$B$229,FALSE))=0,NA(),INDEX(AS$14:AS$37,MATCH($B240,$B$14:$B$37,FALSE))/INDEX($F$206:$F$229,MATCH($B240,$B$206:$B$229,FALSE))),NA()),NA())</f>
        <v>#N/A</v>
      </c>
      <c r="AU240" s="65" t="e">
        <f>IF(AT48=1,IF(AT$13&lt;=COUNT($C20:$CS20),IF(INDEX($F$206:$F$229,MATCH($B240,$B$206:$B$229,FALSE))=0,NA(),INDEX(AT$14:AT$37,MATCH($B240,$B$14:$B$37,FALSE))/INDEX($F$206:$F$229,MATCH($B240,$B$206:$B$229,FALSE))),NA()),NA())</f>
        <v>#N/A</v>
      </c>
      <c r="AV240" s="65" t="e">
        <f>IF(AU48=1,IF(AU$13&lt;=COUNT($C20:$CS20),IF(INDEX($F$206:$F$229,MATCH($B240,$B$206:$B$229,FALSE))=0,NA(),INDEX(AU$14:AU$37,MATCH($B240,$B$14:$B$37,FALSE))/INDEX($F$206:$F$229,MATCH($B240,$B$206:$B$229,FALSE))),NA()),NA())</f>
        <v>#N/A</v>
      </c>
      <c r="AW240" s="65" t="e">
        <f>IF(AV48=1,IF(AV$13&lt;=COUNT($C20:$CS20),IF(INDEX($F$206:$F$229,MATCH($B240,$B$206:$B$229,FALSE))=0,NA(),INDEX(AV$14:AV$37,MATCH($B240,$B$14:$B$37,FALSE))/INDEX($F$206:$F$229,MATCH($B240,$B$206:$B$229,FALSE))),NA()),NA())</f>
        <v>#N/A</v>
      </c>
      <c r="AX240" s="65" t="e">
        <f>IF(AW48=1,IF(AW$13&lt;=COUNT($C20:$CS20),IF(INDEX($F$206:$F$229,MATCH($B240,$B$206:$B$229,FALSE))=0,NA(),INDEX(AW$14:AW$37,MATCH($B240,$B$14:$B$37,FALSE))/INDEX($F$206:$F$229,MATCH($B240,$B$206:$B$229,FALSE))),NA()),NA())</f>
        <v>#N/A</v>
      </c>
      <c r="AY240" s="65" t="e">
        <f>IF(AX48=1,IF(AX$13&lt;=COUNT($C20:$CS20),IF(INDEX($F$206:$F$229,MATCH($B240,$B$206:$B$229,FALSE))=0,NA(),INDEX(AX$14:AX$37,MATCH($B240,$B$14:$B$37,FALSE))/INDEX($F$206:$F$229,MATCH($B240,$B$206:$B$229,FALSE))),NA()),NA())</f>
        <v>#N/A</v>
      </c>
      <c r="AZ240" s="65" t="e">
        <f>IF(AY48=1,IF(AY$13&lt;=COUNT($C20:$CS20),IF(INDEX($F$206:$F$229,MATCH($B240,$B$206:$B$229,FALSE))=0,NA(),INDEX(AY$14:AY$37,MATCH($B240,$B$14:$B$37,FALSE))/INDEX($F$206:$F$229,MATCH($B240,$B$206:$B$229,FALSE))),NA()),NA())</f>
        <v>#N/A</v>
      </c>
      <c r="BA240" s="65" t="e">
        <f>IF(AZ48=1,IF(AZ$13&lt;=COUNT($C20:$CS20),IF(INDEX($F$206:$F$229,MATCH($B240,$B$206:$B$229,FALSE))=0,NA(),INDEX(AZ$14:AZ$37,MATCH($B240,$B$14:$B$37,FALSE))/INDEX($F$206:$F$229,MATCH($B240,$B$206:$B$229,FALSE))),NA()),NA())</f>
        <v>#N/A</v>
      </c>
      <c r="BB240" s="65" t="e">
        <f>IF(BA48=1,IF(BA$13&lt;=COUNT($C20:$CS20),IF(INDEX($F$206:$F$229,MATCH($B240,$B$206:$B$229,FALSE))=0,NA(),INDEX(BA$14:BA$37,MATCH($B240,$B$14:$B$37,FALSE))/INDEX($F$206:$F$229,MATCH($B240,$B$206:$B$229,FALSE))),NA()),NA())</f>
        <v>#N/A</v>
      </c>
      <c r="BC240" s="65" t="e">
        <f>IF(BB48=1,IF(BB$13&lt;=COUNT($C20:$CS20),IF(INDEX($F$206:$F$229,MATCH($B240,$B$206:$B$229,FALSE))=0,NA(),INDEX(BB$14:BB$37,MATCH($B240,$B$14:$B$37,FALSE))/INDEX($F$206:$F$229,MATCH($B240,$B$206:$B$229,FALSE))),NA()),NA())</f>
        <v>#N/A</v>
      </c>
      <c r="BD240" s="65" t="e">
        <f>IF(BC48=1,IF(BC$13&lt;=COUNT($C20:$CS20),IF(INDEX($F$206:$F$229,MATCH($B240,$B$206:$B$229,FALSE))=0,NA(),INDEX(BC$14:BC$37,MATCH($B240,$B$14:$B$37,FALSE))/INDEX($F$206:$F$229,MATCH($B240,$B$206:$B$229,FALSE))),NA()),NA())</f>
        <v>#N/A</v>
      </c>
      <c r="BE240" s="65" t="e">
        <f>IF(BD48=1,IF(BD$13&lt;=COUNT($C20:$CS20),IF(INDEX($F$206:$F$229,MATCH($B240,$B$206:$B$229,FALSE))=0,NA(),INDEX(BD$14:BD$37,MATCH($B240,$B$14:$B$37,FALSE))/INDEX($F$206:$F$229,MATCH($B240,$B$206:$B$229,FALSE))),NA()),NA())</f>
        <v>#N/A</v>
      </c>
      <c r="BF240" s="65" t="e">
        <f>IF(BE48=1,IF(BE$13&lt;=COUNT($C20:$CS20),IF(INDEX($F$206:$F$229,MATCH($B240,$B$206:$B$229,FALSE))=0,NA(),INDEX(BE$14:BE$37,MATCH($B240,$B$14:$B$37,FALSE))/INDEX($F$206:$F$229,MATCH($B240,$B$206:$B$229,FALSE))),NA()),NA())</f>
        <v>#N/A</v>
      </c>
      <c r="BG240" s="65" t="e">
        <f>IF(BF48=1,IF(BF$13&lt;=COUNT($C20:$CS20),IF(INDEX($F$206:$F$229,MATCH($B240,$B$206:$B$229,FALSE))=0,NA(),INDEX(BF$14:BF$37,MATCH($B240,$B$14:$B$37,FALSE))/INDEX($F$206:$F$229,MATCH($B240,$B$206:$B$229,FALSE))),NA()),NA())</f>
        <v>#N/A</v>
      </c>
      <c r="BH240" s="65" t="e">
        <f>IF(BG48=1,IF(BG$13&lt;=COUNT($C20:$CS20),IF(INDEX($F$206:$F$229,MATCH($B240,$B$206:$B$229,FALSE))=0,NA(),INDEX(BG$14:BG$37,MATCH($B240,$B$14:$B$37,FALSE))/INDEX($F$206:$F$229,MATCH($B240,$B$206:$B$229,FALSE))),NA()),NA())</f>
        <v>#N/A</v>
      </c>
      <c r="BI240" s="65" t="e">
        <f>IF(BH48=1,IF(BH$13&lt;=COUNT($C20:$CS20),IF(INDEX($F$206:$F$229,MATCH($B240,$B$206:$B$229,FALSE))=0,NA(),INDEX(BH$14:BH$37,MATCH($B240,$B$14:$B$37,FALSE))/INDEX($F$206:$F$229,MATCH($B240,$B$206:$B$229,FALSE))),NA()),NA())</f>
        <v>#N/A</v>
      </c>
      <c r="BJ240" s="65" t="e">
        <f>IF(BI48=1,IF(BI$13&lt;=COUNT($C20:$CS20),IF(INDEX($F$206:$F$229,MATCH($B240,$B$206:$B$229,FALSE))=0,NA(),INDEX(BI$14:BI$37,MATCH($B240,$B$14:$B$37,FALSE))/INDEX($F$206:$F$229,MATCH($B240,$B$206:$B$229,FALSE))),NA()),NA())</f>
        <v>#N/A</v>
      </c>
      <c r="BK240" s="65" t="e">
        <f>IF(BJ48=1,IF(BJ$13&lt;=COUNT($C20:$CS20),IF(INDEX($F$206:$F$229,MATCH($B240,$B$206:$B$229,FALSE))=0,NA(),INDEX(BJ$14:BJ$37,MATCH($B240,$B$14:$B$37,FALSE))/INDEX($F$206:$F$229,MATCH($B240,$B$206:$B$229,FALSE))),NA()),NA())</f>
        <v>#N/A</v>
      </c>
      <c r="BL240" s="65" t="e">
        <f>IF(BK48=1,IF(BK$13&lt;=COUNT($C20:$CS20),IF(INDEX($F$206:$F$229,MATCH($B240,$B$206:$B$229,FALSE))=0,NA(),INDEX(BK$14:BK$37,MATCH($B240,$B$14:$B$37,FALSE))/INDEX($F$206:$F$229,MATCH($B240,$B$206:$B$229,FALSE))),NA()),NA())</f>
        <v>#N/A</v>
      </c>
      <c r="BM240" s="65" t="e">
        <f>IF(BL48=1,IF(BL$13&lt;=COUNT($C20:$CS20),IF(INDEX($F$206:$F$229,MATCH($B240,$B$206:$B$229,FALSE))=0,NA(),INDEX(BL$14:BL$37,MATCH($B240,$B$14:$B$37,FALSE))/INDEX($F$206:$F$229,MATCH($B240,$B$206:$B$229,FALSE))),NA()),NA())</f>
        <v>#N/A</v>
      </c>
      <c r="BN240" s="65" t="e">
        <f>IF(BM48=1,IF(BM$13&lt;=COUNT($C20:$CS20),IF(INDEX($F$206:$F$229,MATCH($B240,$B$206:$B$229,FALSE))=0,NA(),INDEX(BM$14:BM$37,MATCH($B240,$B$14:$B$37,FALSE))/INDEX($F$206:$F$229,MATCH($B240,$B$206:$B$229,FALSE))),NA()),NA())</f>
        <v>#N/A</v>
      </c>
      <c r="BO240" s="65" t="e">
        <f>IF(BN48=1,IF(BN$13&lt;=COUNT($C20:$CS20),IF(INDEX($F$206:$F$229,MATCH($B240,$B$206:$B$229,FALSE))=0,NA(),INDEX(BN$14:BN$37,MATCH($B240,$B$14:$B$37,FALSE))/INDEX($F$206:$F$229,MATCH($B240,$B$206:$B$229,FALSE))),NA()),NA())</f>
        <v>#N/A</v>
      </c>
      <c r="BP240" s="65" t="e">
        <f>IF(BO48=1,IF(BO$13&lt;=COUNT($C20:$CS20),IF(INDEX($F$206:$F$229,MATCH($B240,$B$206:$B$229,FALSE))=0,NA(),INDEX(BO$14:BO$37,MATCH($B240,$B$14:$B$37,FALSE))/INDEX($F$206:$F$229,MATCH($B240,$B$206:$B$229,FALSE))),NA()),NA())</f>
        <v>#N/A</v>
      </c>
      <c r="BQ240" s="65" t="e">
        <f>IF(BP48=1,IF(BP$13&lt;=COUNT($C20:$CS20),IF(INDEX($F$206:$F$229,MATCH($B240,$B$206:$B$229,FALSE))=0,NA(),INDEX(BP$14:BP$37,MATCH($B240,$B$14:$B$37,FALSE))/INDEX($F$206:$F$229,MATCH($B240,$B$206:$B$229,FALSE))),NA()),NA())</f>
        <v>#N/A</v>
      </c>
      <c r="BR240" s="65" t="e">
        <f>IF(BQ48=1,IF(BQ$13&lt;=COUNT($C20:$CS20),IF(INDEX($F$206:$F$229,MATCH($B240,$B$206:$B$229,FALSE))=0,NA(),INDEX(BQ$14:BQ$37,MATCH($B240,$B$14:$B$37,FALSE))/INDEX($F$206:$F$229,MATCH($B240,$B$206:$B$229,FALSE))),NA()),NA())</f>
        <v>#N/A</v>
      </c>
      <c r="BS240" s="65" t="e">
        <f>IF(BR48=1,IF(BR$13&lt;=COUNT($C20:$CS20),IF(INDEX($F$206:$F$229,MATCH($B240,$B$206:$B$229,FALSE))=0,NA(),INDEX(BR$14:BR$37,MATCH($B240,$B$14:$B$37,FALSE))/INDEX($F$206:$F$229,MATCH($B240,$B$206:$B$229,FALSE))),NA()),NA())</f>
        <v>#N/A</v>
      </c>
      <c r="BT240" s="65" t="e">
        <f>IF(BS48=1,IF(BS$13&lt;=COUNT($C20:$CS20),IF(INDEX($F$206:$F$229,MATCH($B240,$B$206:$B$229,FALSE))=0,NA(),INDEX(BS$14:BS$37,MATCH($B240,$B$14:$B$37,FALSE))/INDEX($F$206:$F$229,MATCH($B240,$B$206:$B$229,FALSE))),NA()),NA())</f>
        <v>#N/A</v>
      </c>
      <c r="BU240" s="65" t="e">
        <f>IF(BT48=1,IF(BT$13&lt;=COUNT($C20:$CS20),IF(INDEX($F$206:$F$229,MATCH($B240,$B$206:$B$229,FALSE))=0,NA(),INDEX(BT$14:BT$37,MATCH($B240,$B$14:$B$37,FALSE))/INDEX($F$206:$F$229,MATCH($B240,$B$206:$B$229,FALSE))),NA()),NA())</f>
        <v>#N/A</v>
      </c>
      <c r="BV240" s="65" t="e">
        <f>IF(BU48=1,IF(BU$13&lt;=COUNT($C20:$CS20),IF(INDEX($F$206:$F$229,MATCH($B240,$B$206:$B$229,FALSE))=0,NA(),INDEX(BU$14:BU$37,MATCH($B240,$B$14:$B$37,FALSE))/INDEX($F$206:$F$229,MATCH($B240,$B$206:$B$229,FALSE))),NA()),NA())</f>
        <v>#N/A</v>
      </c>
      <c r="BW240" s="65" t="e">
        <f>IF(BV48=1,IF(BV$13&lt;=COUNT($C20:$CS20),IF(INDEX($F$206:$F$229,MATCH($B240,$B$206:$B$229,FALSE))=0,NA(),INDEX(BV$14:BV$37,MATCH($B240,$B$14:$B$37,FALSE))/INDEX($F$206:$F$229,MATCH($B240,$B$206:$B$229,FALSE))),NA()),NA())</f>
        <v>#N/A</v>
      </c>
      <c r="BX240" s="65" t="e">
        <f>IF(BW48=1,IF(BW$13&lt;=COUNT($C20:$CS20),IF(INDEX($F$206:$F$229,MATCH($B240,$B$206:$B$229,FALSE))=0,NA(),INDEX(BW$14:BW$37,MATCH($B240,$B$14:$B$37,FALSE))/INDEX($F$206:$F$229,MATCH($B240,$B$206:$B$229,FALSE))),NA()),NA())</f>
        <v>#N/A</v>
      </c>
      <c r="BY240" s="65" t="e">
        <f>IF(BX48=1,IF(BX$13&lt;=COUNT($C20:$CS20),IF(INDEX($F$206:$F$229,MATCH($B240,$B$206:$B$229,FALSE))=0,NA(),INDEX(BX$14:BX$37,MATCH($B240,$B$14:$B$37,FALSE))/INDEX($F$206:$F$229,MATCH($B240,$B$206:$B$229,FALSE))),NA()),NA())</f>
        <v>#N/A</v>
      </c>
      <c r="BZ240" s="65" t="e">
        <f>IF(BY48=1,IF(BY$13&lt;=COUNT($C20:$CS20),IF(INDEX($F$206:$F$229,MATCH($B240,$B$206:$B$229,FALSE))=0,NA(),INDEX(BY$14:BY$37,MATCH($B240,$B$14:$B$37,FALSE))/INDEX($F$206:$F$229,MATCH($B240,$B$206:$B$229,FALSE))),NA()),NA())</f>
        <v>#N/A</v>
      </c>
      <c r="CA240" s="65" t="e">
        <f>IF(BZ48=1,IF(BZ$13&lt;=COUNT($C20:$CS20),IF(INDEX($F$206:$F$229,MATCH($B240,$B$206:$B$229,FALSE))=0,NA(),INDEX(BZ$14:BZ$37,MATCH($B240,$B$14:$B$37,FALSE))/INDEX($F$206:$F$229,MATCH($B240,$B$206:$B$229,FALSE))),NA()),NA())</f>
        <v>#N/A</v>
      </c>
      <c r="CB240" s="65" t="e">
        <f>IF(CA48=1,IF(CA$13&lt;=COUNT($C20:$CS20),IF(INDEX($F$206:$F$229,MATCH($B240,$B$206:$B$229,FALSE))=0,NA(),INDEX(CA$14:CA$37,MATCH($B240,$B$14:$B$37,FALSE))/INDEX($F$206:$F$229,MATCH($B240,$B$206:$B$229,FALSE))),NA()),NA())</f>
        <v>#N/A</v>
      </c>
      <c r="CC240" s="65" t="e">
        <f>IF(CB48=1,IF(CB$13&lt;=COUNT($C20:$CS20),IF(INDEX($F$206:$F$229,MATCH($B240,$B$206:$B$229,FALSE))=0,NA(),INDEX(CB$14:CB$37,MATCH($B240,$B$14:$B$37,FALSE))/INDEX($F$206:$F$229,MATCH($B240,$B$206:$B$229,FALSE))),NA()),NA())</f>
        <v>#N/A</v>
      </c>
      <c r="CD240" s="65" t="e">
        <f>IF(CC48=1,IF(CC$13&lt;=COUNT($C20:$CS20),IF(INDEX($F$206:$F$229,MATCH($B240,$B$206:$B$229,FALSE))=0,NA(),INDEX(CC$14:CC$37,MATCH($B240,$B$14:$B$37,FALSE))/INDEX($F$206:$F$229,MATCH($B240,$B$206:$B$229,FALSE))),NA()),NA())</f>
        <v>#N/A</v>
      </c>
      <c r="CE240" s="65" t="e">
        <f>IF(CD48=1,IF(CD$13&lt;=COUNT($C20:$CS20),IF(INDEX($F$206:$F$229,MATCH($B240,$B$206:$B$229,FALSE))=0,NA(),INDEX(CD$14:CD$37,MATCH($B240,$B$14:$B$37,FALSE))/INDEX($F$206:$F$229,MATCH($B240,$B$206:$B$229,FALSE))),NA()),NA())</f>
        <v>#N/A</v>
      </c>
      <c r="CF240" s="65" t="e">
        <f>IF(CE48=1,IF(CE$13&lt;=COUNT($C20:$CS20),IF(INDEX($F$206:$F$229,MATCH($B240,$B$206:$B$229,FALSE))=0,NA(),INDEX(CE$14:CE$37,MATCH($B240,$B$14:$B$37,FALSE))/INDEX($F$206:$F$229,MATCH($B240,$B$206:$B$229,FALSE))),NA()),NA())</f>
        <v>#N/A</v>
      </c>
      <c r="CG240" s="65" t="e">
        <f>IF(CF48=1,IF(CF$13&lt;=COUNT($C20:$CS20),IF(INDEX($F$206:$F$229,MATCH($B240,$B$206:$B$229,FALSE))=0,NA(),INDEX(CF$14:CF$37,MATCH($B240,$B$14:$B$37,FALSE))/INDEX($F$206:$F$229,MATCH($B240,$B$206:$B$229,FALSE))),NA()),NA())</f>
        <v>#N/A</v>
      </c>
      <c r="CH240" s="65" t="e">
        <f>IF(CG48=1,IF(CG$13&lt;=COUNT($C20:$CS20),IF(INDEX($F$206:$F$229,MATCH($B240,$B$206:$B$229,FALSE))=0,NA(),INDEX(CG$14:CG$37,MATCH($B240,$B$14:$B$37,FALSE))/INDEX($F$206:$F$229,MATCH($B240,$B$206:$B$229,FALSE))),NA()),NA())</f>
        <v>#N/A</v>
      </c>
      <c r="CI240" s="65" t="e">
        <f>IF(CH48=1,IF(CH$13&lt;=COUNT($C20:$CS20),IF(INDEX($F$206:$F$229,MATCH($B240,$B$206:$B$229,FALSE))=0,NA(),INDEX(CH$14:CH$37,MATCH($B240,$B$14:$B$37,FALSE))/INDEX($F$206:$F$229,MATCH($B240,$B$206:$B$229,FALSE))),NA()),NA())</f>
        <v>#N/A</v>
      </c>
      <c r="CJ240" s="65" t="e">
        <f>IF(CI48=1,IF(CI$13&lt;=COUNT($C20:$CS20),IF(INDEX($F$206:$F$229,MATCH($B240,$B$206:$B$229,FALSE))=0,NA(),INDEX(CI$14:CI$37,MATCH($B240,$B$14:$B$37,FALSE))/INDEX($F$206:$F$229,MATCH($B240,$B$206:$B$229,FALSE))),NA()),NA())</f>
        <v>#N/A</v>
      </c>
      <c r="CK240" s="65" t="e">
        <f>IF(CJ48=1,IF(CJ$13&lt;=COUNT($C20:$CS20),IF(INDEX($F$206:$F$229,MATCH($B240,$B$206:$B$229,FALSE))=0,NA(),INDEX(CJ$14:CJ$37,MATCH($B240,$B$14:$B$37,FALSE))/INDEX($F$206:$F$229,MATCH($B240,$B$206:$B$229,FALSE))),NA()),NA())</f>
        <v>#N/A</v>
      </c>
      <c r="CL240" s="65" t="e">
        <f>IF(CK48=1,IF(CK$13&lt;=COUNT($C20:$CS20),IF(INDEX($F$206:$F$229,MATCH($B240,$B$206:$B$229,FALSE))=0,NA(),INDEX(CK$14:CK$37,MATCH($B240,$B$14:$B$37,FALSE))/INDEX($F$206:$F$229,MATCH($B240,$B$206:$B$229,FALSE))),NA()),NA())</f>
        <v>#N/A</v>
      </c>
      <c r="CM240" s="65" t="e">
        <f>IF(CL48=1,IF(CL$13&lt;=COUNT($C20:$CS20),IF(INDEX($F$206:$F$229,MATCH($B240,$B$206:$B$229,FALSE))=0,NA(),INDEX(CL$14:CL$37,MATCH($B240,$B$14:$B$37,FALSE))/INDEX($F$206:$F$229,MATCH($B240,$B$206:$B$229,FALSE))),NA()),NA())</f>
        <v>#N/A</v>
      </c>
      <c r="CN240" s="65" t="e">
        <f>IF(CM48=1,IF(CM$13&lt;=COUNT($C20:$CS20),IF(INDEX($F$206:$F$229,MATCH($B240,$B$206:$B$229,FALSE))=0,NA(),INDEX(CM$14:CM$37,MATCH($B240,$B$14:$B$37,FALSE))/INDEX($F$206:$F$229,MATCH($B240,$B$206:$B$229,FALSE))),NA()),NA())</f>
        <v>#N/A</v>
      </c>
      <c r="CO240" s="65" t="e">
        <f>IF(CN48=1,IF(CN$13&lt;=COUNT($C20:$CS20),IF(INDEX($F$206:$F$229,MATCH($B240,$B$206:$B$229,FALSE))=0,NA(),INDEX(CN$14:CN$37,MATCH($B240,$B$14:$B$37,FALSE))/INDEX($F$206:$F$229,MATCH($B240,$B$206:$B$229,FALSE))),NA()),NA())</f>
        <v>#N/A</v>
      </c>
      <c r="CP240" s="65" t="e">
        <f>IF(CO48=1,IF(CO$13&lt;=COUNT($C20:$CS20),IF(INDEX($F$206:$F$229,MATCH($B240,$B$206:$B$229,FALSE))=0,NA(),INDEX(CO$14:CO$37,MATCH($B240,$B$14:$B$37,FALSE))/INDEX($F$206:$F$229,MATCH($B240,$B$206:$B$229,FALSE))),NA()),NA())</f>
        <v>#N/A</v>
      </c>
      <c r="CQ240" s="65" t="e">
        <f>IF(CP48=1,IF(CP$13&lt;=COUNT($C20:$CS20),IF(INDEX($F$206:$F$229,MATCH($B240,$B$206:$B$229,FALSE))=0,NA(),INDEX(CP$14:CP$37,MATCH($B240,$B$14:$B$37,FALSE))/INDEX($F$206:$F$229,MATCH($B240,$B$206:$B$229,FALSE))),NA()),NA())</f>
        <v>#N/A</v>
      </c>
      <c r="CR240" s="65" t="e">
        <f>IF(CQ48=1,IF(CQ$13&lt;=COUNT($C20:$CS20),IF(INDEX($F$206:$F$229,MATCH($B240,$B$206:$B$229,FALSE))=0,NA(),INDEX(CQ$14:CQ$37,MATCH($B240,$B$14:$B$37,FALSE))/INDEX($F$206:$F$229,MATCH($B240,$B$206:$B$229,FALSE))),NA()),NA())</f>
        <v>#N/A</v>
      </c>
      <c r="CS240" s="65" t="e">
        <f>IF(CR48=1,IF(CR$13&lt;=COUNT($C20:$CS20),IF(INDEX($F$206:$F$229,MATCH($B240,$B$206:$B$229,FALSE))=0,NA(),INDEX(CR$14:CR$37,MATCH($B240,$B$14:$B$37,FALSE))/INDEX($F$206:$F$229,MATCH($B240,$B$206:$B$229,FALSE))),NA()),NA())</f>
        <v>#N/A</v>
      </c>
      <c r="CT240" s="49"/>
      <c r="CU240" s="49"/>
      <c r="CV240" s="49"/>
      <c r="CW240" s="49"/>
    </row>
    <row r="241" spans="1:101" x14ac:dyDescent="0.25">
      <c r="A241" s="97">
        <f t="shared" si="105"/>
        <v>0</v>
      </c>
      <c r="B241" s="29">
        <f t="shared" si="104"/>
        <v>2003</v>
      </c>
      <c r="C241" s="154" t="str">
        <f t="shared" si="106"/>
        <v/>
      </c>
      <c r="D241" s="54" t="e">
        <f>IF(C49=1,IF(C$13&lt;=COUNT($C21:$CS21),IF(INDEX($F$206:$F$229,MATCH($B241,$B$206:$B$229,FALSE))=0,NA(),INDEX(C$14:C$37,MATCH($B241,$B$14:$B$37,FALSE))/INDEX($F$206:$F$229,MATCH($B241,$B$206:$B$229,FALSE))),NA()),NA())</f>
        <v>#N/A</v>
      </c>
      <c r="E241" s="65" t="e">
        <f>IF(D49=1,IF(D$13&lt;=COUNT($C21:$CS21),IF(INDEX($F$206:$F$229,MATCH($B241,$B$206:$B$229,FALSE))=0,NA(),INDEX(D$14:D$37,MATCH($B241,$B$14:$B$37,FALSE))/INDEX($F$206:$F$229,MATCH($B241,$B$206:$B$229,FALSE))),NA()),NA())</f>
        <v>#N/A</v>
      </c>
      <c r="F241" s="65" t="e">
        <f>IF(E49=1,IF(E$13&lt;=COUNT($C21:$CS21),IF(INDEX($F$206:$F$229,MATCH($B241,$B$206:$B$229,FALSE))=0,NA(),INDEX(E$14:E$37,MATCH($B241,$B$14:$B$37,FALSE))/INDEX($F$206:$F$229,MATCH($B241,$B$206:$B$229,FALSE))),NA()),NA())</f>
        <v>#N/A</v>
      </c>
      <c r="G241" s="65" t="e">
        <f>IF(F49=1,IF(F$13&lt;=COUNT($C21:$CS21),IF(INDEX($F$206:$F$229,MATCH($B241,$B$206:$B$229,FALSE))=0,NA(),INDEX(F$14:F$37,MATCH($B241,$B$14:$B$37,FALSE))/INDEX($F$206:$F$229,MATCH($B241,$B$206:$B$229,FALSE))),NA()),NA())</f>
        <v>#N/A</v>
      </c>
      <c r="H241" s="65" t="e">
        <f>IF(G49=1,IF(G$13&lt;=COUNT($C21:$CS21),IF(INDEX($F$206:$F$229,MATCH($B241,$B$206:$B$229,FALSE))=0,NA(),INDEX(G$14:G$37,MATCH($B241,$B$14:$B$37,FALSE))/INDEX($F$206:$F$229,MATCH($B241,$B$206:$B$229,FALSE))),NA()),NA())</f>
        <v>#N/A</v>
      </c>
      <c r="I241" s="65" t="e">
        <f>IF(H49=1,IF(H$13&lt;=COUNT($C21:$CS21),IF(INDEX($F$206:$F$229,MATCH($B241,$B$206:$B$229,FALSE))=0,NA(),INDEX(H$14:H$37,MATCH($B241,$B$14:$B$37,FALSE))/INDEX($F$206:$F$229,MATCH($B241,$B$206:$B$229,FALSE))),NA()),NA())</f>
        <v>#N/A</v>
      </c>
      <c r="J241" s="65" t="e">
        <f>IF(I49=1,IF(I$13&lt;=COUNT($C21:$CS21),IF(INDEX($F$206:$F$229,MATCH($B241,$B$206:$B$229,FALSE))=0,NA(),INDEX(I$14:I$37,MATCH($B241,$B$14:$B$37,FALSE))/INDEX($F$206:$F$229,MATCH($B241,$B$206:$B$229,FALSE))),NA()),NA())</f>
        <v>#N/A</v>
      </c>
      <c r="K241" s="65" t="e">
        <f>IF(J49=1,IF(J$13&lt;=COUNT($C21:$CS21),IF(INDEX($F$206:$F$229,MATCH($B241,$B$206:$B$229,FALSE))=0,NA(),INDEX(J$14:J$37,MATCH($B241,$B$14:$B$37,FALSE))/INDEX($F$206:$F$229,MATCH($B241,$B$206:$B$229,FALSE))),NA()),NA())</f>
        <v>#N/A</v>
      </c>
      <c r="L241" s="65" t="e">
        <f>IF(K49=1,IF(K$13&lt;=COUNT($C21:$CS21),IF(INDEX($F$206:$F$229,MATCH($B241,$B$206:$B$229,FALSE))=0,NA(),INDEX(K$14:K$37,MATCH($B241,$B$14:$B$37,FALSE))/INDEX($F$206:$F$229,MATCH($B241,$B$206:$B$229,FALSE))),NA()),NA())</f>
        <v>#N/A</v>
      </c>
      <c r="M241" s="65" t="e">
        <f>IF(L49=1,IF(L$13&lt;=COUNT($C21:$CS21),IF(INDEX($F$206:$F$229,MATCH($B241,$B$206:$B$229,FALSE))=0,NA(),INDEX(L$14:L$37,MATCH($B241,$B$14:$B$37,FALSE))/INDEX($F$206:$F$229,MATCH($B241,$B$206:$B$229,FALSE))),NA()),NA())</f>
        <v>#N/A</v>
      </c>
      <c r="N241" s="65" t="e">
        <f>IF(M49=1,IF(M$13&lt;=COUNT($C21:$CS21),IF(INDEX($F$206:$F$229,MATCH($B241,$B$206:$B$229,FALSE))=0,NA(),INDEX(M$14:M$37,MATCH($B241,$B$14:$B$37,FALSE))/INDEX($F$206:$F$229,MATCH($B241,$B$206:$B$229,FALSE))),NA()),NA())</f>
        <v>#N/A</v>
      </c>
      <c r="O241" s="65" t="e">
        <f>IF(N49=1,IF(N$13&lt;=COUNT($C21:$CS21),IF(INDEX($F$206:$F$229,MATCH($B241,$B$206:$B$229,FALSE))=0,NA(),INDEX(N$14:N$37,MATCH($B241,$B$14:$B$37,FALSE))/INDEX($F$206:$F$229,MATCH($B241,$B$206:$B$229,FALSE))),NA()),NA())</f>
        <v>#N/A</v>
      </c>
      <c r="P241" s="65" t="e">
        <f>IF(O49=1,IF(O$13&lt;=COUNT($C21:$CS21),IF(INDEX($F$206:$F$229,MATCH($B241,$B$206:$B$229,FALSE))=0,NA(),INDEX(O$14:O$37,MATCH($B241,$B$14:$B$37,FALSE))/INDEX($F$206:$F$229,MATCH($B241,$B$206:$B$229,FALSE))),NA()),NA())</f>
        <v>#N/A</v>
      </c>
      <c r="Q241" s="65" t="e">
        <f>IF(P49=1,IF(P$13&lt;=COUNT($C21:$CS21),IF(INDEX($F$206:$F$229,MATCH($B241,$B$206:$B$229,FALSE))=0,NA(),INDEX(P$14:P$37,MATCH($B241,$B$14:$B$37,FALSE))/INDEX($F$206:$F$229,MATCH($B241,$B$206:$B$229,FALSE))),NA()),NA())</f>
        <v>#N/A</v>
      </c>
      <c r="R241" s="65" t="e">
        <f>IF(Q49=1,IF(Q$13&lt;=COUNT($C21:$CS21),IF(INDEX($F$206:$F$229,MATCH($B241,$B$206:$B$229,FALSE))=0,NA(),INDEX(Q$14:Q$37,MATCH($B241,$B$14:$B$37,FALSE))/INDEX($F$206:$F$229,MATCH($B241,$B$206:$B$229,FALSE))),NA()),NA())</f>
        <v>#N/A</v>
      </c>
      <c r="S241" s="65" t="e">
        <f>IF(R49=1,IF(R$13&lt;=COUNT($C21:$CS21),IF(INDEX($F$206:$F$229,MATCH($B241,$B$206:$B$229,FALSE))=0,NA(),INDEX(R$14:R$37,MATCH($B241,$B$14:$B$37,FALSE))/INDEX($F$206:$F$229,MATCH($B241,$B$206:$B$229,FALSE))),NA()),NA())</f>
        <v>#N/A</v>
      </c>
      <c r="T241" s="65" t="e">
        <f>IF(S49=1,IF(S$13&lt;=COUNT($C21:$CS21),IF(INDEX($F$206:$F$229,MATCH($B241,$B$206:$B$229,FALSE))=0,NA(),INDEX(S$14:S$37,MATCH($B241,$B$14:$B$37,FALSE))/INDEX($F$206:$F$229,MATCH($B241,$B$206:$B$229,FALSE))),NA()),NA())</f>
        <v>#N/A</v>
      </c>
      <c r="U241" s="65" t="e">
        <f>IF(T49=1,IF(T$13&lt;=COUNT($C21:$CS21),IF(INDEX($F$206:$F$229,MATCH($B241,$B$206:$B$229,FALSE))=0,NA(),INDEX(T$14:T$37,MATCH($B241,$B$14:$B$37,FALSE))/INDEX($F$206:$F$229,MATCH($B241,$B$206:$B$229,FALSE))),NA()),NA())</f>
        <v>#N/A</v>
      </c>
      <c r="V241" s="65" t="e">
        <f>IF(U49=1,IF(U$13&lt;=COUNT($C21:$CS21),IF(INDEX($F$206:$F$229,MATCH($B241,$B$206:$B$229,FALSE))=0,NA(),INDEX(U$14:U$37,MATCH($B241,$B$14:$B$37,FALSE))/INDEX($F$206:$F$229,MATCH($B241,$B$206:$B$229,FALSE))),NA()),NA())</f>
        <v>#N/A</v>
      </c>
      <c r="W241" s="65" t="e">
        <f>IF(V49=1,IF(V$13&lt;=COUNT($C21:$CS21),IF(INDEX($F$206:$F$229,MATCH($B241,$B$206:$B$229,FALSE))=0,NA(),INDEX(V$14:V$37,MATCH($B241,$B$14:$B$37,FALSE))/INDEX($F$206:$F$229,MATCH($B241,$B$206:$B$229,FALSE))),NA()),NA())</f>
        <v>#N/A</v>
      </c>
      <c r="X241" s="65" t="e">
        <f>IF(W49=1,IF(W$13&lt;=COUNT($C21:$CS21),IF(INDEX($F$206:$F$229,MATCH($B241,$B$206:$B$229,FALSE))=0,NA(),INDEX(W$14:W$37,MATCH($B241,$B$14:$B$37,FALSE))/INDEX($F$206:$F$229,MATCH($B241,$B$206:$B$229,FALSE))),NA()),NA())</f>
        <v>#N/A</v>
      </c>
      <c r="Y241" s="65" t="e">
        <f>IF(X49=1,IF(X$13&lt;=COUNT($C21:$CS21),IF(INDEX($F$206:$F$229,MATCH($B241,$B$206:$B$229,FALSE))=0,NA(),INDEX(X$14:X$37,MATCH($B241,$B$14:$B$37,FALSE))/INDEX($F$206:$F$229,MATCH($B241,$B$206:$B$229,FALSE))),NA()),NA())</f>
        <v>#N/A</v>
      </c>
      <c r="Z241" s="65" t="e">
        <f>IF(Y49=1,IF(Y$13&lt;=COUNT($C21:$CS21),IF(INDEX($F$206:$F$229,MATCH($B241,$B$206:$B$229,FALSE))=0,NA(),INDEX(Y$14:Y$37,MATCH($B241,$B$14:$B$37,FALSE))/INDEX($F$206:$F$229,MATCH($B241,$B$206:$B$229,FALSE))),NA()),NA())</f>
        <v>#N/A</v>
      </c>
      <c r="AA241" s="65" t="e">
        <f>IF(Z49=1,IF(Z$13&lt;=COUNT($C21:$CS21),IF(INDEX($F$206:$F$229,MATCH($B241,$B$206:$B$229,FALSE))=0,NA(),INDEX(Z$14:Z$37,MATCH($B241,$B$14:$B$37,FALSE))/INDEX($F$206:$F$229,MATCH($B241,$B$206:$B$229,FALSE))),NA()),NA())</f>
        <v>#N/A</v>
      </c>
      <c r="AB241" s="65" t="e">
        <f>IF(AA49=1,IF(AA$13&lt;=COUNT($C21:$CS21),IF(INDEX($F$206:$F$229,MATCH($B241,$B$206:$B$229,FALSE))=0,NA(),INDEX(AA$14:AA$37,MATCH($B241,$B$14:$B$37,FALSE))/INDEX($F$206:$F$229,MATCH($B241,$B$206:$B$229,FALSE))),NA()),NA())</f>
        <v>#N/A</v>
      </c>
      <c r="AC241" s="65" t="e">
        <f>IF(AB49=1,IF(AB$13&lt;=COUNT($C21:$CS21),IF(INDEX($F$206:$F$229,MATCH($B241,$B$206:$B$229,FALSE))=0,NA(),INDEX(AB$14:AB$37,MATCH($B241,$B$14:$B$37,FALSE))/INDEX($F$206:$F$229,MATCH($B241,$B$206:$B$229,FALSE))),NA()),NA())</f>
        <v>#N/A</v>
      </c>
      <c r="AD241" s="65" t="e">
        <f>IF(AC49=1,IF(AC$13&lt;=COUNT($C21:$CS21),IF(INDEX($F$206:$F$229,MATCH($B241,$B$206:$B$229,FALSE))=0,NA(),INDEX(AC$14:AC$37,MATCH($B241,$B$14:$B$37,FALSE))/INDEX($F$206:$F$229,MATCH($B241,$B$206:$B$229,FALSE))),NA()),NA())</f>
        <v>#N/A</v>
      </c>
      <c r="AE241" s="65" t="e">
        <f>IF(AD49=1,IF(AD$13&lt;=COUNT($C21:$CS21),IF(INDEX($F$206:$F$229,MATCH($B241,$B$206:$B$229,FALSE))=0,NA(),INDEX(AD$14:AD$37,MATCH($B241,$B$14:$B$37,FALSE))/INDEX($F$206:$F$229,MATCH($B241,$B$206:$B$229,FALSE))),NA()),NA())</f>
        <v>#N/A</v>
      </c>
      <c r="AF241" s="65" t="e">
        <f>IF(AE49=1,IF(AE$13&lt;=COUNT($C21:$CS21),IF(INDEX($F$206:$F$229,MATCH($B241,$B$206:$B$229,FALSE))=0,NA(),INDEX(AE$14:AE$37,MATCH($B241,$B$14:$B$37,FALSE))/INDEX($F$206:$F$229,MATCH($B241,$B$206:$B$229,FALSE))),NA()),NA())</f>
        <v>#N/A</v>
      </c>
      <c r="AG241" s="65" t="e">
        <f>IF(AF49=1,IF(AF$13&lt;=COUNT($C21:$CS21),IF(INDEX($F$206:$F$229,MATCH($B241,$B$206:$B$229,FALSE))=0,NA(),INDEX(AF$14:AF$37,MATCH($B241,$B$14:$B$37,FALSE))/INDEX($F$206:$F$229,MATCH($B241,$B$206:$B$229,FALSE))),NA()),NA())</f>
        <v>#N/A</v>
      </c>
      <c r="AH241" s="65" t="e">
        <f>IF(AG49=1,IF(AG$13&lt;=COUNT($C21:$CS21),IF(INDEX($F$206:$F$229,MATCH($B241,$B$206:$B$229,FALSE))=0,NA(),INDEX(AG$14:AG$37,MATCH($B241,$B$14:$B$37,FALSE))/INDEX($F$206:$F$229,MATCH($B241,$B$206:$B$229,FALSE))),NA()),NA())</f>
        <v>#N/A</v>
      </c>
      <c r="AI241" s="65" t="e">
        <f>IF(AH49=1,IF(AH$13&lt;=COUNT($C21:$CS21),IF(INDEX($F$206:$F$229,MATCH($B241,$B$206:$B$229,FALSE))=0,NA(),INDEX(AH$14:AH$37,MATCH($B241,$B$14:$B$37,FALSE))/INDEX($F$206:$F$229,MATCH($B241,$B$206:$B$229,FALSE))),NA()),NA())</f>
        <v>#N/A</v>
      </c>
      <c r="AJ241" s="65" t="e">
        <f>IF(AI49=1,IF(AI$13&lt;=COUNT($C21:$CS21),IF(INDEX($F$206:$F$229,MATCH($B241,$B$206:$B$229,FALSE))=0,NA(),INDEX(AI$14:AI$37,MATCH($B241,$B$14:$B$37,FALSE))/INDEX($F$206:$F$229,MATCH($B241,$B$206:$B$229,FALSE))),NA()),NA())</f>
        <v>#N/A</v>
      </c>
      <c r="AK241" s="65" t="e">
        <f>IF(AJ49=1,IF(AJ$13&lt;=COUNT($C21:$CS21),IF(INDEX($F$206:$F$229,MATCH($B241,$B$206:$B$229,FALSE))=0,NA(),INDEX(AJ$14:AJ$37,MATCH($B241,$B$14:$B$37,FALSE))/INDEX($F$206:$F$229,MATCH($B241,$B$206:$B$229,FALSE))),NA()),NA())</f>
        <v>#N/A</v>
      </c>
      <c r="AL241" s="65" t="e">
        <f>IF(AK49=1,IF(AK$13&lt;=COUNT($C21:$CS21),IF(INDEX($F$206:$F$229,MATCH($B241,$B$206:$B$229,FALSE))=0,NA(),INDEX(AK$14:AK$37,MATCH($B241,$B$14:$B$37,FALSE))/INDEX($F$206:$F$229,MATCH($B241,$B$206:$B$229,FALSE))),NA()),NA())</f>
        <v>#N/A</v>
      </c>
      <c r="AM241" s="65" t="e">
        <f>IF(AL49=1,IF(AL$13&lt;=COUNT($C21:$CS21),IF(INDEX($F$206:$F$229,MATCH($B241,$B$206:$B$229,FALSE))=0,NA(),INDEX(AL$14:AL$37,MATCH($B241,$B$14:$B$37,FALSE))/INDEX($F$206:$F$229,MATCH($B241,$B$206:$B$229,FALSE))),NA()),NA())</f>
        <v>#N/A</v>
      </c>
      <c r="AN241" s="65" t="e">
        <f>IF(AM49=1,IF(AM$13&lt;=COUNT($C21:$CS21),IF(INDEX($F$206:$F$229,MATCH($B241,$B$206:$B$229,FALSE))=0,NA(),INDEX(AM$14:AM$37,MATCH($B241,$B$14:$B$37,FALSE))/INDEX($F$206:$F$229,MATCH($B241,$B$206:$B$229,FALSE))),NA()),NA())</f>
        <v>#N/A</v>
      </c>
      <c r="AO241" s="65" t="e">
        <f>IF(AN49=1,IF(AN$13&lt;=COUNT($C21:$CS21),IF(INDEX($F$206:$F$229,MATCH($B241,$B$206:$B$229,FALSE))=0,NA(),INDEX(AN$14:AN$37,MATCH($B241,$B$14:$B$37,FALSE))/INDEX($F$206:$F$229,MATCH($B241,$B$206:$B$229,FALSE))),NA()),NA())</f>
        <v>#N/A</v>
      </c>
      <c r="AP241" s="65" t="e">
        <f>IF(AO49=1,IF(AO$13&lt;=COUNT($C21:$CS21),IF(INDEX($F$206:$F$229,MATCH($B241,$B$206:$B$229,FALSE))=0,NA(),INDEX(AO$14:AO$37,MATCH($B241,$B$14:$B$37,FALSE))/INDEX($F$206:$F$229,MATCH($B241,$B$206:$B$229,FALSE))),NA()),NA())</f>
        <v>#N/A</v>
      </c>
      <c r="AQ241" s="65" t="e">
        <f>IF(AP49=1,IF(AP$13&lt;=COUNT($C21:$CS21),IF(INDEX($F$206:$F$229,MATCH($B241,$B$206:$B$229,FALSE))=0,NA(),INDEX(AP$14:AP$37,MATCH($B241,$B$14:$B$37,FALSE))/INDEX($F$206:$F$229,MATCH($B241,$B$206:$B$229,FALSE))),NA()),NA())</f>
        <v>#N/A</v>
      </c>
      <c r="AR241" s="65" t="e">
        <f>IF(AQ49=1,IF(AQ$13&lt;=COUNT($C21:$CS21),IF(INDEX($F$206:$F$229,MATCH($B241,$B$206:$B$229,FALSE))=0,NA(),INDEX(AQ$14:AQ$37,MATCH($B241,$B$14:$B$37,FALSE))/INDEX($F$206:$F$229,MATCH($B241,$B$206:$B$229,FALSE))),NA()),NA())</f>
        <v>#N/A</v>
      </c>
      <c r="AS241" s="65" t="e">
        <f>IF(AR49=1,IF(AR$13&lt;=COUNT($C21:$CS21),IF(INDEX($F$206:$F$229,MATCH($B241,$B$206:$B$229,FALSE))=0,NA(),INDEX(AR$14:AR$37,MATCH($B241,$B$14:$B$37,FALSE))/INDEX($F$206:$F$229,MATCH($B241,$B$206:$B$229,FALSE))),NA()),NA())</f>
        <v>#N/A</v>
      </c>
      <c r="AT241" s="65" t="e">
        <f>IF(AS49=1,IF(AS$13&lt;=COUNT($C21:$CS21),IF(INDEX($F$206:$F$229,MATCH($B241,$B$206:$B$229,FALSE))=0,NA(),INDEX(AS$14:AS$37,MATCH($B241,$B$14:$B$37,FALSE))/INDEX($F$206:$F$229,MATCH($B241,$B$206:$B$229,FALSE))),NA()),NA())</f>
        <v>#N/A</v>
      </c>
      <c r="AU241" s="65" t="e">
        <f>IF(AT49=1,IF(AT$13&lt;=COUNT($C21:$CS21),IF(INDEX($F$206:$F$229,MATCH($B241,$B$206:$B$229,FALSE))=0,NA(),INDEX(AT$14:AT$37,MATCH($B241,$B$14:$B$37,FALSE))/INDEX($F$206:$F$229,MATCH($B241,$B$206:$B$229,FALSE))),NA()),NA())</f>
        <v>#N/A</v>
      </c>
      <c r="AV241" s="65" t="e">
        <f>IF(AU49=1,IF(AU$13&lt;=COUNT($C21:$CS21),IF(INDEX($F$206:$F$229,MATCH($B241,$B$206:$B$229,FALSE))=0,NA(),INDEX(AU$14:AU$37,MATCH($B241,$B$14:$B$37,FALSE))/INDEX($F$206:$F$229,MATCH($B241,$B$206:$B$229,FALSE))),NA()),NA())</f>
        <v>#N/A</v>
      </c>
      <c r="AW241" s="65" t="e">
        <f>IF(AV49=1,IF(AV$13&lt;=COUNT($C21:$CS21),IF(INDEX($F$206:$F$229,MATCH($B241,$B$206:$B$229,FALSE))=0,NA(),INDEX(AV$14:AV$37,MATCH($B241,$B$14:$B$37,FALSE))/INDEX($F$206:$F$229,MATCH($B241,$B$206:$B$229,FALSE))),NA()),NA())</f>
        <v>#N/A</v>
      </c>
      <c r="AX241" s="65" t="e">
        <f>IF(AW49=1,IF(AW$13&lt;=COUNT($C21:$CS21),IF(INDEX($F$206:$F$229,MATCH($B241,$B$206:$B$229,FALSE))=0,NA(),INDEX(AW$14:AW$37,MATCH($B241,$B$14:$B$37,FALSE))/INDEX($F$206:$F$229,MATCH($B241,$B$206:$B$229,FALSE))),NA()),NA())</f>
        <v>#N/A</v>
      </c>
      <c r="AY241" s="65" t="e">
        <f>IF(AX49=1,IF(AX$13&lt;=COUNT($C21:$CS21),IF(INDEX($F$206:$F$229,MATCH($B241,$B$206:$B$229,FALSE))=0,NA(),INDEX(AX$14:AX$37,MATCH($B241,$B$14:$B$37,FALSE))/INDEX($F$206:$F$229,MATCH($B241,$B$206:$B$229,FALSE))),NA()),NA())</f>
        <v>#N/A</v>
      </c>
      <c r="AZ241" s="65" t="e">
        <f>IF(AY49=1,IF(AY$13&lt;=COUNT($C21:$CS21),IF(INDEX($F$206:$F$229,MATCH($B241,$B$206:$B$229,FALSE))=0,NA(),INDEX(AY$14:AY$37,MATCH($B241,$B$14:$B$37,FALSE))/INDEX($F$206:$F$229,MATCH($B241,$B$206:$B$229,FALSE))),NA()),NA())</f>
        <v>#N/A</v>
      </c>
      <c r="BA241" s="65" t="e">
        <f>IF(AZ49=1,IF(AZ$13&lt;=COUNT($C21:$CS21),IF(INDEX($F$206:$F$229,MATCH($B241,$B$206:$B$229,FALSE))=0,NA(),INDEX(AZ$14:AZ$37,MATCH($B241,$B$14:$B$37,FALSE))/INDEX($F$206:$F$229,MATCH($B241,$B$206:$B$229,FALSE))),NA()),NA())</f>
        <v>#N/A</v>
      </c>
      <c r="BB241" s="65" t="e">
        <f>IF(BA49=1,IF(BA$13&lt;=COUNT($C21:$CS21),IF(INDEX($F$206:$F$229,MATCH($B241,$B$206:$B$229,FALSE))=0,NA(),INDEX(BA$14:BA$37,MATCH($B241,$B$14:$B$37,FALSE))/INDEX($F$206:$F$229,MATCH($B241,$B$206:$B$229,FALSE))),NA()),NA())</f>
        <v>#N/A</v>
      </c>
      <c r="BC241" s="65" t="e">
        <f>IF(BB49=1,IF(BB$13&lt;=COUNT($C21:$CS21),IF(INDEX($F$206:$F$229,MATCH($B241,$B$206:$B$229,FALSE))=0,NA(),INDEX(BB$14:BB$37,MATCH($B241,$B$14:$B$37,FALSE))/INDEX($F$206:$F$229,MATCH($B241,$B$206:$B$229,FALSE))),NA()),NA())</f>
        <v>#N/A</v>
      </c>
      <c r="BD241" s="65" t="e">
        <f>IF(BC49=1,IF(BC$13&lt;=COUNT($C21:$CS21),IF(INDEX($F$206:$F$229,MATCH($B241,$B$206:$B$229,FALSE))=0,NA(),INDEX(BC$14:BC$37,MATCH($B241,$B$14:$B$37,FALSE))/INDEX($F$206:$F$229,MATCH($B241,$B$206:$B$229,FALSE))),NA()),NA())</f>
        <v>#N/A</v>
      </c>
      <c r="BE241" s="65" t="e">
        <f>IF(BD49=1,IF(BD$13&lt;=COUNT($C21:$CS21),IF(INDEX($F$206:$F$229,MATCH($B241,$B$206:$B$229,FALSE))=0,NA(),INDEX(BD$14:BD$37,MATCH($B241,$B$14:$B$37,FALSE))/INDEX($F$206:$F$229,MATCH($B241,$B$206:$B$229,FALSE))),NA()),NA())</f>
        <v>#N/A</v>
      </c>
      <c r="BF241" s="65" t="e">
        <f>IF(BE49=1,IF(BE$13&lt;=COUNT($C21:$CS21),IF(INDEX($F$206:$F$229,MATCH($B241,$B$206:$B$229,FALSE))=0,NA(),INDEX(BE$14:BE$37,MATCH($B241,$B$14:$B$37,FALSE))/INDEX($F$206:$F$229,MATCH($B241,$B$206:$B$229,FALSE))),NA()),NA())</f>
        <v>#N/A</v>
      </c>
      <c r="BG241" s="65" t="e">
        <f>IF(BF49=1,IF(BF$13&lt;=COUNT($C21:$CS21),IF(INDEX($F$206:$F$229,MATCH($B241,$B$206:$B$229,FALSE))=0,NA(),INDEX(BF$14:BF$37,MATCH($B241,$B$14:$B$37,FALSE))/INDEX($F$206:$F$229,MATCH($B241,$B$206:$B$229,FALSE))),NA()),NA())</f>
        <v>#N/A</v>
      </c>
      <c r="BH241" s="65" t="e">
        <f>IF(BG49=1,IF(BG$13&lt;=COUNT($C21:$CS21),IF(INDEX($F$206:$F$229,MATCH($B241,$B$206:$B$229,FALSE))=0,NA(),INDEX(BG$14:BG$37,MATCH($B241,$B$14:$B$37,FALSE))/INDEX($F$206:$F$229,MATCH($B241,$B$206:$B$229,FALSE))),NA()),NA())</f>
        <v>#N/A</v>
      </c>
      <c r="BI241" s="65" t="e">
        <f>IF(BH49=1,IF(BH$13&lt;=COUNT($C21:$CS21),IF(INDEX($F$206:$F$229,MATCH($B241,$B$206:$B$229,FALSE))=0,NA(),INDEX(BH$14:BH$37,MATCH($B241,$B$14:$B$37,FALSE))/INDEX($F$206:$F$229,MATCH($B241,$B$206:$B$229,FALSE))),NA()),NA())</f>
        <v>#N/A</v>
      </c>
      <c r="BJ241" s="65" t="e">
        <f>IF(BI49=1,IF(BI$13&lt;=COUNT($C21:$CS21),IF(INDEX($F$206:$F$229,MATCH($B241,$B$206:$B$229,FALSE))=0,NA(),INDEX(BI$14:BI$37,MATCH($B241,$B$14:$B$37,FALSE))/INDEX($F$206:$F$229,MATCH($B241,$B$206:$B$229,FALSE))),NA()),NA())</f>
        <v>#N/A</v>
      </c>
      <c r="BK241" s="65" t="e">
        <f>IF(BJ49=1,IF(BJ$13&lt;=COUNT($C21:$CS21),IF(INDEX($F$206:$F$229,MATCH($B241,$B$206:$B$229,FALSE))=0,NA(),INDEX(BJ$14:BJ$37,MATCH($B241,$B$14:$B$37,FALSE))/INDEX($F$206:$F$229,MATCH($B241,$B$206:$B$229,FALSE))),NA()),NA())</f>
        <v>#N/A</v>
      </c>
      <c r="BL241" s="65" t="e">
        <f>IF(BK49=1,IF(BK$13&lt;=COUNT($C21:$CS21),IF(INDEX($F$206:$F$229,MATCH($B241,$B$206:$B$229,FALSE))=0,NA(),INDEX(BK$14:BK$37,MATCH($B241,$B$14:$B$37,FALSE))/INDEX($F$206:$F$229,MATCH($B241,$B$206:$B$229,FALSE))),NA()),NA())</f>
        <v>#N/A</v>
      </c>
      <c r="BM241" s="65" t="e">
        <f>IF(BL49=1,IF(BL$13&lt;=COUNT($C21:$CS21),IF(INDEX($F$206:$F$229,MATCH($B241,$B$206:$B$229,FALSE))=0,NA(),INDEX(BL$14:BL$37,MATCH($B241,$B$14:$B$37,FALSE))/INDEX($F$206:$F$229,MATCH($B241,$B$206:$B$229,FALSE))),NA()),NA())</f>
        <v>#N/A</v>
      </c>
      <c r="BN241" s="65" t="e">
        <f>IF(BM49=1,IF(BM$13&lt;=COUNT($C21:$CS21),IF(INDEX($F$206:$F$229,MATCH($B241,$B$206:$B$229,FALSE))=0,NA(),INDEX(BM$14:BM$37,MATCH($B241,$B$14:$B$37,FALSE))/INDEX($F$206:$F$229,MATCH($B241,$B$206:$B$229,FALSE))),NA()),NA())</f>
        <v>#N/A</v>
      </c>
      <c r="BO241" s="65" t="e">
        <f>IF(BN49=1,IF(BN$13&lt;=COUNT($C21:$CS21),IF(INDEX($F$206:$F$229,MATCH($B241,$B$206:$B$229,FALSE))=0,NA(),INDEX(BN$14:BN$37,MATCH($B241,$B$14:$B$37,FALSE))/INDEX($F$206:$F$229,MATCH($B241,$B$206:$B$229,FALSE))),NA()),NA())</f>
        <v>#N/A</v>
      </c>
      <c r="BP241" s="65" t="e">
        <f>IF(BO49=1,IF(BO$13&lt;=COUNT($C21:$CS21),IF(INDEX($F$206:$F$229,MATCH($B241,$B$206:$B$229,FALSE))=0,NA(),INDEX(BO$14:BO$37,MATCH($B241,$B$14:$B$37,FALSE))/INDEX($F$206:$F$229,MATCH($B241,$B$206:$B$229,FALSE))),NA()),NA())</f>
        <v>#N/A</v>
      </c>
      <c r="BQ241" s="65" t="e">
        <f>IF(BP49=1,IF(BP$13&lt;=COUNT($C21:$CS21),IF(INDEX($F$206:$F$229,MATCH($B241,$B$206:$B$229,FALSE))=0,NA(),INDEX(BP$14:BP$37,MATCH($B241,$B$14:$B$37,FALSE))/INDEX($F$206:$F$229,MATCH($B241,$B$206:$B$229,FALSE))),NA()),NA())</f>
        <v>#N/A</v>
      </c>
      <c r="BR241" s="65" t="e">
        <f>IF(BQ49=1,IF(BQ$13&lt;=COUNT($C21:$CS21),IF(INDEX($F$206:$F$229,MATCH($B241,$B$206:$B$229,FALSE))=0,NA(),INDEX(BQ$14:BQ$37,MATCH($B241,$B$14:$B$37,FALSE))/INDEX($F$206:$F$229,MATCH($B241,$B$206:$B$229,FALSE))),NA()),NA())</f>
        <v>#N/A</v>
      </c>
      <c r="BS241" s="65" t="e">
        <f>IF(BR49=1,IF(BR$13&lt;=COUNT($C21:$CS21),IF(INDEX($F$206:$F$229,MATCH($B241,$B$206:$B$229,FALSE))=0,NA(),INDEX(BR$14:BR$37,MATCH($B241,$B$14:$B$37,FALSE))/INDEX($F$206:$F$229,MATCH($B241,$B$206:$B$229,FALSE))),NA()),NA())</f>
        <v>#N/A</v>
      </c>
      <c r="BT241" s="65" t="e">
        <f>IF(BS49=1,IF(BS$13&lt;=COUNT($C21:$CS21),IF(INDEX($F$206:$F$229,MATCH($B241,$B$206:$B$229,FALSE))=0,NA(),INDEX(BS$14:BS$37,MATCH($B241,$B$14:$B$37,FALSE))/INDEX($F$206:$F$229,MATCH($B241,$B$206:$B$229,FALSE))),NA()),NA())</f>
        <v>#N/A</v>
      </c>
      <c r="BU241" s="65" t="e">
        <f>IF(BT49=1,IF(BT$13&lt;=COUNT($C21:$CS21),IF(INDEX($F$206:$F$229,MATCH($B241,$B$206:$B$229,FALSE))=0,NA(),INDEX(BT$14:BT$37,MATCH($B241,$B$14:$B$37,FALSE))/INDEX($F$206:$F$229,MATCH($B241,$B$206:$B$229,FALSE))),NA()),NA())</f>
        <v>#N/A</v>
      </c>
      <c r="BV241" s="65" t="e">
        <f>IF(BU49=1,IF(BU$13&lt;=COUNT($C21:$CS21),IF(INDEX($F$206:$F$229,MATCH($B241,$B$206:$B$229,FALSE))=0,NA(),INDEX(BU$14:BU$37,MATCH($B241,$B$14:$B$37,FALSE))/INDEX($F$206:$F$229,MATCH($B241,$B$206:$B$229,FALSE))),NA()),NA())</f>
        <v>#N/A</v>
      </c>
      <c r="BW241" s="65" t="e">
        <f>IF(BV49=1,IF(BV$13&lt;=COUNT($C21:$CS21),IF(INDEX($F$206:$F$229,MATCH($B241,$B$206:$B$229,FALSE))=0,NA(),INDEX(BV$14:BV$37,MATCH($B241,$B$14:$B$37,FALSE))/INDEX($F$206:$F$229,MATCH($B241,$B$206:$B$229,FALSE))),NA()),NA())</f>
        <v>#N/A</v>
      </c>
      <c r="BX241" s="65" t="e">
        <f>IF(BW49=1,IF(BW$13&lt;=COUNT($C21:$CS21),IF(INDEX($F$206:$F$229,MATCH($B241,$B$206:$B$229,FALSE))=0,NA(),INDEX(BW$14:BW$37,MATCH($B241,$B$14:$B$37,FALSE))/INDEX($F$206:$F$229,MATCH($B241,$B$206:$B$229,FALSE))),NA()),NA())</f>
        <v>#N/A</v>
      </c>
      <c r="BY241" s="65" t="e">
        <f>IF(BX49=1,IF(BX$13&lt;=COUNT($C21:$CS21),IF(INDEX($F$206:$F$229,MATCH($B241,$B$206:$B$229,FALSE))=0,NA(),INDEX(BX$14:BX$37,MATCH($B241,$B$14:$B$37,FALSE))/INDEX($F$206:$F$229,MATCH($B241,$B$206:$B$229,FALSE))),NA()),NA())</f>
        <v>#N/A</v>
      </c>
      <c r="BZ241" s="65" t="e">
        <f>IF(BY49=1,IF(BY$13&lt;=COUNT($C21:$CS21),IF(INDEX($F$206:$F$229,MATCH($B241,$B$206:$B$229,FALSE))=0,NA(),INDEX(BY$14:BY$37,MATCH($B241,$B$14:$B$37,FALSE))/INDEX($F$206:$F$229,MATCH($B241,$B$206:$B$229,FALSE))),NA()),NA())</f>
        <v>#N/A</v>
      </c>
      <c r="CA241" s="65" t="e">
        <f>IF(BZ49=1,IF(BZ$13&lt;=COUNT($C21:$CS21),IF(INDEX($F$206:$F$229,MATCH($B241,$B$206:$B$229,FALSE))=0,NA(),INDEX(BZ$14:BZ$37,MATCH($B241,$B$14:$B$37,FALSE))/INDEX($F$206:$F$229,MATCH($B241,$B$206:$B$229,FALSE))),NA()),NA())</f>
        <v>#N/A</v>
      </c>
      <c r="CB241" s="65" t="e">
        <f>IF(CA49=1,IF(CA$13&lt;=COUNT($C21:$CS21),IF(INDEX($F$206:$F$229,MATCH($B241,$B$206:$B$229,FALSE))=0,NA(),INDEX(CA$14:CA$37,MATCH($B241,$B$14:$B$37,FALSE))/INDEX($F$206:$F$229,MATCH($B241,$B$206:$B$229,FALSE))),NA()),NA())</f>
        <v>#N/A</v>
      </c>
      <c r="CC241" s="65" t="e">
        <f>IF(CB49=1,IF(CB$13&lt;=COUNT($C21:$CS21),IF(INDEX($F$206:$F$229,MATCH($B241,$B$206:$B$229,FALSE))=0,NA(),INDEX(CB$14:CB$37,MATCH($B241,$B$14:$B$37,FALSE))/INDEX($F$206:$F$229,MATCH($B241,$B$206:$B$229,FALSE))),NA()),NA())</f>
        <v>#N/A</v>
      </c>
      <c r="CD241" s="65" t="e">
        <f>IF(CC49=1,IF(CC$13&lt;=COUNT($C21:$CS21),IF(INDEX($F$206:$F$229,MATCH($B241,$B$206:$B$229,FALSE))=0,NA(),INDEX(CC$14:CC$37,MATCH($B241,$B$14:$B$37,FALSE))/INDEX($F$206:$F$229,MATCH($B241,$B$206:$B$229,FALSE))),NA()),NA())</f>
        <v>#N/A</v>
      </c>
      <c r="CE241" s="65" t="e">
        <f>IF(CD49=1,IF(CD$13&lt;=COUNT($C21:$CS21),IF(INDEX($F$206:$F$229,MATCH($B241,$B$206:$B$229,FALSE))=0,NA(),INDEX(CD$14:CD$37,MATCH($B241,$B$14:$B$37,FALSE))/INDEX($F$206:$F$229,MATCH($B241,$B$206:$B$229,FALSE))),NA()),NA())</f>
        <v>#N/A</v>
      </c>
      <c r="CF241" s="65" t="e">
        <f>IF(CE49=1,IF(CE$13&lt;=COUNT($C21:$CS21),IF(INDEX($F$206:$F$229,MATCH($B241,$B$206:$B$229,FALSE))=0,NA(),INDEX(CE$14:CE$37,MATCH($B241,$B$14:$B$37,FALSE))/INDEX($F$206:$F$229,MATCH($B241,$B$206:$B$229,FALSE))),NA()),NA())</f>
        <v>#N/A</v>
      </c>
      <c r="CG241" s="65" t="e">
        <f>IF(CF49=1,IF(CF$13&lt;=COUNT($C21:$CS21),IF(INDEX($F$206:$F$229,MATCH($B241,$B$206:$B$229,FALSE))=0,NA(),INDEX(CF$14:CF$37,MATCH($B241,$B$14:$B$37,FALSE))/INDEX($F$206:$F$229,MATCH($B241,$B$206:$B$229,FALSE))),NA()),NA())</f>
        <v>#N/A</v>
      </c>
      <c r="CH241" s="65" t="e">
        <f>IF(CG49=1,IF(CG$13&lt;=COUNT($C21:$CS21),IF(INDEX($F$206:$F$229,MATCH($B241,$B$206:$B$229,FALSE))=0,NA(),INDEX(CG$14:CG$37,MATCH($B241,$B$14:$B$37,FALSE))/INDEX($F$206:$F$229,MATCH($B241,$B$206:$B$229,FALSE))),NA()),NA())</f>
        <v>#N/A</v>
      </c>
      <c r="CI241" s="65" t="e">
        <f>IF(CH49=1,IF(CH$13&lt;=COUNT($C21:$CS21),IF(INDEX($F$206:$F$229,MATCH($B241,$B$206:$B$229,FALSE))=0,NA(),INDEX(CH$14:CH$37,MATCH($B241,$B$14:$B$37,FALSE))/INDEX($F$206:$F$229,MATCH($B241,$B$206:$B$229,FALSE))),NA()),NA())</f>
        <v>#N/A</v>
      </c>
      <c r="CJ241" s="65" t="e">
        <f>IF(CI49=1,IF(CI$13&lt;=COUNT($C21:$CS21),IF(INDEX($F$206:$F$229,MATCH($B241,$B$206:$B$229,FALSE))=0,NA(),INDEX(CI$14:CI$37,MATCH($B241,$B$14:$B$37,FALSE))/INDEX($F$206:$F$229,MATCH($B241,$B$206:$B$229,FALSE))),NA()),NA())</f>
        <v>#N/A</v>
      </c>
      <c r="CK241" s="65" t="e">
        <f>IF(CJ49=1,IF(CJ$13&lt;=COUNT($C21:$CS21),IF(INDEX($F$206:$F$229,MATCH($B241,$B$206:$B$229,FALSE))=0,NA(),INDEX(CJ$14:CJ$37,MATCH($B241,$B$14:$B$37,FALSE))/INDEX($F$206:$F$229,MATCH($B241,$B$206:$B$229,FALSE))),NA()),NA())</f>
        <v>#N/A</v>
      </c>
      <c r="CL241" s="65" t="e">
        <f>IF(CK49=1,IF(CK$13&lt;=COUNT($C21:$CS21),IF(INDEX($F$206:$F$229,MATCH($B241,$B$206:$B$229,FALSE))=0,NA(),INDEX(CK$14:CK$37,MATCH($B241,$B$14:$B$37,FALSE))/INDEX($F$206:$F$229,MATCH($B241,$B$206:$B$229,FALSE))),NA()),NA())</f>
        <v>#N/A</v>
      </c>
      <c r="CM241" s="65" t="e">
        <f>IF(CL49=1,IF(CL$13&lt;=COUNT($C21:$CS21),IF(INDEX($F$206:$F$229,MATCH($B241,$B$206:$B$229,FALSE))=0,NA(),INDEX(CL$14:CL$37,MATCH($B241,$B$14:$B$37,FALSE))/INDEX($F$206:$F$229,MATCH($B241,$B$206:$B$229,FALSE))),NA()),NA())</f>
        <v>#N/A</v>
      </c>
      <c r="CN241" s="65" t="e">
        <f>IF(CM49=1,IF(CM$13&lt;=COUNT($C21:$CS21),IF(INDEX($F$206:$F$229,MATCH($B241,$B$206:$B$229,FALSE))=0,NA(),INDEX(CM$14:CM$37,MATCH($B241,$B$14:$B$37,FALSE))/INDEX($F$206:$F$229,MATCH($B241,$B$206:$B$229,FALSE))),NA()),NA())</f>
        <v>#N/A</v>
      </c>
      <c r="CO241" s="65" t="e">
        <f>IF(CN49=1,IF(CN$13&lt;=COUNT($C21:$CS21),IF(INDEX($F$206:$F$229,MATCH($B241,$B$206:$B$229,FALSE))=0,NA(),INDEX(CN$14:CN$37,MATCH($B241,$B$14:$B$37,FALSE))/INDEX($F$206:$F$229,MATCH($B241,$B$206:$B$229,FALSE))),NA()),NA())</f>
        <v>#N/A</v>
      </c>
      <c r="CP241" s="65" t="e">
        <f>IF(CO49=1,IF(CO$13&lt;=COUNT($C21:$CS21),IF(INDEX($F$206:$F$229,MATCH($B241,$B$206:$B$229,FALSE))=0,NA(),INDEX(CO$14:CO$37,MATCH($B241,$B$14:$B$37,FALSE))/INDEX($F$206:$F$229,MATCH($B241,$B$206:$B$229,FALSE))),NA()),NA())</f>
        <v>#N/A</v>
      </c>
      <c r="CQ241" s="65" t="e">
        <f>IF(CP49=1,IF(CP$13&lt;=COUNT($C21:$CS21),IF(INDEX($F$206:$F$229,MATCH($B241,$B$206:$B$229,FALSE))=0,NA(),INDEX(CP$14:CP$37,MATCH($B241,$B$14:$B$37,FALSE))/INDEX($F$206:$F$229,MATCH($B241,$B$206:$B$229,FALSE))),NA()),NA())</f>
        <v>#N/A</v>
      </c>
      <c r="CR241" s="65" t="e">
        <f>IF(CQ49=1,IF(CQ$13&lt;=COUNT($C21:$CS21),IF(INDEX($F$206:$F$229,MATCH($B241,$B$206:$B$229,FALSE))=0,NA(),INDEX(CQ$14:CQ$37,MATCH($B241,$B$14:$B$37,FALSE))/INDEX($F$206:$F$229,MATCH($B241,$B$206:$B$229,FALSE))),NA()),NA())</f>
        <v>#N/A</v>
      </c>
      <c r="CS241" s="65" t="e">
        <f>IF(CR49=1,IF(CR$13&lt;=COUNT($C21:$CS21),IF(INDEX($F$206:$F$229,MATCH($B241,$B$206:$B$229,FALSE))=0,NA(),INDEX(CR$14:CR$37,MATCH($B241,$B$14:$B$37,FALSE))/INDEX($F$206:$F$229,MATCH($B241,$B$206:$B$229,FALSE))),NA()),NA())</f>
        <v>#N/A</v>
      </c>
      <c r="CT241" s="49"/>
      <c r="CU241" s="49"/>
      <c r="CV241" s="49"/>
      <c r="CW241" s="49"/>
    </row>
    <row r="242" spans="1:101" x14ac:dyDescent="0.25">
      <c r="A242" s="97">
        <f t="shared" si="105"/>
        <v>0</v>
      </c>
      <c r="B242" s="29">
        <f t="shared" si="104"/>
        <v>2004</v>
      </c>
      <c r="C242" s="154" t="str">
        <f t="shared" si="106"/>
        <v/>
      </c>
      <c r="D242" s="54" t="e">
        <f>IF(C50=1,IF(C$13&lt;=COUNT($C22:$CS22),IF(INDEX($F$206:$F$229,MATCH($B242,$B$206:$B$229,FALSE))=0,NA(),INDEX(C$14:C$37,MATCH($B242,$B$14:$B$37,FALSE))/INDEX($F$206:$F$229,MATCH($B242,$B$206:$B$229,FALSE))),NA()),NA())</f>
        <v>#N/A</v>
      </c>
      <c r="E242" s="65" t="e">
        <f>IF(D50=1,IF(D$13&lt;=COUNT($C22:$CS22),IF(INDEX($F$206:$F$229,MATCH($B242,$B$206:$B$229,FALSE))=0,NA(),INDEX(D$14:D$37,MATCH($B242,$B$14:$B$37,FALSE))/INDEX($F$206:$F$229,MATCH($B242,$B$206:$B$229,FALSE))),NA()),NA())</f>
        <v>#N/A</v>
      </c>
      <c r="F242" s="65" t="e">
        <f>IF(E50=1,IF(E$13&lt;=COUNT($C22:$CS22),IF(INDEX($F$206:$F$229,MATCH($B242,$B$206:$B$229,FALSE))=0,NA(),INDEX(E$14:E$37,MATCH($B242,$B$14:$B$37,FALSE))/INDEX($F$206:$F$229,MATCH($B242,$B$206:$B$229,FALSE))),NA()),NA())</f>
        <v>#N/A</v>
      </c>
      <c r="G242" s="65" t="e">
        <f>IF(F50=1,IF(F$13&lt;=COUNT($C22:$CS22),IF(INDEX($F$206:$F$229,MATCH($B242,$B$206:$B$229,FALSE))=0,NA(),INDEX(F$14:F$37,MATCH($B242,$B$14:$B$37,FALSE))/INDEX($F$206:$F$229,MATCH($B242,$B$206:$B$229,FALSE))),NA()),NA())</f>
        <v>#N/A</v>
      </c>
      <c r="H242" s="65" t="e">
        <f>IF(G50=1,IF(G$13&lt;=COUNT($C22:$CS22),IF(INDEX($F$206:$F$229,MATCH($B242,$B$206:$B$229,FALSE))=0,NA(),INDEX(G$14:G$37,MATCH($B242,$B$14:$B$37,FALSE))/INDEX($F$206:$F$229,MATCH($B242,$B$206:$B$229,FALSE))),NA()),NA())</f>
        <v>#N/A</v>
      </c>
      <c r="I242" s="65" t="e">
        <f>IF(H50=1,IF(H$13&lt;=COUNT($C22:$CS22),IF(INDEX($F$206:$F$229,MATCH($B242,$B$206:$B$229,FALSE))=0,NA(),INDEX(H$14:H$37,MATCH($B242,$B$14:$B$37,FALSE))/INDEX($F$206:$F$229,MATCH($B242,$B$206:$B$229,FALSE))),NA()),NA())</f>
        <v>#N/A</v>
      </c>
      <c r="J242" s="65" t="e">
        <f>IF(I50=1,IF(I$13&lt;=COUNT($C22:$CS22),IF(INDEX($F$206:$F$229,MATCH($B242,$B$206:$B$229,FALSE))=0,NA(),INDEX(I$14:I$37,MATCH($B242,$B$14:$B$37,FALSE))/INDEX($F$206:$F$229,MATCH($B242,$B$206:$B$229,FALSE))),NA()),NA())</f>
        <v>#N/A</v>
      </c>
      <c r="K242" s="65" t="e">
        <f>IF(J50=1,IF(J$13&lt;=COUNT($C22:$CS22),IF(INDEX($F$206:$F$229,MATCH($B242,$B$206:$B$229,FALSE))=0,NA(),INDEX(J$14:J$37,MATCH($B242,$B$14:$B$37,FALSE))/INDEX($F$206:$F$229,MATCH($B242,$B$206:$B$229,FALSE))),NA()),NA())</f>
        <v>#N/A</v>
      </c>
      <c r="L242" s="65" t="e">
        <f>IF(K50=1,IF(K$13&lt;=COUNT($C22:$CS22),IF(INDEX($F$206:$F$229,MATCH($B242,$B$206:$B$229,FALSE))=0,NA(),INDEX(K$14:K$37,MATCH($B242,$B$14:$B$37,FALSE))/INDEX($F$206:$F$229,MATCH($B242,$B$206:$B$229,FALSE))),NA()),NA())</f>
        <v>#N/A</v>
      </c>
      <c r="M242" s="65" t="e">
        <f>IF(L50=1,IF(L$13&lt;=COUNT($C22:$CS22),IF(INDEX($F$206:$F$229,MATCH($B242,$B$206:$B$229,FALSE))=0,NA(),INDEX(L$14:L$37,MATCH($B242,$B$14:$B$37,FALSE))/INDEX($F$206:$F$229,MATCH($B242,$B$206:$B$229,FALSE))),NA()),NA())</f>
        <v>#N/A</v>
      </c>
      <c r="N242" s="65" t="e">
        <f>IF(M50=1,IF(M$13&lt;=COUNT($C22:$CS22),IF(INDEX($F$206:$F$229,MATCH($B242,$B$206:$B$229,FALSE))=0,NA(),INDEX(M$14:M$37,MATCH($B242,$B$14:$B$37,FALSE))/INDEX($F$206:$F$229,MATCH($B242,$B$206:$B$229,FALSE))),NA()),NA())</f>
        <v>#N/A</v>
      </c>
      <c r="O242" s="65" t="e">
        <f>IF(N50=1,IF(N$13&lt;=COUNT($C22:$CS22),IF(INDEX($F$206:$F$229,MATCH($B242,$B$206:$B$229,FALSE))=0,NA(),INDEX(N$14:N$37,MATCH($B242,$B$14:$B$37,FALSE))/INDEX($F$206:$F$229,MATCH($B242,$B$206:$B$229,FALSE))),NA()),NA())</f>
        <v>#N/A</v>
      </c>
      <c r="P242" s="65" t="e">
        <f>IF(O50=1,IF(O$13&lt;=COUNT($C22:$CS22),IF(INDEX($F$206:$F$229,MATCH($B242,$B$206:$B$229,FALSE))=0,NA(),INDEX(O$14:O$37,MATCH($B242,$B$14:$B$37,FALSE))/INDEX($F$206:$F$229,MATCH($B242,$B$206:$B$229,FALSE))),NA()),NA())</f>
        <v>#N/A</v>
      </c>
      <c r="Q242" s="65" t="e">
        <f>IF(P50=1,IF(P$13&lt;=COUNT($C22:$CS22),IF(INDEX($F$206:$F$229,MATCH($B242,$B$206:$B$229,FALSE))=0,NA(),INDEX(P$14:P$37,MATCH($B242,$B$14:$B$37,FALSE))/INDEX($F$206:$F$229,MATCH($B242,$B$206:$B$229,FALSE))),NA()),NA())</f>
        <v>#N/A</v>
      </c>
      <c r="R242" s="65" t="e">
        <f>IF(Q50=1,IF(Q$13&lt;=COUNT($C22:$CS22),IF(INDEX($F$206:$F$229,MATCH($B242,$B$206:$B$229,FALSE))=0,NA(),INDEX(Q$14:Q$37,MATCH($B242,$B$14:$B$37,FALSE))/INDEX($F$206:$F$229,MATCH($B242,$B$206:$B$229,FALSE))),NA()),NA())</f>
        <v>#N/A</v>
      </c>
      <c r="S242" s="65" t="e">
        <f>IF(R50=1,IF(R$13&lt;=COUNT($C22:$CS22),IF(INDEX($F$206:$F$229,MATCH($B242,$B$206:$B$229,FALSE))=0,NA(),INDEX(R$14:R$37,MATCH($B242,$B$14:$B$37,FALSE))/INDEX($F$206:$F$229,MATCH($B242,$B$206:$B$229,FALSE))),NA()),NA())</f>
        <v>#N/A</v>
      </c>
      <c r="T242" s="65" t="e">
        <f>IF(S50=1,IF(S$13&lt;=COUNT($C22:$CS22),IF(INDEX($F$206:$F$229,MATCH($B242,$B$206:$B$229,FALSE))=0,NA(),INDEX(S$14:S$37,MATCH($B242,$B$14:$B$37,FALSE))/INDEX($F$206:$F$229,MATCH($B242,$B$206:$B$229,FALSE))),NA()),NA())</f>
        <v>#N/A</v>
      </c>
      <c r="U242" s="65" t="e">
        <f>IF(T50=1,IF(T$13&lt;=COUNT($C22:$CS22),IF(INDEX($F$206:$F$229,MATCH($B242,$B$206:$B$229,FALSE))=0,NA(),INDEX(T$14:T$37,MATCH($B242,$B$14:$B$37,FALSE))/INDEX($F$206:$F$229,MATCH($B242,$B$206:$B$229,FALSE))),NA()),NA())</f>
        <v>#N/A</v>
      </c>
      <c r="V242" s="65" t="e">
        <f>IF(U50=1,IF(U$13&lt;=COUNT($C22:$CS22),IF(INDEX($F$206:$F$229,MATCH($B242,$B$206:$B$229,FALSE))=0,NA(),INDEX(U$14:U$37,MATCH($B242,$B$14:$B$37,FALSE))/INDEX($F$206:$F$229,MATCH($B242,$B$206:$B$229,FALSE))),NA()),NA())</f>
        <v>#N/A</v>
      </c>
      <c r="W242" s="65" t="e">
        <f>IF(V50=1,IF(V$13&lt;=COUNT($C22:$CS22),IF(INDEX($F$206:$F$229,MATCH($B242,$B$206:$B$229,FALSE))=0,NA(),INDEX(V$14:V$37,MATCH($B242,$B$14:$B$37,FALSE))/INDEX($F$206:$F$229,MATCH($B242,$B$206:$B$229,FALSE))),NA()),NA())</f>
        <v>#N/A</v>
      </c>
      <c r="X242" s="65" t="e">
        <f>IF(W50=1,IF(W$13&lt;=COUNT($C22:$CS22),IF(INDEX($F$206:$F$229,MATCH($B242,$B$206:$B$229,FALSE))=0,NA(),INDEX(W$14:W$37,MATCH($B242,$B$14:$B$37,FALSE))/INDEX($F$206:$F$229,MATCH($B242,$B$206:$B$229,FALSE))),NA()),NA())</f>
        <v>#N/A</v>
      </c>
      <c r="Y242" s="65" t="e">
        <f>IF(X50=1,IF(X$13&lt;=COUNT($C22:$CS22),IF(INDEX($F$206:$F$229,MATCH($B242,$B$206:$B$229,FALSE))=0,NA(),INDEX(X$14:X$37,MATCH($B242,$B$14:$B$37,FALSE))/INDEX($F$206:$F$229,MATCH($B242,$B$206:$B$229,FALSE))),NA()),NA())</f>
        <v>#N/A</v>
      </c>
      <c r="Z242" s="65" t="e">
        <f>IF(Y50=1,IF(Y$13&lt;=COUNT($C22:$CS22),IF(INDEX($F$206:$F$229,MATCH($B242,$B$206:$B$229,FALSE))=0,NA(),INDEX(Y$14:Y$37,MATCH($B242,$B$14:$B$37,FALSE))/INDEX($F$206:$F$229,MATCH($B242,$B$206:$B$229,FALSE))),NA()),NA())</f>
        <v>#N/A</v>
      </c>
      <c r="AA242" s="65" t="e">
        <f>IF(Z50=1,IF(Z$13&lt;=COUNT($C22:$CS22),IF(INDEX($F$206:$F$229,MATCH($B242,$B$206:$B$229,FALSE))=0,NA(),INDEX(Z$14:Z$37,MATCH($B242,$B$14:$B$37,FALSE))/INDEX($F$206:$F$229,MATCH($B242,$B$206:$B$229,FALSE))),NA()),NA())</f>
        <v>#N/A</v>
      </c>
      <c r="AB242" s="65" t="e">
        <f>IF(AA50=1,IF(AA$13&lt;=COUNT($C22:$CS22),IF(INDEX($F$206:$F$229,MATCH($B242,$B$206:$B$229,FALSE))=0,NA(),INDEX(AA$14:AA$37,MATCH($B242,$B$14:$B$37,FALSE))/INDEX($F$206:$F$229,MATCH($B242,$B$206:$B$229,FALSE))),NA()),NA())</f>
        <v>#N/A</v>
      </c>
      <c r="AC242" s="65" t="e">
        <f>IF(AB50=1,IF(AB$13&lt;=COUNT($C22:$CS22),IF(INDEX($F$206:$F$229,MATCH($B242,$B$206:$B$229,FALSE))=0,NA(),INDEX(AB$14:AB$37,MATCH($B242,$B$14:$B$37,FALSE))/INDEX($F$206:$F$229,MATCH($B242,$B$206:$B$229,FALSE))),NA()),NA())</f>
        <v>#N/A</v>
      </c>
      <c r="AD242" s="65" t="e">
        <f>IF(AC50=1,IF(AC$13&lt;=COUNT($C22:$CS22),IF(INDEX($F$206:$F$229,MATCH($B242,$B$206:$B$229,FALSE))=0,NA(),INDEX(AC$14:AC$37,MATCH($B242,$B$14:$B$37,FALSE))/INDEX($F$206:$F$229,MATCH($B242,$B$206:$B$229,FALSE))),NA()),NA())</f>
        <v>#N/A</v>
      </c>
      <c r="AE242" s="65" t="e">
        <f>IF(AD50=1,IF(AD$13&lt;=COUNT($C22:$CS22),IF(INDEX($F$206:$F$229,MATCH($B242,$B$206:$B$229,FALSE))=0,NA(),INDEX(AD$14:AD$37,MATCH($B242,$B$14:$B$37,FALSE))/INDEX($F$206:$F$229,MATCH($B242,$B$206:$B$229,FALSE))),NA()),NA())</f>
        <v>#N/A</v>
      </c>
      <c r="AF242" s="65" t="e">
        <f>IF(AE50=1,IF(AE$13&lt;=COUNT($C22:$CS22),IF(INDEX($F$206:$F$229,MATCH($B242,$B$206:$B$229,FALSE))=0,NA(),INDEX(AE$14:AE$37,MATCH($B242,$B$14:$B$37,FALSE))/INDEX($F$206:$F$229,MATCH($B242,$B$206:$B$229,FALSE))),NA()),NA())</f>
        <v>#N/A</v>
      </c>
      <c r="AG242" s="65" t="e">
        <f>IF(AF50=1,IF(AF$13&lt;=COUNT($C22:$CS22),IF(INDEX($F$206:$F$229,MATCH($B242,$B$206:$B$229,FALSE))=0,NA(),INDEX(AF$14:AF$37,MATCH($B242,$B$14:$B$37,FALSE))/INDEX($F$206:$F$229,MATCH($B242,$B$206:$B$229,FALSE))),NA()),NA())</f>
        <v>#N/A</v>
      </c>
      <c r="AH242" s="65" t="e">
        <f>IF(AG50=1,IF(AG$13&lt;=COUNT($C22:$CS22),IF(INDEX($F$206:$F$229,MATCH($B242,$B$206:$B$229,FALSE))=0,NA(),INDEX(AG$14:AG$37,MATCH($B242,$B$14:$B$37,FALSE))/INDEX($F$206:$F$229,MATCH($B242,$B$206:$B$229,FALSE))),NA()),NA())</f>
        <v>#N/A</v>
      </c>
      <c r="AI242" s="65" t="e">
        <f>IF(AH50=1,IF(AH$13&lt;=COUNT($C22:$CS22),IF(INDEX($F$206:$F$229,MATCH($B242,$B$206:$B$229,FALSE))=0,NA(),INDEX(AH$14:AH$37,MATCH($B242,$B$14:$B$37,FALSE))/INDEX($F$206:$F$229,MATCH($B242,$B$206:$B$229,FALSE))),NA()),NA())</f>
        <v>#N/A</v>
      </c>
      <c r="AJ242" s="65" t="e">
        <f>IF(AI50=1,IF(AI$13&lt;=COUNT($C22:$CS22),IF(INDEX($F$206:$F$229,MATCH($B242,$B$206:$B$229,FALSE))=0,NA(),INDEX(AI$14:AI$37,MATCH($B242,$B$14:$B$37,FALSE))/INDEX($F$206:$F$229,MATCH($B242,$B$206:$B$229,FALSE))),NA()),NA())</f>
        <v>#N/A</v>
      </c>
      <c r="AK242" s="65" t="e">
        <f>IF(AJ50=1,IF(AJ$13&lt;=COUNT($C22:$CS22),IF(INDEX($F$206:$F$229,MATCH($B242,$B$206:$B$229,FALSE))=0,NA(),INDEX(AJ$14:AJ$37,MATCH($B242,$B$14:$B$37,FALSE))/INDEX($F$206:$F$229,MATCH($B242,$B$206:$B$229,FALSE))),NA()),NA())</f>
        <v>#N/A</v>
      </c>
      <c r="AL242" s="65" t="e">
        <f>IF(AK50=1,IF(AK$13&lt;=COUNT($C22:$CS22),IF(INDEX($F$206:$F$229,MATCH($B242,$B$206:$B$229,FALSE))=0,NA(),INDEX(AK$14:AK$37,MATCH($B242,$B$14:$B$37,FALSE))/INDEX($F$206:$F$229,MATCH($B242,$B$206:$B$229,FALSE))),NA()),NA())</f>
        <v>#N/A</v>
      </c>
      <c r="AM242" s="65" t="e">
        <f>IF(AL50=1,IF(AL$13&lt;=COUNT($C22:$CS22),IF(INDEX($F$206:$F$229,MATCH($B242,$B$206:$B$229,FALSE))=0,NA(),INDEX(AL$14:AL$37,MATCH($B242,$B$14:$B$37,FALSE))/INDEX($F$206:$F$229,MATCH($B242,$B$206:$B$229,FALSE))),NA()),NA())</f>
        <v>#N/A</v>
      </c>
      <c r="AN242" s="65" t="e">
        <f>IF(AM50=1,IF(AM$13&lt;=COUNT($C22:$CS22),IF(INDEX($F$206:$F$229,MATCH($B242,$B$206:$B$229,FALSE))=0,NA(),INDEX(AM$14:AM$37,MATCH($B242,$B$14:$B$37,FALSE))/INDEX($F$206:$F$229,MATCH($B242,$B$206:$B$229,FALSE))),NA()),NA())</f>
        <v>#N/A</v>
      </c>
      <c r="AO242" s="65" t="e">
        <f>IF(AN50=1,IF(AN$13&lt;=COUNT($C22:$CS22),IF(INDEX($F$206:$F$229,MATCH($B242,$B$206:$B$229,FALSE))=0,NA(),INDEX(AN$14:AN$37,MATCH($B242,$B$14:$B$37,FALSE))/INDEX($F$206:$F$229,MATCH($B242,$B$206:$B$229,FALSE))),NA()),NA())</f>
        <v>#N/A</v>
      </c>
      <c r="AP242" s="65" t="e">
        <f>IF(AO50=1,IF(AO$13&lt;=COUNT($C22:$CS22),IF(INDEX($F$206:$F$229,MATCH($B242,$B$206:$B$229,FALSE))=0,NA(),INDEX(AO$14:AO$37,MATCH($B242,$B$14:$B$37,FALSE))/INDEX($F$206:$F$229,MATCH($B242,$B$206:$B$229,FALSE))),NA()),NA())</f>
        <v>#N/A</v>
      </c>
      <c r="AQ242" s="65" t="e">
        <f>IF(AP50=1,IF(AP$13&lt;=COUNT($C22:$CS22),IF(INDEX($F$206:$F$229,MATCH($B242,$B$206:$B$229,FALSE))=0,NA(),INDEX(AP$14:AP$37,MATCH($B242,$B$14:$B$37,FALSE))/INDEX($F$206:$F$229,MATCH($B242,$B$206:$B$229,FALSE))),NA()),NA())</f>
        <v>#N/A</v>
      </c>
      <c r="AR242" s="65" t="e">
        <f>IF(AQ50=1,IF(AQ$13&lt;=COUNT($C22:$CS22),IF(INDEX($F$206:$F$229,MATCH($B242,$B$206:$B$229,FALSE))=0,NA(),INDEX(AQ$14:AQ$37,MATCH($B242,$B$14:$B$37,FALSE))/INDEX($F$206:$F$229,MATCH($B242,$B$206:$B$229,FALSE))),NA()),NA())</f>
        <v>#N/A</v>
      </c>
      <c r="AS242" s="65" t="e">
        <f>IF(AR50=1,IF(AR$13&lt;=COUNT($C22:$CS22),IF(INDEX($F$206:$F$229,MATCH($B242,$B$206:$B$229,FALSE))=0,NA(),INDEX(AR$14:AR$37,MATCH($B242,$B$14:$B$37,FALSE))/INDEX($F$206:$F$229,MATCH($B242,$B$206:$B$229,FALSE))),NA()),NA())</f>
        <v>#N/A</v>
      </c>
      <c r="AT242" s="65" t="e">
        <f>IF(AS50=1,IF(AS$13&lt;=COUNT($C22:$CS22),IF(INDEX($F$206:$F$229,MATCH($B242,$B$206:$B$229,FALSE))=0,NA(),INDEX(AS$14:AS$37,MATCH($B242,$B$14:$B$37,FALSE))/INDEX($F$206:$F$229,MATCH($B242,$B$206:$B$229,FALSE))),NA()),NA())</f>
        <v>#N/A</v>
      </c>
      <c r="AU242" s="65" t="e">
        <f>IF(AT50=1,IF(AT$13&lt;=COUNT($C22:$CS22),IF(INDEX($F$206:$F$229,MATCH($B242,$B$206:$B$229,FALSE))=0,NA(),INDEX(AT$14:AT$37,MATCH($B242,$B$14:$B$37,FALSE))/INDEX($F$206:$F$229,MATCH($B242,$B$206:$B$229,FALSE))),NA()),NA())</f>
        <v>#N/A</v>
      </c>
      <c r="AV242" s="65" t="e">
        <f>IF(AU50=1,IF(AU$13&lt;=COUNT($C22:$CS22),IF(INDEX($F$206:$F$229,MATCH($B242,$B$206:$B$229,FALSE))=0,NA(),INDEX(AU$14:AU$37,MATCH($B242,$B$14:$B$37,FALSE))/INDEX($F$206:$F$229,MATCH($B242,$B$206:$B$229,FALSE))),NA()),NA())</f>
        <v>#N/A</v>
      </c>
      <c r="AW242" s="65" t="e">
        <f>IF(AV50=1,IF(AV$13&lt;=COUNT($C22:$CS22),IF(INDEX($F$206:$F$229,MATCH($B242,$B$206:$B$229,FALSE))=0,NA(),INDEX(AV$14:AV$37,MATCH($B242,$B$14:$B$37,FALSE))/INDEX($F$206:$F$229,MATCH($B242,$B$206:$B$229,FALSE))),NA()),NA())</f>
        <v>#N/A</v>
      </c>
      <c r="AX242" s="65" t="e">
        <f>IF(AW50=1,IF(AW$13&lt;=COUNT($C22:$CS22),IF(INDEX($F$206:$F$229,MATCH($B242,$B$206:$B$229,FALSE))=0,NA(),INDEX(AW$14:AW$37,MATCH($B242,$B$14:$B$37,FALSE))/INDEX($F$206:$F$229,MATCH($B242,$B$206:$B$229,FALSE))),NA()),NA())</f>
        <v>#N/A</v>
      </c>
      <c r="AY242" s="65" t="e">
        <f>IF(AX50=1,IF(AX$13&lt;=COUNT($C22:$CS22),IF(INDEX($F$206:$F$229,MATCH($B242,$B$206:$B$229,FALSE))=0,NA(),INDEX(AX$14:AX$37,MATCH($B242,$B$14:$B$37,FALSE))/INDEX($F$206:$F$229,MATCH($B242,$B$206:$B$229,FALSE))),NA()),NA())</f>
        <v>#N/A</v>
      </c>
      <c r="AZ242" s="65" t="e">
        <f>IF(AY50=1,IF(AY$13&lt;=COUNT($C22:$CS22),IF(INDEX($F$206:$F$229,MATCH($B242,$B$206:$B$229,FALSE))=0,NA(),INDEX(AY$14:AY$37,MATCH($B242,$B$14:$B$37,FALSE))/INDEX($F$206:$F$229,MATCH($B242,$B$206:$B$229,FALSE))),NA()),NA())</f>
        <v>#N/A</v>
      </c>
      <c r="BA242" s="65" t="e">
        <f>IF(AZ50=1,IF(AZ$13&lt;=COUNT($C22:$CS22),IF(INDEX($F$206:$F$229,MATCH($B242,$B$206:$B$229,FALSE))=0,NA(),INDEX(AZ$14:AZ$37,MATCH($B242,$B$14:$B$37,FALSE))/INDEX($F$206:$F$229,MATCH($B242,$B$206:$B$229,FALSE))),NA()),NA())</f>
        <v>#N/A</v>
      </c>
      <c r="BB242" s="65" t="e">
        <f>IF(BA50=1,IF(BA$13&lt;=COUNT($C22:$CS22),IF(INDEX($F$206:$F$229,MATCH($B242,$B$206:$B$229,FALSE))=0,NA(),INDEX(BA$14:BA$37,MATCH($B242,$B$14:$B$37,FALSE))/INDEX($F$206:$F$229,MATCH($B242,$B$206:$B$229,FALSE))),NA()),NA())</f>
        <v>#N/A</v>
      </c>
      <c r="BC242" s="65" t="e">
        <f>IF(BB50=1,IF(BB$13&lt;=COUNT($C22:$CS22),IF(INDEX($F$206:$F$229,MATCH($B242,$B$206:$B$229,FALSE))=0,NA(),INDEX(BB$14:BB$37,MATCH($B242,$B$14:$B$37,FALSE))/INDEX($F$206:$F$229,MATCH($B242,$B$206:$B$229,FALSE))),NA()),NA())</f>
        <v>#N/A</v>
      </c>
      <c r="BD242" s="65" t="e">
        <f>IF(BC50=1,IF(BC$13&lt;=COUNT($C22:$CS22),IF(INDEX($F$206:$F$229,MATCH($B242,$B$206:$B$229,FALSE))=0,NA(),INDEX(BC$14:BC$37,MATCH($B242,$B$14:$B$37,FALSE))/INDEX($F$206:$F$229,MATCH($B242,$B$206:$B$229,FALSE))),NA()),NA())</f>
        <v>#N/A</v>
      </c>
      <c r="BE242" s="65" t="e">
        <f>IF(BD50=1,IF(BD$13&lt;=COUNT($C22:$CS22),IF(INDEX($F$206:$F$229,MATCH($B242,$B$206:$B$229,FALSE))=0,NA(),INDEX(BD$14:BD$37,MATCH($B242,$B$14:$B$37,FALSE))/INDEX($F$206:$F$229,MATCH($B242,$B$206:$B$229,FALSE))),NA()),NA())</f>
        <v>#N/A</v>
      </c>
      <c r="BF242" s="65" t="e">
        <f>IF(BE50=1,IF(BE$13&lt;=COUNT($C22:$CS22),IF(INDEX($F$206:$F$229,MATCH($B242,$B$206:$B$229,FALSE))=0,NA(),INDEX(BE$14:BE$37,MATCH($B242,$B$14:$B$37,FALSE))/INDEX($F$206:$F$229,MATCH($B242,$B$206:$B$229,FALSE))),NA()),NA())</f>
        <v>#N/A</v>
      </c>
      <c r="BG242" s="65" t="e">
        <f>IF(BF50=1,IF(BF$13&lt;=COUNT($C22:$CS22),IF(INDEX($F$206:$F$229,MATCH($B242,$B$206:$B$229,FALSE))=0,NA(),INDEX(BF$14:BF$37,MATCH($B242,$B$14:$B$37,FALSE))/INDEX($F$206:$F$229,MATCH($B242,$B$206:$B$229,FALSE))),NA()),NA())</f>
        <v>#N/A</v>
      </c>
      <c r="BH242" s="65" t="e">
        <f>IF(BG50=1,IF(BG$13&lt;=COUNT($C22:$CS22),IF(INDEX($F$206:$F$229,MATCH($B242,$B$206:$B$229,FALSE))=0,NA(),INDEX(BG$14:BG$37,MATCH($B242,$B$14:$B$37,FALSE))/INDEX($F$206:$F$229,MATCH($B242,$B$206:$B$229,FALSE))),NA()),NA())</f>
        <v>#N/A</v>
      </c>
      <c r="BI242" s="65" t="e">
        <f>IF(BH50=1,IF(BH$13&lt;=COUNT($C22:$CS22),IF(INDEX($F$206:$F$229,MATCH($B242,$B$206:$B$229,FALSE))=0,NA(),INDEX(BH$14:BH$37,MATCH($B242,$B$14:$B$37,FALSE))/INDEX($F$206:$F$229,MATCH($B242,$B$206:$B$229,FALSE))),NA()),NA())</f>
        <v>#N/A</v>
      </c>
      <c r="BJ242" s="65" t="e">
        <f>IF(BI50=1,IF(BI$13&lt;=COUNT($C22:$CS22),IF(INDEX($F$206:$F$229,MATCH($B242,$B$206:$B$229,FALSE))=0,NA(),INDEX(BI$14:BI$37,MATCH($B242,$B$14:$B$37,FALSE))/INDEX($F$206:$F$229,MATCH($B242,$B$206:$B$229,FALSE))),NA()),NA())</f>
        <v>#N/A</v>
      </c>
      <c r="BK242" s="65" t="e">
        <f>IF(BJ50=1,IF(BJ$13&lt;=COUNT($C22:$CS22),IF(INDEX($F$206:$F$229,MATCH($B242,$B$206:$B$229,FALSE))=0,NA(),INDEX(BJ$14:BJ$37,MATCH($B242,$B$14:$B$37,FALSE))/INDEX($F$206:$F$229,MATCH($B242,$B$206:$B$229,FALSE))),NA()),NA())</f>
        <v>#N/A</v>
      </c>
      <c r="BL242" s="65" t="e">
        <f>IF(BK50=1,IF(BK$13&lt;=COUNT($C22:$CS22),IF(INDEX($F$206:$F$229,MATCH($B242,$B$206:$B$229,FALSE))=0,NA(),INDEX(BK$14:BK$37,MATCH($B242,$B$14:$B$37,FALSE))/INDEX($F$206:$F$229,MATCH($B242,$B$206:$B$229,FALSE))),NA()),NA())</f>
        <v>#N/A</v>
      </c>
      <c r="BM242" s="65" t="e">
        <f>IF(BL50=1,IF(BL$13&lt;=COUNT($C22:$CS22),IF(INDEX($F$206:$F$229,MATCH($B242,$B$206:$B$229,FALSE))=0,NA(),INDEX(BL$14:BL$37,MATCH($B242,$B$14:$B$37,FALSE))/INDEX($F$206:$F$229,MATCH($B242,$B$206:$B$229,FALSE))),NA()),NA())</f>
        <v>#N/A</v>
      </c>
      <c r="BN242" s="65" t="e">
        <f>IF(BM50=1,IF(BM$13&lt;=COUNT($C22:$CS22),IF(INDEX($F$206:$F$229,MATCH($B242,$B$206:$B$229,FALSE))=0,NA(),INDEX(BM$14:BM$37,MATCH($B242,$B$14:$B$37,FALSE))/INDEX($F$206:$F$229,MATCH($B242,$B$206:$B$229,FALSE))),NA()),NA())</f>
        <v>#N/A</v>
      </c>
      <c r="BO242" s="65" t="e">
        <f>IF(BN50=1,IF(BN$13&lt;=COUNT($C22:$CS22),IF(INDEX($F$206:$F$229,MATCH($B242,$B$206:$B$229,FALSE))=0,NA(),INDEX(BN$14:BN$37,MATCH($B242,$B$14:$B$37,FALSE))/INDEX($F$206:$F$229,MATCH($B242,$B$206:$B$229,FALSE))),NA()),NA())</f>
        <v>#N/A</v>
      </c>
      <c r="BP242" s="65" t="e">
        <f>IF(BO50=1,IF(BO$13&lt;=COUNT($C22:$CS22),IF(INDEX($F$206:$F$229,MATCH($B242,$B$206:$B$229,FALSE))=0,NA(),INDEX(BO$14:BO$37,MATCH($B242,$B$14:$B$37,FALSE))/INDEX($F$206:$F$229,MATCH($B242,$B$206:$B$229,FALSE))),NA()),NA())</f>
        <v>#N/A</v>
      </c>
      <c r="BQ242" s="65" t="e">
        <f>IF(BP50=1,IF(BP$13&lt;=COUNT($C22:$CS22),IF(INDEX($F$206:$F$229,MATCH($B242,$B$206:$B$229,FALSE))=0,NA(),INDEX(BP$14:BP$37,MATCH($B242,$B$14:$B$37,FALSE))/INDEX($F$206:$F$229,MATCH($B242,$B$206:$B$229,FALSE))),NA()),NA())</f>
        <v>#N/A</v>
      </c>
      <c r="BR242" s="65" t="e">
        <f>IF(BQ50=1,IF(BQ$13&lt;=COUNT($C22:$CS22),IF(INDEX($F$206:$F$229,MATCH($B242,$B$206:$B$229,FALSE))=0,NA(),INDEX(BQ$14:BQ$37,MATCH($B242,$B$14:$B$37,FALSE))/INDEX($F$206:$F$229,MATCH($B242,$B$206:$B$229,FALSE))),NA()),NA())</f>
        <v>#N/A</v>
      </c>
      <c r="BS242" s="65" t="e">
        <f>IF(BR50=1,IF(BR$13&lt;=COUNT($C22:$CS22),IF(INDEX($F$206:$F$229,MATCH($B242,$B$206:$B$229,FALSE))=0,NA(),INDEX(BR$14:BR$37,MATCH($B242,$B$14:$B$37,FALSE))/INDEX($F$206:$F$229,MATCH($B242,$B$206:$B$229,FALSE))),NA()),NA())</f>
        <v>#N/A</v>
      </c>
      <c r="BT242" s="65" t="e">
        <f>IF(BS50=1,IF(BS$13&lt;=COUNT($C22:$CS22),IF(INDEX($F$206:$F$229,MATCH($B242,$B$206:$B$229,FALSE))=0,NA(),INDEX(BS$14:BS$37,MATCH($B242,$B$14:$B$37,FALSE))/INDEX($F$206:$F$229,MATCH($B242,$B$206:$B$229,FALSE))),NA()),NA())</f>
        <v>#N/A</v>
      </c>
      <c r="BU242" s="65" t="e">
        <f>IF(BT50=1,IF(BT$13&lt;=COUNT($C22:$CS22),IF(INDEX($F$206:$F$229,MATCH($B242,$B$206:$B$229,FALSE))=0,NA(),INDEX(BT$14:BT$37,MATCH($B242,$B$14:$B$37,FALSE))/INDEX($F$206:$F$229,MATCH($B242,$B$206:$B$229,FALSE))),NA()),NA())</f>
        <v>#N/A</v>
      </c>
      <c r="BV242" s="65" t="e">
        <f>IF(BU50=1,IF(BU$13&lt;=COUNT($C22:$CS22),IF(INDEX($F$206:$F$229,MATCH($B242,$B$206:$B$229,FALSE))=0,NA(),INDEX(BU$14:BU$37,MATCH($B242,$B$14:$B$37,FALSE))/INDEX($F$206:$F$229,MATCH($B242,$B$206:$B$229,FALSE))),NA()),NA())</f>
        <v>#N/A</v>
      </c>
      <c r="BW242" s="65" t="e">
        <f>IF(BV50=1,IF(BV$13&lt;=COUNT($C22:$CS22),IF(INDEX($F$206:$F$229,MATCH($B242,$B$206:$B$229,FALSE))=0,NA(),INDEX(BV$14:BV$37,MATCH($B242,$B$14:$B$37,FALSE))/INDEX($F$206:$F$229,MATCH($B242,$B$206:$B$229,FALSE))),NA()),NA())</f>
        <v>#N/A</v>
      </c>
      <c r="BX242" s="65" t="e">
        <f>IF(BW50=1,IF(BW$13&lt;=COUNT($C22:$CS22),IF(INDEX($F$206:$F$229,MATCH($B242,$B$206:$B$229,FALSE))=0,NA(),INDEX(BW$14:BW$37,MATCH($B242,$B$14:$B$37,FALSE))/INDEX($F$206:$F$229,MATCH($B242,$B$206:$B$229,FALSE))),NA()),NA())</f>
        <v>#N/A</v>
      </c>
      <c r="BY242" s="65" t="e">
        <f>IF(BX50=1,IF(BX$13&lt;=COUNT($C22:$CS22),IF(INDEX($F$206:$F$229,MATCH($B242,$B$206:$B$229,FALSE))=0,NA(),INDEX(BX$14:BX$37,MATCH($B242,$B$14:$B$37,FALSE))/INDEX($F$206:$F$229,MATCH($B242,$B$206:$B$229,FALSE))),NA()),NA())</f>
        <v>#N/A</v>
      </c>
      <c r="BZ242" s="65" t="e">
        <f>IF(BY50=1,IF(BY$13&lt;=COUNT($C22:$CS22),IF(INDEX($F$206:$F$229,MATCH($B242,$B$206:$B$229,FALSE))=0,NA(),INDEX(BY$14:BY$37,MATCH($B242,$B$14:$B$37,FALSE))/INDEX($F$206:$F$229,MATCH($B242,$B$206:$B$229,FALSE))),NA()),NA())</f>
        <v>#N/A</v>
      </c>
      <c r="CA242" s="65" t="e">
        <f>IF(BZ50=1,IF(BZ$13&lt;=COUNT($C22:$CS22),IF(INDEX($F$206:$F$229,MATCH($B242,$B$206:$B$229,FALSE))=0,NA(),INDEX(BZ$14:BZ$37,MATCH($B242,$B$14:$B$37,FALSE))/INDEX($F$206:$F$229,MATCH($B242,$B$206:$B$229,FALSE))),NA()),NA())</f>
        <v>#N/A</v>
      </c>
      <c r="CB242" s="65" t="e">
        <f>IF(CA50=1,IF(CA$13&lt;=COUNT($C22:$CS22),IF(INDEX($F$206:$F$229,MATCH($B242,$B$206:$B$229,FALSE))=0,NA(),INDEX(CA$14:CA$37,MATCH($B242,$B$14:$B$37,FALSE))/INDEX($F$206:$F$229,MATCH($B242,$B$206:$B$229,FALSE))),NA()),NA())</f>
        <v>#N/A</v>
      </c>
      <c r="CC242" s="65" t="e">
        <f>IF(CB50=1,IF(CB$13&lt;=COUNT($C22:$CS22),IF(INDEX($F$206:$F$229,MATCH($B242,$B$206:$B$229,FALSE))=0,NA(),INDEX(CB$14:CB$37,MATCH($B242,$B$14:$B$37,FALSE))/INDEX($F$206:$F$229,MATCH($B242,$B$206:$B$229,FALSE))),NA()),NA())</f>
        <v>#N/A</v>
      </c>
      <c r="CD242" s="65" t="e">
        <f>IF(CC50=1,IF(CC$13&lt;=COUNT($C22:$CS22),IF(INDEX($F$206:$F$229,MATCH($B242,$B$206:$B$229,FALSE))=0,NA(),INDEX(CC$14:CC$37,MATCH($B242,$B$14:$B$37,FALSE))/INDEX($F$206:$F$229,MATCH($B242,$B$206:$B$229,FALSE))),NA()),NA())</f>
        <v>#N/A</v>
      </c>
      <c r="CE242" s="65" t="e">
        <f>IF(CD50=1,IF(CD$13&lt;=COUNT($C22:$CS22),IF(INDEX($F$206:$F$229,MATCH($B242,$B$206:$B$229,FALSE))=0,NA(),INDEX(CD$14:CD$37,MATCH($B242,$B$14:$B$37,FALSE))/INDEX($F$206:$F$229,MATCH($B242,$B$206:$B$229,FALSE))),NA()),NA())</f>
        <v>#N/A</v>
      </c>
      <c r="CF242" s="65" t="e">
        <f>IF(CE50=1,IF(CE$13&lt;=COUNT($C22:$CS22),IF(INDEX($F$206:$F$229,MATCH($B242,$B$206:$B$229,FALSE))=0,NA(),INDEX(CE$14:CE$37,MATCH($B242,$B$14:$B$37,FALSE))/INDEX($F$206:$F$229,MATCH($B242,$B$206:$B$229,FALSE))),NA()),NA())</f>
        <v>#N/A</v>
      </c>
      <c r="CG242" s="65" t="e">
        <f>IF(CF50=1,IF(CF$13&lt;=COUNT($C22:$CS22),IF(INDEX($F$206:$F$229,MATCH($B242,$B$206:$B$229,FALSE))=0,NA(),INDEX(CF$14:CF$37,MATCH($B242,$B$14:$B$37,FALSE))/INDEX($F$206:$F$229,MATCH($B242,$B$206:$B$229,FALSE))),NA()),NA())</f>
        <v>#N/A</v>
      </c>
      <c r="CH242" s="65" t="e">
        <f>IF(CG50=1,IF(CG$13&lt;=COUNT($C22:$CS22),IF(INDEX($F$206:$F$229,MATCH($B242,$B$206:$B$229,FALSE))=0,NA(),INDEX(CG$14:CG$37,MATCH($B242,$B$14:$B$37,FALSE))/INDEX($F$206:$F$229,MATCH($B242,$B$206:$B$229,FALSE))),NA()),NA())</f>
        <v>#N/A</v>
      </c>
      <c r="CI242" s="65" t="e">
        <f>IF(CH50=1,IF(CH$13&lt;=COUNT($C22:$CS22),IF(INDEX($F$206:$F$229,MATCH($B242,$B$206:$B$229,FALSE))=0,NA(),INDEX(CH$14:CH$37,MATCH($B242,$B$14:$B$37,FALSE))/INDEX($F$206:$F$229,MATCH($B242,$B$206:$B$229,FALSE))),NA()),NA())</f>
        <v>#N/A</v>
      </c>
      <c r="CJ242" s="65" t="e">
        <f>IF(CI50=1,IF(CI$13&lt;=COUNT($C22:$CS22),IF(INDEX($F$206:$F$229,MATCH($B242,$B$206:$B$229,FALSE))=0,NA(),INDEX(CI$14:CI$37,MATCH($B242,$B$14:$B$37,FALSE))/INDEX($F$206:$F$229,MATCH($B242,$B$206:$B$229,FALSE))),NA()),NA())</f>
        <v>#N/A</v>
      </c>
      <c r="CK242" s="65" t="e">
        <f>IF(CJ50=1,IF(CJ$13&lt;=COUNT($C22:$CS22),IF(INDEX($F$206:$F$229,MATCH($B242,$B$206:$B$229,FALSE))=0,NA(),INDEX(CJ$14:CJ$37,MATCH($B242,$B$14:$B$37,FALSE))/INDEX($F$206:$F$229,MATCH($B242,$B$206:$B$229,FALSE))),NA()),NA())</f>
        <v>#N/A</v>
      </c>
      <c r="CL242" s="65" t="e">
        <f>IF(CK50=1,IF(CK$13&lt;=COUNT($C22:$CS22),IF(INDEX($F$206:$F$229,MATCH($B242,$B$206:$B$229,FALSE))=0,NA(),INDEX(CK$14:CK$37,MATCH($B242,$B$14:$B$37,FALSE))/INDEX($F$206:$F$229,MATCH($B242,$B$206:$B$229,FALSE))),NA()),NA())</f>
        <v>#N/A</v>
      </c>
      <c r="CM242" s="65" t="e">
        <f>IF(CL50=1,IF(CL$13&lt;=COUNT($C22:$CS22),IF(INDEX($F$206:$F$229,MATCH($B242,$B$206:$B$229,FALSE))=0,NA(),INDEX(CL$14:CL$37,MATCH($B242,$B$14:$B$37,FALSE))/INDEX($F$206:$F$229,MATCH($B242,$B$206:$B$229,FALSE))),NA()),NA())</f>
        <v>#N/A</v>
      </c>
      <c r="CN242" s="65" t="e">
        <f>IF(CM50=1,IF(CM$13&lt;=COUNT($C22:$CS22),IF(INDEX($F$206:$F$229,MATCH($B242,$B$206:$B$229,FALSE))=0,NA(),INDEX(CM$14:CM$37,MATCH($B242,$B$14:$B$37,FALSE))/INDEX($F$206:$F$229,MATCH($B242,$B$206:$B$229,FALSE))),NA()),NA())</f>
        <v>#N/A</v>
      </c>
      <c r="CO242" s="65" t="e">
        <f>IF(CN50=1,IF(CN$13&lt;=COUNT($C22:$CS22),IF(INDEX($F$206:$F$229,MATCH($B242,$B$206:$B$229,FALSE))=0,NA(),INDEX(CN$14:CN$37,MATCH($B242,$B$14:$B$37,FALSE))/INDEX($F$206:$F$229,MATCH($B242,$B$206:$B$229,FALSE))),NA()),NA())</f>
        <v>#N/A</v>
      </c>
      <c r="CP242" s="65" t="e">
        <f>IF(CO50=1,IF(CO$13&lt;=COUNT($C22:$CS22),IF(INDEX($F$206:$F$229,MATCH($B242,$B$206:$B$229,FALSE))=0,NA(),INDEX(CO$14:CO$37,MATCH($B242,$B$14:$B$37,FALSE))/INDEX($F$206:$F$229,MATCH($B242,$B$206:$B$229,FALSE))),NA()),NA())</f>
        <v>#N/A</v>
      </c>
      <c r="CQ242" s="65" t="e">
        <f>IF(CP50=1,IF(CP$13&lt;=COUNT($C22:$CS22),IF(INDEX($F$206:$F$229,MATCH($B242,$B$206:$B$229,FALSE))=0,NA(),INDEX(CP$14:CP$37,MATCH($B242,$B$14:$B$37,FALSE))/INDEX($F$206:$F$229,MATCH($B242,$B$206:$B$229,FALSE))),NA()),NA())</f>
        <v>#N/A</v>
      </c>
      <c r="CR242" s="65" t="e">
        <f>IF(CQ50=1,IF(CQ$13&lt;=COUNT($C22:$CS22),IF(INDEX($F$206:$F$229,MATCH($B242,$B$206:$B$229,FALSE))=0,NA(),INDEX(CQ$14:CQ$37,MATCH($B242,$B$14:$B$37,FALSE))/INDEX($F$206:$F$229,MATCH($B242,$B$206:$B$229,FALSE))),NA()),NA())</f>
        <v>#N/A</v>
      </c>
      <c r="CS242" s="65" t="e">
        <f>IF(CR50=1,IF(CR$13&lt;=COUNT($C22:$CS22),IF(INDEX($F$206:$F$229,MATCH($B242,$B$206:$B$229,FALSE))=0,NA(),INDEX(CR$14:CR$37,MATCH($B242,$B$14:$B$37,FALSE))/INDEX($F$206:$F$229,MATCH($B242,$B$206:$B$229,FALSE))),NA()),NA())</f>
        <v>#N/A</v>
      </c>
      <c r="CT242" s="49"/>
      <c r="CU242" s="49"/>
      <c r="CV242" s="49"/>
      <c r="CW242" s="49"/>
    </row>
    <row r="243" spans="1:101" x14ac:dyDescent="0.25">
      <c r="A243" s="97">
        <f t="shared" si="105"/>
        <v>0</v>
      </c>
      <c r="B243" s="29">
        <f t="shared" si="104"/>
        <v>2005</v>
      </c>
      <c r="C243" s="154" t="str">
        <f t="shared" si="106"/>
        <v/>
      </c>
      <c r="D243" s="54" t="e">
        <f>IF(C51=1,IF(C$13&lt;=COUNT($C23:$CS23),IF(INDEX($F$206:$F$229,MATCH($B243,$B$206:$B$229,FALSE))=0,NA(),INDEX(C$14:C$37,MATCH($B243,$B$14:$B$37,FALSE))/INDEX($F$206:$F$229,MATCH($B243,$B$206:$B$229,FALSE))),NA()),NA())</f>
        <v>#N/A</v>
      </c>
      <c r="E243" s="65" t="e">
        <f>IF(D51=1,IF(D$13&lt;=COUNT($C23:$CS23),IF(INDEX($F$206:$F$229,MATCH($B243,$B$206:$B$229,FALSE))=0,NA(),INDEX(D$14:D$37,MATCH($B243,$B$14:$B$37,FALSE))/INDEX($F$206:$F$229,MATCH($B243,$B$206:$B$229,FALSE))),NA()),NA())</f>
        <v>#N/A</v>
      </c>
      <c r="F243" s="65" t="e">
        <f>IF(E51=1,IF(E$13&lt;=COUNT($C23:$CS23),IF(INDEX($F$206:$F$229,MATCH($B243,$B$206:$B$229,FALSE))=0,NA(),INDEX(E$14:E$37,MATCH($B243,$B$14:$B$37,FALSE))/INDEX($F$206:$F$229,MATCH($B243,$B$206:$B$229,FALSE))),NA()),NA())</f>
        <v>#N/A</v>
      </c>
      <c r="G243" s="65" t="e">
        <f>IF(F51=1,IF(F$13&lt;=COUNT($C23:$CS23),IF(INDEX($F$206:$F$229,MATCH($B243,$B$206:$B$229,FALSE))=0,NA(),INDEX(F$14:F$37,MATCH($B243,$B$14:$B$37,FALSE))/INDEX($F$206:$F$229,MATCH($B243,$B$206:$B$229,FALSE))),NA()),NA())</f>
        <v>#N/A</v>
      </c>
      <c r="H243" s="65" t="e">
        <f>IF(G51=1,IF(G$13&lt;=COUNT($C23:$CS23),IF(INDEX($F$206:$F$229,MATCH($B243,$B$206:$B$229,FALSE))=0,NA(),INDEX(G$14:G$37,MATCH($B243,$B$14:$B$37,FALSE))/INDEX($F$206:$F$229,MATCH($B243,$B$206:$B$229,FALSE))),NA()),NA())</f>
        <v>#N/A</v>
      </c>
      <c r="I243" s="65" t="e">
        <f>IF(H51=1,IF(H$13&lt;=COUNT($C23:$CS23),IF(INDEX($F$206:$F$229,MATCH($B243,$B$206:$B$229,FALSE))=0,NA(),INDEX(H$14:H$37,MATCH($B243,$B$14:$B$37,FALSE))/INDEX($F$206:$F$229,MATCH($B243,$B$206:$B$229,FALSE))),NA()),NA())</f>
        <v>#N/A</v>
      </c>
      <c r="J243" s="65" t="e">
        <f>IF(I51=1,IF(I$13&lt;=COUNT($C23:$CS23),IF(INDEX($F$206:$F$229,MATCH($B243,$B$206:$B$229,FALSE))=0,NA(),INDEX(I$14:I$37,MATCH($B243,$B$14:$B$37,FALSE))/INDEX($F$206:$F$229,MATCH($B243,$B$206:$B$229,FALSE))),NA()),NA())</f>
        <v>#N/A</v>
      </c>
      <c r="K243" s="65" t="e">
        <f>IF(J51=1,IF(J$13&lt;=COUNT($C23:$CS23),IF(INDEX($F$206:$F$229,MATCH($B243,$B$206:$B$229,FALSE))=0,NA(),INDEX(J$14:J$37,MATCH($B243,$B$14:$B$37,FALSE))/INDEX($F$206:$F$229,MATCH($B243,$B$206:$B$229,FALSE))),NA()),NA())</f>
        <v>#N/A</v>
      </c>
      <c r="L243" s="65" t="e">
        <f>IF(K51=1,IF(K$13&lt;=COUNT($C23:$CS23),IF(INDEX($F$206:$F$229,MATCH($B243,$B$206:$B$229,FALSE))=0,NA(),INDEX(K$14:K$37,MATCH($B243,$B$14:$B$37,FALSE))/INDEX($F$206:$F$229,MATCH($B243,$B$206:$B$229,FALSE))),NA()),NA())</f>
        <v>#N/A</v>
      </c>
      <c r="M243" s="65" t="e">
        <f>IF(L51=1,IF(L$13&lt;=COUNT($C23:$CS23),IF(INDEX($F$206:$F$229,MATCH($B243,$B$206:$B$229,FALSE))=0,NA(),INDEX(L$14:L$37,MATCH($B243,$B$14:$B$37,FALSE))/INDEX($F$206:$F$229,MATCH($B243,$B$206:$B$229,FALSE))),NA()),NA())</f>
        <v>#N/A</v>
      </c>
      <c r="N243" s="65" t="e">
        <f>IF(M51=1,IF(M$13&lt;=COUNT($C23:$CS23),IF(INDEX($F$206:$F$229,MATCH($B243,$B$206:$B$229,FALSE))=0,NA(),INDEX(M$14:M$37,MATCH($B243,$B$14:$B$37,FALSE))/INDEX($F$206:$F$229,MATCH($B243,$B$206:$B$229,FALSE))),NA()),NA())</f>
        <v>#N/A</v>
      </c>
      <c r="O243" s="65" t="e">
        <f>IF(N51=1,IF(N$13&lt;=COUNT($C23:$CS23),IF(INDEX($F$206:$F$229,MATCH($B243,$B$206:$B$229,FALSE))=0,NA(),INDEX(N$14:N$37,MATCH($B243,$B$14:$B$37,FALSE))/INDEX($F$206:$F$229,MATCH($B243,$B$206:$B$229,FALSE))),NA()),NA())</f>
        <v>#N/A</v>
      </c>
      <c r="P243" s="65" t="e">
        <f>IF(O51=1,IF(O$13&lt;=COUNT($C23:$CS23),IF(INDEX($F$206:$F$229,MATCH($B243,$B$206:$B$229,FALSE))=0,NA(),INDEX(O$14:O$37,MATCH($B243,$B$14:$B$37,FALSE))/INDEX($F$206:$F$229,MATCH($B243,$B$206:$B$229,FALSE))),NA()),NA())</f>
        <v>#N/A</v>
      </c>
      <c r="Q243" s="65" t="e">
        <f>IF(P51=1,IF(P$13&lt;=COUNT($C23:$CS23),IF(INDEX($F$206:$F$229,MATCH($B243,$B$206:$B$229,FALSE))=0,NA(),INDEX(P$14:P$37,MATCH($B243,$B$14:$B$37,FALSE))/INDEX($F$206:$F$229,MATCH($B243,$B$206:$B$229,FALSE))),NA()),NA())</f>
        <v>#N/A</v>
      </c>
      <c r="R243" s="65" t="e">
        <f>IF(Q51=1,IF(Q$13&lt;=COUNT($C23:$CS23),IF(INDEX($F$206:$F$229,MATCH($B243,$B$206:$B$229,FALSE))=0,NA(),INDEX(Q$14:Q$37,MATCH($B243,$B$14:$B$37,FALSE))/INDEX($F$206:$F$229,MATCH($B243,$B$206:$B$229,FALSE))),NA()),NA())</f>
        <v>#N/A</v>
      </c>
      <c r="S243" s="65" t="e">
        <f>IF(R51=1,IF(R$13&lt;=COUNT($C23:$CS23),IF(INDEX($F$206:$F$229,MATCH($B243,$B$206:$B$229,FALSE))=0,NA(),INDEX(R$14:R$37,MATCH($B243,$B$14:$B$37,FALSE))/INDEX($F$206:$F$229,MATCH($B243,$B$206:$B$229,FALSE))),NA()),NA())</f>
        <v>#N/A</v>
      </c>
      <c r="T243" s="65" t="e">
        <f>IF(S51=1,IF(S$13&lt;=COUNT($C23:$CS23),IF(INDEX($F$206:$F$229,MATCH($B243,$B$206:$B$229,FALSE))=0,NA(),INDEX(S$14:S$37,MATCH($B243,$B$14:$B$37,FALSE))/INDEX($F$206:$F$229,MATCH($B243,$B$206:$B$229,FALSE))),NA()),NA())</f>
        <v>#N/A</v>
      </c>
      <c r="U243" s="65" t="e">
        <f>IF(T51=1,IF(T$13&lt;=COUNT($C23:$CS23),IF(INDEX($F$206:$F$229,MATCH($B243,$B$206:$B$229,FALSE))=0,NA(),INDEX(T$14:T$37,MATCH($B243,$B$14:$B$37,FALSE))/INDEX($F$206:$F$229,MATCH($B243,$B$206:$B$229,FALSE))),NA()),NA())</f>
        <v>#N/A</v>
      </c>
      <c r="V243" s="65" t="e">
        <f>IF(U51=1,IF(U$13&lt;=COUNT($C23:$CS23),IF(INDEX($F$206:$F$229,MATCH($B243,$B$206:$B$229,FALSE))=0,NA(),INDEX(U$14:U$37,MATCH($B243,$B$14:$B$37,FALSE))/INDEX($F$206:$F$229,MATCH($B243,$B$206:$B$229,FALSE))),NA()),NA())</f>
        <v>#N/A</v>
      </c>
      <c r="W243" s="65" t="e">
        <f>IF(V51=1,IF(V$13&lt;=COUNT($C23:$CS23),IF(INDEX($F$206:$F$229,MATCH($B243,$B$206:$B$229,FALSE))=0,NA(),INDEX(V$14:V$37,MATCH($B243,$B$14:$B$37,FALSE))/INDEX($F$206:$F$229,MATCH($B243,$B$206:$B$229,FALSE))),NA()),NA())</f>
        <v>#N/A</v>
      </c>
      <c r="X243" s="65" t="e">
        <f>IF(W51=1,IF(W$13&lt;=COUNT($C23:$CS23),IF(INDEX($F$206:$F$229,MATCH($B243,$B$206:$B$229,FALSE))=0,NA(),INDEX(W$14:W$37,MATCH($B243,$B$14:$B$37,FALSE))/INDEX($F$206:$F$229,MATCH($B243,$B$206:$B$229,FALSE))),NA()),NA())</f>
        <v>#N/A</v>
      </c>
      <c r="Y243" s="65" t="e">
        <f>IF(X51=1,IF(X$13&lt;=COUNT($C23:$CS23),IF(INDEX($F$206:$F$229,MATCH($B243,$B$206:$B$229,FALSE))=0,NA(),INDEX(X$14:X$37,MATCH($B243,$B$14:$B$37,FALSE))/INDEX($F$206:$F$229,MATCH($B243,$B$206:$B$229,FALSE))),NA()),NA())</f>
        <v>#N/A</v>
      </c>
      <c r="Z243" s="65" t="e">
        <f>IF(Y51=1,IF(Y$13&lt;=COUNT($C23:$CS23),IF(INDEX($F$206:$F$229,MATCH($B243,$B$206:$B$229,FALSE))=0,NA(),INDEX(Y$14:Y$37,MATCH($B243,$B$14:$B$37,FALSE))/INDEX($F$206:$F$229,MATCH($B243,$B$206:$B$229,FALSE))),NA()),NA())</f>
        <v>#N/A</v>
      </c>
      <c r="AA243" s="65" t="e">
        <f>IF(Z51=1,IF(Z$13&lt;=COUNT($C23:$CS23),IF(INDEX($F$206:$F$229,MATCH($B243,$B$206:$B$229,FALSE))=0,NA(),INDEX(Z$14:Z$37,MATCH($B243,$B$14:$B$37,FALSE))/INDEX($F$206:$F$229,MATCH($B243,$B$206:$B$229,FALSE))),NA()),NA())</f>
        <v>#N/A</v>
      </c>
      <c r="AB243" s="65" t="e">
        <f>IF(AA51=1,IF(AA$13&lt;=COUNT($C23:$CS23),IF(INDEX($F$206:$F$229,MATCH($B243,$B$206:$B$229,FALSE))=0,NA(),INDEX(AA$14:AA$37,MATCH($B243,$B$14:$B$37,FALSE))/INDEX($F$206:$F$229,MATCH($B243,$B$206:$B$229,FALSE))),NA()),NA())</f>
        <v>#N/A</v>
      </c>
      <c r="AC243" s="65" t="e">
        <f>IF(AB51=1,IF(AB$13&lt;=COUNT($C23:$CS23),IF(INDEX($F$206:$F$229,MATCH($B243,$B$206:$B$229,FALSE))=0,NA(),INDEX(AB$14:AB$37,MATCH($B243,$B$14:$B$37,FALSE))/INDEX($F$206:$F$229,MATCH($B243,$B$206:$B$229,FALSE))),NA()),NA())</f>
        <v>#N/A</v>
      </c>
      <c r="AD243" s="65" t="e">
        <f>IF(AC51=1,IF(AC$13&lt;=COUNT($C23:$CS23),IF(INDEX($F$206:$F$229,MATCH($B243,$B$206:$B$229,FALSE))=0,NA(),INDEX(AC$14:AC$37,MATCH($B243,$B$14:$B$37,FALSE))/INDEX($F$206:$F$229,MATCH($B243,$B$206:$B$229,FALSE))),NA()),NA())</f>
        <v>#N/A</v>
      </c>
      <c r="AE243" s="65" t="e">
        <f>IF(AD51=1,IF(AD$13&lt;=COUNT($C23:$CS23),IF(INDEX($F$206:$F$229,MATCH($B243,$B$206:$B$229,FALSE))=0,NA(),INDEX(AD$14:AD$37,MATCH($B243,$B$14:$B$37,FALSE))/INDEX($F$206:$F$229,MATCH($B243,$B$206:$B$229,FALSE))),NA()),NA())</f>
        <v>#N/A</v>
      </c>
      <c r="AF243" s="65" t="e">
        <f>IF(AE51=1,IF(AE$13&lt;=COUNT($C23:$CS23),IF(INDEX($F$206:$F$229,MATCH($B243,$B$206:$B$229,FALSE))=0,NA(),INDEX(AE$14:AE$37,MATCH($B243,$B$14:$B$37,FALSE))/INDEX($F$206:$F$229,MATCH($B243,$B$206:$B$229,FALSE))),NA()),NA())</f>
        <v>#N/A</v>
      </c>
      <c r="AG243" s="65" t="e">
        <f>IF(AF51=1,IF(AF$13&lt;=COUNT($C23:$CS23),IF(INDEX($F$206:$F$229,MATCH($B243,$B$206:$B$229,FALSE))=0,NA(),INDEX(AF$14:AF$37,MATCH($B243,$B$14:$B$37,FALSE))/INDEX($F$206:$F$229,MATCH($B243,$B$206:$B$229,FALSE))),NA()),NA())</f>
        <v>#N/A</v>
      </c>
      <c r="AH243" s="65" t="e">
        <f>IF(AG51=1,IF(AG$13&lt;=COUNT($C23:$CS23),IF(INDEX($F$206:$F$229,MATCH($B243,$B$206:$B$229,FALSE))=0,NA(),INDEX(AG$14:AG$37,MATCH($B243,$B$14:$B$37,FALSE))/INDEX($F$206:$F$229,MATCH($B243,$B$206:$B$229,FALSE))),NA()),NA())</f>
        <v>#N/A</v>
      </c>
      <c r="AI243" s="65" t="e">
        <f>IF(AH51=1,IF(AH$13&lt;=COUNT($C23:$CS23),IF(INDEX($F$206:$F$229,MATCH($B243,$B$206:$B$229,FALSE))=0,NA(),INDEX(AH$14:AH$37,MATCH($B243,$B$14:$B$37,FALSE))/INDEX($F$206:$F$229,MATCH($B243,$B$206:$B$229,FALSE))),NA()),NA())</f>
        <v>#N/A</v>
      </c>
      <c r="AJ243" s="65" t="e">
        <f>IF(AI51=1,IF(AI$13&lt;=COUNT($C23:$CS23),IF(INDEX($F$206:$F$229,MATCH($B243,$B$206:$B$229,FALSE))=0,NA(),INDEX(AI$14:AI$37,MATCH($B243,$B$14:$B$37,FALSE))/INDEX($F$206:$F$229,MATCH($B243,$B$206:$B$229,FALSE))),NA()),NA())</f>
        <v>#N/A</v>
      </c>
      <c r="AK243" s="65" t="e">
        <f>IF(AJ51=1,IF(AJ$13&lt;=COUNT($C23:$CS23),IF(INDEX($F$206:$F$229,MATCH($B243,$B$206:$B$229,FALSE))=0,NA(),INDEX(AJ$14:AJ$37,MATCH($B243,$B$14:$B$37,FALSE))/INDEX($F$206:$F$229,MATCH($B243,$B$206:$B$229,FALSE))),NA()),NA())</f>
        <v>#N/A</v>
      </c>
      <c r="AL243" s="65" t="e">
        <f>IF(AK51=1,IF(AK$13&lt;=COUNT($C23:$CS23),IF(INDEX($F$206:$F$229,MATCH($B243,$B$206:$B$229,FALSE))=0,NA(),INDEX(AK$14:AK$37,MATCH($B243,$B$14:$B$37,FALSE))/INDEX($F$206:$F$229,MATCH($B243,$B$206:$B$229,FALSE))),NA()),NA())</f>
        <v>#N/A</v>
      </c>
      <c r="AM243" s="65" t="e">
        <f>IF(AL51=1,IF(AL$13&lt;=COUNT($C23:$CS23),IF(INDEX($F$206:$F$229,MATCH($B243,$B$206:$B$229,FALSE))=0,NA(),INDEX(AL$14:AL$37,MATCH($B243,$B$14:$B$37,FALSE))/INDEX($F$206:$F$229,MATCH($B243,$B$206:$B$229,FALSE))),NA()),NA())</f>
        <v>#N/A</v>
      </c>
      <c r="AN243" s="65" t="e">
        <f>IF(AM51=1,IF(AM$13&lt;=COUNT($C23:$CS23),IF(INDEX($F$206:$F$229,MATCH($B243,$B$206:$B$229,FALSE))=0,NA(),INDEX(AM$14:AM$37,MATCH($B243,$B$14:$B$37,FALSE))/INDEX($F$206:$F$229,MATCH($B243,$B$206:$B$229,FALSE))),NA()),NA())</f>
        <v>#N/A</v>
      </c>
      <c r="AO243" s="65" t="e">
        <f>IF(AN51=1,IF(AN$13&lt;=COUNT($C23:$CS23),IF(INDEX($F$206:$F$229,MATCH($B243,$B$206:$B$229,FALSE))=0,NA(),INDEX(AN$14:AN$37,MATCH($B243,$B$14:$B$37,FALSE))/INDEX($F$206:$F$229,MATCH($B243,$B$206:$B$229,FALSE))),NA()),NA())</f>
        <v>#N/A</v>
      </c>
      <c r="AP243" s="65" t="e">
        <f>IF(AO51=1,IF(AO$13&lt;=COUNT($C23:$CS23),IF(INDEX($F$206:$F$229,MATCH($B243,$B$206:$B$229,FALSE))=0,NA(),INDEX(AO$14:AO$37,MATCH($B243,$B$14:$B$37,FALSE))/INDEX($F$206:$F$229,MATCH($B243,$B$206:$B$229,FALSE))),NA()),NA())</f>
        <v>#N/A</v>
      </c>
      <c r="AQ243" s="65" t="e">
        <f>IF(AP51=1,IF(AP$13&lt;=COUNT($C23:$CS23),IF(INDEX($F$206:$F$229,MATCH($B243,$B$206:$B$229,FALSE))=0,NA(),INDEX(AP$14:AP$37,MATCH($B243,$B$14:$B$37,FALSE))/INDEX($F$206:$F$229,MATCH($B243,$B$206:$B$229,FALSE))),NA()),NA())</f>
        <v>#N/A</v>
      </c>
      <c r="AR243" s="65" t="e">
        <f>IF(AQ51=1,IF(AQ$13&lt;=COUNT($C23:$CS23),IF(INDEX($F$206:$F$229,MATCH($B243,$B$206:$B$229,FALSE))=0,NA(),INDEX(AQ$14:AQ$37,MATCH($B243,$B$14:$B$37,FALSE))/INDEX($F$206:$F$229,MATCH($B243,$B$206:$B$229,FALSE))),NA()),NA())</f>
        <v>#N/A</v>
      </c>
      <c r="AS243" s="65" t="e">
        <f>IF(AR51=1,IF(AR$13&lt;=COUNT($C23:$CS23),IF(INDEX($F$206:$F$229,MATCH($B243,$B$206:$B$229,FALSE))=0,NA(),INDEX(AR$14:AR$37,MATCH($B243,$B$14:$B$37,FALSE))/INDEX($F$206:$F$229,MATCH($B243,$B$206:$B$229,FALSE))),NA()),NA())</f>
        <v>#N/A</v>
      </c>
      <c r="AT243" s="65" t="e">
        <f>IF(AS51=1,IF(AS$13&lt;=COUNT($C23:$CS23),IF(INDEX($F$206:$F$229,MATCH($B243,$B$206:$B$229,FALSE))=0,NA(),INDEX(AS$14:AS$37,MATCH($B243,$B$14:$B$37,FALSE))/INDEX($F$206:$F$229,MATCH($B243,$B$206:$B$229,FALSE))),NA()),NA())</f>
        <v>#N/A</v>
      </c>
      <c r="AU243" s="65" t="e">
        <f>IF(AT51=1,IF(AT$13&lt;=COUNT($C23:$CS23),IF(INDEX($F$206:$F$229,MATCH($B243,$B$206:$B$229,FALSE))=0,NA(),INDEX(AT$14:AT$37,MATCH($B243,$B$14:$B$37,FALSE))/INDEX($F$206:$F$229,MATCH($B243,$B$206:$B$229,FALSE))),NA()),NA())</f>
        <v>#N/A</v>
      </c>
      <c r="AV243" s="65" t="e">
        <f>IF(AU51=1,IF(AU$13&lt;=COUNT($C23:$CS23),IF(INDEX($F$206:$F$229,MATCH($B243,$B$206:$B$229,FALSE))=0,NA(),INDEX(AU$14:AU$37,MATCH($B243,$B$14:$B$37,FALSE))/INDEX($F$206:$F$229,MATCH($B243,$B$206:$B$229,FALSE))),NA()),NA())</f>
        <v>#N/A</v>
      </c>
      <c r="AW243" s="65" t="e">
        <f>IF(AV51=1,IF(AV$13&lt;=COUNT($C23:$CS23),IF(INDEX($F$206:$F$229,MATCH($B243,$B$206:$B$229,FALSE))=0,NA(),INDEX(AV$14:AV$37,MATCH($B243,$B$14:$B$37,FALSE))/INDEX($F$206:$F$229,MATCH($B243,$B$206:$B$229,FALSE))),NA()),NA())</f>
        <v>#N/A</v>
      </c>
      <c r="AX243" s="65" t="e">
        <f>IF(AW51=1,IF(AW$13&lt;=COUNT($C23:$CS23),IF(INDEX($F$206:$F$229,MATCH($B243,$B$206:$B$229,FALSE))=0,NA(),INDEX(AW$14:AW$37,MATCH($B243,$B$14:$B$37,FALSE))/INDEX($F$206:$F$229,MATCH($B243,$B$206:$B$229,FALSE))),NA()),NA())</f>
        <v>#N/A</v>
      </c>
      <c r="AY243" s="65" t="e">
        <f>IF(AX51=1,IF(AX$13&lt;=COUNT($C23:$CS23),IF(INDEX($F$206:$F$229,MATCH($B243,$B$206:$B$229,FALSE))=0,NA(),INDEX(AX$14:AX$37,MATCH($B243,$B$14:$B$37,FALSE))/INDEX($F$206:$F$229,MATCH($B243,$B$206:$B$229,FALSE))),NA()),NA())</f>
        <v>#N/A</v>
      </c>
      <c r="AZ243" s="65" t="e">
        <f>IF(AY51=1,IF(AY$13&lt;=COUNT($C23:$CS23),IF(INDEX($F$206:$F$229,MATCH($B243,$B$206:$B$229,FALSE))=0,NA(),INDEX(AY$14:AY$37,MATCH($B243,$B$14:$B$37,FALSE))/INDEX($F$206:$F$229,MATCH($B243,$B$206:$B$229,FALSE))),NA()),NA())</f>
        <v>#N/A</v>
      </c>
      <c r="BA243" s="65" t="e">
        <f>IF(AZ51=1,IF(AZ$13&lt;=COUNT($C23:$CS23),IF(INDEX($F$206:$F$229,MATCH($B243,$B$206:$B$229,FALSE))=0,NA(),INDEX(AZ$14:AZ$37,MATCH($B243,$B$14:$B$37,FALSE))/INDEX($F$206:$F$229,MATCH($B243,$B$206:$B$229,FALSE))),NA()),NA())</f>
        <v>#N/A</v>
      </c>
      <c r="BB243" s="65" t="e">
        <f>IF(BA51=1,IF(BA$13&lt;=COUNT($C23:$CS23),IF(INDEX($F$206:$F$229,MATCH($B243,$B$206:$B$229,FALSE))=0,NA(),INDEX(BA$14:BA$37,MATCH($B243,$B$14:$B$37,FALSE))/INDEX($F$206:$F$229,MATCH($B243,$B$206:$B$229,FALSE))),NA()),NA())</f>
        <v>#N/A</v>
      </c>
      <c r="BC243" s="65" t="e">
        <f>IF(BB51=1,IF(BB$13&lt;=COUNT($C23:$CS23),IF(INDEX($F$206:$F$229,MATCH($B243,$B$206:$B$229,FALSE))=0,NA(),INDEX(BB$14:BB$37,MATCH($B243,$B$14:$B$37,FALSE))/INDEX($F$206:$F$229,MATCH($B243,$B$206:$B$229,FALSE))),NA()),NA())</f>
        <v>#N/A</v>
      </c>
      <c r="BD243" s="65" t="e">
        <f>IF(BC51=1,IF(BC$13&lt;=COUNT($C23:$CS23),IF(INDEX($F$206:$F$229,MATCH($B243,$B$206:$B$229,FALSE))=0,NA(),INDEX(BC$14:BC$37,MATCH($B243,$B$14:$B$37,FALSE))/INDEX($F$206:$F$229,MATCH($B243,$B$206:$B$229,FALSE))),NA()),NA())</f>
        <v>#N/A</v>
      </c>
      <c r="BE243" s="65" t="e">
        <f>IF(BD51=1,IF(BD$13&lt;=COUNT($C23:$CS23),IF(INDEX($F$206:$F$229,MATCH($B243,$B$206:$B$229,FALSE))=0,NA(),INDEX(BD$14:BD$37,MATCH($B243,$B$14:$B$37,FALSE))/INDEX($F$206:$F$229,MATCH($B243,$B$206:$B$229,FALSE))),NA()),NA())</f>
        <v>#N/A</v>
      </c>
      <c r="BF243" s="65" t="e">
        <f>IF(BE51=1,IF(BE$13&lt;=COUNT($C23:$CS23),IF(INDEX($F$206:$F$229,MATCH($B243,$B$206:$B$229,FALSE))=0,NA(),INDEX(BE$14:BE$37,MATCH($B243,$B$14:$B$37,FALSE))/INDEX($F$206:$F$229,MATCH($B243,$B$206:$B$229,FALSE))),NA()),NA())</f>
        <v>#N/A</v>
      </c>
      <c r="BG243" s="65" t="e">
        <f>IF(BF51=1,IF(BF$13&lt;=COUNT($C23:$CS23),IF(INDEX($F$206:$F$229,MATCH($B243,$B$206:$B$229,FALSE))=0,NA(),INDEX(BF$14:BF$37,MATCH($B243,$B$14:$B$37,FALSE))/INDEX($F$206:$F$229,MATCH($B243,$B$206:$B$229,FALSE))),NA()),NA())</f>
        <v>#N/A</v>
      </c>
      <c r="BH243" s="65" t="e">
        <f>IF(BG51=1,IF(BG$13&lt;=COUNT($C23:$CS23),IF(INDEX($F$206:$F$229,MATCH($B243,$B$206:$B$229,FALSE))=0,NA(),INDEX(BG$14:BG$37,MATCH($B243,$B$14:$B$37,FALSE))/INDEX($F$206:$F$229,MATCH($B243,$B$206:$B$229,FALSE))),NA()),NA())</f>
        <v>#N/A</v>
      </c>
      <c r="BI243" s="65" t="e">
        <f>IF(BH51=1,IF(BH$13&lt;=COUNT($C23:$CS23),IF(INDEX($F$206:$F$229,MATCH($B243,$B$206:$B$229,FALSE))=0,NA(),INDEX(BH$14:BH$37,MATCH($B243,$B$14:$B$37,FALSE))/INDEX($F$206:$F$229,MATCH($B243,$B$206:$B$229,FALSE))),NA()),NA())</f>
        <v>#N/A</v>
      </c>
      <c r="BJ243" s="65" t="e">
        <f>IF(BI51=1,IF(BI$13&lt;=COUNT($C23:$CS23),IF(INDEX($F$206:$F$229,MATCH($B243,$B$206:$B$229,FALSE))=0,NA(),INDEX(BI$14:BI$37,MATCH($B243,$B$14:$B$37,FALSE))/INDEX($F$206:$F$229,MATCH($B243,$B$206:$B$229,FALSE))),NA()),NA())</f>
        <v>#N/A</v>
      </c>
      <c r="BK243" s="65" t="e">
        <f>IF(BJ51=1,IF(BJ$13&lt;=COUNT($C23:$CS23),IF(INDEX($F$206:$F$229,MATCH($B243,$B$206:$B$229,FALSE))=0,NA(),INDEX(BJ$14:BJ$37,MATCH($B243,$B$14:$B$37,FALSE))/INDEX($F$206:$F$229,MATCH($B243,$B$206:$B$229,FALSE))),NA()),NA())</f>
        <v>#N/A</v>
      </c>
      <c r="BL243" s="65" t="e">
        <f>IF(BK51=1,IF(BK$13&lt;=COUNT($C23:$CS23),IF(INDEX($F$206:$F$229,MATCH($B243,$B$206:$B$229,FALSE))=0,NA(),INDEX(BK$14:BK$37,MATCH($B243,$B$14:$B$37,FALSE))/INDEX($F$206:$F$229,MATCH($B243,$B$206:$B$229,FALSE))),NA()),NA())</f>
        <v>#N/A</v>
      </c>
      <c r="BM243" s="65" t="e">
        <f>IF(BL51=1,IF(BL$13&lt;=COUNT($C23:$CS23),IF(INDEX($F$206:$F$229,MATCH($B243,$B$206:$B$229,FALSE))=0,NA(),INDEX(BL$14:BL$37,MATCH($B243,$B$14:$B$37,FALSE))/INDEX($F$206:$F$229,MATCH($B243,$B$206:$B$229,FALSE))),NA()),NA())</f>
        <v>#N/A</v>
      </c>
      <c r="BN243" s="65" t="e">
        <f>IF(BM51=1,IF(BM$13&lt;=COUNT($C23:$CS23),IF(INDEX($F$206:$F$229,MATCH($B243,$B$206:$B$229,FALSE))=0,NA(),INDEX(BM$14:BM$37,MATCH($B243,$B$14:$B$37,FALSE))/INDEX($F$206:$F$229,MATCH($B243,$B$206:$B$229,FALSE))),NA()),NA())</f>
        <v>#N/A</v>
      </c>
      <c r="BO243" s="65" t="e">
        <f>IF(BN51=1,IF(BN$13&lt;=COUNT($C23:$CS23),IF(INDEX($F$206:$F$229,MATCH($B243,$B$206:$B$229,FALSE))=0,NA(),INDEX(BN$14:BN$37,MATCH($B243,$B$14:$B$37,FALSE))/INDEX($F$206:$F$229,MATCH($B243,$B$206:$B$229,FALSE))),NA()),NA())</f>
        <v>#N/A</v>
      </c>
      <c r="BP243" s="65" t="e">
        <f>IF(BO51=1,IF(BO$13&lt;=COUNT($C23:$CS23),IF(INDEX($F$206:$F$229,MATCH($B243,$B$206:$B$229,FALSE))=0,NA(),INDEX(BO$14:BO$37,MATCH($B243,$B$14:$B$37,FALSE))/INDEX($F$206:$F$229,MATCH($B243,$B$206:$B$229,FALSE))),NA()),NA())</f>
        <v>#N/A</v>
      </c>
      <c r="BQ243" s="65" t="e">
        <f>IF(BP51=1,IF(BP$13&lt;=COUNT($C23:$CS23),IF(INDEX($F$206:$F$229,MATCH($B243,$B$206:$B$229,FALSE))=0,NA(),INDEX(BP$14:BP$37,MATCH($B243,$B$14:$B$37,FALSE))/INDEX($F$206:$F$229,MATCH($B243,$B$206:$B$229,FALSE))),NA()),NA())</f>
        <v>#N/A</v>
      </c>
      <c r="BR243" s="65" t="e">
        <f>IF(BQ51=1,IF(BQ$13&lt;=COUNT($C23:$CS23),IF(INDEX($F$206:$F$229,MATCH($B243,$B$206:$B$229,FALSE))=0,NA(),INDEX(BQ$14:BQ$37,MATCH($B243,$B$14:$B$37,FALSE))/INDEX($F$206:$F$229,MATCH($B243,$B$206:$B$229,FALSE))),NA()),NA())</f>
        <v>#N/A</v>
      </c>
      <c r="BS243" s="65" t="e">
        <f>IF(BR51=1,IF(BR$13&lt;=COUNT($C23:$CS23),IF(INDEX($F$206:$F$229,MATCH($B243,$B$206:$B$229,FALSE))=0,NA(),INDEX(BR$14:BR$37,MATCH($B243,$B$14:$B$37,FALSE))/INDEX($F$206:$F$229,MATCH($B243,$B$206:$B$229,FALSE))),NA()),NA())</f>
        <v>#N/A</v>
      </c>
      <c r="BT243" s="65" t="e">
        <f>IF(BS51=1,IF(BS$13&lt;=COUNT($C23:$CS23),IF(INDEX($F$206:$F$229,MATCH($B243,$B$206:$B$229,FALSE))=0,NA(),INDEX(BS$14:BS$37,MATCH($B243,$B$14:$B$37,FALSE))/INDEX($F$206:$F$229,MATCH($B243,$B$206:$B$229,FALSE))),NA()),NA())</f>
        <v>#N/A</v>
      </c>
      <c r="BU243" s="65" t="e">
        <f>IF(BT51=1,IF(BT$13&lt;=COUNT($C23:$CS23),IF(INDEX($F$206:$F$229,MATCH($B243,$B$206:$B$229,FALSE))=0,NA(),INDEX(BT$14:BT$37,MATCH($B243,$B$14:$B$37,FALSE))/INDEX($F$206:$F$229,MATCH($B243,$B$206:$B$229,FALSE))),NA()),NA())</f>
        <v>#N/A</v>
      </c>
      <c r="BV243" s="65" t="e">
        <f>IF(BU51=1,IF(BU$13&lt;=COUNT($C23:$CS23),IF(INDEX($F$206:$F$229,MATCH($B243,$B$206:$B$229,FALSE))=0,NA(),INDEX(BU$14:BU$37,MATCH($B243,$B$14:$B$37,FALSE))/INDEX($F$206:$F$229,MATCH($B243,$B$206:$B$229,FALSE))),NA()),NA())</f>
        <v>#N/A</v>
      </c>
      <c r="BW243" s="65" t="e">
        <f>IF(BV51=1,IF(BV$13&lt;=COUNT($C23:$CS23),IF(INDEX($F$206:$F$229,MATCH($B243,$B$206:$B$229,FALSE))=0,NA(),INDEX(BV$14:BV$37,MATCH($B243,$B$14:$B$37,FALSE))/INDEX($F$206:$F$229,MATCH($B243,$B$206:$B$229,FALSE))),NA()),NA())</f>
        <v>#N/A</v>
      </c>
      <c r="BX243" s="65" t="e">
        <f>IF(BW51=1,IF(BW$13&lt;=COUNT($C23:$CS23),IF(INDEX($F$206:$F$229,MATCH($B243,$B$206:$B$229,FALSE))=0,NA(),INDEX(BW$14:BW$37,MATCH($B243,$B$14:$B$37,FALSE))/INDEX($F$206:$F$229,MATCH($B243,$B$206:$B$229,FALSE))),NA()),NA())</f>
        <v>#N/A</v>
      </c>
      <c r="BY243" s="65" t="e">
        <f>IF(BX51=1,IF(BX$13&lt;=COUNT($C23:$CS23),IF(INDEX($F$206:$F$229,MATCH($B243,$B$206:$B$229,FALSE))=0,NA(),INDEX(BX$14:BX$37,MATCH($B243,$B$14:$B$37,FALSE))/INDEX($F$206:$F$229,MATCH($B243,$B$206:$B$229,FALSE))),NA()),NA())</f>
        <v>#N/A</v>
      </c>
      <c r="BZ243" s="65" t="e">
        <f>IF(BY51=1,IF(BY$13&lt;=COUNT($C23:$CS23),IF(INDEX($F$206:$F$229,MATCH($B243,$B$206:$B$229,FALSE))=0,NA(),INDEX(BY$14:BY$37,MATCH($B243,$B$14:$B$37,FALSE))/INDEX($F$206:$F$229,MATCH($B243,$B$206:$B$229,FALSE))),NA()),NA())</f>
        <v>#N/A</v>
      </c>
      <c r="CA243" s="65" t="e">
        <f>IF(BZ51=1,IF(BZ$13&lt;=COUNT($C23:$CS23),IF(INDEX($F$206:$F$229,MATCH($B243,$B$206:$B$229,FALSE))=0,NA(),INDEX(BZ$14:BZ$37,MATCH($B243,$B$14:$B$37,FALSE))/INDEX($F$206:$F$229,MATCH($B243,$B$206:$B$229,FALSE))),NA()),NA())</f>
        <v>#N/A</v>
      </c>
      <c r="CB243" s="65" t="e">
        <f>IF(CA51=1,IF(CA$13&lt;=COUNT($C23:$CS23),IF(INDEX($F$206:$F$229,MATCH($B243,$B$206:$B$229,FALSE))=0,NA(),INDEX(CA$14:CA$37,MATCH($B243,$B$14:$B$37,FALSE))/INDEX($F$206:$F$229,MATCH($B243,$B$206:$B$229,FALSE))),NA()),NA())</f>
        <v>#N/A</v>
      </c>
      <c r="CC243" s="65" t="e">
        <f>IF(CB51=1,IF(CB$13&lt;=COUNT($C23:$CS23),IF(INDEX($F$206:$F$229,MATCH($B243,$B$206:$B$229,FALSE))=0,NA(),INDEX(CB$14:CB$37,MATCH($B243,$B$14:$B$37,FALSE))/INDEX($F$206:$F$229,MATCH($B243,$B$206:$B$229,FALSE))),NA()),NA())</f>
        <v>#N/A</v>
      </c>
      <c r="CD243" s="65" t="e">
        <f>IF(CC51=1,IF(CC$13&lt;=COUNT($C23:$CS23),IF(INDEX($F$206:$F$229,MATCH($B243,$B$206:$B$229,FALSE))=0,NA(),INDEX(CC$14:CC$37,MATCH($B243,$B$14:$B$37,FALSE))/INDEX($F$206:$F$229,MATCH($B243,$B$206:$B$229,FALSE))),NA()),NA())</f>
        <v>#N/A</v>
      </c>
      <c r="CE243" s="65" t="e">
        <f>IF(CD51=1,IF(CD$13&lt;=COUNT($C23:$CS23),IF(INDEX($F$206:$F$229,MATCH($B243,$B$206:$B$229,FALSE))=0,NA(),INDEX(CD$14:CD$37,MATCH($B243,$B$14:$B$37,FALSE))/INDEX($F$206:$F$229,MATCH($B243,$B$206:$B$229,FALSE))),NA()),NA())</f>
        <v>#N/A</v>
      </c>
      <c r="CF243" s="65" t="e">
        <f>IF(CE51=1,IF(CE$13&lt;=COUNT($C23:$CS23),IF(INDEX($F$206:$F$229,MATCH($B243,$B$206:$B$229,FALSE))=0,NA(),INDEX(CE$14:CE$37,MATCH($B243,$B$14:$B$37,FALSE))/INDEX($F$206:$F$229,MATCH($B243,$B$206:$B$229,FALSE))),NA()),NA())</f>
        <v>#N/A</v>
      </c>
      <c r="CG243" s="65" t="e">
        <f>IF(CF51=1,IF(CF$13&lt;=COUNT($C23:$CS23),IF(INDEX($F$206:$F$229,MATCH($B243,$B$206:$B$229,FALSE))=0,NA(),INDEX(CF$14:CF$37,MATCH($B243,$B$14:$B$37,FALSE))/INDEX($F$206:$F$229,MATCH($B243,$B$206:$B$229,FALSE))),NA()),NA())</f>
        <v>#N/A</v>
      </c>
      <c r="CH243" s="65" t="e">
        <f>IF(CG51=1,IF(CG$13&lt;=COUNT($C23:$CS23),IF(INDEX($F$206:$F$229,MATCH($B243,$B$206:$B$229,FALSE))=0,NA(),INDEX(CG$14:CG$37,MATCH($B243,$B$14:$B$37,FALSE))/INDEX($F$206:$F$229,MATCH($B243,$B$206:$B$229,FALSE))),NA()),NA())</f>
        <v>#N/A</v>
      </c>
      <c r="CI243" s="65" t="e">
        <f>IF(CH51=1,IF(CH$13&lt;=COUNT($C23:$CS23),IF(INDEX($F$206:$F$229,MATCH($B243,$B$206:$B$229,FALSE))=0,NA(),INDEX(CH$14:CH$37,MATCH($B243,$B$14:$B$37,FALSE))/INDEX($F$206:$F$229,MATCH($B243,$B$206:$B$229,FALSE))),NA()),NA())</f>
        <v>#N/A</v>
      </c>
      <c r="CJ243" s="65" t="e">
        <f>IF(CI51=1,IF(CI$13&lt;=COUNT($C23:$CS23),IF(INDEX($F$206:$F$229,MATCH($B243,$B$206:$B$229,FALSE))=0,NA(),INDEX(CI$14:CI$37,MATCH($B243,$B$14:$B$37,FALSE))/INDEX($F$206:$F$229,MATCH($B243,$B$206:$B$229,FALSE))),NA()),NA())</f>
        <v>#N/A</v>
      </c>
      <c r="CK243" s="65" t="e">
        <f>IF(CJ51=1,IF(CJ$13&lt;=COUNT($C23:$CS23),IF(INDEX($F$206:$F$229,MATCH($B243,$B$206:$B$229,FALSE))=0,NA(),INDEX(CJ$14:CJ$37,MATCH($B243,$B$14:$B$37,FALSE))/INDEX($F$206:$F$229,MATCH($B243,$B$206:$B$229,FALSE))),NA()),NA())</f>
        <v>#N/A</v>
      </c>
      <c r="CL243" s="65" t="e">
        <f>IF(CK51=1,IF(CK$13&lt;=COUNT($C23:$CS23),IF(INDEX($F$206:$F$229,MATCH($B243,$B$206:$B$229,FALSE))=0,NA(),INDEX(CK$14:CK$37,MATCH($B243,$B$14:$B$37,FALSE))/INDEX($F$206:$F$229,MATCH($B243,$B$206:$B$229,FALSE))),NA()),NA())</f>
        <v>#N/A</v>
      </c>
      <c r="CM243" s="65" t="e">
        <f>IF(CL51=1,IF(CL$13&lt;=COUNT($C23:$CS23),IF(INDEX($F$206:$F$229,MATCH($B243,$B$206:$B$229,FALSE))=0,NA(),INDEX(CL$14:CL$37,MATCH($B243,$B$14:$B$37,FALSE))/INDEX($F$206:$F$229,MATCH($B243,$B$206:$B$229,FALSE))),NA()),NA())</f>
        <v>#N/A</v>
      </c>
      <c r="CN243" s="65" t="e">
        <f>IF(CM51=1,IF(CM$13&lt;=COUNT($C23:$CS23),IF(INDEX($F$206:$F$229,MATCH($B243,$B$206:$B$229,FALSE))=0,NA(),INDEX(CM$14:CM$37,MATCH($B243,$B$14:$B$37,FALSE))/INDEX($F$206:$F$229,MATCH($B243,$B$206:$B$229,FALSE))),NA()),NA())</f>
        <v>#N/A</v>
      </c>
      <c r="CO243" s="65" t="e">
        <f>IF(CN51=1,IF(CN$13&lt;=COUNT($C23:$CS23),IF(INDEX($F$206:$F$229,MATCH($B243,$B$206:$B$229,FALSE))=0,NA(),INDEX(CN$14:CN$37,MATCH($B243,$B$14:$B$37,FALSE))/INDEX($F$206:$F$229,MATCH($B243,$B$206:$B$229,FALSE))),NA()),NA())</f>
        <v>#N/A</v>
      </c>
      <c r="CP243" s="65" t="e">
        <f>IF(CO51=1,IF(CO$13&lt;=COUNT($C23:$CS23),IF(INDEX($F$206:$F$229,MATCH($B243,$B$206:$B$229,FALSE))=0,NA(),INDEX(CO$14:CO$37,MATCH($B243,$B$14:$B$37,FALSE))/INDEX($F$206:$F$229,MATCH($B243,$B$206:$B$229,FALSE))),NA()),NA())</f>
        <v>#N/A</v>
      </c>
      <c r="CQ243" s="65" t="e">
        <f>IF(CP51=1,IF(CP$13&lt;=COUNT($C23:$CS23),IF(INDEX($F$206:$F$229,MATCH($B243,$B$206:$B$229,FALSE))=0,NA(),INDEX(CP$14:CP$37,MATCH($B243,$B$14:$B$37,FALSE))/INDEX($F$206:$F$229,MATCH($B243,$B$206:$B$229,FALSE))),NA()),NA())</f>
        <v>#N/A</v>
      </c>
      <c r="CR243" s="65" t="e">
        <f>IF(CQ51=1,IF(CQ$13&lt;=COUNT($C23:$CS23),IF(INDEX($F$206:$F$229,MATCH($B243,$B$206:$B$229,FALSE))=0,NA(),INDEX(CQ$14:CQ$37,MATCH($B243,$B$14:$B$37,FALSE))/INDEX($F$206:$F$229,MATCH($B243,$B$206:$B$229,FALSE))),NA()),NA())</f>
        <v>#N/A</v>
      </c>
      <c r="CS243" s="65" t="e">
        <f>IF(CR51=1,IF(CR$13&lt;=COUNT($C23:$CS23),IF(INDEX($F$206:$F$229,MATCH($B243,$B$206:$B$229,FALSE))=0,NA(),INDEX(CR$14:CR$37,MATCH($B243,$B$14:$B$37,FALSE))/INDEX($F$206:$F$229,MATCH($B243,$B$206:$B$229,FALSE))),NA()),NA())</f>
        <v>#N/A</v>
      </c>
      <c r="CT243" s="49"/>
      <c r="CU243" s="49"/>
      <c r="CV243" s="49"/>
      <c r="CW243" s="49"/>
    </row>
    <row r="244" spans="1:101" x14ac:dyDescent="0.25">
      <c r="A244" s="97">
        <f t="shared" si="105"/>
        <v>0</v>
      </c>
      <c r="B244" s="29">
        <f t="shared" si="104"/>
        <v>2006</v>
      </c>
      <c r="C244" s="154" t="str">
        <f t="shared" si="106"/>
        <v/>
      </c>
      <c r="D244" s="54" t="e">
        <f>IF(C52=1,IF(C$13&lt;=COUNT($C24:$CS24),IF(INDEX($F$206:$F$229,MATCH($B244,$B$206:$B$229,FALSE))=0,NA(),INDEX(C$14:C$37,MATCH($B244,$B$14:$B$37,FALSE))/INDEX($F$206:$F$229,MATCH($B244,$B$206:$B$229,FALSE))),NA()),NA())</f>
        <v>#N/A</v>
      </c>
      <c r="E244" s="65" t="e">
        <f>IF(D52=1,IF(D$13&lt;=COUNT($C24:$CS24),IF(INDEX($F$206:$F$229,MATCH($B244,$B$206:$B$229,FALSE))=0,NA(),INDEX(D$14:D$37,MATCH($B244,$B$14:$B$37,FALSE))/INDEX($F$206:$F$229,MATCH($B244,$B$206:$B$229,FALSE))),NA()),NA())</f>
        <v>#N/A</v>
      </c>
      <c r="F244" s="65" t="e">
        <f>IF(E52=1,IF(E$13&lt;=COUNT($C24:$CS24),IF(INDEX($F$206:$F$229,MATCH($B244,$B$206:$B$229,FALSE))=0,NA(),INDEX(E$14:E$37,MATCH($B244,$B$14:$B$37,FALSE))/INDEX($F$206:$F$229,MATCH($B244,$B$206:$B$229,FALSE))),NA()),NA())</f>
        <v>#N/A</v>
      </c>
      <c r="G244" s="65" t="e">
        <f>IF(F52=1,IF(F$13&lt;=COUNT($C24:$CS24),IF(INDEX($F$206:$F$229,MATCH($B244,$B$206:$B$229,FALSE))=0,NA(),INDEX(F$14:F$37,MATCH($B244,$B$14:$B$37,FALSE))/INDEX($F$206:$F$229,MATCH($B244,$B$206:$B$229,FALSE))),NA()),NA())</f>
        <v>#N/A</v>
      </c>
      <c r="H244" s="65" t="e">
        <f>IF(G52=1,IF(G$13&lt;=COUNT($C24:$CS24),IF(INDEX($F$206:$F$229,MATCH($B244,$B$206:$B$229,FALSE))=0,NA(),INDEX(G$14:G$37,MATCH($B244,$B$14:$B$37,FALSE))/INDEX($F$206:$F$229,MATCH($B244,$B$206:$B$229,FALSE))),NA()),NA())</f>
        <v>#N/A</v>
      </c>
      <c r="I244" s="65" t="e">
        <f>IF(H52=1,IF(H$13&lt;=COUNT($C24:$CS24),IF(INDEX($F$206:$F$229,MATCH($B244,$B$206:$B$229,FALSE))=0,NA(),INDEX(H$14:H$37,MATCH($B244,$B$14:$B$37,FALSE))/INDEX($F$206:$F$229,MATCH($B244,$B$206:$B$229,FALSE))),NA()),NA())</f>
        <v>#N/A</v>
      </c>
      <c r="J244" s="65" t="e">
        <f>IF(I52=1,IF(I$13&lt;=COUNT($C24:$CS24),IF(INDEX($F$206:$F$229,MATCH($B244,$B$206:$B$229,FALSE))=0,NA(),INDEX(I$14:I$37,MATCH($B244,$B$14:$B$37,FALSE))/INDEX($F$206:$F$229,MATCH($B244,$B$206:$B$229,FALSE))),NA()),NA())</f>
        <v>#N/A</v>
      </c>
      <c r="K244" s="65" t="e">
        <f>IF(J52=1,IF(J$13&lt;=COUNT($C24:$CS24),IF(INDEX($F$206:$F$229,MATCH($B244,$B$206:$B$229,FALSE))=0,NA(),INDEX(J$14:J$37,MATCH($B244,$B$14:$B$37,FALSE))/INDEX($F$206:$F$229,MATCH($B244,$B$206:$B$229,FALSE))),NA()),NA())</f>
        <v>#N/A</v>
      </c>
      <c r="L244" s="65" t="e">
        <f>IF(K52=1,IF(K$13&lt;=COUNT($C24:$CS24),IF(INDEX($F$206:$F$229,MATCH($B244,$B$206:$B$229,FALSE))=0,NA(),INDEX(K$14:K$37,MATCH($B244,$B$14:$B$37,FALSE))/INDEX($F$206:$F$229,MATCH($B244,$B$206:$B$229,FALSE))),NA()),NA())</f>
        <v>#N/A</v>
      </c>
      <c r="M244" s="65" t="e">
        <f>IF(L52=1,IF(L$13&lt;=COUNT($C24:$CS24),IF(INDEX($F$206:$F$229,MATCH($B244,$B$206:$B$229,FALSE))=0,NA(),INDEX(L$14:L$37,MATCH($B244,$B$14:$B$37,FALSE))/INDEX($F$206:$F$229,MATCH($B244,$B$206:$B$229,FALSE))),NA()),NA())</f>
        <v>#N/A</v>
      </c>
      <c r="N244" s="65" t="e">
        <f>IF(M52=1,IF(M$13&lt;=COUNT($C24:$CS24),IF(INDEX($F$206:$F$229,MATCH($B244,$B$206:$B$229,FALSE))=0,NA(),INDEX(M$14:M$37,MATCH($B244,$B$14:$B$37,FALSE))/INDEX($F$206:$F$229,MATCH($B244,$B$206:$B$229,FALSE))),NA()),NA())</f>
        <v>#N/A</v>
      </c>
      <c r="O244" s="65" t="e">
        <f>IF(N52=1,IF(N$13&lt;=COUNT($C24:$CS24),IF(INDEX($F$206:$F$229,MATCH($B244,$B$206:$B$229,FALSE))=0,NA(),INDEX(N$14:N$37,MATCH($B244,$B$14:$B$37,FALSE))/INDEX($F$206:$F$229,MATCH($B244,$B$206:$B$229,FALSE))),NA()),NA())</f>
        <v>#N/A</v>
      </c>
      <c r="P244" s="65" t="e">
        <f>IF(O52=1,IF(O$13&lt;=COUNT($C24:$CS24),IF(INDEX($F$206:$F$229,MATCH($B244,$B$206:$B$229,FALSE))=0,NA(),INDEX(O$14:O$37,MATCH($B244,$B$14:$B$37,FALSE))/INDEX($F$206:$F$229,MATCH($B244,$B$206:$B$229,FALSE))),NA()),NA())</f>
        <v>#N/A</v>
      </c>
      <c r="Q244" s="65" t="e">
        <f>IF(P52=1,IF(P$13&lt;=COUNT($C24:$CS24),IF(INDEX($F$206:$F$229,MATCH($B244,$B$206:$B$229,FALSE))=0,NA(),INDEX(P$14:P$37,MATCH($B244,$B$14:$B$37,FALSE))/INDEX($F$206:$F$229,MATCH($B244,$B$206:$B$229,FALSE))),NA()),NA())</f>
        <v>#N/A</v>
      </c>
      <c r="R244" s="65" t="e">
        <f>IF(Q52=1,IF(Q$13&lt;=COUNT($C24:$CS24),IF(INDEX($F$206:$F$229,MATCH($B244,$B$206:$B$229,FALSE))=0,NA(),INDEX(Q$14:Q$37,MATCH($B244,$B$14:$B$37,FALSE))/INDEX($F$206:$F$229,MATCH($B244,$B$206:$B$229,FALSE))),NA()),NA())</f>
        <v>#N/A</v>
      </c>
      <c r="S244" s="65" t="e">
        <f>IF(R52=1,IF(R$13&lt;=COUNT($C24:$CS24),IF(INDEX($F$206:$F$229,MATCH($B244,$B$206:$B$229,FALSE))=0,NA(),INDEX(R$14:R$37,MATCH($B244,$B$14:$B$37,FALSE))/INDEX($F$206:$F$229,MATCH($B244,$B$206:$B$229,FALSE))),NA()),NA())</f>
        <v>#N/A</v>
      </c>
      <c r="T244" s="65" t="e">
        <f>IF(S52=1,IF(S$13&lt;=COUNT($C24:$CS24),IF(INDEX($F$206:$F$229,MATCH($B244,$B$206:$B$229,FALSE))=0,NA(),INDEX(S$14:S$37,MATCH($B244,$B$14:$B$37,FALSE))/INDEX($F$206:$F$229,MATCH($B244,$B$206:$B$229,FALSE))),NA()),NA())</f>
        <v>#N/A</v>
      </c>
      <c r="U244" s="65" t="e">
        <f>IF(T52=1,IF(T$13&lt;=COUNT($C24:$CS24),IF(INDEX($F$206:$F$229,MATCH($B244,$B$206:$B$229,FALSE))=0,NA(),INDEX(T$14:T$37,MATCH($B244,$B$14:$B$37,FALSE))/INDEX($F$206:$F$229,MATCH($B244,$B$206:$B$229,FALSE))),NA()),NA())</f>
        <v>#N/A</v>
      </c>
      <c r="V244" s="65" t="e">
        <f>IF(U52=1,IF(U$13&lt;=COUNT($C24:$CS24),IF(INDEX($F$206:$F$229,MATCH($B244,$B$206:$B$229,FALSE))=0,NA(),INDEX(U$14:U$37,MATCH($B244,$B$14:$B$37,FALSE))/INDEX($F$206:$F$229,MATCH($B244,$B$206:$B$229,FALSE))),NA()),NA())</f>
        <v>#N/A</v>
      </c>
      <c r="W244" s="65" t="e">
        <f>IF(V52=1,IF(V$13&lt;=COUNT($C24:$CS24),IF(INDEX($F$206:$F$229,MATCH($B244,$B$206:$B$229,FALSE))=0,NA(),INDEX(V$14:V$37,MATCH($B244,$B$14:$B$37,FALSE))/INDEX($F$206:$F$229,MATCH($B244,$B$206:$B$229,FALSE))),NA()),NA())</f>
        <v>#N/A</v>
      </c>
      <c r="X244" s="65" t="e">
        <f>IF(W52=1,IF(W$13&lt;=COUNT($C24:$CS24),IF(INDEX($F$206:$F$229,MATCH($B244,$B$206:$B$229,FALSE))=0,NA(),INDEX(W$14:W$37,MATCH($B244,$B$14:$B$37,FALSE))/INDEX($F$206:$F$229,MATCH($B244,$B$206:$B$229,FALSE))),NA()),NA())</f>
        <v>#N/A</v>
      </c>
      <c r="Y244" s="65" t="e">
        <f>IF(X52=1,IF(X$13&lt;=COUNT($C24:$CS24),IF(INDEX($F$206:$F$229,MATCH($B244,$B$206:$B$229,FALSE))=0,NA(),INDEX(X$14:X$37,MATCH($B244,$B$14:$B$37,FALSE))/INDEX($F$206:$F$229,MATCH($B244,$B$206:$B$229,FALSE))),NA()),NA())</f>
        <v>#N/A</v>
      </c>
      <c r="Z244" s="65" t="e">
        <f>IF(Y52=1,IF(Y$13&lt;=COUNT($C24:$CS24),IF(INDEX($F$206:$F$229,MATCH($B244,$B$206:$B$229,FALSE))=0,NA(),INDEX(Y$14:Y$37,MATCH($B244,$B$14:$B$37,FALSE))/INDEX($F$206:$F$229,MATCH($B244,$B$206:$B$229,FALSE))),NA()),NA())</f>
        <v>#N/A</v>
      </c>
      <c r="AA244" s="65" t="e">
        <f>IF(Z52=1,IF(Z$13&lt;=COUNT($C24:$CS24),IF(INDEX($F$206:$F$229,MATCH($B244,$B$206:$B$229,FALSE))=0,NA(),INDEX(Z$14:Z$37,MATCH($B244,$B$14:$B$37,FALSE))/INDEX($F$206:$F$229,MATCH($B244,$B$206:$B$229,FALSE))),NA()),NA())</f>
        <v>#N/A</v>
      </c>
      <c r="AB244" s="65" t="e">
        <f>IF(AA52=1,IF(AA$13&lt;=COUNT($C24:$CS24),IF(INDEX($F$206:$F$229,MATCH($B244,$B$206:$B$229,FALSE))=0,NA(),INDEX(AA$14:AA$37,MATCH($B244,$B$14:$B$37,FALSE))/INDEX($F$206:$F$229,MATCH($B244,$B$206:$B$229,FALSE))),NA()),NA())</f>
        <v>#N/A</v>
      </c>
      <c r="AC244" s="65" t="e">
        <f>IF(AB52=1,IF(AB$13&lt;=COUNT($C24:$CS24),IF(INDEX($F$206:$F$229,MATCH($B244,$B$206:$B$229,FALSE))=0,NA(),INDEX(AB$14:AB$37,MATCH($B244,$B$14:$B$37,FALSE))/INDEX($F$206:$F$229,MATCH($B244,$B$206:$B$229,FALSE))),NA()),NA())</f>
        <v>#N/A</v>
      </c>
      <c r="AD244" s="65" t="e">
        <f>IF(AC52=1,IF(AC$13&lt;=COUNT($C24:$CS24),IF(INDEX($F$206:$F$229,MATCH($B244,$B$206:$B$229,FALSE))=0,NA(),INDEX(AC$14:AC$37,MATCH($B244,$B$14:$B$37,FALSE))/INDEX($F$206:$F$229,MATCH($B244,$B$206:$B$229,FALSE))),NA()),NA())</f>
        <v>#N/A</v>
      </c>
      <c r="AE244" s="65" t="e">
        <f>IF(AD52=1,IF(AD$13&lt;=COUNT($C24:$CS24),IF(INDEX($F$206:$F$229,MATCH($B244,$B$206:$B$229,FALSE))=0,NA(),INDEX(AD$14:AD$37,MATCH($B244,$B$14:$B$37,FALSE))/INDEX($F$206:$F$229,MATCH($B244,$B$206:$B$229,FALSE))),NA()),NA())</f>
        <v>#N/A</v>
      </c>
      <c r="AF244" s="65" t="e">
        <f>IF(AE52=1,IF(AE$13&lt;=COUNT($C24:$CS24),IF(INDEX($F$206:$F$229,MATCH($B244,$B$206:$B$229,FALSE))=0,NA(),INDEX(AE$14:AE$37,MATCH($B244,$B$14:$B$37,FALSE))/INDEX($F$206:$F$229,MATCH($B244,$B$206:$B$229,FALSE))),NA()),NA())</f>
        <v>#N/A</v>
      </c>
      <c r="AG244" s="65" t="e">
        <f>IF(AF52=1,IF(AF$13&lt;=COUNT($C24:$CS24),IF(INDEX($F$206:$F$229,MATCH($B244,$B$206:$B$229,FALSE))=0,NA(),INDEX(AF$14:AF$37,MATCH($B244,$B$14:$B$37,FALSE))/INDEX($F$206:$F$229,MATCH($B244,$B$206:$B$229,FALSE))),NA()),NA())</f>
        <v>#N/A</v>
      </c>
      <c r="AH244" s="65" t="e">
        <f>IF(AG52=1,IF(AG$13&lt;=COUNT($C24:$CS24),IF(INDEX($F$206:$F$229,MATCH($B244,$B$206:$B$229,FALSE))=0,NA(),INDEX(AG$14:AG$37,MATCH($B244,$B$14:$B$37,FALSE))/INDEX($F$206:$F$229,MATCH($B244,$B$206:$B$229,FALSE))),NA()),NA())</f>
        <v>#N/A</v>
      </c>
      <c r="AI244" s="65" t="e">
        <f>IF(AH52=1,IF(AH$13&lt;=COUNT($C24:$CS24),IF(INDEX($F$206:$F$229,MATCH($B244,$B$206:$B$229,FALSE))=0,NA(),INDEX(AH$14:AH$37,MATCH($B244,$B$14:$B$37,FALSE))/INDEX($F$206:$F$229,MATCH($B244,$B$206:$B$229,FALSE))),NA()),NA())</f>
        <v>#N/A</v>
      </c>
      <c r="AJ244" s="65" t="e">
        <f>IF(AI52=1,IF(AI$13&lt;=COUNT($C24:$CS24),IF(INDEX($F$206:$F$229,MATCH($B244,$B$206:$B$229,FALSE))=0,NA(),INDEX(AI$14:AI$37,MATCH($B244,$B$14:$B$37,FALSE))/INDEX($F$206:$F$229,MATCH($B244,$B$206:$B$229,FALSE))),NA()),NA())</f>
        <v>#N/A</v>
      </c>
      <c r="AK244" s="65" t="e">
        <f>IF(AJ52=1,IF(AJ$13&lt;=COUNT($C24:$CS24),IF(INDEX($F$206:$F$229,MATCH($B244,$B$206:$B$229,FALSE))=0,NA(),INDEX(AJ$14:AJ$37,MATCH($B244,$B$14:$B$37,FALSE))/INDEX($F$206:$F$229,MATCH($B244,$B$206:$B$229,FALSE))),NA()),NA())</f>
        <v>#N/A</v>
      </c>
      <c r="AL244" s="65" t="e">
        <f>IF(AK52=1,IF(AK$13&lt;=COUNT($C24:$CS24),IF(INDEX($F$206:$F$229,MATCH($B244,$B$206:$B$229,FALSE))=0,NA(),INDEX(AK$14:AK$37,MATCH($B244,$B$14:$B$37,FALSE))/INDEX($F$206:$F$229,MATCH($B244,$B$206:$B$229,FALSE))),NA()),NA())</f>
        <v>#N/A</v>
      </c>
      <c r="AM244" s="65" t="e">
        <f>IF(AL52=1,IF(AL$13&lt;=COUNT($C24:$CS24),IF(INDEX($F$206:$F$229,MATCH($B244,$B$206:$B$229,FALSE))=0,NA(),INDEX(AL$14:AL$37,MATCH($B244,$B$14:$B$37,FALSE))/INDEX($F$206:$F$229,MATCH($B244,$B$206:$B$229,FALSE))),NA()),NA())</f>
        <v>#N/A</v>
      </c>
      <c r="AN244" s="65" t="e">
        <f>IF(AM52=1,IF(AM$13&lt;=COUNT($C24:$CS24),IF(INDEX($F$206:$F$229,MATCH($B244,$B$206:$B$229,FALSE))=0,NA(),INDEX(AM$14:AM$37,MATCH($B244,$B$14:$B$37,FALSE))/INDEX($F$206:$F$229,MATCH($B244,$B$206:$B$229,FALSE))),NA()),NA())</f>
        <v>#N/A</v>
      </c>
      <c r="AO244" s="65" t="e">
        <f>IF(AN52=1,IF(AN$13&lt;=COUNT($C24:$CS24),IF(INDEX($F$206:$F$229,MATCH($B244,$B$206:$B$229,FALSE))=0,NA(),INDEX(AN$14:AN$37,MATCH($B244,$B$14:$B$37,FALSE))/INDEX($F$206:$F$229,MATCH($B244,$B$206:$B$229,FALSE))),NA()),NA())</f>
        <v>#N/A</v>
      </c>
      <c r="AP244" s="65" t="e">
        <f>IF(AO52=1,IF(AO$13&lt;=COUNT($C24:$CS24),IF(INDEX($F$206:$F$229,MATCH($B244,$B$206:$B$229,FALSE))=0,NA(),INDEX(AO$14:AO$37,MATCH($B244,$B$14:$B$37,FALSE))/INDEX($F$206:$F$229,MATCH($B244,$B$206:$B$229,FALSE))),NA()),NA())</f>
        <v>#N/A</v>
      </c>
      <c r="AQ244" s="65" t="e">
        <f>IF(AP52=1,IF(AP$13&lt;=COUNT($C24:$CS24),IF(INDEX($F$206:$F$229,MATCH($B244,$B$206:$B$229,FALSE))=0,NA(),INDEX(AP$14:AP$37,MATCH($B244,$B$14:$B$37,FALSE))/INDEX($F$206:$F$229,MATCH($B244,$B$206:$B$229,FALSE))),NA()),NA())</f>
        <v>#N/A</v>
      </c>
      <c r="AR244" s="65" t="e">
        <f>IF(AQ52=1,IF(AQ$13&lt;=COUNT($C24:$CS24),IF(INDEX($F$206:$F$229,MATCH($B244,$B$206:$B$229,FALSE))=0,NA(),INDEX(AQ$14:AQ$37,MATCH($B244,$B$14:$B$37,FALSE))/INDEX($F$206:$F$229,MATCH($B244,$B$206:$B$229,FALSE))),NA()),NA())</f>
        <v>#N/A</v>
      </c>
      <c r="AS244" s="65" t="e">
        <f>IF(AR52=1,IF(AR$13&lt;=COUNT($C24:$CS24),IF(INDEX($F$206:$F$229,MATCH($B244,$B$206:$B$229,FALSE))=0,NA(),INDEX(AR$14:AR$37,MATCH($B244,$B$14:$B$37,FALSE))/INDEX($F$206:$F$229,MATCH($B244,$B$206:$B$229,FALSE))),NA()),NA())</f>
        <v>#N/A</v>
      </c>
      <c r="AT244" s="65" t="e">
        <f>IF(AS52=1,IF(AS$13&lt;=COUNT($C24:$CS24),IF(INDEX($F$206:$F$229,MATCH($B244,$B$206:$B$229,FALSE))=0,NA(),INDEX(AS$14:AS$37,MATCH($B244,$B$14:$B$37,FALSE))/INDEX($F$206:$F$229,MATCH($B244,$B$206:$B$229,FALSE))),NA()),NA())</f>
        <v>#N/A</v>
      </c>
      <c r="AU244" s="65" t="e">
        <f>IF(AT52=1,IF(AT$13&lt;=COUNT($C24:$CS24),IF(INDEX($F$206:$F$229,MATCH($B244,$B$206:$B$229,FALSE))=0,NA(),INDEX(AT$14:AT$37,MATCH($B244,$B$14:$B$37,FALSE))/INDEX($F$206:$F$229,MATCH($B244,$B$206:$B$229,FALSE))),NA()),NA())</f>
        <v>#N/A</v>
      </c>
      <c r="AV244" s="65" t="e">
        <f>IF(AU52=1,IF(AU$13&lt;=COUNT($C24:$CS24),IF(INDEX($F$206:$F$229,MATCH($B244,$B$206:$B$229,FALSE))=0,NA(),INDEX(AU$14:AU$37,MATCH($B244,$B$14:$B$37,FALSE))/INDEX($F$206:$F$229,MATCH($B244,$B$206:$B$229,FALSE))),NA()),NA())</f>
        <v>#N/A</v>
      </c>
      <c r="AW244" s="65" t="e">
        <f>IF(AV52=1,IF(AV$13&lt;=COUNT($C24:$CS24),IF(INDEX($F$206:$F$229,MATCH($B244,$B$206:$B$229,FALSE))=0,NA(),INDEX(AV$14:AV$37,MATCH($B244,$B$14:$B$37,FALSE))/INDEX($F$206:$F$229,MATCH($B244,$B$206:$B$229,FALSE))),NA()),NA())</f>
        <v>#N/A</v>
      </c>
      <c r="AX244" s="65" t="e">
        <f>IF(AW52=1,IF(AW$13&lt;=COUNT($C24:$CS24),IF(INDEX($F$206:$F$229,MATCH($B244,$B$206:$B$229,FALSE))=0,NA(),INDEX(AW$14:AW$37,MATCH($B244,$B$14:$B$37,FALSE))/INDEX($F$206:$F$229,MATCH($B244,$B$206:$B$229,FALSE))),NA()),NA())</f>
        <v>#N/A</v>
      </c>
      <c r="AY244" s="65" t="e">
        <f>IF(AX52=1,IF(AX$13&lt;=COUNT($C24:$CS24),IF(INDEX($F$206:$F$229,MATCH($B244,$B$206:$B$229,FALSE))=0,NA(),INDEX(AX$14:AX$37,MATCH($B244,$B$14:$B$37,FALSE))/INDEX($F$206:$F$229,MATCH($B244,$B$206:$B$229,FALSE))),NA()),NA())</f>
        <v>#N/A</v>
      </c>
      <c r="AZ244" s="65" t="e">
        <f>IF(AY52=1,IF(AY$13&lt;=COUNT($C24:$CS24),IF(INDEX($F$206:$F$229,MATCH($B244,$B$206:$B$229,FALSE))=0,NA(),INDEX(AY$14:AY$37,MATCH($B244,$B$14:$B$37,FALSE))/INDEX($F$206:$F$229,MATCH($B244,$B$206:$B$229,FALSE))),NA()),NA())</f>
        <v>#N/A</v>
      </c>
      <c r="BA244" s="65" t="e">
        <f>IF(AZ52=1,IF(AZ$13&lt;=COUNT($C24:$CS24),IF(INDEX($F$206:$F$229,MATCH($B244,$B$206:$B$229,FALSE))=0,NA(),INDEX(AZ$14:AZ$37,MATCH($B244,$B$14:$B$37,FALSE))/INDEX($F$206:$F$229,MATCH($B244,$B$206:$B$229,FALSE))),NA()),NA())</f>
        <v>#N/A</v>
      </c>
      <c r="BB244" s="65" t="e">
        <f>IF(BA52=1,IF(BA$13&lt;=COUNT($C24:$CS24),IF(INDEX($F$206:$F$229,MATCH($B244,$B$206:$B$229,FALSE))=0,NA(),INDEX(BA$14:BA$37,MATCH($B244,$B$14:$B$37,FALSE))/INDEX($F$206:$F$229,MATCH($B244,$B$206:$B$229,FALSE))),NA()),NA())</f>
        <v>#N/A</v>
      </c>
      <c r="BC244" s="65" t="e">
        <f>IF(BB52=1,IF(BB$13&lt;=COUNT($C24:$CS24),IF(INDEX($F$206:$F$229,MATCH($B244,$B$206:$B$229,FALSE))=0,NA(),INDEX(BB$14:BB$37,MATCH($B244,$B$14:$B$37,FALSE))/INDEX($F$206:$F$229,MATCH($B244,$B$206:$B$229,FALSE))),NA()),NA())</f>
        <v>#N/A</v>
      </c>
      <c r="BD244" s="65" t="e">
        <f>IF(BC52=1,IF(BC$13&lt;=COUNT($C24:$CS24),IF(INDEX($F$206:$F$229,MATCH($B244,$B$206:$B$229,FALSE))=0,NA(),INDEX(BC$14:BC$37,MATCH($B244,$B$14:$B$37,FALSE))/INDEX($F$206:$F$229,MATCH($B244,$B$206:$B$229,FALSE))),NA()),NA())</f>
        <v>#N/A</v>
      </c>
      <c r="BE244" s="65" t="e">
        <f>IF(BD52=1,IF(BD$13&lt;=COUNT($C24:$CS24),IF(INDEX($F$206:$F$229,MATCH($B244,$B$206:$B$229,FALSE))=0,NA(),INDEX(BD$14:BD$37,MATCH($B244,$B$14:$B$37,FALSE))/INDEX($F$206:$F$229,MATCH($B244,$B$206:$B$229,FALSE))),NA()),NA())</f>
        <v>#N/A</v>
      </c>
      <c r="BF244" s="65" t="e">
        <f>IF(BE52=1,IF(BE$13&lt;=COUNT($C24:$CS24),IF(INDEX($F$206:$F$229,MATCH($B244,$B$206:$B$229,FALSE))=0,NA(),INDEX(BE$14:BE$37,MATCH($B244,$B$14:$B$37,FALSE))/INDEX($F$206:$F$229,MATCH($B244,$B$206:$B$229,FALSE))),NA()),NA())</f>
        <v>#N/A</v>
      </c>
      <c r="BG244" s="65" t="e">
        <f>IF(BF52=1,IF(BF$13&lt;=COUNT($C24:$CS24),IF(INDEX($F$206:$F$229,MATCH($B244,$B$206:$B$229,FALSE))=0,NA(),INDEX(BF$14:BF$37,MATCH($B244,$B$14:$B$37,FALSE))/INDEX($F$206:$F$229,MATCH($B244,$B$206:$B$229,FALSE))),NA()),NA())</f>
        <v>#N/A</v>
      </c>
      <c r="BH244" s="65" t="e">
        <f>IF(BG52=1,IF(BG$13&lt;=COUNT($C24:$CS24),IF(INDEX($F$206:$F$229,MATCH($B244,$B$206:$B$229,FALSE))=0,NA(),INDEX(BG$14:BG$37,MATCH($B244,$B$14:$B$37,FALSE))/INDEX($F$206:$F$229,MATCH($B244,$B$206:$B$229,FALSE))),NA()),NA())</f>
        <v>#N/A</v>
      </c>
      <c r="BI244" s="65" t="e">
        <f>IF(BH52=1,IF(BH$13&lt;=COUNT($C24:$CS24),IF(INDEX($F$206:$F$229,MATCH($B244,$B$206:$B$229,FALSE))=0,NA(),INDEX(BH$14:BH$37,MATCH($B244,$B$14:$B$37,FALSE))/INDEX($F$206:$F$229,MATCH($B244,$B$206:$B$229,FALSE))),NA()),NA())</f>
        <v>#N/A</v>
      </c>
      <c r="BJ244" s="65" t="e">
        <f>IF(BI52=1,IF(BI$13&lt;=COUNT($C24:$CS24),IF(INDEX($F$206:$F$229,MATCH($B244,$B$206:$B$229,FALSE))=0,NA(),INDEX(BI$14:BI$37,MATCH($B244,$B$14:$B$37,FALSE))/INDEX($F$206:$F$229,MATCH($B244,$B$206:$B$229,FALSE))),NA()),NA())</f>
        <v>#N/A</v>
      </c>
      <c r="BK244" s="65" t="e">
        <f>IF(BJ52=1,IF(BJ$13&lt;=COUNT($C24:$CS24),IF(INDEX($F$206:$F$229,MATCH($B244,$B$206:$B$229,FALSE))=0,NA(),INDEX(BJ$14:BJ$37,MATCH($B244,$B$14:$B$37,FALSE))/INDEX($F$206:$F$229,MATCH($B244,$B$206:$B$229,FALSE))),NA()),NA())</f>
        <v>#N/A</v>
      </c>
      <c r="BL244" s="65" t="e">
        <f>IF(BK52=1,IF(BK$13&lt;=COUNT($C24:$CS24),IF(INDEX($F$206:$F$229,MATCH($B244,$B$206:$B$229,FALSE))=0,NA(),INDEX(BK$14:BK$37,MATCH($B244,$B$14:$B$37,FALSE))/INDEX($F$206:$F$229,MATCH($B244,$B$206:$B$229,FALSE))),NA()),NA())</f>
        <v>#N/A</v>
      </c>
      <c r="BM244" s="65" t="e">
        <f>IF(BL52=1,IF(BL$13&lt;=COUNT($C24:$CS24),IF(INDEX($F$206:$F$229,MATCH($B244,$B$206:$B$229,FALSE))=0,NA(),INDEX(BL$14:BL$37,MATCH($B244,$B$14:$B$37,FALSE))/INDEX($F$206:$F$229,MATCH($B244,$B$206:$B$229,FALSE))),NA()),NA())</f>
        <v>#N/A</v>
      </c>
      <c r="BN244" s="65" t="e">
        <f>IF(BM52=1,IF(BM$13&lt;=COUNT($C24:$CS24),IF(INDEX($F$206:$F$229,MATCH($B244,$B$206:$B$229,FALSE))=0,NA(),INDEX(BM$14:BM$37,MATCH($B244,$B$14:$B$37,FALSE))/INDEX($F$206:$F$229,MATCH($B244,$B$206:$B$229,FALSE))),NA()),NA())</f>
        <v>#N/A</v>
      </c>
      <c r="BO244" s="65" t="e">
        <f>IF(BN52=1,IF(BN$13&lt;=COUNT($C24:$CS24),IF(INDEX($F$206:$F$229,MATCH($B244,$B$206:$B$229,FALSE))=0,NA(),INDEX(BN$14:BN$37,MATCH($B244,$B$14:$B$37,FALSE))/INDEX($F$206:$F$229,MATCH($B244,$B$206:$B$229,FALSE))),NA()),NA())</f>
        <v>#N/A</v>
      </c>
      <c r="BP244" s="65" t="e">
        <f>IF(BO52=1,IF(BO$13&lt;=COUNT($C24:$CS24),IF(INDEX($F$206:$F$229,MATCH($B244,$B$206:$B$229,FALSE))=0,NA(),INDEX(BO$14:BO$37,MATCH($B244,$B$14:$B$37,FALSE))/INDEX($F$206:$F$229,MATCH($B244,$B$206:$B$229,FALSE))),NA()),NA())</f>
        <v>#N/A</v>
      </c>
      <c r="BQ244" s="65" t="e">
        <f>IF(BP52=1,IF(BP$13&lt;=COUNT($C24:$CS24),IF(INDEX($F$206:$F$229,MATCH($B244,$B$206:$B$229,FALSE))=0,NA(),INDEX(BP$14:BP$37,MATCH($B244,$B$14:$B$37,FALSE))/INDEX($F$206:$F$229,MATCH($B244,$B$206:$B$229,FALSE))),NA()),NA())</f>
        <v>#N/A</v>
      </c>
      <c r="BR244" s="65" t="e">
        <f>IF(BQ52=1,IF(BQ$13&lt;=COUNT($C24:$CS24),IF(INDEX($F$206:$F$229,MATCH($B244,$B$206:$B$229,FALSE))=0,NA(),INDEX(BQ$14:BQ$37,MATCH($B244,$B$14:$B$37,FALSE))/INDEX($F$206:$F$229,MATCH($B244,$B$206:$B$229,FALSE))),NA()),NA())</f>
        <v>#N/A</v>
      </c>
      <c r="BS244" s="65" t="e">
        <f>IF(BR52=1,IF(BR$13&lt;=COUNT($C24:$CS24),IF(INDEX($F$206:$F$229,MATCH($B244,$B$206:$B$229,FALSE))=0,NA(),INDEX(BR$14:BR$37,MATCH($B244,$B$14:$B$37,FALSE))/INDEX($F$206:$F$229,MATCH($B244,$B$206:$B$229,FALSE))),NA()),NA())</f>
        <v>#N/A</v>
      </c>
      <c r="BT244" s="65" t="e">
        <f>IF(BS52=1,IF(BS$13&lt;=COUNT($C24:$CS24),IF(INDEX($F$206:$F$229,MATCH($B244,$B$206:$B$229,FALSE))=0,NA(),INDEX(BS$14:BS$37,MATCH($B244,$B$14:$B$37,FALSE))/INDEX($F$206:$F$229,MATCH($B244,$B$206:$B$229,FALSE))),NA()),NA())</f>
        <v>#N/A</v>
      </c>
      <c r="BU244" s="65" t="e">
        <f>IF(BT52=1,IF(BT$13&lt;=COUNT($C24:$CS24),IF(INDEX($F$206:$F$229,MATCH($B244,$B$206:$B$229,FALSE))=0,NA(),INDEX(BT$14:BT$37,MATCH($B244,$B$14:$B$37,FALSE))/INDEX($F$206:$F$229,MATCH($B244,$B$206:$B$229,FALSE))),NA()),NA())</f>
        <v>#N/A</v>
      </c>
      <c r="BV244" s="65" t="e">
        <f>IF(BU52=1,IF(BU$13&lt;=COUNT($C24:$CS24),IF(INDEX($F$206:$F$229,MATCH($B244,$B$206:$B$229,FALSE))=0,NA(),INDEX(BU$14:BU$37,MATCH($B244,$B$14:$B$37,FALSE))/INDEX($F$206:$F$229,MATCH($B244,$B$206:$B$229,FALSE))),NA()),NA())</f>
        <v>#N/A</v>
      </c>
      <c r="BW244" s="65" t="e">
        <f>IF(BV52=1,IF(BV$13&lt;=COUNT($C24:$CS24),IF(INDEX($F$206:$F$229,MATCH($B244,$B$206:$B$229,FALSE))=0,NA(),INDEX(BV$14:BV$37,MATCH($B244,$B$14:$B$37,FALSE))/INDEX($F$206:$F$229,MATCH($B244,$B$206:$B$229,FALSE))),NA()),NA())</f>
        <v>#N/A</v>
      </c>
      <c r="BX244" s="65" t="e">
        <f>IF(BW52=1,IF(BW$13&lt;=COUNT($C24:$CS24),IF(INDEX($F$206:$F$229,MATCH($B244,$B$206:$B$229,FALSE))=0,NA(),INDEX(BW$14:BW$37,MATCH($B244,$B$14:$B$37,FALSE))/INDEX($F$206:$F$229,MATCH($B244,$B$206:$B$229,FALSE))),NA()),NA())</f>
        <v>#N/A</v>
      </c>
      <c r="BY244" s="65" t="e">
        <f>IF(BX52=1,IF(BX$13&lt;=COUNT($C24:$CS24),IF(INDEX($F$206:$F$229,MATCH($B244,$B$206:$B$229,FALSE))=0,NA(),INDEX(BX$14:BX$37,MATCH($B244,$B$14:$B$37,FALSE))/INDEX($F$206:$F$229,MATCH($B244,$B$206:$B$229,FALSE))),NA()),NA())</f>
        <v>#N/A</v>
      </c>
      <c r="BZ244" s="65" t="e">
        <f>IF(BY52=1,IF(BY$13&lt;=COUNT($C24:$CS24),IF(INDEX($F$206:$F$229,MATCH($B244,$B$206:$B$229,FALSE))=0,NA(),INDEX(BY$14:BY$37,MATCH($B244,$B$14:$B$37,FALSE))/INDEX($F$206:$F$229,MATCH($B244,$B$206:$B$229,FALSE))),NA()),NA())</f>
        <v>#N/A</v>
      </c>
      <c r="CA244" s="65" t="e">
        <f>IF(BZ52=1,IF(BZ$13&lt;=COUNT($C24:$CS24),IF(INDEX($F$206:$F$229,MATCH($B244,$B$206:$B$229,FALSE))=0,NA(),INDEX(BZ$14:BZ$37,MATCH($B244,$B$14:$B$37,FALSE))/INDEX($F$206:$F$229,MATCH($B244,$B$206:$B$229,FALSE))),NA()),NA())</f>
        <v>#N/A</v>
      </c>
      <c r="CB244" s="65" t="e">
        <f>IF(CA52=1,IF(CA$13&lt;=COUNT($C24:$CS24),IF(INDEX($F$206:$F$229,MATCH($B244,$B$206:$B$229,FALSE))=0,NA(),INDEX(CA$14:CA$37,MATCH($B244,$B$14:$B$37,FALSE))/INDEX($F$206:$F$229,MATCH($B244,$B$206:$B$229,FALSE))),NA()),NA())</f>
        <v>#N/A</v>
      </c>
      <c r="CC244" s="65" t="e">
        <f>IF(CB52=1,IF(CB$13&lt;=COUNT($C24:$CS24),IF(INDEX($F$206:$F$229,MATCH($B244,$B$206:$B$229,FALSE))=0,NA(),INDEX(CB$14:CB$37,MATCH($B244,$B$14:$B$37,FALSE))/INDEX($F$206:$F$229,MATCH($B244,$B$206:$B$229,FALSE))),NA()),NA())</f>
        <v>#N/A</v>
      </c>
      <c r="CD244" s="65" t="e">
        <f>IF(CC52=1,IF(CC$13&lt;=COUNT($C24:$CS24),IF(INDEX($F$206:$F$229,MATCH($B244,$B$206:$B$229,FALSE))=0,NA(),INDEX(CC$14:CC$37,MATCH($B244,$B$14:$B$37,FALSE))/INDEX($F$206:$F$229,MATCH($B244,$B$206:$B$229,FALSE))),NA()),NA())</f>
        <v>#N/A</v>
      </c>
      <c r="CE244" s="65" t="e">
        <f>IF(CD52=1,IF(CD$13&lt;=COUNT($C24:$CS24),IF(INDEX($F$206:$F$229,MATCH($B244,$B$206:$B$229,FALSE))=0,NA(),INDEX(CD$14:CD$37,MATCH($B244,$B$14:$B$37,FALSE))/INDEX($F$206:$F$229,MATCH($B244,$B$206:$B$229,FALSE))),NA()),NA())</f>
        <v>#N/A</v>
      </c>
      <c r="CF244" s="65" t="e">
        <f>IF(CE52=1,IF(CE$13&lt;=COUNT($C24:$CS24),IF(INDEX($F$206:$F$229,MATCH($B244,$B$206:$B$229,FALSE))=0,NA(),INDEX(CE$14:CE$37,MATCH($B244,$B$14:$B$37,FALSE))/INDEX($F$206:$F$229,MATCH($B244,$B$206:$B$229,FALSE))),NA()),NA())</f>
        <v>#N/A</v>
      </c>
      <c r="CG244" s="65" t="e">
        <f>IF(CF52=1,IF(CF$13&lt;=COUNT($C24:$CS24),IF(INDEX($F$206:$F$229,MATCH($B244,$B$206:$B$229,FALSE))=0,NA(),INDEX(CF$14:CF$37,MATCH($B244,$B$14:$B$37,FALSE))/INDEX($F$206:$F$229,MATCH($B244,$B$206:$B$229,FALSE))),NA()),NA())</f>
        <v>#N/A</v>
      </c>
      <c r="CH244" s="65" t="e">
        <f>IF(CG52=1,IF(CG$13&lt;=COUNT($C24:$CS24),IF(INDEX($F$206:$F$229,MATCH($B244,$B$206:$B$229,FALSE))=0,NA(),INDEX(CG$14:CG$37,MATCH($B244,$B$14:$B$37,FALSE))/INDEX($F$206:$F$229,MATCH($B244,$B$206:$B$229,FALSE))),NA()),NA())</f>
        <v>#N/A</v>
      </c>
      <c r="CI244" s="65" t="e">
        <f>IF(CH52=1,IF(CH$13&lt;=COUNT($C24:$CS24),IF(INDEX($F$206:$F$229,MATCH($B244,$B$206:$B$229,FALSE))=0,NA(),INDEX(CH$14:CH$37,MATCH($B244,$B$14:$B$37,FALSE))/INDEX($F$206:$F$229,MATCH($B244,$B$206:$B$229,FALSE))),NA()),NA())</f>
        <v>#N/A</v>
      </c>
      <c r="CJ244" s="65" t="e">
        <f>IF(CI52=1,IF(CI$13&lt;=COUNT($C24:$CS24),IF(INDEX($F$206:$F$229,MATCH($B244,$B$206:$B$229,FALSE))=0,NA(),INDEX(CI$14:CI$37,MATCH($B244,$B$14:$B$37,FALSE))/INDEX($F$206:$F$229,MATCH($B244,$B$206:$B$229,FALSE))),NA()),NA())</f>
        <v>#N/A</v>
      </c>
      <c r="CK244" s="65" t="e">
        <f>IF(CJ52=1,IF(CJ$13&lt;=COUNT($C24:$CS24),IF(INDEX($F$206:$F$229,MATCH($B244,$B$206:$B$229,FALSE))=0,NA(),INDEX(CJ$14:CJ$37,MATCH($B244,$B$14:$B$37,FALSE))/INDEX($F$206:$F$229,MATCH($B244,$B$206:$B$229,FALSE))),NA()),NA())</f>
        <v>#N/A</v>
      </c>
      <c r="CL244" s="65" t="e">
        <f>IF(CK52=1,IF(CK$13&lt;=COUNT($C24:$CS24),IF(INDEX($F$206:$F$229,MATCH($B244,$B$206:$B$229,FALSE))=0,NA(),INDEX(CK$14:CK$37,MATCH($B244,$B$14:$B$37,FALSE))/INDEX($F$206:$F$229,MATCH($B244,$B$206:$B$229,FALSE))),NA()),NA())</f>
        <v>#N/A</v>
      </c>
      <c r="CM244" s="65" t="e">
        <f>IF(CL52=1,IF(CL$13&lt;=COUNT($C24:$CS24),IF(INDEX($F$206:$F$229,MATCH($B244,$B$206:$B$229,FALSE))=0,NA(),INDEX(CL$14:CL$37,MATCH($B244,$B$14:$B$37,FALSE))/INDEX($F$206:$F$229,MATCH($B244,$B$206:$B$229,FALSE))),NA()),NA())</f>
        <v>#N/A</v>
      </c>
      <c r="CN244" s="65" t="e">
        <f>IF(CM52=1,IF(CM$13&lt;=COUNT($C24:$CS24),IF(INDEX($F$206:$F$229,MATCH($B244,$B$206:$B$229,FALSE))=0,NA(),INDEX(CM$14:CM$37,MATCH($B244,$B$14:$B$37,FALSE))/INDEX($F$206:$F$229,MATCH($B244,$B$206:$B$229,FALSE))),NA()),NA())</f>
        <v>#N/A</v>
      </c>
      <c r="CO244" s="65" t="e">
        <f>IF(CN52=1,IF(CN$13&lt;=COUNT($C24:$CS24),IF(INDEX($F$206:$F$229,MATCH($B244,$B$206:$B$229,FALSE))=0,NA(),INDEX(CN$14:CN$37,MATCH($B244,$B$14:$B$37,FALSE))/INDEX($F$206:$F$229,MATCH($B244,$B$206:$B$229,FALSE))),NA()),NA())</f>
        <v>#N/A</v>
      </c>
      <c r="CP244" s="65" t="e">
        <f>IF(CO52=1,IF(CO$13&lt;=COUNT($C24:$CS24),IF(INDEX($F$206:$F$229,MATCH($B244,$B$206:$B$229,FALSE))=0,NA(),INDEX(CO$14:CO$37,MATCH($B244,$B$14:$B$37,FALSE))/INDEX($F$206:$F$229,MATCH($B244,$B$206:$B$229,FALSE))),NA()),NA())</f>
        <v>#N/A</v>
      </c>
      <c r="CQ244" s="65" t="e">
        <f>IF(CP52=1,IF(CP$13&lt;=COUNT($C24:$CS24),IF(INDEX($F$206:$F$229,MATCH($B244,$B$206:$B$229,FALSE))=0,NA(),INDEX(CP$14:CP$37,MATCH($B244,$B$14:$B$37,FALSE))/INDEX($F$206:$F$229,MATCH($B244,$B$206:$B$229,FALSE))),NA()),NA())</f>
        <v>#N/A</v>
      </c>
      <c r="CR244" s="65" t="e">
        <f>IF(CQ52=1,IF(CQ$13&lt;=COUNT($C24:$CS24),IF(INDEX($F$206:$F$229,MATCH($B244,$B$206:$B$229,FALSE))=0,NA(),INDEX(CQ$14:CQ$37,MATCH($B244,$B$14:$B$37,FALSE))/INDEX($F$206:$F$229,MATCH($B244,$B$206:$B$229,FALSE))),NA()),NA())</f>
        <v>#N/A</v>
      </c>
      <c r="CS244" s="65" t="e">
        <f>IF(CR52=1,IF(CR$13&lt;=COUNT($C24:$CS24),IF(INDEX($F$206:$F$229,MATCH($B244,$B$206:$B$229,FALSE))=0,NA(),INDEX(CR$14:CR$37,MATCH($B244,$B$14:$B$37,FALSE))/INDEX($F$206:$F$229,MATCH($B244,$B$206:$B$229,FALSE))),NA()),NA())</f>
        <v>#N/A</v>
      </c>
      <c r="CT244" s="49"/>
      <c r="CU244" s="49"/>
      <c r="CV244" s="49"/>
      <c r="CW244" s="49"/>
    </row>
    <row r="245" spans="1:101" x14ac:dyDescent="0.25">
      <c r="A245" s="97">
        <f t="shared" si="105"/>
        <v>0</v>
      </c>
      <c r="B245" s="29">
        <f t="shared" si="104"/>
        <v>2007</v>
      </c>
      <c r="C245" s="154" t="str">
        <f t="shared" si="106"/>
        <v/>
      </c>
      <c r="D245" s="54" t="e">
        <f>IF(C53=1,IF(C$13&lt;=COUNT($C25:$CS25),IF(INDEX($F$206:$F$229,MATCH($B245,$B$206:$B$229,FALSE))=0,NA(),INDEX(C$14:C$37,MATCH($B245,$B$14:$B$37,FALSE))/INDEX($F$206:$F$229,MATCH($B245,$B$206:$B$229,FALSE))),NA()),NA())</f>
        <v>#N/A</v>
      </c>
      <c r="E245" s="65" t="e">
        <f>IF(D53=1,IF(D$13&lt;=COUNT($C25:$CS25),IF(INDEX($F$206:$F$229,MATCH($B245,$B$206:$B$229,FALSE))=0,NA(),INDEX(D$14:D$37,MATCH($B245,$B$14:$B$37,FALSE))/INDEX($F$206:$F$229,MATCH($B245,$B$206:$B$229,FALSE))),NA()),NA())</f>
        <v>#N/A</v>
      </c>
      <c r="F245" s="65" t="e">
        <f>IF(E53=1,IF(E$13&lt;=COUNT($C25:$CS25),IF(INDEX($F$206:$F$229,MATCH($B245,$B$206:$B$229,FALSE))=0,NA(),INDEX(E$14:E$37,MATCH($B245,$B$14:$B$37,FALSE))/INDEX($F$206:$F$229,MATCH($B245,$B$206:$B$229,FALSE))),NA()),NA())</f>
        <v>#N/A</v>
      </c>
      <c r="G245" s="65" t="e">
        <f>IF(F53=1,IF(F$13&lt;=COUNT($C25:$CS25),IF(INDEX($F$206:$F$229,MATCH($B245,$B$206:$B$229,FALSE))=0,NA(),INDEX(F$14:F$37,MATCH($B245,$B$14:$B$37,FALSE))/INDEX($F$206:$F$229,MATCH($B245,$B$206:$B$229,FALSE))),NA()),NA())</f>
        <v>#N/A</v>
      </c>
      <c r="H245" s="65" t="e">
        <f>IF(G53=1,IF(G$13&lt;=COUNT($C25:$CS25),IF(INDEX($F$206:$F$229,MATCH($B245,$B$206:$B$229,FALSE))=0,NA(),INDEX(G$14:G$37,MATCH($B245,$B$14:$B$37,FALSE))/INDEX($F$206:$F$229,MATCH($B245,$B$206:$B$229,FALSE))),NA()),NA())</f>
        <v>#N/A</v>
      </c>
      <c r="I245" s="65" t="e">
        <f>IF(H53=1,IF(H$13&lt;=COUNT($C25:$CS25),IF(INDEX($F$206:$F$229,MATCH($B245,$B$206:$B$229,FALSE))=0,NA(),INDEX(H$14:H$37,MATCH($B245,$B$14:$B$37,FALSE))/INDEX($F$206:$F$229,MATCH($B245,$B$206:$B$229,FALSE))),NA()),NA())</f>
        <v>#N/A</v>
      </c>
      <c r="J245" s="65" t="e">
        <f>IF(I53=1,IF(I$13&lt;=COUNT($C25:$CS25),IF(INDEX($F$206:$F$229,MATCH($B245,$B$206:$B$229,FALSE))=0,NA(),INDEX(I$14:I$37,MATCH($B245,$B$14:$B$37,FALSE))/INDEX($F$206:$F$229,MATCH($B245,$B$206:$B$229,FALSE))),NA()),NA())</f>
        <v>#N/A</v>
      </c>
      <c r="K245" s="65" t="e">
        <f>IF(J53=1,IF(J$13&lt;=COUNT($C25:$CS25),IF(INDEX($F$206:$F$229,MATCH($B245,$B$206:$B$229,FALSE))=0,NA(),INDEX(J$14:J$37,MATCH($B245,$B$14:$B$37,FALSE))/INDEX($F$206:$F$229,MATCH($B245,$B$206:$B$229,FALSE))),NA()),NA())</f>
        <v>#N/A</v>
      </c>
      <c r="L245" s="65" t="e">
        <f>IF(K53=1,IF(K$13&lt;=COUNT($C25:$CS25),IF(INDEX($F$206:$F$229,MATCH($B245,$B$206:$B$229,FALSE))=0,NA(),INDEX(K$14:K$37,MATCH($B245,$B$14:$B$37,FALSE))/INDEX($F$206:$F$229,MATCH($B245,$B$206:$B$229,FALSE))),NA()),NA())</f>
        <v>#N/A</v>
      </c>
      <c r="M245" s="65" t="e">
        <f>IF(L53=1,IF(L$13&lt;=COUNT($C25:$CS25),IF(INDEX($F$206:$F$229,MATCH($B245,$B$206:$B$229,FALSE))=0,NA(),INDEX(L$14:L$37,MATCH($B245,$B$14:$B$37,FALSE))/INDEX($F$206:$F$229,MATCH($B245,$B$206:$B$229,FALSE))),NA()),NA())</f>
        <v>#N/A</v>
      </c>
      <c r="N245" s="65" t="e">
        <f>IF(M53=1,IF(M$13&lt;=COUNT($C25:$CS25),IF(INDEX($F$206:$F$229,MATCH($B245,$B$206:$B$229,FALSE))=0,NA(),INDEX(M$14:M$37,MATCH($B245,$B$14:$B$37,FALSE))/INDEX($F$206:$F$229,MATCH($B245,$B$206:$B$229,FALSE))),NA()),NA())</f>
        <v>#N/A</v>
      </c>
      <c r="O245" s="65" t="e">
        <f>IF(N53=1,IF(N$13&lt;=COUNT($C25:$CS25),IF(INDEX($F$206:$F$229,MATCH($B245,$B$206:$B$229,FALSE))=0,NA(),INDEX(N$14:N$37,MATCH($B245,$B$14:$B$37,FALSE))/INDEX($F$206:$F$229,MATCH($B245,$B$206:$B$229,FALSE))),NA()),NA())</f>
        <v>#N/A</v>
      </c>
      <c r="P245" s="65" t="e">
        <f>IF(O53=1,IF(O$13&lt;=COUNT($C25:$CS25),IF(INDEX($F$206:$F$229,MATCH($B245,$B$206:$B$229,FALSE))=0,NA(),INDEX(O$14:O$37,MATCH($B245,$B$14:$B$37,FALSE))/INDEX($F$206:$F$229,MATCH($B245,$B$206:$B$229,FALSE))),NA()),NA())</f>
        <v>#N/A</v>
      </c>
      <c r="Q245" s="65" t="e">
        <f>IF(P53=1,IF(P$13&lt;=COUNT($C25:$CS25),IF(INDEX($F$206:$F$229,MATCH($B245,$B$206:$B$229,FALSE))=0,NA(),INDEX(P$14:P$37,MATCH($B245,$B$14:$B$37,FALSE))/INDEX($F$206:$F$229,MATCH($B245,$B$206:$B$229,FALSE))),NA()),NA())</f>
        <v>#N/A</v>
      </c>
      <c r="R245" s="65" t="e">
        <f>IF(Q53=1,IF(Q$13&lt;=COUNT($C25:$CS25),IF(INDEX($F$206:$F$229,MATCH($B245,$B$206:$B$229,FALSE))=0,NA(),INDEX(Q$14:Q$37,MATCH($B245,$B$14:$B$37,FALSE))/INDEX($F$206:$F$229,MATCH($B245,$B$206:$B$229,FALSE))),NA()),NA())</f>
        <v>#N/A</v>
      </c>
      <c r="S245" s="65" t="e">
        <f>IF(R53=1,IF(R$13&lt;=COUNT($C25:$CS25),IF(INDEX($F$206:$F$229,MATCH($B245,$B$206:$B$229,FALSE))=0,NA(),INDEX(R$14:R$37,MATCH($B245,$B$14:$B$37,FALSE))/INDEX($F$206:$F$229,MATCH($B245,$B$206:$B$229,FALSE))),NA()),NA())</f>
        <v>#N/A</v>
      </c>
      <c r="T245" s="65" t="e">
        <f>IF(S53=1,IF(S$13&lt;=COUNT($C25:$CS25),IF(INDEX($F$206:$F$229,MATCH($B245,$B$206:$B$229,FALSE))=0,NA(),INDEX(S$14:S$37,MATCH($B245,$B$14:$B$37,FALSE))/INDEX($F$206:$F$229,MATCH($B245,$B$206:$B$229,FALSE))),NA()),NA())</f>
        <v>#N/A</v>
      </c>
      <c r="U245" s="65" t="e">
        <f>IF(T53=1,IF(T$13&lt;=COUNT($C25:$CS25),IF(INDEX($F$206:$F$229,MATCH($B245,$B$206:$B$229,FALSE))=0,NA(),INDEX(T$14:T$37,MATCH($B245,$B$14:$B$37,FALSE))/INDEX($F$206:$F$229,MATCH($B245,$B$206:$B$229,FALSE))),NA()),NA())</f>
        <v>#N/A</v>
      </c>
      <c r="V245" s="65" t="e">
        <f>IF(U53=1,IF(U$13&lt;=COUNT($C25:$CS25),IF(INDEX($F$206:$F$229,MATCH($B245,$B$206:$B$229,FALSE))=0,NA(),INDEX(U$14:U$37,MATCH($B245,$B$14:$B$37,FALSE))/INDEX($F$206:$F$229,MATCH($B245,$B$206:$B$229,FALSE))),NA()),NA())</f>
        <v>#N/A</v>
      </c>
      <c r="W245" s="65" t="e">
        <f>IF(V53=1,IF(V$13&lt;=COUNT($C25:$CS25),IF(INDEX($F$206:$F$229,MATCH($B245,$B$206:$B$229,FALSE))=0,NA(),INDEX(V$14:V$37,MATCH($B245,$B$14:$B$37,FALSE))/INDEX($F$206:$F$229,MATCH($B245,$B$206:$B$229,FALSE))),NA()),NA())</f>
        <v>#N/A</v>
      </c>
      <c r="X245" s="65" t="e">
        <f>IF(W53=1,IF(W$13&lt;=COUNT($C25:$CS25),IF(INDEX($F$206:$F$229,MATCH($B245,$B$206:$B$229,FALSE))=0,NA(),INDEX(W$14:W$37,MATCH($B245,$B$14:$B$37,FALSE))/INDEX($F$206:$F$229,MATCH($B245,$B$206:$B$229,FALSE))),NA()),NA())</f>
        <v>#N/A</v>
      </c>
      <c r="Y245" s="65" t="e">
        <f>IF(X53=1,IF(X$13&lt;=COUNT($C25:$CS25),IF(INDEX($F$206:$F$229,MATCH($B245,$B$206:$B$229,FALSE))=0,NA(),INDEX(X$14:X$37,MATCH($B245,$B$14:$B$37,FALSE))/INDEX($F$206:$F$229,MATCH($B245,$B$206:$B$229,FALSE))),NA()),NA())</f>
        <v>#N/A</v>
      </c>
      <c r="Z245" s="65" t="e">
        <f>IF(Y53=1,IF(Y$13&lt;=COUNT($C25:$CS25),IF(INDEX($F$206:$F$229,MATCH($B245,$B$206:$B$229,FALSE))=0,NA(),INDEX(Y$14:Y$37,MATCH($B245,$B$14:$B$37,FALSE))/INDEX($F$206:$F$229,MATCH($B245,$B$206:$B$229,FALSE))),NA()),NA())</f>
        <v>#N/A</v>
      </c>
      <c r="AA245" s="65" t="e">
        <f>IF(Z53=1,IF(Z$13&lt;=COUNT($C25:$CS25),IF(INDEX($F$206:$F$229,MATCH($B245,$B$206:$B$229,FALSE))=0,NA(),INDEX(Z$14:Z$37,MATCH($B245,$B$14:$B$37,FALSE))/INDEX($F$206:$F$229,MATCH($B245,$B$206:$B$229,FALSE))),NA()),NA())</f>
        <v>#N/A</v>
      </c>
      <c r="AB245" s="65" t="e">
        <f>IF(AA53=1,IF(AA$13&lt;=COUNT($C25:$CS25),IF(INDEX($F$206:$F$229,MATCH($B245,$B$206:$B$229,FALSE))=0,NA(),INDEX(AA$14:AA$37,MATCH($B245,$B$14:$B$37,FALSE))/INDEX($F$206:$F$229,MATCH($B245,$B$206:$B$229,FALSE))),NA()),NA())</f>
        <v>#N/A</v>
      </c>
      <c r="AC245" s="65" t="e">
        <f>IF(AB53=1,IF(AB$13&lt;=COUNT($C25:$CS25),IF(INDEX($F$206:$F$229,MATCH($B245,$B$206:$B$229,FALSE))=0,NA(),INDEX(AB$14:AB$37,MATCH($B245,$B$14:$B$37,FALSE))/INDEX($F$206:$F$229,MATCH($B245,$B$206:$B$229,FALSE))),NA()),NA())</f>
        <v>#N/A</v>
      </c>
      <c r="AD245" s="65" t="e">
        <f>IF(AC53=1,IF(AC$13&lt;=COUNT($C25:$CS25),IF(INDEX($F$206:$F$229,MATCH($B245,$B$206:$B$229,FALSE))=0,NA(),INDEX(AC$14:AC$37,MATCH($B245,$B$14:$B$37,FALSE))/INDEX($F$206:$F$229,MATCH($B245,$B$206:$B$229,FALSE))),NA()),NA())</f>
        <v>#N/A</v>
      </c>
      <c r="AE245" s="65" t="e">
        <f>IF(AD53=1,IF(AD$13&lt;=COUNT($C25:$CS25),IF(INDEX($F$206:$F$229,MATCH($B245,$B$206:$B$229,FALSE))=0,NA(),INDEX(AD$14:AD$37,MATCH($B245,$B$14:$B$37,FALSE))/INDEX($F$206:$F$229,MATCH($B245,$B$206:$B$229,FALSE))),NA()),NA())</f>
        <v>#N/A</v>
      </c>
      <c r="AF245" s="65" t="e">
        <f>IF(AE53=1,IF(AE$13&lt;=COUNT($C25:$CS25),IF(INDEX($F$206:$F$229,MATCH($B245,$B$206:$B$229,FALSE))=0,NA(),INDEX(AE$14:AE$37,MATCH($B245,$B$14:$B$37,FALSE))/INDEX($F$206:$F$229,MATCH($B245,$B$206:$B$229,FALSE))),NA()),NA())</f>
        <v>#N/A</v>
      </c>
      <c r="AG245" s="65" t="e">
        <f>IF(AF53=1,IF(AF$13&lt;=COUNT($C25:$CS25),IF(INDEX($F$206:$F$229,MATCH($B245,$B$206:$B$229,FALSE))=0,NA(),INDEX(AF$14:AF$37,MATCH($B245,$B$14:$B$37,FALSE))/INDEX($F$206:$F$229,MATCH($B245,$B$206:$B$229,FALSE))),NA()),NA())</f>
        <v>#N/A</v>
      </c>
      <c r="AH245" s="65" t="e">
        <f>IF(AG53=1,IF(AG$13&lt;=COUNT($C25:$CS25),IF(INDEX($F$206:$F$229,MATCH($B245,$B$206:$B$229,FALSE))=0,NA(),INDEX(AG$14:AG$37,MATCH($B245,$B$14:$B$37,FALSE))/INDEX($F$206:$F$229,MATCH($B245,$B$206:$B$229,FALSE))),NA()),NA())</f>
        <v>#N/A</v>
      </c>
      <c r="AI245" s="65" t="e">
        <f>IF(AH53=1,IF(AH$13&lt;=COUNT($C25:$CS25),IF(INDEX($F$206:$F$229,MATCH($B245,$B$206:$B$229,FALSE))=0,NA(),INDEX(AH$14:AH$37,MATCH($B245,$B$14:$B$37,FALSE))/INDEX($F$206:$F$229,MATCH($B245,$B$206:$B$229,FALSE))),NA()),NA())</f>
        <v>#N/A</v>
      </c>
      <c r="AJ245" s="65" t="e">
        <f>IF(AI53=1,IF(AI$13&lt;=COUNT($C25:$CS25),IF(INDEX($F$206:$F$229,MATCH($B245,$B$206:$B$229,FALSE))=0,NA(),INDEX(AI$14:AI$37,MATCH($B245,$B$14:$B$37,FALSE))/INDEX($F$206:$F$229,MATCH($B245,$B$206:$B$229,FALSE))),NA()),NA())</f>
        <v>#N/A</v>
      </c>
      <c r="AK245" s="65" t="e">
        <f>IF(AJ53=1,IF(AJ$13&lt;=COUNT($C25:$CS25),IF(INDEX($F$206:$F$229,MATCH($B245,$B$206:$B$229,FALSE))=0,NA(),INDEX(AJ$14:AJ$37,MATCH($B245,$B$14:$B$37,FALSE))/INDEX($F$206:$F$229,MATCH($B245,$B$206:$B$229,FALSE))),NA()),NA())</f>
        <v>#N/A</v>
      </c>
      <c r="AL245" s="65" t="e">
        <f>IF(AK53=1,IF(AK$13&lt;=COUNT($C25:$CS25),IF(INDEX($F$206:$F$229,MATCH($B245,$B$206:$B$229,FALSE))=0,NA(),INDEX(AK$14:AK$37,MATCH($B245,$B$14:$B$37,FALSE))/INDEX($F$206:$F$229,MATCH($B245,$B$206:$B$229,FALSE))),NA()),NA())</f>
        <v>#N/A</v>
      </c>
      <c r="AM245" s="65" t="e">
        <f>IF(AL53=1,IF(AL$13&lt;=COUNT($C25:$CS25),IF(INDEX($F$206:$F$229,MATCH($B245,$B$206:$B$229,FALSE))=0,NA(),INDEX(AL$14:AL$37,MATCH($B245,$B$14:$B$37,FALSE))/INDEX($F$206:$F$229,MATCH($B245,$B$206:$B$229,FALSE))),NA()),NA())</f>
        <v>#N/A</v>
      </c>
      <c r="AN245" s="65" t="e">
        <f>IF(AM53=1,IF(AM$13&lt;=COUNT($C25:$CS25),IF(INDEX($F$206:$F$229,MATCH($B245,$B$206:$B$229,FALSE))=0,NA(),INDEX(AM$14:AM$37,MATCH($B245,$B$14:$B$37,FALSE))/INDEX($F$206:$F$229,MATCH($B245,$B$206:$B$229,FALSE))),NA()),NA())</f>
        <v>#N/A</v>
      </c>
      <c r="AO245" s="65" t="e">
        <f>IF(AN53=1,IF(AN$13&lt;=COUNT($C25:$CS25),IF(INDEX($F$206:$F$229,MATCH($B245,$B$206:$B$229,FALSE))=0,NA(),INDEX(AN$14:AN$37,MATCH($B245,$B$14:$B$37,FALSE))/INDEX($F$206:$F$229,MATCH($B245,$B$206:$B$229,FALSE))),NA()),NA())</f>
        <v>#N/A</v>
      </c>
      <c r="AP245" s="65" t="e">
        <f>IF(AO53=1,IF(AO$13&lt;=COUNT($C25:$CS25),IF(INDEX($F$206:$F$229,MATCH($B245,$B$206:$B$229,FALSE))=0,NA(),INDEX(AO$14:AO$37,MATCH($B245,$B$14:$B$37,FALSE))/INDEX($F$206:$F$229,MATCH($B245,$B$206:$B$229,FALSE))),NA()),NA())</f>
        <v>#N/A</v>
      </c>
      <c r="AQ245" s="65" t="e">
        <f>IF(AP53=1,IF(AP$13&lt;=COUNT($C25:$CS25),IF(INDEX($F$206:$F$229,MATCH($B245,$B$206:$B$229,FALSE))=0,NA(),INDEX(AP$14:AP$37,MATCH($B245,$B$14:$B$37,FALSE))/INDEX($F$206:$F$229,MATCH($B245,$B$206:$B$229,FALSE))),NA()),NA())</f>
        <v>#N/A</v>
      </c>
      <c r="AR245" s="65" t="e">
        <f>IF(AQ53=1,IF(AQ$13&lt;=COUNT($C25:$CS25),IF(INDEX($F$206:$F$229,MATCH($B245,$B$206:$B$229,FALSE))=0,NA(),INDEX(AQ$14:AQ$37,MATCH($B245,$B$14:$B$37,FALSE))/INDEX($F$206:$F$229,MATCH($B245,$B$206:$B$229,FALSE))),NA()),NA())</f>
        <v>#N/A</v>
      </c>
      <c r="AS245" s="65" t="e">
        <f>IF(AR53=1,IF(AR$13&lt;=COUNT($C25:$CS25),IF(INDEX($F$206:$F$229,MATCH($B245,$B$206:$B$229,FALSE))=0,NA(),INDEX(AR$14:AR$37,MATCH($B245,$B$14:$B$37,FALSE))/INDEX($F$206:$F$229,MATCH($B245,$B$206:$B$229,FALSE))),NA()),NA())</f>
        <v>#N/A</v>
      </c>
      <c r="AT245" s="65" t="e">
        <f>IF(AS53=1,IF(AS$13&lt;=COUNT($C25:$CS25),IF(INDEX($F$206:$F$229,MATCH($B245,$B$206:$B$229,FALSE))=0,NA(),INDEX(AS$14:AS$37,MATCH($B245,$B$14:$B$37,FALSE))/INDEX($F$206:$F$229,MATCH($B245,$B$206:$B$229,FALSE))),NA()),NA())</f>
        <v>#N/A</v>
      </c>
      <c r="AU245" s="65" t="e">
        <f>IF(AT53=1,IF(AT$13&lt;=COUNT($C25:$CS25),IF(INDEX($F$206:$F$229,MATCH($B245,$B$206:$B$229,FALSE))=0,NA(),INDEX(AT$14:AT$37,MATCH($B245,$B$14:$B$37,FALSE))/INDEX($F$206:$F$229,MATCH($B245,$B$206:$B$229,FALSE))),NA()),NA())</f>
        <v>#N/A</v>
      </c>
      <c r="AV245" s="65" t="e">
        <f>IF(AU53=1,IF(AU$13&lt;=COUNT($C25:$CS25),IF(INDEX($F$206:$F$229,MATCH($B245,$B$206:$B$229,FALSE))=0,NA(),INDEX(AU$14:AU$37,MATCH($B245,$B$14:$B$37,FALSE))/INDEX($F$206:$F$229,MATCH($B245,$B$206:$B$229,FALSE))),NA()),NA())</f>
        <v>#N/A</v>
      </c>
      <c r="AW245" s="65" t="e">
        <f>IF(AV53=1,IF(AV$13&lt;=COUNT($C25:$CS25),IF(INDEX($F$206:$F$229,MATCH($B245,$B$206:$B$229,FALSE))=0,NA(),INDEX(AV$14:AV$37,MATCH($B245,$B$14:$B$37,FALSE))/INDEX($F$206:$F$229,MATCH($B245,$B$206:$B$229,FALSE))),NA()),NA())</f>
        <v>#N/A</v>
      </c>
      <c r="AX245" s="65" t="e">
        <f>IF(AW53=1,IF(AW$13&lt;=COUNT($C25:$CS25),IF(INDEX($F$206:$F$229,MATCH($B245,$B$206:$B$229,FALSE))=0,NA(),INDEX(AW$14:AW$37,MATCH($B245,$B$14:$B$37,FALSE))/INDEX($F$206:$F$229,MATCH($B245,$B$206:$B$229,FALSE))),NA()),NA())</f>
        <v>#N/A</v>
      </c>
      <c r="AY245" s="65" t="e">
        <f>IF(AX53=1,IF(AX$13&lt;=COUNT($C25:$CS25),IF(INDEX($F$206:$F$229,MATCH($B245,$B$206:$B$229,FALSE))=0,NA(),INDEX(AX$14:AX$37,MATCH($B245,$B$14:$B$37,FALSE))/INDEX($F$206:$F$229,MATCH($B245,$B$206:$B$229,FALSE))),NA()),NA())</f>
        <v>#N/A</v>
      </c>
      <c r="AZ245" s="65" t="e">
        <f>IF(AY53=1,IF(AY$13&lt;=COUNT($C25:$CS25),IF(INDEX($F$206:$F$229,MATCH($B245,$B$206:$B$229,FALSE))=0,NA(),INDEX(AY$14:AY$37,MATCH($B245,$B$14:$B$37,FALSE))/INDEX($F$206:$F$229,MATCH($B245,$B$206:$B$229,FALSE))),NA()),NA())</f>
        <v>#N/A</v>
      </c>
      <c r="BA245" s="65" t="e">
        <f>IF(AZ53=1,IF(AZ$13&lt;=COUNT($C25:$CS25),IF(INDEX($F$206:$F$229,MATCH($B245,$B$206:$B$229,FALSE))=0,NA(),INDEX(AZ$14:AZ$37,MATCH($B245,$B$14:$B$37,FALSE))/INDEX($F$206:$F$229,MATCH($B245,$B$206:$B$229,FALSE))),NA()),NA())</f>
        <v>#N/A</v>
      </c>
      <c r="BB245" s="65" t="e">
        <f>IF(BA53=1,IF(BA$13&lt;=COUNT($C25:$CS25),IF(INDEX($F$206:$F$229,MATCH($B245,$B$206:$B$229,FALSE))=0,NA(),INDEX(BA$14:BA$37,MATCH($B245,$B$14:$B$37,FALSE))/INDEX($F$206:$F$229,MATCH($B245,$B$206:$B$229,FALSE))),NA()),NA())</f>
        <v>#N/A</v>
      </c>
      <c r="BC245" s="65" t="e">
        <f>IF(BB53=1,IF(BB$13&lt;=COUNT($C25:$CS25),IF(INDEX($F$206:$F$229,MATCH($B245,$B$206:$B$229,FALSE))=0,NA(),INDEX(BB$14:BB$37,MATCH($B245,$B$14:$B$37,FALSE))/INDEX($F$206:$F$229,MATCH($B245,$B$206:$B$229,FALSE))),NA()),NA())</f>
        <v>#N/A</v>
      </c>
      <c r="BD245" s="65" t="e">
        <f>IF(BC53=1,IF(BC$13&lt;=COUNT($C25:$CS25),IF(INDEX($F$206:$F$229,MATCH($B245,$B$206:$B$229,FALSE))=0,NA(),INDEX(BC$14:BC$37,MATCH($B245,$B$14:$B$37,FALSE))/INDEX($F$206:$F$229,MATCH($B245,$B$206:$B$229,FALSE))),NA()),NA())</f>
        <v>#N/A</v>
      </c>
      <c r="BE245" s="65" t="e">
        <f>IF(BD53=1,IF(BD$13&lt;=COUNT($C25:$CS25),IF(INDEX($F$206:$F$229,MATCH($B245,$B$206:$B$229,FALSE))=0,NA(),INDEX(BD$14:BD$37,MATCH($B245,$B$14:$B$37,FALSE))/INDEX($F$206:$F$229,MATCH($B245,$B$206:$B$229,FALSE))),NA()),NA())</f>
        <v>#N/A</v>
      </c>
      <c r="BF245" s="65" t="e">
        <f>IF(BE53=1,IF(BE$13&lt;=COUNT($C25:$CS25),IF(INDEX($F$206:$F$229,MATCH($B245,$B$206:$B$229,FALSE))=0,NA(),INDEX(BE$14:BE$37,MATCH($B245,$B$14:$B$37,FALSE))/INDEX($F$206:$F$229,MATCH($B245,$B$206:$B$229,FALSE))),NA()),NA())</f>
        <v>#N/A</v>
      </c>
      <c r="BG245" s="65" t="e">
        <f>IF(BF53=1,IF(BF$13&lt;=COUNT($C25:$CS25),IF(INDEX($F$206:$F$229,MATCH($B245,$B$206:$B$229,FALSE))=0,NA(),INDEX(BF$14:BF$37,MATCH($B245,$B$14:$B$37,FALSE))/INDEX($F$206:$F$229,MATCH($B245,$B$206:$B$229,FALSE))),NA()),NA())</f>
        <v>#N/A</v>
      </c>
      <c r="BH245" s="65" t="e">
        <f>IF(BG53=1,IF(BG$13&lt;=COUNT($C25:$CS25),IF(INDEX($F$206:$F$229,MATCH($B245,$B$206:$B$229,FALSE))=0,NA(),INDEX(BG$14:BG$37,MATCH($B245,$B$14:$B$37,FALSE))/INDEX($F$206:$F$229,MATCH($B245,$B$206:$B$229,FALSE))),NA()),NA())</f>
        <v>#N/A</v>
      </c>
      <c r="BI245" s="65" t="e">
        <f>IF(BH53=1,IF(BH$13&lt;=COUNT($C25:$CS25),IF(INDEX($F$206:$F$229,MATCH($B245,$B$206:$B$229,FALSE))=0,NA(),INDEX(BH$14:BH$37,MATCH($B245,$B$14:$B$37,FALSE))/INDEX($F$206:$F$229,MATCH($B245,$B$206:$B$229,FALSE))),NA()),NA())</f>
        <v>#N/A</v>
      </c>
      <c r="BJ245" s="65" t="e">
        <f>IF(BI53=1,IF(BI$13&lt;=COUNT($C25:$CS25),IF(INDEX($F$206:$F$229,MATCH($B245,$B$206:$B$229,FALSE))=0,NA(),INDEX(BI$14:BI$37,MATCH($B245,$B$14:$B$37,FALSE))/INDEX($F$206:$F$229,MATCH($B245,$B$206:$B$229,FALSE))),NA()),NA())</f>
        <v>#N/A</v>
      </c>
      <c r="BK245" s="65" t="e">
        <f>IF(BJ53=1,IF(BJ$13&lt;=COUNT($C25:$CS25),IF(INDEX($F$206:$F$229,MATCH($B245,$B$206:$B$229,FALSE))=0,NA(),INDEX(BJ$14:BJ$37,MATCH($B245,$B$14:$B$37,FALSE))/INDEX($F$206:$F$229,MATCH($B245,$B$206:$B$229,FALSE))),NA()),NA())</f>
        <v>#N/A</v>
      </c>
      <c r="BL245" s="65" t="e">
        <f>IF(BK53=1,IF(BK$13&lt;=COUNT($C25:$CS25),IF(INDEX($F$206:$F$229,MATCH($B245,$B$206:$B$229,FALSE))=0,NA(),INDEX(BK$14:BK$37,MATCH($B245,$B$14:$B$37,FALSE))/INDEX($F$206:$F$229,MATCH($B245,$B$206:$B$229,FALSE))),NA()),NA())</f>
        <v>#N/A</v>
      </c>
      <c r="BM245" s="65" t="e">
        <f>IF(BL53=1,IF(BL$13&lt;=COUNT($C25:$CS25),IF(INDEX($F$206:$F$229,MATCH($B245,$B$206:$B$229,FALSE))=0,NA(),INDEX(BL$14:BL$37,MATCH($B245,$B$14:$B$37,FALSE))/INDEX($F$206:$F$229,MATCH($B245,$B$206:$B$229,FALSE))),NA()),NA())</f>
        <v>#N/A</v>
      </c>
      <c r="BN245" s="65" t="e">
        <f>IF(BM53=1,IF(BM$13&lt;=COUNT($C25:$CS25),IF(INDEX($F$206:$F$229,MATCH($B245,$B$206:$B$229,FALSE))=0,NA(),INDEX(BM$14:BM$37,MATCH($B245,$B$14:$B$37,FALSE))/INDEX($F$206:$F$229,MATCH($B245,$B$206:$B$229,FALSE))),NA()),NA())</f>
        <v>#N/A</v>
      </c>
      <c r="BO245" s="65" t="e">
        <f>IF(BN53=1,IF(BN$13&lt;=COUNT($C25:$CS25),IF(INDEX($F$206:$F$229,MATCH($B245,$B$206:$B$229,FALSE))=0,NA(),INDEX(BN$14:BN$37,MATCH($B245,$B$14:$B$37,FALSE))/INDEX($F$206:$F$229,MATCH($B245,$B$206:$B$229,FALSE))),NA()),NA())</f>
        <v>#N/A</v>
      </c>
      <c r="BP245" s="65" t="e">
        <f>IF(BO53=1,IF(BO$13&lt;=COUNT($C25:$CS25),IF(INDEX($F$206:$F$229,MATCH($B245,$B$206:$B$229,FALSE))=0,NA(),INDEX(BO$14:BO$37,MATCH($B245,$B$14:$B$37,FALSE))/INDEX($F$206:$F$229,MATCH($B245,$B$206:$B$229,FALSE))),NA()),NA())</f>
        <v>#N/A</v>
      </c>
      <c r="BQ245" s="65" t="e">
        <f>IF(BP53=1,IF(BP$13&lt;=COUNT($C25:$CS25),IF(INDEX($F$206:$F$229,MATCH($B245,$B$206:$B$229,FALSE))=0,NA(),INDEX(BP$14:BP$37,MATCH($B245,$B$14:$B$37,FALSE))/INDEX($F$206:$F$229,MATCH($B245,$B$206:$B$229,FALSE))),NA()),NA())</f>
        <v>#N/A</v>
      </c>
      <c r="BR245" s="65" t="e">
        <f>IF(BQ53=1,IF(BQ$13&lt;=COUNT($C25:$CS25),IF(INDEX($F$206:$F$229,MATCH($B245,$B$206:$B$229,FALSE))=0,NA(),INDEX(BQ$14:BQ$37,MATCH($B245,$B$14:$B$37,FALSE))/INDEX($F$206:$F$229,MATCH($B245,$B$206:$B$229,FALSE))),NA()),NA())</f>
        <v>#N/A</v>
      </c>
      <c r="BS245" s="65" t="e">
        <f>IF(BR53=1,IF(BR$13&lt;=COUNT($C25:$CS25),IF(INDEX($F$206:$F$229,MATCH($B245,$B$206:$B$229,FALSE))=0,NA(),INDEX(BR$14:BR$37,MATCH($B245,$B$14:$B$37,FALSE))/INDEX($F$206:$F$229,MATCH($B245,$B$206:$B$229,FALSE))),NA()),NA())</f>
        <v>#N/A</v>
      </c>
      <c r="BT245" s="65" t="e">
        <f>IF(BS53=1,IF(BS$13&lt;=COUNT($C25:$CS25),IF(INDEX($F$206:$F$229,MATCH($B245,$B$206:$B$229,FALSE))=0,NA(),INDEX(BS$14:BS$37,MATCH($B245,$B$14:$B$37,FALSE))/INDEX($F$206:$F$229,MATCH($B245,$B$206:$B$229,FALSE))),NA()),NA())</f>
        <v>#N/A</v>
      </c>
      <c r="BU245" s="65" t="e">
        <f>IF(BT53=1,IF(BT$13&lt;=COUNT($C25:$CS25),IF(INDEX($F$206:$F$229,MATCH($B245,$B$206:$B$229,FALSE))=0,NA(),INDEX(BT$14:BT$37,MATCH($B245,$B$14:$B$37,FALSE))/INDEX($F$206:$F$229,MATCH($B245,$B$206:$B$229,FALSE))),NA()),NA())</f>
        <v>#N/A</v>
      </c>
      <c r="BV245" s="65" t="e">
        <f>IF(BU53=1,IF(BU$13&lt;=COUNT($C25:$CS25),IF(INDEX($F$206:$F$229,MATCH($B245,$B$206:$B$229,FALSE))=0,NA(),INDEX(BU$14:BU$37,MATCH($B245,$B$14:$B$37,FALSE))/INDEX($F$206:$F$229,MATCH($B245,$B$206:$B$229,FALSE))),NA()),NA())</f>
        <v>#N/A</v>
      </c>
      <c r="BW245" s="65" t="e">
        <f>IF(BV53=1,IF(BV$13&lt;=COUNT($C25:$CS25),IF(INDEX($F$206:$F$229,MATCH($B245,$B$206:$B$229,FALSE))=0,NA(),INDEX(BV$14:BV$37,MATCH($B245,$B$14:$B$37,FALSE))/INDEX($F$206:$F$229,MATCH($B245,$B$206:$B$229,FALSE))),NA()),NA())</f>
        <v>#N/A</v>
      </c>
      <c r="BX245" s="65" t="e">
        <f>IF(BW53=1,IF(BW$13&lt;=COUNT($C25:$CS25),IF(INDEX($F$206:$F$229,MATCH($B245,$B$206:$B$229,FALSE))=0,NA(),INDEX(BW$14:BW$37,MATCH($B245,$B$14:$B$37,FALSE))/INDEX($F$206:$F$229,MATCH($B245,$B$206:$B$229,FALSE))),NA()),NA())</f>
        <v>#N/A</v>
      </c>
      <c r="BY245" s="65" t="e">
        <f>IF(BX53=1,IF(BX$13&lt;=COUNT($C25:$CS25),IF(INDEX($F$206:$F$229,MATCH($B245,$B$206:$B$229,FALSE))=0,NA(),INDEX(BX$14:BX$37,MATCH($B245,$B$14:$B$37,FALSE))/INDEX($F$206:$F$229,MATCH($B245,$B$206:$B$229,FALSE))),NA()),NA())</f>
        <v>#N/A</v>
      </c>
      <c r="BZ245" s="65" t="e">
        <f>IF(BY53=1,IF(BY$13&lt;=COUNT($C25:$CS25),IF(INDEX($F$206:$F$229,MATCH($B245,$B$206:$B$229,FALSE))=0,NA(),INDEX(BY$14:BY$37,MATCH($B245,$B$14:$B$37,FALSE))/INDEX($F$206:$F$229,MATCH($B245,$B$206:$B$229,FALSE))),NA()),NA())</f>
        <v>#N/A</v>
      </c>
      <c r="CA245" s="65" t="e">
        <f>IF(BZ53=1,IF(BZ$13&lt;=COUNT($C25:$CS25),IF(INDEX($F$206:$F$229,MATCH($B245,$B$206:$B$229,FALSE))=0,NA(),INDEX(BZ$14:BZ$37,MATCH($B245,$B$14:$B$37,FALSE))/INDEX($F$206:$F$229,MATCH($B245,$B$206:$B$229,FALSE))),NA()),NA())</f>
        <v>#N/A</v>
      </c>
      <c r="CB245" s="65" t="e">
        <f>IF(CA53=1,IF(CA$13&lt;=COUNT($C25:$CS25),IF(INDEX($F$206:$F$229,MATCH($B245,$B$206:$B$229,FALSE))=0,NA(),INDEX(CA$14:CA$37,MATCH($B245,$B$14:$B$37,FALSE))/INDEX($F$206:$F$229,MATCH($B245,$B$206:$B$229,FALSE))),NA()),NA())</f>
        <v>#N/A</v>
      </c>
      <c r="CC245" s="65" t="e">
        <f>IF(CB53=1,IF(CB$13&lt;=COUNT($C25:$CS25),IF(INDEX($F$206:$F$229,MATCH($B245,$B$206:$B$229,FALSE))=0,NA(),INDEX(CB$14:CB$37,MATCH($B245,$B$14:$B$37,FALSE))/INDEX($F$206:$F$229,MATCH($B245,$B$206:$B$229,FALSE))),NA()),NA())</f>
        <v>#N/A</v>
      </c>
      <c r="CD245" s="65" t="e">
        <f>IF(CC53=1,IF(CC$13&lt;=COUNT($C25:$CS25),IF(INDEX($F$206:$F$229,MATCH($B245,$B$206:$B$229,FALSE))=0,NA(),INDEX(CC$14:CC$37,MATCH($B245,$B$14:$B$37,FALSE))/INDEX($F$206:$F$229,MATCH($B245,$B$206:$B$229,FALSE))),NA()),NA())</f>
        <v>#N/A</v>
      </c>
      <c r="CE245" s="65" t="e">
        <f>IF(CD53=1,IF(CD$13&lt;=COUNT($C25:$CS25),IF(INDEX($F$206:$F$229,MATCH($B245,$B$206:$B$229,FALSE))=0,NA(),INDEX(CD$14:CD$37,MATCH($B245,$B$14:$B$37,FALSE))/INDEX($F$206:$F$229,MATCH($B245,$B$206:$B$229,FALSE))),NA()),NA())</f>
        <v>#N/A</v>
      </c>
      <c r="CF245" s="65" t="e">
        <f>IF(CE53=1,IF(CE$13&lt;=COUNT($C25:$CS25),IF(INDEX($F$206:$F$229,MATCH($B245,$B$206:$B$229,FALSE))=0,NA(),INDEX(CE$14:CE$37,MATCH($B245,$B$14:$B$37,FALSE))/INDEX($F$206:$F$229,MATCH($B245,$B$206:$B$229,FALSE))),NA()),NA())</f>
        <v>#N/A</v>
      </c>
      <c r="CG245" s="65" t="e">
        <f>IF(CF53=1,IF(CF$13&lt;=COUNT($C25:$CS25),IF(INDEX($F$206:$F$229,MATCH($B245,$B$206:$B$229,FALSE))=0,NA(),INDEX(CF$14:CF$37,MATCH($B245,$B$14:$B$37,FALSE))/INDEX($F$206:$F$229,MATCH($B245,$B$206:$B$229,FALSE))),NA()),NA())</f>
        <v>#N/A</v>
      </c>
      <c r="CH245" s="65" t="e">
        <f>IF(CG53=1,IF(CG$13&lt;=COUNT($C25:$CS25),IF(INDEX($F$206:$F$229,MATCH($B245,$B$206:$B$229,FALSE))=0,NA(),INDEX(CG$14:CG$37,MATCH($B245,$B$14:$B$37,FALSE))/INDEX($F$206:$F$229,MATCH($B245,$B$206:$B$229,FALSE))),NA()),NA())</f>
        <v>#N/A</v>
      </c>
      <c r="CI245" s="65" t="e">
        <f>IF(CH53=1,IF(CH$13&lt;=COUNT($C25:$CS25),IF(INDEX($F$206:$F$229,MATCH($B245,$B$206:$B$229,FALSE))=0,NA(),INDEX(CH$14:CH$37,MATCH($B245,$B$14:$B$37,FALSE))/INDEX($F$206:$F$229,MATCH($B245,$B$206:$B$229,FALSE))),NA()),NA())</f>
        <v>#N/A</v>
      </c>
      <c r="CJ245" s="65" t="e">
        <f>IF(CI53=1,IF(CI$13&lt;=COUNT($C25:$CS25),IF(INDEX($F$206:$F$229,MATCH($B245,$B$206:$B$229,FALSE))=0,NA(),INDEX(CI$14:CI$37,MATCH($B245,$B$14:$B$37,FALSE))/INDEX($F$206:$F$229,MATCH($B245,$B$206:$B$229,FALSE))),NA()),NA())</f>
        <v>#N/A</v>
      </c>
      <c r="CK245" s="65" t="e">
        <f>IF(CJ53=1,IF(CJ$13&lt;=COUNT($C25:$CS25),IF(INDEX($F$206:$F$229,MATCH($B245,$B$206:$B$229,FALSE))=0,NA(),INDEX(CJ$14:CJ$37,MATCH($B245,$B$14:$B$37,FALSE))/INDEX($F$206:$F$229,MATCH($B245,$B$206:$B$229,FALSE))),NA()),NA())</f>
        <v>#N/A</v>
      </c>
      <c r="CL245" s="65" t="e">
        <f>IF(CK53=1,IF(CK$13&lt;=COUNT($C25:$CS25),IF(INDEX($F$206:$F$229,MATCH($B245,$B$206:$B$229,FALSE))=0,NA(),INDEX(CK$14:CK$37,MATCH($B245,$B$14:$B$37,FALSE))/INDEX($F$206:$F$229,MATCH($B245,$B$206:$B$229,FALSE))),NA()),NA())</f>
        <v>#N/A</v>
      </c>
      <c r="CM245" s="65" t="e">
        <f>IF(CL53=1,IF(CL$13&lt;=COUNT($C25:$CS25),IF(INDEX($F$206:$F$229,MATCH($B245,$B$206:$B$229,FALSE))=0,NA(),INDEX(CL$14:CL$37,MATCH($B245,$B$14:$B$37,FALSE))/INDEX($F$206:$F$229,MATCH($B245,$B$206:$B$229,FALSE))),NA()),NA())</f>
        <v>#N/A</v>
      </c>
      <c r="CN245" s="65" t="e">
        <f>IF(CM53=1,IF(CM$13&lt;=COUNT($C25:$CS25),IF(INDEX($F$206:$F$229,MATCH($B245,$B$206:$B$229,FALSE))=0,NA(),INDEX(CM$14:CM$37,MATCH($B245,$B$14:$B$37,FALSE))/INDEX($F$206:$F$229,MATCH($B245,$B$206:$B$229,FALSE))),NA()),NA())</f>
        <v>#N/A</v>
      </c>
      <c r="CO245" s="65" t="e">
        <f>IF(CN53=1,IF(CN$13&lt;=COUNT($C25:$CS25),IF(INDEX($F$206:$F$229,MATCH($B245,$B$206:$B$229,FALSE))=0,NA(),INDEX(CN$14:CN$37,MATCH($B245,$B$14:$B$37,FALSE))/INDEX($F$206:$F$229,MATCH($B245,$B$206:$B$229,FALSE))),NA()),NA())</f>
        <v>#N/A</v>
      </c>
      <c r="CP245" s="65" t="e">
        <f>IF(CO53=1,IF(CO$13&lt;=COUNT($C25:$CS25),IF(INDEX($F$206:$F$229,MATCH($B245,$B$206:$B$229,FALSE))=0,NA(),INDEX(CO$14:CO$37,MATCH($B245,$B$14:$B$37,FALSE))/INDEX($F$206:$F$229,MATCH($B245,$B$206:$B$229,FALSE))),NA()),NA())</f>
        <v>#N/A</v>
      </c>
      <c r="CQ245" s="65" t="e">
        <f>IF(CP53=1,IF(CP$13&lt;=COUNT($C25:$CS25),IF(INDEX($F$206:$F$229,MATCH($B245,$B$206:$B$229,FALSE))=0,NA(),INDEX(CP$14:CP$37,MATCH($B245,$B$14:$B$37,FALSE))/INDEX($F$206:$F$229,MATCH($B245,$B$206:$B$229,FALSE))),NA()),NA())</f>
        <v>#N/A</v>
      </c>
      <c r="CR245" s="65" t="e">
        <f>IF(CQ53=1,IF(CQ$13&lt;=COUNT($C25:$CS25),IF(INDEX($F$206:$F$229,MATCH($B245,$B$206:$B$229,FALSE))=0,NA(),INDEX(CQ$14:CQ$37,MATCH($B245,$B$14:$B$37,FALSE))/INDEX($F$206:$F$229,MATCH($B245,$B$206:$B$229,FALSE))),NA()),NA())</f>
        <v>#N/A</v>
      </c>
      <c r="CS245" s="65" t="e">
        <f>IF(CR53=1,IF(CR$13&lt;=COUNT($C25:$CS25),IF(INDEX($F$206:$F$229,MATCH($B245,$B$206:$B$229,FALSE))=0,NA(),INDEX(CR$14:CR$37,MATCH($B245,$B$14:$B$37,FALSE))/INDEX($F$206:$F$229,MATCH($B245,$B$206:$B$229,FALSE))),NA()),NA())</f>
        <v>#N/A</v>
      </c>
      <c r="CT245" s="49"/>
      <c r="CU245" s="49"/>
      <c r="CV245" s="49"/>
      <c r="CW245" s="49"/>
    </row>
    <row r="246" spans="1:101" x14ac:dyDescent="0.25">
      <c r="A246" s="97">
        <f t="shared" si="105"/>
        <v>0</v>
      </c>
      <c r="B246" s="29">
        <f t="shared" si="104"/>
        <v>2008</v>
      </c>
      <c r="C246" s="154" t="str">
        <f t="shared" si="106"/>
        <v/>
      </c>
      <c r="D246" s="54" t="e">
        <f>IF(C54=1,IF(C$13&lt;=COUNT($C26:$CS26),IF(INDEX($F$206:$F$229,MATCH($B246,$B$206:$B$229,FALSE))=0,NA(),INDEX(C$14:C$37,MATCH($B246,$B$14:$B$37,FALSE))/INDEX($F$206:$F$229,MATCH($B246,$B$206:$B$229,FALSE))),NA()),NA())</f>
        <v>#N/A</v>
      </c>
      <c r="E246" s="65" t="e">
        <f>IF(D54=1,IF(D$13&lt;=COUNT($C26:$CS26),IF(INDEX($F$206:$F$229,MATCH($B246,$B$206:$B$229,FALSE))=0,NA(),INDEX(D$14:D$37,MATCH($B246,$B$14:$B$37,FALSE))/INDEX($F$206:$F$229,MATCH($B246,$B$206:$B$229,FALSE))),NA()),NA())</f>
        <v>#N/A</v>
      </c>
      <c r="F246" s="65" t="e">
        <f>IF(E54=1,IF(E$13&lt;=COUNT($C26:$CS26),IF(INDEX($F$206:$F$229,MATCH($B246,$B$206:$B$229,FALSE))=0,NA(),INDEX(E$14:E$37,MATCH($B246,$B$14:$B$37,FALSE))/INDEX($F$206:$F$229,MATCH($B246,$B$206:$B$229,FALSE))),NA()),NA())</f>
        <v>#N/A</v>
      </c>
      <c r="G246" s="65" t="e">
        <f>IF(F54=1,IF(F$13&lt;=COUNT($C26:$CS26),IF(INDEX($F$206:$F$229,MATCH($B246,$B$206:$B$229,FALSE))=0,NA(),INDEX(F$14:F$37,MATCH($B246,$B$14:$B$37,FALSE))/INDEX($F$206:$F$229,MATCH($B246,$B$206:$B$229,FALSE))),NA()),NA())</f>
        <v>#N/A</v>
      </c>
      <c r="H246" s="65" t="e">
        <f>IF(G54=1,IF(G$13&lt;=COUNT($C26:$CS26),IF(INDEX($F$206:$F$229,MATCH($B246,$B$206:$B$229,FALSE))=0,NA(),INDEX(G$14:G$37,MATCH($B246,$B$14:$B$37,FALSE))/INDEX($F$206:$F$229,MATCH($B246,$B$206:$B$229,FALSE))),NA()),NA())</f>
        <v>#N/A</v>
      </c>
      <c r="I246" s="65" t="e">
        <f>IF(H54=1,IF(H$13&lt;=COUNT($C26:$CS26),IF(INDEX($F$206:$F$229,MATCH($B246,$B$206:$B$229,FALSE))=0,NA(),INDEX(H$14:H$37,MATCH($B246,$B$14:$B$37,FALSE))/INDEX($F$206:$F$229,MATCH($B246,$B$206:$B$229,FALSE))),NA()),NA())</f>
        <v>#N/A</v>
      </c>
      <c r="J246" s="65" t="e">
        <f>IF(I54=1,IF(I$13&lt;=COUNT($C26:$CS26),IF(INDEX($F$206:$F$229,MATCH($B246,$B$206:$B$229,FALSE))=0,NA(),INDEX(I$14:I$37,MATCH($B246,$B$14:$B$37,FALSE))/INDEX($F$206:$F$229,MATCH($B246,$B$206:$B$229,FALSE))),NA()),NA())</f>
        <v>#N/A</v>
      </c>
      <c r="K246" s="65" t="e">
        <f>IF(J54=1,IF(J$13&lt;=COUNT($C26:$CS26),IF(INDEX($F$206:$F$229,MATCH($B246,$B$206:$B$229,FALSE))=0,NA(),INDEX(J$14:J$37,MATCH($B246,$B$14:$B$37,FALSE))/INDEX($F$206:$F$229,MATCH($B246,$B$206:$B$229,FALSE))),NA()),NA())</f>
        <v>#N/A</v>
      </c>
      <c r="L246" s="65" t="e">
        <f>IF(K54=1,IF(K$13&lt;=COUNT($C26:$CS26),IF(INDEX($F$206:$F$229,MATCH($B246,$B$206:$B$229,FALSE))=0,NA(),INDEX(K$14:K$37,MATCH($B246,$B$14:$B$37,FALSE))/INDEX($F$206:$F$229,MATCH($B246,$B$206:$B$229,FALSE))),NA()),NA())</f>
        <v>#N/A</v>
      </c>
      <c r="M246" s="65" t="e">
        <f>IF(L54=1,IF(L$13&lt;=COUNT($C26:$CS26),IF(INDEX($F$206:$F$229,MATCH($B246,$B$206:$B$229,FALSE))=0,NA(),INDEX(L$14:L$37,MATCH($B246,$B$14:$B$37,FALSE))/INDEX($F$206:$F$229,MATCH($B246,$B$206:$B$229,FALSE))),NA()),NA())</f>
        <v>#N/A</v>
      </c>
      <c r="N246" s="65" t="e">
        <f>IF(M54=1,IF(M$13&lt;=COUNT($C26:$CS26),IF(INDEX($F$206:$F$229,MATCH($B246,$B$206:$B$229,FALSE))=0,NA(),INDEX(M$14:M$37,MATCH($B246,$B$14:$B$37,FALSE))/INDEX($F$206:$F$229,MATCH($B246,$B$206:$B$229,FALSE))),NA()),NA())</f>
        <v>#N/A</v>
      </c>
      <c r="O246" s="65" t="e">
        <f>IF(N54=1,IF(N$13&lt;=COUNT($C26:$CS26),IF(INDEX($F$206:$F$229,MATCH($B246,$B$206:$B$229,FALSE))=0,NA(),INDEX(N$14:N$37,MATCH($B246,$B$14:$B$37,FALSE))/INDEX($F$206:$F$229,MATCH($B246,$B$206:$B$229,FALSE))),NA()),NA())</f>
        <v>#N/A</v>
      </c>
      <c r="P246" s="65" t="e">
        <f>IF(O54=1,IF(O$13&lt;=COUNT($C26:$CS26),IF(INDEX($F$206:$F$229,MATCH($B246,$B$206:$B$229,FALSE))=0,NA(),INDEX(O$14:O$37,MATCH($B246,$B$14:$B$37,FALSE))/INDEX($F$206:$F$229,MATCH($B246,$B$206:$B$229,FALSE))),NA()),NA())</f>
        <v>#N/A</v>
      </c>
      <c r="Q246" s="65" t="e">
        <f>IF(P54=1,IF(P$13&lt;=COUNT($C26:$CS26),IF(INDEX($F$206:$F$229,MATCH($B246,$B$206:$B$229,FALSE))=0,NA(),INDEX(P$14:P$37,MATCH($B246,$B$14:$B$37,FALSE))/INDEX($F$206:$F$229,MATCH($B246,$B$206:$B$229,FALSE))),NA()),NA())</f>
        <v>#N/A</v>
      </c>
      <c r="R246" s="65" t="e">
        <f>IF(Q54=1,IF(Q$13&lt;=COUNT($C26:$CS26),IF(INDEX($F$206:$F$229,MATCH($B246,$B$206:$B$229,FALSE))=0,NA(),INDEX(Q$14:Q$37,MATCH($B246,$B$14:$B$37,FALSE))/INDEX($F$206:$F$229,MATCH($B246,$B$206:$B$229,FALSE))),NA()),NA())</f>
        <v>#N/A</v>
      </c>
      <c r="S246" s="65" t="e">
        <f>IF(R54=1,IF(R$13&lt;=COUNT($C26:$CS26),IF(INDEX($F$206:$F$229,MATCH($B246,$B$206:$B$229,FALSE))=0,NA(),INDEX(R$14:R$37,MATCH($B246,$B$14:$B$37,FALSE))/INDEX($F$206:$F$229,MATCH($B246,$B$206:$B$229,FALSE))),NA()),NA())</f>
        <v>#N/A</v>
      </c>
      <c r="T246" s="65" t="e">
        <f>IF(S54=1,IF(S$13&lt;=COUNT($C26:$CS26),IF(INDEX($F$206:$F$229,MATCH($B246,$B$206:$B$229,FALSE))=0,NA(),INDEX(S$14:S$37,MATCH($B246,$B$14:$B$37,FALSE))/INDEX($F$206:$F$229,MATCH($B246,$B$206:$B$229,FALSE))),NA()),NA())</f>
        <v>#N/A</v>
      </c>
      <c r="U246" s="65" t="e">
        <f>IF(T54=1,IF(T$13&lt;=COUNT($C26:$CS26),IF(INDEX($F$206:$F$229,MATCH($B246,$B$206:$B$229,FALSE))=0,NA(),INDEX(T$14:T$37,MATCH($B246,$B$14:$B$37,FALSE))/INDEX($F$206:$F$229,MATCH($B246,$B$206:$B$229,FALSE))),NA()),NA())</f>
        <v>#N/A</v>
      </c>
      <c r="V246" s="65" t="e">
        <f>IF(U54=1,IF(U$13&lt;=COUNT($C26:$CS26),IF(INDEX($F$206:$F$229,MATCH($B246,$B$206:$B$229,FALSE))=0,NA(),INDEX(U$14:U$37,MATCH($B246,$B$14:$B$37,FALSE))/INDEX($F$206:$F$229,MATCH($B246,$B$206:$B$229,FALSE))),NA()),NA())</f>
        <v>#N/A</v>
      </c>
      <c r="W246" s="65" t="e">
        <f>IF(V54=1,IF(V$13&lt;=COUNT($C26:$CS26),IF(INDEX($F$206:$F$229,MATCH($B246,$B$206:$B$229,FALSE))=0,NA(),INDEX(V$14:V$37,MATCH($B246,$B$14:$B$37,FALSE))/INDEX($F$206:$F$229,MATCH($B246,$B$206:$B$229,FALSE))),NA()),NA())</f>
        <v>#N/A</v>
      </c>
      <c r="X246" s="65" t="e">
        <f>IF(W54=1,IF(W$13&lt;=COUNT($C26:$CS26),IF(INDEX($F$206:$F$229,MATCH($B246,$B$206:$B$229,FALSE))=0,NA(),INDEX(W$14:W$37,MATCH($B246,$B$14:$B$37,FALSE))/INDEX($F$206:$F$229,MATCH($B246,$B$206:$B$229,FALSE))),NA()),NA())</f>
        <v>#N/A</v>
      </c>
      <c r="Y246" s="65" t="e">
        <f>IF(X54=1,IF(X$13&lt;=COUNT($C26:$CS26),IF(INDEX($F$206:$F$229,MATCH($B246,$B$206:$B$229,FALSE))=0,NA(),INDEX(X$14:X$37,MATCH($B246,$B$14:$B$37,FALSE))/INDEX($F$206:$F$229,MATCH($B246,$B$206:$B$229,FALSE))),NA()),NA())</f>
        <v>#N/A</v>
      </c>
      <c r="Z246" s="65" t="e">
        <f>IF(Y54=1,IF(Y$13&lt;=COUNT($C26:$CS26),IF(INDEX($F$206:$F$229,MATCH($B246,$B$206:$B$229,FALSE))=0,NA(),INDEX(Y$14:Y$37,MATCH($B246,$B$14:$B$37,FALSE))/INDEX($F$206:$F$229,MATCH($B246,$B$206:$B$229,FALSE))),NA()),NA())</f>
        <v>#N/A</v>
      </c>
      <c r="AA246" s="65" t="e">
        <f>IF(Z54=1,IF(Z$13&lt;=COUNT($C26:$CS26),IF(INDEX($F$206:$F$229,MATCH($B246,$B$206:$B$229,FALSE))=0,NA(),INDEX(Z$14:Z$37,MATCH($B246,$B$14:$B$37,FALSE))/INDEX($F$206:$F$229,MATCH($B246,$B$206:$B$229,FALSE))),NA()),NA())</f>
        <v>#N/A</v>
      </c>
      <c r="AB246" s="65" t="e">
        <f>IF(AA54=1,IF(AA$13&lt;=COUNT($C26:$CS26),IF(INDEX($F$206:$F$229,MATCH($B246,$B$206:$B$229,FALSE))=0,NA(),INDEX(AA$14:AA$37,MATCH($B246,$B$14:$B$37,FALSE))/INDEX($F$206:$F$229,MATCH($B246,$B$206:$B$229,FALSE))),NA()),NA())</f>
        <v>#N/A</v>
      </c>
      <c r="AC246" s="65" t="e">
        <f>IF(AB54=1,IF(AB$13&lt;=COUNT($C26:$CS26),IF(INDEX($F$206:$F$229,MATCH($B246,$B$206:$B$229,FALSE))=0,NA(),INDEX(AB$14:AB$37,MATCH($B246,$B$14:$B$37,FALSE))/INDEX($F$206:$F$229,MATCH($B246,$B$206:$B$229,FALSE))),NA()),NA())</f>
        <v>#N/A</v>
      </c>
      <c r="AD246" s="65" t="e">
        <f>IF(AC54=1,IF(AC$13&lt;=COUNT($C26:$CS26),IF(INDEX($F$206:$F$229,MATCH($B246,$B$206:$B$229,FALSE))=0,NA(),INDEX(AC$14:AC$37,MATCH($B246,$B$14:$B$37,FALSE))/INDEX($F$206:$F$229,MATCH($B246,$B$206:$B$229,FALSE))),NA()),NA())</f>
        <v>#N/A</v>
      </c>
      <c r="AE246" s="65" t="e">
        <f>IF(AD54=1,IF(AD$13&lt;=COUNT($C26:$CS26),IF(INDEX($F$206:$F$229,MATCH($B246,$B$206:$B$229,FALSE))=0,NA(),INDEX(AD$14:AD$37,MATCH($B246,$B$14:$B$37,FALSE))/INDEX($F$206:$F$229,MATCH($B246,$B$206:$B$229,FALSE))),NA()),NA())</f>
        <v>#N/A</v>
      </c>
      <c r="AF246" s="65" t="e">
        <f>IF(AE54=1,IF(AE$13&lt;=COUNT($C26:$CS26),IF(INDEX($F$206:$F$229,MATCH($B246,$B$206:$B$229,FALSE))=0,NA(),INDEX(AE$14:AE$37,MATCH($B246,$B$14:$B$37,FALSE))/INDEX($F$206:$F$229,MATCH($B246,$B$206:$B$229,FALSE))),NA()),NA())</f>
        <v>#N/A</v>
      </c>
      <c r="AG246" s="65" t="e">
        <f>IF(AF54=1,IF(AF$13&lt;=COUNT($C26:$CS26),IF(INDEX($F$206:$F$229,MATCH($B246,$B$206:$B$229,FALSE))=0,NA(),INDEX(AF$14:AF$37,MATCH($B246,$B$14:$B$37,FALSE))/INDEX($F$206:$F$229,MATCH($B246,$B$206:$B$229,FALSE))),NA()),NA())</f>
        <v>#N/A</v>
      </c>
      <c r="AH246" s="65" t="e">
        <f>IF(AG54=1,IF(AG$13&lt;=COUNT($C26:$CS26),IF(INDEX($F$206:$F$229,MATCH($B246,$B$206:$B$229,FALSE))=0,NA(),INDEX(AG$14:AG$37,MATCH($B246,$B$14:$B$37,FALSE))/INDEX($F$206:$F$229,MATCH($B246,$B$206:$B$229,FALSE))),NA()),NA())</f>
        <v>#N/A</v>
      </c>
      <c r="AI246" s="65" t="e">
        <f>IF(AH54=1,IF(AH$13&lt;=COUNT($C26:$CS26),IF(INDEX($F$206:$F$229,MATCH($B246,$B$206:$B$229,FALSE))=0,NA(),INDEX(AH$14:AH$37,MATCH($B246,$B$14:$B$37,FALSE))/INDEX($F$206:$F$229,MATCH($B246,$B$206:$B$229,FALSE))),NA()),NA())</f>
        <v>#N/A</v>
      </c>
      <c r="AJ246" s="65" t="e">
        <f>IF(AI54=1,IF(AI$13&lt;=COUNT($C26:$CS26),IF(INDEX($F$206:$F$229,MATCH($B246,$B$206:$B$229,FALSE))=0,NA(),INDEX(AI$14:AI$37,MATCH($B246,$B$14:$B$37,FALSE))/INDEX($F$206:$F$229,MATCH($B246,$B$206:$B$229,FALSE))),NA()),NA())</f>
        <v>#N/A</v>
      </c>
      <c r="AK246" s="65" t="e">
        <f>IF(AJ54=1,IF(AJ$13&lt;=COUNT($C26:$CS26),IF(INDEX($F$206:$F$229,MATCH($B246,$B$206:$B$229,FALSE))=0,NA(),INDEX(AJ$14:AJ$37,MATCH($B246,$B$14:$B$37,FALSE))/INDEX($F$206:$F$229,MATCH($B246,$B$206:$B$229,FALSE))),NA()),NA())</f>
        <v>#N/A</v>
      </c>
      <c r="AL246" s="65" t="e">
        <f>IF(AK54=1,IF(AK$13&lt;=COUNT($C26:$CS26),IF(INDEX($F$206:$F$229,MATCH($B246,$B$206:$B$229,FALSE))=0,NA(),INDEX(AK$14:AK$37,MATCH($B246,$B$14:$B$37,FALSE))/INDEX($F$206:$F$229,MATCH($B246,$B$206:$B$229,FALSE))),NA()),NA())</f>
        <v>#N/A</v>
      </c>
      <c r="AM246" s="65" t="e">
        <f>IF(AL54=1,IF(AL$13&lt;=COUNT($C26:$CS26),IF(INDEX($F$206:$F$229,MATCH($B246,$B$206:$B$229,FALSE))=0,NA(),INDEX(AL$14:AL$37,MATCH($B246,$B$14:$B$37,FALSE))/INDEX($F$206:$F$229,MATCH($B246,$B$206:$B$229,FALSE))),NA()),NA())</f>
        <v>#N/A</v>
      </c>
      <c r="AN246" s="65" t="e">
        <f>IF(AM54=1,IF(AM$13&lt;=COUNT($C26:$CS26),IF(INDEX($F$206:$F$229,MATCH($B246,$B$206:$B$229,FALSE))=0,NA(),INDEX(AM$14:AM$37,MATCH($B246,$B$14:$B$37,FALSE))/INDEX($F$206:$F$229,MATCH($B246,$B$206:$B$229,FALSE))),NA()),NA())</f>
        <v>#N/A</v>
      </c>
      <c r="AO246" s="65" t="e">
        <f>IF(AN54=1,IF(AN$13&lt;=COUNT($C26:$CS26),IF(INDEX($F$206:$F$229,MATCH($B246,$B$206:$B$229,FALSE))=0,NA(),INDEX(AN$14:AN$37,MATCH($B246,$B$14:$B$37,FALSE))/INDEX($F$206:$F$229,MATCH($B246,$B$206:$B$229,FALSE))),NA()),NA())</f>
        <v>#N/A</v>
      </c>
      <c r="AP246" s="65" t="e">
        <f>IF(AO54=1,IF(AO$13&lt;=COUNT($C26:$CS26),IF(INDEX($F$206:$F$229,MATCH($B246,$B$206:$B$229,FALSE))=0,NA(),INDEX(AO$14:AO$37,MATCH($B246,$B$14:$B$37,FALSE))/INDEX($F$206:$F$229,MATCH($B246,$B$206:$B$229,FALSE))),NA()),NA())</f>
        <v>#N/A</v>
      </c>
      <c r="AQ246" s="65" t="e">
        <f>IF(AP54=1,IF(AP$13&lt;=COUNT($C26:$CS26),IF(INDEX($F$206:$F$229,MATCH($B246,$B$206:$B$229,FALSE))=0,NA(),INDEX(AP$14:AP$37,MATCH($B246,$B$14:$B$37,FALSE))/INDEX($F$206:$F$229,MATCH($B246,$B$206:$B$229,FALSE))),NA()),NA())</f>
        <v>#N/A</v>
      </c>
      <c r="AR246" s="65" t="e">
        <f>IF(AQ54=1,IF(AQ$13&lt;=COUNT($C26:$CS26),IF(INDEX($F$206:$F$229,MATCH($B246,$B$206:$B$229,FALSE))=0,NA(),INDEX(AQ$14:AQ$37,MATCH($B246,$B$14:$B$37,FALSE))/INDEX($F$206:$F$229,MATCH($B246,$B$206:$B$229,FALSE))),NA()),NA())</f>
        <v>#N/A</v>
      </c>
      <c r="AS246" s="65" t="e">
        <f>IF(AR54=1,IF(AR$13&lt;=COUNT($C26:$CS26),IF(INDEX($F$206:$F$229,MATCH($B246,$B$206:$B$229,FALSE))=0,NA(),INDEX(AR$14:AR$37,MATCH($B246,$B$14:$B$37,FALSE))/INDEX($F$206:$F$229,MATCH($B246,$B$206:$B$229,FALSE))),NA()),NA())</f>
        <v>#N/A</v>
      </c>
      <c r="AT246" s="65" t="e">
        <f>IF(AS54=1,IF(AS$13&lt;=COUNT($C26:$CS26),IF(INDEX($F$206:$F$229,MATCH($B246,$B$206:$B$229,FALSE))=0,NA(),INDEX(AS$14:AS$37,MATCH($B246,$B$14:$B$37,FALSE))/INDEX($F$206:$F$229,MATCH($B246,$B$206:$B$229,FALSE))),NA()),NA())</f>
        <v>#N/A</v>
      </c>
      <c r="AU246" s="65" t="e">
        <f>IF(AT54=1,IF(AT$13&lt;=COUNT($C26:$CS26),IF(INDEX($F$206:$F$229,MATCH($B246,$B$206:$B$229,FALSE))=0,NA(),INDEX(AT$14:AT$37,MATCH($B246,$B$14:$B$37,FALSE))/INDEX($F$206:$F$229,MATCH($B246,$B$206:$B$229,FALSE))),NA()),NA())</f>
        <v>#N/A</v>
      </c>
      <c r="AV246" s="65" t="e">
        <f>IF(AU54=1,IF(AU$13&lt;=COUNT($C26:$CS26),IF(INDEX($F$206:$F$229,MATCH($B246,$B$206:$B$229,FALSE))=0,NA(),INDEX(AU$14:AU$37,MATCH($B246,$B$14:$B$37,FALSE))/INDEX($F$206:$F$229,MATCH($B246,$B$206:$B$229,FALSE))),NA()),NA())</f>
        <v>#N/A</v>
      </c>
      <c r="AW246" s="65" t="e">
        <f>IF(AV54=1,IF(AV$13&lt;=COUNT($C26:$CS26),IF(INDEX($F$206:$F$229,MATCH($B246,$B$206:$B$229,FALSE))=0,NA(),INDEX(AV$14:AV$37,MATCH($B246,$B$14:$B$37,FALSE))/INDEX($F$206:$F$229,MATCH($B246,$B$206:$B$229,FALSE))),NA()),NA())</f>
        <v>#N/A</v>
      </c>
      <c r="AX246" s="65" t="e">
        <f>IF(AW54=1,IF(AW$13&lt;=COUNT($C26:$CS26),IF(INDEX($F$206:$F$229,MATCH($B246,$B$206:$B$229,FALSE))=0,NA(),INDEX(AW$14:AW$37,MATCH($B246,$B$14:$B$37,FALSE))/INDEX($F$206:$F$229,MATCH($B246,$B$206:$B$229,FALSE))),NA()),NA())</f>
        <v>#N/A</v>
      </c>
      <c r="AY246" s="65" t="e">
        <f>IF(AX54=1,IF(AX$13&lt;=COUNT($C26:$CS26),IF(INDEX($F$206:$F$229,MATCH($B246,$B$206:$B$229,FALSE))=0,NA(),INDEX(AX$14:AX$37,MATCH($B246,$B$14:$B$37,FALSE))/INDEX($F$206:$F$229,MATCH($B246,$B$206:$B$229,FALSE))),NA()),NA())</f>
        <v>#N/A</v>
      </c>
      <c r="AZ246" s="65" t="e">
        <f>IF(AY54=1,IF(AY$13&lt;=COUNT($C26:$CS26),IF(INDEX($F$206:$F$229,MATCH($B246,$B$206:$B$229,FALSE))=0,NA(),INDEX(AY$14:AY$37,MATCH($B246,$B$14:$B$37,FALSE))/INDEX($F$206:$F$229,MATCH($B246,$B$206:$B$229,FALSE))),NA()),NA())</f>
        <v>#N/A</v>
      </c>
      <c r="BA246" s="65" t="e">
        <f>IF(AZ54=1,IF(AZ$13&lt;=COUNT($C26:$CS26),IF(INDEX($F$206:$F$229,MATCH($B246,$B$206:$B$229,FALSE))=0,NA(),INDEX(AZ$14:AZ$37,MATCH($B246,$B$14:$B$37,FALSE))/INDEX($F$206:$F$229,MATCH($B246,$B$206:$B$229,FALSE))),NA()),NA())</f>
        <v>#N/A</v>
      </c>
      <c r="BB246" s="65" t="e">
        <f>IF(BA54=1,IF(BA$13&lt;=COUNT($C26:$CS26),IF(INDEX($F$206:$F$229,MATCH($B246,$B$206:$B$229,FALSE))=0,NA(),INDEX(BA$14:BA$37,MATCH($B246,$B$14:$B$37,FALSE))/INDEX($F$206:$F$229,MATCH($B246,$B$206:$B$229,FALSE))),NA()),NA())</f>
        <v>#N/A</v>
      </c>
      <c r="BC246" s="65" t="e">
        <f>IF(BB54=1,IF(BB$13&lt;=COUNT($C26:$CS26),IF(INDEX($F$206:$F$229,MATCH($B246,$B$206:$B$229,FALSE))=0,NA(),INDEX(BB$14:BB$37,MATCH($B246,$B$14:$B$37,FALSE))/INDEX($F$206:$F$229,MATCH($B246,$B$206:$B$229,FALSE))),NA()),NA())</f>
        <v>#N/A</v>
      </c>
      <c r="BD246" s="65" t="e">
        <f>IF(BC54=1,IF(BC$13&lt;=COUNT($C26:$CS26),IF(INDEX($F$206:$F$229,MATCH($B246,$B$206:$B$229,FALSE))=0,NA(),INDEX(BC$14:BC$37,MATCH($B246,$B$14:$B$37,FALSE))/INDEX($F$206:$F$229,MATCH($B246,$B$206:$B$229,FALSE))),NA()),NA())</f>
        <v>#N/A</v>
      </c>
      <c r="BE246" s="65" t="e">
        <f>IF(BD54=1,IF(BD$13&lt;=COUNT($C26:$CS26),IF(INDEX($F$206:$F$229,MATCH($B246,$B$206:$B$229,FALSE))=0,NA(),INDEX(BD$14:BD$37,MATCH($B246,$B$14:$B$37,FALSE))/INDEX($F$206:$F$229,MATCH($B246,$B$206:$B$229,FALSE))),NA()),NA())</f>
        <v>#N/A</v>
      </c>
      <c r="BF246" s="65" t="e">
        <f>IF(BE54=1,IF(BE$13&lt;=COUNT($C26:$CS26),IF(INDEX($F$206:$F$229,MATCH($B246,$B$206:$B$229,FALSE))=0,NA(),INDEX(BE$14:BE$37,MATCH($B246,$B$14:$B$37,FALSE))/INDEX($F$206:$F$229,MATCH($B246,$B$206:$B$229,FALSE))),NA()),NA())</f>
        <v>#N/A</v>
      </c>
      <c r="BG246" s="65" t="e">
        <f>IF(BF54=1,IF(BF$13&lt;=COUNT($C26:$CS26),IF(INDEX($F$206:$F$229,MATCH($B246,$B$206:$B$229,FALSE))=0,NA(),INDEX(BF$14:BF$37,MATCH($B246,$B$14:$B$37,FALSE))/INDEX($F$206:$F$229,MATCH($B246,$B$206:$B$229,FALSE))),NA()),NA())</f>
        <v>#N/A</v>
      </c>
      <c r="BH246" s="65" t="e">
        <f>IF(BG54=1,IF(BG$13&lt;=COUNT($C26:$CS26),IF(INDEX($F$206:$F$229,MATCH($B246,$B$206:$B$229,FALSE))=0,NA(),INDEX(BG$14:BG$37,MATCH($B246,$B$14:$B$37,FALSE))/INDEX($F$206:$F$229,MATCH($B246,$B$206:$B$229,FALSE))),NA()),NA())</f>
        <v>#N/A</v>
      </c>
      <c r="BI246" s="65" t="e">
        <f>IF(BH54=1,IF(BH$13&lt;=COUNT($C26:$CS26),IF(INDEX($F$206:$F$229,MATCH($B246,$B$206:$B$229,FALSE))=0,NA(),INDEX(BH$14:BH$37,MATCH($B246,$B$14:$B$37,FALSE))/INDEX($F$206:$F$229,MATCH($B246,$B$206:$B$229,FALSE))),NA()),NA())</f>
        <v>#N/A</v>
      </c>
      <c r="BJ246" s="65" t="e">
        <f>IF(BI54=1,IF(BI$13&lt;=COUNT($C26:$CS26),IF(INDEX($F$206:$F$229,MATCH($B246,$B$206:$B$229,FALSE))=0,NA(),INDEX(BI$14:BI$37,MATCH($B246,$B$14:$B$37,FALSE))/INDEX($F$206:$F$229,MATCH($B246,$B$206:$B$229,FALSE))),NA()),NA())</f>
        <v>#N/A</v>
      </c>
      <c r="BK246" s="65" t="e">
        <f>IF(BJ54=1,IF(BJ$13&lt;=COUNT($C26:$CS26),IF(INDEX($F$206:$F$229,MATCH($B246,$B$206:$B$229,FALSE))=0,NA(),INDEX(BJ$14:BJ$37,MATCH($B246,$B$14:$B$37,FALSE))/INDEX($F$206:$F$229,MATCH($B246,$B$206:$B$229,FALSE))),NA()),NA())</f>
        <v>#N/A</v>
      </c>
      <c r="BL246" s="65" t="e">
        <f>IF(BK54=1,IF(BK$13&lt;=COUNT($C26:$CS26),IF(INDEX($F$206:$F$229,MATCH($B246,$B$206:$B$229,FALSE))=0,NA(),INDEX(BK$14:BK$37,MATCH($B246,$B$14:$B$37,FALSE))/INDEX($F$206:$F$229,MATCH($B246,$B$206:$B$229,FALSE))),NA()),NA())</f>
        <v>#N/A</v>
      </c>
      <c r="BM246" s="65" t="e">
        <f>IF(BL54=1,IF(BL$13&lt;=COUNT($C26:$CS26),IF(INDEX($F$206:$F$229,MATCH($B246,$B$206:$B$229,FALSE))=0,NA(),INDEX(BL$14:BL$37,MATCH($B246,$B$14:$B$37,FALSE))/INDEX($F$206:$F$229,MATCH($B246,$B$206:$B$229,FALSE))),NA()),NA())</f>
        <v>#N/A</v>
      </c>
      <c r="BN246" s="65" t="e">
        <f>IF(BM54=1,IF(BM$13&lt;=COUNT($C26:$CS26),IF(INDEX($F$206:$F$229,MATCH($B246,$B$206:$B$229,FALSE))=0,NA(),INDEX(BM$14:BM$37,MATCH($B246,$B$14:$B$37,FALSE))/INDEX($F$206:$F$229,MATCH($B246,$B$206:$B$229,FALSE))),NA()),NA())</f>
        <v>#N/A</v>
      </c>
      <c r="BO246" s="65" t="e">
        <f>IF(BN54=1,IF(BN$13&lt;=COUNT($C26:$CS26),IF(INDEX($F$206:$F$229,MATCH($B246,$B$206:$B$229,FALSE))=0,NA(),INDEX(BN$14:BN$37,MATCH($B246,$B$14:$B$37,FALSE))/INDEX($F$206:$F$229,MATCH($B246,$B$206:$B$229,FALSE))),NA()),NA())</f>
        <v>#N/A</v>
      </c>
      <c r="BP246" s="65" t="e">
        <f>IF(BO54=1,IF(BO$13&lt;=COUNT($C26:$CS26),IF(INDEX($F$206:$F$229,MATCH($B246,$B$206:$B$229,FALSE))=0,NA(),INDEX(BO$14:BO$37,MATCH($B246,$B$14:$B$37,FALSE))/INDEX($F$206:$F$229,MATCH($B246,$B$206:$B$229,FALSE))),NA()),NA())</f>
        <v>#N/A</v>
      </c>
      <c r="BQ246" s="65" t="e">
        <f>IF(BP54=1,IF(BP$13&lt;=COUNT($C26:$CS26),IF(INDEX($F$206:$F$229,MATCH($B246,$B$206:$B$229,FALSE))=0,NA(),INDEX(BP$14:BP$37,MATCH($B246,$B$14:$B$37,FALSE))/INDEX($F$206:$F$229,MATCH($B246,$B$206:$B$229,FALSE))),NA()),NA())</f>
        <v>#N/A</v>
      </c>
      <c r="BR246" s="65" t="e">
        <f>IF(BQ54=1,IF(BQ$13&lt;=COUNT($C26:$CS26),IF(INDEX($F$206:$F$229,MATCH($B246,$B$206:$B$229,FALSE))=0,NA(),INDEX(BQ$14:BQ$37,MATCH($B246,$B$14:$B$37,FALSE))/INDEX($F$206:$F$229,MATCH($B246,$B$206:$B$229,FALSE))),NA()),NA())</f>
        <v>#N/A</v>
      </c>
      <c r="BS246" s="65" t="e">
        <f>IF(BR54=1,IF(BR$13&lt;=COUNT($C26:$CS26),IF(INDEX($F$206:$F$229,MATCH($B246,$B$206:$B$229,FALSE))=0,NA(),INDEX(BR$14:BR$37,MATCH($B246,$B$14:$B$37,FALSE))/INDEX($F$206:$F$229,MATCH($B246,$B$206:$B$229,FALSE))),NA()),NA())</f>
        <v>#N/A</v>
      </c>
      <c r="BT246" s="65" t="e">
        <f>IF(BS54=1,IF(BS$13&lt;=COUNT($C26:$CS26),IF(INDEX($F$206:$F$229,MATCH($B246,$B$206:$B$229,FALSE))=0,NA(),INDEX(BS$14:BS$37,MATCH($B246,$B$14:$B$37,FALSE))/INDEX($F$206:$F$229,MATCH($B246,$B$206:$B$229,FALSE))),NA()),NA())</f>
        <v>#N/A</v>
      </c>
      <c r="BU246" s="65" t="e">
        <f>IF(BT54=1,IF(BT$13&lt;=COUNT($C26:$CS26),IF(INDEX($F$206:$F$229,MATCH($B246,$B$206:$B$229,FALSE))=0,NA(),INDEX(BT$14:BT$37,MATCH($B246,$B$14:$B$37,FALSE))/INDEX($F$206:$F$229,MATCH($B246,$B$206:$B$229,FALSE))),NA()),NA())</f>
        <v>#N/A</v>
      </c>
      <c r="BV246" s="65" t="e">
        <f>IF(BU54=1,IF(BU$13&lt;=COUNT($C26:$CS26),IF(INDEX($F$206:$F$229,MATCH($B246,$B$206:$B$229,FALSE))=0,NA(),INDEX(BU$14:BU$37,MATCH($B246,$B$14:$B$37,FALSE))/INDEX($F$206:$F$229,MATCH($B246,$B$206:$B$229,FALSE))),NA()),NA())</f>
        <v>#N/A</v>
      </c>
      <c r="BW246" s="65" t="e">
        <f>IF(BV54=1,IF(BV$13&lt;=COUNT($C26:$CS26),IF(INDEX($F$206:$F$229,MATCH($B246,$B$206:$B$229,FALSE))=0,NA(),INDEX(BV$14:BV$37,MATCH($B246,$B$14:$B$37,FALSE))/INDEX($F$206:$F$229,MATCH($B246,$B$206:$B$229,FALSE))),NA()),NA())</f>
        <v>#N/A</v>
      </c>
      <c r="BX246" s="65" t="e">
        <f>IF(BW54=1,IF(BW$13&lt;=COUNT($C26:$CS26),IF(INDEX($F$206:$F$229,MATCH($B246,$B$206:$B$229,FALSE))=0,NA(),INDEX(BW$14:BW$37,MATCH($B246,$B$14:$B$37,FALSE))/INDEX($F$206:$F$229,MATCH($B246,$B$206:$B$229,FALSE))),NA()),NA())</f>
        <v>#N/A</v>
      </c>
      <c r="BY246" s="65" t="e">
        <f>IF(BX54=1,IF(BX$13&lt;=COUNT($C26:$CS26),IF(INDEX($F$206:$F$229,MATCH($B246,$B$206:$B$229,FALSE))=0,NA(),INDEX(BX$14:BX$37,MATCH($B246,$B$14:$B$37,FALSE))/INDEX($F$206:$F$229,MATCH($B246,$B$206:$B$229,FALSE))),NA()),NA())</f>
        <v>#N/A</v>
      </c>
      <c r="BZ246" s="65" t="e">
        <f>IF(BY54=1,IF(BY$13&lt;=COUNT($C26:$CS26),IF(INDEX($F$206:$F$229,MATCH($B246,$B$206:$B$229,FALSE))=0,NA(),INDEX(BY$14:BY$37,MATCH($B246,$B$14:$B$37,FALSE))/INDEX($F$206:$F$229,MATCH($B246,$B$206:$B$229,FALSE))),NA()),NA())</f>
        <v>#N/A</v>
      </c>
      <c r="CA246" s="65" t="e">
        <f>IF(BZ54=1,IF(BZ$13&lt;=COUNT($C26:$CS26),IF(INDEX($F$206:$F$229,MATCH($B246,$B$206:$B$229,FALSE))=0,NA(),INDEX(BZ$14:BZ$37,MATCH($B246,$B$14:$B$37,FALSE))/INDEX($F$206:$F$229,MATCH($B246,$B$206:$B$229,FALSE))),NA()),NA())</f>
        <v>#N/A</v>
      </c>
      <c r="CB246" s="65" t="e">
        <f>IF(CA54=1,IF(CA$13&lt;=COUNT($C26:$CS26),IF(INDEX($F$206:$F$229,MATCH($B246,$B$206:$B$229,FALSE))=0,NA(),INDEX(CA$14:CA$37,MATCH($B246,$B$14:$B$37,FALSE))/INDEX($F$206:$F$229,MATCH($B246,$B$206:$B$229,FALSE))),NA()),NA())</f>
        <v>#N/A</v>
      </c>
      <c r="CC246" s="65" t="e">
        <f>IF(CB54=1,IF(CB$13&lt;=COUNT($C26:$CS26),IF(INDEX($F$206:$F$229,MATCH($B246,$B$206:$B$229,FALSE))=0,NA(),INDEX(CB$14:CB$37,MATCH($B246,$B$14:$B$37,FALSE))/INDEX($F$206:$F$229,MATCH($B246,$B$206:$B$229,FALSE))),NA()),NA())</f>
        <v>#N/A</v>
      </c>
      <c r="CD246" s="65" t="e">
        <f>IF(CC54=1,IF(CC$13&lt;=COUNT($C26:$CS26),IF(INDEX($F$206:$F$229,MATCH($B246,$B$206:$B$229,FALSE))=0,NA(),INDEX(CC$14:CC$37,MATCH($B246,$B$14:$B$37,FALSE))/INDEX($F$206:$F$229,MATCH($B246,$B$206:$B$229,FALSE))),NA()),NA())</f>
        <v>#N/A</v>
      </c>
      <c r="CE246" s="65" t="e">
        <f>IF(CD54=1,IF(CD$13&lt;=COUNT($C26:$CS26),IF(INDEX($F$206:$F$229,MATCH($B246,$B$206:$B$229,FALSE))=0,NA(),INDEX(CD$14:CD$37,MATCH($B246,$B$14:$B$37,FALSE))/INDEX($F$206:$F$229,MATCH($B246,$B$206:$B$229,FALSE))),NA()),NA())</f>
        <v>#N/A</v>
      </c>
      <c r="CF246" s="65" t="e">
        <f>IF(CE54=1,IF(CE$13&lt;=COUNT($C26:$CS26),IF(INDEX($F$206:$F$229,MATCH($B246,$B$206:$B$229,FALSE))=0,NA(),INDEX(CE$14:CE$37,MATCH($B246,$B$14:$B$37,FALSE))/INDEX($F$206:$F$229,MATCH($B246,$B$206:$B$229,FALSE))),NA()),NA())</f>
        <v>#N/A</v>
      </c>
      <c r="CG246" s="65" t="e">
        <f>IF(CF54=1,IF(CF$13&lt;=COUNT($C26:$CS26),IF(INDEX($F$206:$F$229,MATCH($B246,$B$206:$B$229,FALSE))=0,NA(),INDEX(CF$14:CF$37,MATCH($B246,$B$14:$B$37,FALSE))/INDEX($F$206:$F$229,MATCH($B246,$B$206:$B$229,FALSE))),NA()),NA())</f>
        <v>#N/A</v>
      </c>
      <c r="CH246" s="65" t="e">
        <f>IF(CG54=1,IF(CG$13&lt;=COUNT($C26:$CS26),IF(INDEX($F$206:$F$229,MATCH($B246,$B$206:$B$229,FALSE))=0,NA(),INDEX(CG$14:CG$37,MATCH($B246,$B$14:$B$37,FALSE))/INDEX($F$206:$F$229,MATCH($B246,$B$206:$B$229,FALSE))),NA()),NA())</f>
        <v>#N/A</v>
      </c>
      <c r="CI246" s="65" t="e">
        <f>IF(CH54=1,IF(CH$13&lt;=COUNT($C26:$CS26),IF(INDEX($F$206:$F$229,MATCH($B246,$B$206:$B$229,FALSE))=0,NA(),INDEX(CH$14:CH$37,MATCH($B246,$B$14:$B$37,FALSE))/INDEX($F$206:$F$229,MATCH($B246,$B$206:$B$229,FALSE))),NA()),NA())</f>
        <v>#N/A</v>
      </c>
      <c r="CJ246" s="65" t="e">
        <f>IF(CI54=1,IF(CI$13&lt;=COUNT($C26:$CS26),IF(INDEX($F$206:$F$229,MATCH($B246,$B$206:$B$229,FALSE))=0,NA(),INDEX(CI$14:CI$37,MATCH($B246,$B$14:$B$37,FALSE))/INDEX($F$206:$F$229,MATCH($B246,$B$206:$B$229,FALSE))),NA()),NA())</f>
        <v>#N/A</v>
      </c>
      <c r="CK246" s="65" t="e">
        <f>IF(CJ54=1,IF(CJ$13&lt;=COUNT($C26:$CS26),IF(INDEX($F$206:$F$229,MATCH($B246,$B$206:$B$229,FALSE))=0,NA(),INDEX(CJ$14:CJ$37,MATCH($B246,$B$14:$B$37,FALSE))/INDEX($F$206:$F$229,MATCH($B246,$B$206:$B$229,FALSE))),NA()),NA())</f>
        <v>#N/A</v>
      </c>
      <c r="CL246" s="65" t="e">
        <f>IF(CK54=1,IF(CK$13&lt;=COUNT($C26:$CS26),IF(INDEX($F$206:$F$229,MATCH($B246,$B$206:$B$229,FALSE))=0,NA(),INDEX(CK$14:CK$37,MATCH($B246,$B$14:$B$37,FALSE))/INDEX($F$206:$F$229,MATCH($B246,$B$206:$B$229,FALSE))),NA()),NA())</f>
        <v>#N/A</v>
      </c>
      <c r="CM246" s="65" t="e">
        <f>IF(CL54=1,IF(CL$13&lt;=COUNT($C26:$CS26),IF(INDEX($F$206:$F$229,MATCH($B246,$B$206:$B$229,FALSE))=0,NA(),INDEX(CL$14:CL$37,MATCH($B246,$B$14:$B$37,FALSE))/INDEX($F$206:$F$229,MATCH($B246,$B$206:$B$229,FALSE))),NA()),NA())</f>
        <v>#N/A</v>
      </c>
      <c r="CN246" s="65" t="e">
        <f>IF(CM54=1,IF(CM$13&lt;=COUNT($C26:$CS26),IF(INDEX($F$206:$F$229,MATCH($B246,$B$206:$B$229,FALSE))=0,NA(),INDEX(CM$14:CM$37,MATCH($B246,$B$14:$B$37,FALSE))/INDEX($F$206:$F$229,MATCH($B246,$B$206:$B$229,FALSE))),NA()),NA())</f>
        <v>#N/A</v>
      </c>
      <c r="CO246" s="65" t="e">
        <f>IF(CN54=1,IF(CN$13&lt;=COUNT($C26:$CS26),IF(INDEX($F$206:$F$229,MATCH($B246,$B$206:$B$229,FALSE))=0,NA(),INDEX(CN$14:CN$37,MATCH($B246,$B$14:$B$37,FALSE))/INDEX($F$206:$F$229,MATCH($B246,$B$206:$B$229,FALSE))),NA()),NA())</f>
        <v>#N/A</v>
      </c>
      <c r="CP246" s="65" t="e">
        <f>IF(CO54=1,IF(CO$13&lt;=COUNT($C26:$CS26),IF(INDEX($F$206:$F$229,MATCH($B246,$B$206:$B$229,FALSE))=0,NA(),INDEX(CO$14:CO$37,MATCH($B246,$B$14:$B$37,FALSE))/INDEX($F$206:$F$229,MATCH($B246,$B$206:$B$229,FALSE))),NA()),NA())</f>
        <v>#N/A</v>
      </c>
      <c r="CQ246" s="65" t="e">
        <f>IF(CP54=1,IF(CP$13&lt;=COUNT($C26:$CS26),IF(INDEX($F$206:$F$229,MATCH($B246,$B$206:$B$229,FALSE))=0,NA(),INDEX(CP$14:CP$37,MATCH($B246,$B$14:$B$37,FALSE))/INDEX($F$206:$F$229,MATCH($B246,$B$206:$B$229,FALSE))),NA()),NA())</f>
        <v>#N/A</v>
      </c>
      <c r="CR246" s="65" t="e">
        <f>IF(CQ54=1,IF(CQ$13&lt;=COUNT($C26:$CS26),IF(INDEX($F$206:$F$229,MATCH($B246,$B$206:$B$229,FALSE))=0,NA(),INDEX(CQ$14:CQ$37,MATCH($B246,$B$14:$B$37,FALSE))/INDEX($F$206:$F$229,MATCH($B246,$B$206:$B$229,FALSE))),NA()),NA())</f>
        <v>#N/A</v>
      </c>
      <c r="CS246" s="65" t="e">
        <f>IF(CR54=1,IF(CR$13&lt;=COUNT($C26:$CS26),IF(INDEX($F$206:$F$229,MATCH($B246,$B$206:$B$229,FALSE))=0,NA(),INDEX(CR$14:CR$37,MATCH($B246,$B$14:$B$37,FALSE))/INDEX($F$206:$F$229,MATCH($B246,$B$206:$B$229,FALSE))),NA()),NA())</f>
        <v>#N/A</v>
      </c>
      <c r="CT246" s="49"/>
      <c r="CU246" s="49"/>
      <c r="CV246" s="49"/>
      <c r="CW246" s="49"/>
    </row>
    <row r="247" spans="1:101" x14ac:dyDescent="0.25">
      <c r="A247" s="97">
        <f t="shared" si="105"/>
        <v>0</v>
      </c>
      <c r="B247" s="29">
        <f t="shared" si="104"/>
        <v>2009</v>
      </c>
      <c r="C247" s="154" t="str">
        <f t="shared" si="106"/>
        <v/>
      </c>
      <c r="D247" s="54" t="e">
        <f>IF(C55=1,IF(C$13&lt;=COUNT($C27:$CS27),IF(INDEX($F$206:$F$229,MATCH($B247,$B$206:$B$229,FALSE))=0,NA(),INDEX(C$14:C$37,MATCH($B247,$B$14:$B$37,FALSE))/INDEX($F$206:$F$229,MATCH($B247,$B$206:$B$229,FALSE))),NA()),NA())</f>
        <v>#N/A</v>
      </c>
      <c r="E247" s="65" t="e">
        <f>IF(D55=1,IF(D$13&lt;=COUNT($C27:$CS27),IF(INDEX($F$206:$F$229,MATCH($B247,$B$206:$B$229,FALSE))=0,NA(),INDEX(D$14:D$37,MATCH($B247,$B$14:$B$37,FALSE))/INDEX($F$206:$F$229,MATCH($B247,$B$206:$B$229,FALSE))),NA()),NA())</f>
        <v>#N/A</v>
      </c>
      <c r="F247" s="65" t="e">
        <f>IF(E55=1,IF(E$13&lt;=COUNT($C27:$CS27),IF(INDEX($F$206:$F$229,MATCH($B247,$B$206:$B$229,FALSE))=0,NA(),INDEX(E$14:E$37,MATCH($B247,$B$14:$B$37,FALSE))/INDEX($F$206:$F$229,MATCH($B247,$B$206:$B$229,FALSE))),NA()),NA())</f>
        <v>#N/A</v>
      </c>
      <c r="G247" s="65" t="e">
        <f>IF(F55=1,IF(F$13&lt;=COUNT($C27:$CS27),IF(INDEX($F$206:$F$229,MATCH($B247,$B$206:$B$229,FALSE))=0,NA(),INDEX(F$14:F$37,MATCH($B247,$B$14:$B$37,FALSE))/INDEX($F$206:$F$229,MATCH($B247,$B$206:$B$229,FALSE))),NA()),NA())</f>
        <v>#N/A</v>
      </c>
      <c r="H247" s="65" t="e">
        <f>IF(G55=1,IF(G$13&lt;=COUNT($C27:$CS27),IF(INDEX($F$206:$F$229,MATCH($B247,$B$206:$B$229,FALSE))=0,NA(),INDEX(G$14:G$37,MATCH($B247,$B$14:$B$37,FALSE))/INDEX($F$206:$F$229,MATCH($B247,$B$206:$B$229,FALSE))),NA()),NA())</f>
        <v>#N/A</v>
      </c>
      <c r="I247" s="65" t="e">
        <f>IF(H55=1,IF(H$13&lt;=COUNT($C27:$CS27),IF(INDEX($F$206:$F$229,MATCH($B247,$B$206:$B$229,FALSE))=0,NA(),INDEX(H$14:H$37,MATCH($B247,$B$14:$B$37,FALSE))/INDEX($F$206:$F$229,MATCH($B247,$B$206:$B$229,FALSE))),NA()),NA())</f>
        <v>#N/A</v>
      </c>
      <c r="J247" s="65" t="e">
        <f>IF(I55=1,IF(I$13&lt;=COUNT($C27:$CS27),IF(INDEX($F$206:$F$229,MATCH($B247,$B$206:$B$229,FALSE))=0,NA(),INDEX(I$14:I$37,MATCH($B247,$B$14:$B$37,FALSE))/INDEX($F$206:$F$229,MATCH($B247,$B$206:$B$229,FALSE))),NA()),NA())</f>
        <v>#N/A</v>
      </c>
      <c r="K247" s="65" t="e">
        <f>IF(J55=1,IF(J$13&lt;=COUNT($C27:$CS27),IF(INDEX($F$206:$F$229,MATCH($B247,$B$206:$B$229,FALSE))=0,NA(),INDEX(J$14:J$37,MATCH($B247,$B$14:$B$37,FALSE))/INDEX($F$206:$F$229,MATCH($B247,$B$206:$B$229,FALSE))),NA()),NA())</f>
        <v>#N/A</v>
      </c>
      <c r="L247" s="65" t="e">
        <f>IF(K55=1,IF(K$13&lt;=COUNT($C27:$CS27),IF(INDEX($F$206:$F$229,MATCH($B247,$B$206:$B$229,FALSE))=0,NA(),INDEX(K$14:K$37,MATCH($B247,$B$14:$B$37,FALSE))/INDEX($F$206:$F$229,MATCH($B247,$B$206:$B$229,FALSE))),NA()),NA())</f>
        <v>#N/A</v>
      </c>
      <c r="M247" s="65" t="e">
        <f>IF(L55=1,IF(L$13&lt;=COUNT($C27:$CS27),IF(INDEX($F$206:$F$229,MATCH($B247,$B$206:$B$229,FALSE))=0,NA(),INDEX(L$14:L$37,MATCH($B247,$B$14:$B$37,FALSE))/INDEX($F$206:$F$229,MATCH($B247,$B$206:$B$229,FALSE))),NA()),NA())</f>
        <v>#N/A</v>
      </c>
      <c r="N247" s="65" t="e">
        <f>IF(M55=1,IF(M$13&lt;=COUNT($C27:$CS27),IF(INDEX($F$206:$F$229,MATCH($B247,$B$206:$B$229,FALSE))=0,NA(),INDEX(M$14:M$37,MATCH($B247,$B$14:$B$37,FALSE))/INDEX($F$206:$F$229,MATCH($B247,$B$206:$B$229,FALSE))),NA()),NA())</f>
        <v>#N/A</v>
      </c>
      <c r="O247" s="65" t="e">
        <f>IF(N55=1,IF(N$13&lt;=COUNT($C27:$CS27),IF(INDEX($F$206:$F$229,MATCH($B247,$B$206:$B$229,FALSE))=0,NA(),INDEX(N$14:N$37,MATCH($B247,$B$14:$B$37,FALSE))/INDEX($F$206:$F$229,MATCH($B247,$B$206:$B$229,FALSE))),NA()),NA())</f>
        <v>#N/A</v>
      </c>
      <c r="P247" s="65" t="e">
        <f>IF(O55=1,IF(O$13&lt;=COUNT($C27:$CS27),IF(INDEX($F$206:$F$229,MATCH($B247,$B$206:$B$229,FALSE))=0,NA(),INDEX(O$14:O$37,MATCH($B247,$B$14:$B$37,FALSE))/INDEX($F$206:$F$229,MATCH($B247,$B$206:$B$229,FALSE))),NA()),NA())</f>
        <v>#N/A</v>
      </c>
      <c r="Q247" s="65" t="e">
        <f>IF(P55=1,IF(P$13&lt;=COUNT($C27:$CS27),IF(INDEX($F$206:$F$229,MATCH($B247,$B$206:$B$229,FALSE))=0,NA(),INDEX(P$14:P$37,MATCH($B247,$B$14:$B$37,FALSE))/INDEX($F$206:$F$229,MATCH($B247,$B$206:$B$229,FALSE))),NA()),NA())</f>
        <v>#N/A</v>
      </c>
      <c r="R247" s="65" t="e">
        <f>IF(Q55=1,IF(Q$13&lt;=COUNT($C27:$CS27),IF(INDEX($F$206:$F$229,MATCH($B247,$B$206:$B$229,FALSE))=0,NA(),INDEX(Q$14:Q$37,MATCH($B247,$B$14:$B$37,FALSE))/INDEX($F$206:$F$229,MATCH($B247,$B$206:$B$229,FALSE))),NA()),NA())</f>
        <v>#N/A</v>
      </c>
      <c r="S247" s="65" t="e">
        <f>IF(R55=1,IF(R$13&lt;=COUNT($C27:$CS27),IF(INDEX($F$206:$F$229,MATCH($B247,$B$206:$B$229,FALSE))=0,NA(),INDEX(R$14:R$37,MATCH($B247,$B$14:$B$37,FALSE))/INDEX($F$206:$F$229,MATCH($B247,$B$206:$B$229,FALSE))),NA()),NA())</f>
        <v>#N/A</v>
      </c>
      <c r="T247" s="65" t="e">
        <f>IF(S55=1,IF(S$13&lt;=COUNT($C27:$CS27),IF(INDEX($F$206:$F$229,MATCH($B247,$B$206:$B$229,FALSE))=0,NA(),INDEX(S$14:S$37,MATCH($B247,$B$14:$B$37,FALSE))/INDEX($F$206:$F$229,MATCH($B247,$B$206:$B$229,FALSE))),NA()),NA())</f>
        <v>#N/A</v>
      </c>
      <c r="U247" s="65" t="e">
        <f>IF(T55=1,IF(T$13&lt;=COUNT($C27:$CS27),IF(INDEX($F$206:$F$229,MATCH($B247,$B$206:$B$229,FALSE))=0,NA(),INDEX(T$14:T$37,MATCH($B247,$B$14:$B$37,FALSE))/INDEX($F$206:$F$229,MATCH($B247,$B$206:$B$229,FALSE))),NA()),NA())</f>
        <v>#N/A</v>
      </c>
      <c r="V247" s="65" t="e">
        <f>IF(U55=1,IF(U$13&lt;=COUNT($C27:$CS27),IF(INDEX($F$206:$F$229,MATCH($B247,$B$206:$B$229,FALSE))=0,NA(),INDEX(U$14:U$37,MATCH($B247,$B$14:$B$37,FALSE))/INDEX($F$206:$F$229,MATCH($B247,$B$206:$B$229,FALSE))),NA()),NA())</f>
        <v>#N/A</v>
      </c>
      <c r="W247" s="65" t="e">
        <f>IF(V55=1,IF(V$13&lt;=COUNT($C27:$CS27),IF(INDEX($F$206:$F$229,MATCH($B247,$B$206:$B$229,FALSE))=0,NA(),INDEX(V$14:V$37,MATCH($B247,$B$14:$B$37,FALSE))/INDEX($F$206:$F$229,MATCH($B247,$B$206:$B$229,FALSE))),NA()),NA())</f>
        <v>#N/A</v>
      </c>
      <c r="X247" s="65" t="e">
        <f>IF(W55=1,IF(W$13&lt;=COUNT($C27:$CS27),IF(INDEX($F$206:$F$229,MATCH($B247,$B$206:$B$229,FALSE))=0,NA(),INDEX(W$14:W$37,MATCH($B247,$B$14:$B$37,FALSE))/INDEX($F$206:$F$229,MATCH($B247,$B$206:$B$229,FALSE))),NA()),NA())</f>
        <v>#N/A</v>
      </c>
      <c r="Y247" s="65" t="e">
        <f>IF(X55=1,IF(X$13&lt;=COUNT($C27:$CS27),IF(INDEX($F$206:$F$229,MATCH($B247,$B$206:$B$229,FALSE))=0,NA(),INDEX(X$14:X$37,MATCH($B247,$B$14:$B$37,FALSE))/INDEX($F$206:$F$229,MATCH($B247,$B$206:$B$229,FALSE))),NA()),NA())</f>
        <v>#N/A</v>
      </c>
      <c r="Z247" s="65" t="e">
        <f>IF(Y55=1,IF(Y$13&lt;=COUNT($C27:$CS27),IF(INDEX($F$206:$F$229,MATCH($B247,$B$206:$B$229,FALSE))=0,NA(),INDEX(Y$14:Y$37,MATCH($B247,$B$14:$B$37,FALSE))/INDEX($F$206:$F$229,MATCH($B247,$B$206:$B$229,FALSE))),NA()),NA())</f>
        <v>#N/A</v>
      </c>
      <c r="AA247" s="65" t="e">
        <f>IF(Z55=1,IF(Z$13&lt;=COUNT($C27:$CS27),IF(INDEX($F$206:$F$229,MATCH($B247,$B$206:$B$229,FALSE))=0,NA(),INDEX(Z$14:Z$37,MATCH($B247,$B$14:$B$37,FALSE))/INDEX($F$206:$F$229,MATCH($B247,$B$206:$B$229,FALSE))),NA()),NA())</f>
        <v>#N/A</v>
      </c>
      <c r="AB247" s="65" t="e">
        <f>IF(AA55=1,IF(AA$13&lt;=COUNT($C27:$CS27),IF(INDEX($F$206:$F$229,MATCH($B247,$B$206:$B$229,FALSE))=0,NA(),INDEX(AA$14:AA$37,MATCH($B247,$B$14:$B$37,FALSE))/INDEX($F$206:$F$229,MATCH($B247,$B$206:$B$229,FALSE))),NA()),NA())</f>
        <v>#N/A</v>
      </c>
      <c r="AC247" s="65" t="e">
        <f>IF(AB55=1,IF(AB$13&lt;=COUNT($C27:$CS27),IF(INDEX($F$206:$F$229,MATCH($B247,$B$206:$B$229,FALSE))=0,NA(),INDEX(AB$14:AB$37,MATCH($B247,$B$14:$B$37,FALSE))/INDEX($F$206:$F$229,MATCH($B247,$B$206:$B$229,FALSE))),NA()),NA())</f>
        <v>#N/A</v>
      </c>
      <c r="AD247" s="65" t="e">
        <f>IF(AC55=1,IF(AC$13&lt;=COUNT($C27:$CS27),IF(INDEX($F$206:$F$229,MATCH($B247,$B$206:$B$229,FALSE))=0,NA(),INDEX(AC$14:AC$37,MATCH($B247,$B$14:$B$37,FALSE))/INDEX($F$206:$F$229,MATCH($B247,$B$206:$B$229,FALSE))),NA()),NA())</f>
        <v>#N/A</v>
      </c>
      <c r="AE247" s="65" t="e">
        <f>IF(AD55=1,IF(AD$13&lt;=COUNT($C27:$CS27),IF(INDEX($F$206:$F$229,MATCH($B247,$B$206:$B$229,FALSE))=0,NA(),INDEX(AD$14:AD$37,MATCH($B247,$B$14:$B$37,FALSE))/INDEX($F$206:$F$229,MATCH($B247,$B$206:$B$229,FALSE))),NA()),NA())</f>
        <v>#N/A</v>
      </c>
      <c r="AF247" s="65" t="e">
        <f>IF(AE55=1,IF(AE$13&lt;=COUNT($C27:$CS27),IF(INDEX($F$206:$F$229,MATCH($B247,$B$206:$B$229,FALSE))=0,NA(),INDEX(AE$14:AE$37,MATCH($B247,$B$14:$B$37,FALSE))/INDEX($F$206:$F$229,MATCH($B247,$B$206:$B$229,FALSE))),NA()),NA())</f>
        <v>#N/A</v>
      </c>
      <c r="AG247" s="65" t="e">
        <f>IF(AF55=1,IF(AF$13&lt;=COUNT($C27:$CS27),IF(INDEX($F$206:$F$229,MATCH($B247,$B$206:$B$229,FALSE))=0,NA(),INDEX(AF$14:AF$37,MATCH($B247,$B$14:$B$37,FALSE))/INDEX($F$206:$F$229,MATCH($B247,$B$206:$B$229,FALSE))),NA()),NA())</f>
        <v>#N/A</v>
      </c>
      <c r="AH247" s="65" t="e">
        <f>IF(AG55=1,IF(AG$13&lt;=COUNT($C27:$CS27),IF(INDEX($F$206:$F$229,MATCH($B247,$B$206:$B$229,FALSE))=0,NA(),INDEX(AG$14:AG$37,MATCH($B247,$B$14:$B$37,FALSE))/INDEX($F$206:$F$229,MATCH($B247,$B$206:$B$229,FALSE))),NA()),NA())</f>
        <v>#N/A</v>
      </c>
      <c r="AI247" s="65" t="e">
        <f>IF(AH55=1,IF(AH$13&lt;=COUNT($C27:$CS27),IF(INDEX($F$206:$F$229,MATCH($B247,$B$206:$B$229,FALSE))=0,NA(),INDEX(AH$14:AH$37,MATCH($B247,$B$14:$B$37,FALSE))/INDEX($F$206:$F$229,MATCH($B247,$B$206:$B$229,FALSE))),NA()),NA())</f>
        <v>#N/A</v>
      </c>
      <c r="AJ247" s="65" t="e">
        <f>IF(AI55=1,IF(AI$13&lt;=COUNT($C27:$CS27),IF(INDEX($F$206:$F$229,MATCH($B247,$B$206:$B$229,FALSE))=0,NA(),INDEX(AI$14:AI$37,MATCH($B247,$B$14:$B$37,FALSE))/INDEX($F$206:$F$229,MATCH($B247,$B$206:$B$229,FALSE))),NA()),NA())</f>
        <v>#N/A</v>
      </c>
      <c r="AK247" s="65" t="e">
        <f>IF(AJ55=1,IF(AJ$13&lt;=COUNT($C27:$CS27),IF(INDEX($F$206:$F$229,MATCH($B247,$B$206:$B$229,FALSE))=0,NA(),INDEX(AJ$14:AJ$37,MATCH($B247,$B$14:$B$37,FALSE))/INDEX($F$206:$F$229,MATCH($B247,$B$206:$B$229,FALSE))),NA()),NA())</f>
        <v>#N/A</v>
      </c>
      <c r="AL247" s="65" t="e">
        <f>IF(AK55=1,IF(AK$13&lt;=COUNT($C27:$CS27),IF(INDEX($F$206:$F$229,MATCH($B247,$B$206:$B$229,FALSE))=0,NA(),INDEX(AK$14:AK$37,MATCH($B247,$B$14:$B$37,FALSE))/INDEX($F$206:$F$229,MATCH($B247,$B$206:$B$229,FALSE))),NA()),NA())</f>
        <v>#N/A</v>
      </c>
      <c r="AM247" s="65" t="e">
        <f>IF(AL55=1,IF(AL$13&lt;=COUNT($C27:$CS27),IF(INDEX($F$206:$F$229,MATCH($B247,$B$206:$B$229,FALSE))=0,NA(),INDEX(AL$14:AL$37,MATCH($B247,$B$14:$B$37,FALSE))/INDEX($F$206:$F$229,MATCH($B247,$B$206:$B$229,FALSE))),NA()),NA())</f>
        <v>#N/A</v>
      </c>
      <c r="AN247" s="65" t="e">
        <f>IF(AM55=1,IF(AM$13&lt;=COUNT($C27:$CS27),IF(INDEX($F$206:$F$229,MATCH($B247,$B$206:$B$229,FALSE))=0,NA(),INDEX(AM$14:AM$37,MATCH($B247,$B$14:$B$37,FALSE))/INDEX($F$206:$F$229,MATCH($B247,$B$206:$B$229,FALSE))),NA()),NA())</f>
        <v>#N/A</v>
      </c>
      <c r="AO247" s="65" t="e">
        <f>IF(AN55=1,IF(AN$13&lt;=COUNT($C27:$CS27),IF(INDEX($F$206:$F$229,MATCH($B247,$B$206:$B$229,FALSE))=0,NA(),INDEX(AN$14:AN$37,MATCH($B247,$B$14:$B$37,FALSE))/INDEX($F$206:$F$229,MATCH($B247,$B$206:$B$229,FALSE))),NA()),NA())</f>
        <v>#N/A</v>
      </c>
      <c r="AP247" s="65" t="e">
        <f>IF(AO55=1,IF(AO$13&lt;=COUNT($C27:$CS27),IF(INDEX($F$206:$F$229,MATCH($B247,$B$206:$B$229,FALSE))=0,NA(),INDEX(AO$14:AO$37,MATCH($B247,$B$14:$B$37,FALSE))/INDEX($F$206:$F$229,MATCH($B247,$B$206:$B$229,FALSE))),NA()),NA())</f>
        <v>#N/A</v>
      </c>
      <c r="AQ247" s="65" t="e">
        <f>IF(AP55=1,IF(AP$13&lt;=COUNT($C27:$CS27),IF(INDEX($F$206:$F$229,MATCH($B247,$B$206:$B$229,FALSE))=0,NA(),INDEX(AP$14:AP$37,MATCH($B247,$B$14:$B$37,FALSE))/INDEX($F$206:$F$229,MATCH($B247,$B$206:$B$229,FALSE))),NA()),NA())</f>
        <v>#N/A</v>
      </c>
      <c r="AR247" s="65" t="e">
        <f>IF(AQ55=1,IF(AQ$13&lt;=COUNT($C27:$CS27),IF(INDEX($F$206:$F$229,MATCH($B247,$B$206:$B$229,FALSE))=0,NA(),INDEX(AQ$14:AQ$37,MATCH($B247,$B$14:$B$37,FALSE))/INDEX($F$206:$F$229,MATCH($B247,$B$206:$B$229,FALSE))),NA()),NA())</f>
        <v>#N/A</v>
      </c>
      <c r="AS247" s="65" t="e">
        <f>IF(AR55=1,IF(AR$13&lt;=COUNT($C27:$CS27),IF(INDEX($F$206:$F$229,MATCH($B247,$B$206:$B$229,FALSE))=0,NA(),INDEX(AR$14:AR$37,MATCH($B247,$B$14:$B$37,FALSE))/INDEX($F$206:$F$229,MATCH($B247,$B$206:$B$229,FALSE))),NA()),NA())</f>
        <v>#N/A</v>
      </c>
      <c r="AT247" s="65" t="e">
        <f>IF(AS55=1,IF(AS$13&lt;=COUNT($C27:$CS27),IF(INDEX($F$206:$F$229,MATCH($B247,$B$206:$B$229,FALSE))=0,NA(),INDEX(AS$14:AS$37,MATCH($B247,$B$14:$B$37,FALSE))/INDEX($F$206:$F$229,MATCH($B247,$B$206:$B$229,FALSE))),NA()),NA())</f>
        <v>#N/A</v>
      </c>
      <c r="AU247" s="65" t="e">
        <f>IF(AT55=1,IF(AT$13&lt;=COUNT($C27:$CS27),IF(INDEX($F$206:$F$229,MATCH($B247,$B$206:$B$229,FALSE))=0,NA(),INDEX(AT$14:AT$37,MATCH($B247,$B$14:$B$37,FALSE))/INDEX($F$206:$F$229,MATCH($B247,$B$206:$B$229,FALSE))),NA()),NA())</f>
        <v>#N/A</v>
      </c>
      <c r="AV247" s="65" t="e">
        <f>IF(AU55=1,IF(AU$13&lt;=COUNT($C27:$CS27),IF(INDEX($F$206:$F$229,MATCH($B247,$B$206:$B$229,FALSE))=0,NA(),INDEX(AU$14:AU$37,MATCH($B247,$B$14:$B$37,FALSE))/INDEX($F$206:$F$229,MATCH($B247,$B$206:$B$229,FALSE))),NA()),NA())</f>
        <v>#N/A</v>
      </c>
      <c r="AW247" s="65" t="e">
        <f>IF(AV55=1,IF(AV$13&lt;=COUNT($C27:$CS27),IF(INDEX($F$206:$F$229,MATCH($B247,$B$206:$B$229,FALSE))=0,NA(),INDEX(AV$14:AV$37,MATCH($B247,$B$14:$B$37,FALSE))/INDEX($F$206:$F$229,MATCH($B247,$B$206:$B$229,FALSE))),NA()),NA())</f>
        <v>#N/A</v>
      </c>
      <c r="AX247" s="65" t="e">
        <f>IF(AW55=1,IF(AW$13&lt;=COUNT($C27:$CS27),IF(INDEX($F$206:$F$229,MATCH($B247,$B$206:$B$229,FALSE))=0,NA(),INDEX(AW$14:AW$37,MATCH($B247,$B$14:$B$37,FALSE))/INDEX($F$206:$F$229,MATCH($B247,$B$206:$B$229,FALSE))),NA()),NA())</f>
        <v>#N/A</v>
      </c>
      <c r="AY247" s="65" t="e">
        <f>IF(AX55=1,IF(AX$13&lt;=COUNT($C27:$CS27),IF(INDEX($F$206:$F$229,MATCH($B247,$B$206:$B$229,FALSE))=0,NA(),INDEX(AX$14:AX$37,MATCH($B247,$B$14:$B$37,FALSE))/INDEX($F$206:$F$229,MATCH($B247,$B$206:$B$229,FALSE))),NA()),NA())</f>
        <v>#N/A</v>
      </c>
      <c r="AZ247" s="65" t="e">
        <f>IF(AY55=1,IF(AY$13&lt;=COUNT($C27:$CS27),IF(INDEX($F$206:$F$229,MATCH($B247,$B$206:$B$229,FALSE))=0,NA(),INDEX(AY$14:AY$37,MATCH($B247,$B$14:$B$37,FALSE))/INDEX($F$206:$F$229,MATCH($B247,$B$206:$B$229,FALSE))),NA()),NA())</f>
        <v>#N/A</v>
      </c>
      <c r="BA247" s="65" t="e">
        <f>IF(AZ55=1,IF(AZ$13&lt;=COUNT($C27:$CS27),IF(INDEX($F$206:$F$229,MATCH($B247,$B$206:$B$229,FALSE))=0,NA(),INDEX(AZ$14:AZ$37,MATCH($B247,$B$14:$B$37,FALSE))/INDEX($F$206:$F$229,MATCH($B247,$B$206:$B$229,FALSE))),NA()),NA())</f>
        <v>#N/A</v>
      </c>
      <c r="BB247" s="65" t="e">
        <f>IF(BA55=1,IF(BA$13&lt;=COUNT($C27:$CS27),IF(INDEX($F$206:$F$229,MATCH($B247,$B$206:$B$229,FALSE))=0,NA(),INDEX(BA$14:BA$37,MATCH($B247,$B$14:$B$37,FALSE))/INDEX($F$206:$F$229,MATCH($B247,$B$206:$B$229,FALSE))),NA()),NA())</f>
        <v>#N/A</v>
      </c>
      <c r="BC247" s="65" t="e">
        <f>IF(BB55=1,IF(BB$13&lt;=COUNT($C27:$CS27),IF(INDEX($F$206:$F$229,MATCH($B247,$B$206:$B$229,FALSE))=0,NA(),INDEX(BB$14:BB$37,MATCH($B247,$B$14:$B$37,FALSE))/INDEX($F$206:$F$229,MATCH($B247,$B$206:$B$229,FALSE))),NA()),NA())</f>
        <v>#N/A</v>
      </c>
      <c r="BD247" s="65" t="e">
        <f>IF(BC55=1,IF(BC$13&lt;=COUNT($C27:$CS27),IF(INDEX($F$206:$F$229,MATCH($B247,$B$206:$B$229,FALSE))=0,NA(),INDEX(BC$14:BC$37,MATCH($B247,$B$14:$B$37,FALSE))/INDEX($F$206:$F$229,MATCH($B247,$B$206:$B$229,FALSE))),NA()),NA())</f>
        <v>#N/A</v>
      </c>
      <c r="BE247" s="65" t="e">
        <f>IF(BD55=1,IF(BD$13&lt;=COUNT($C27:$CS27),IF(INDEX($F$206:$F$229,MATCH($B247,$B$206:$B$229,FALSE))=0,NA(),INDEX(BD$14:BD$37,MATCH($B247,$B$14:$B$37,FALSE))/INDEX($F$206:$F$229,MATCH($B247,$B$206:$B$229,FALSE))),NA()),NA())</f>
        <v>#N/A</v>
      </c>
      <c r="BF247" s="65" t="e">
        <f>IF(BE55=1,IF(BE$13&lt;=COUNT($C27:$CS27),IF(INDEX($F$206:$F$229,MATCH($B247,$B$206:$B$229,FALSE))=0,NA(),INDEX(BE$14:BE$37,MATCH($B247,$B$14:$B$37,FALSE))/INDEX($F$206:$F$229,MATCH($B247,$B$206:$B$229,FALSE))),NA()),NA())</f>
        <v>#N/A</v>
      </c>
      <c r="BG247" s="65" t="e">
        <f>IF(BF55=1,IF(BF$13&lt;=COUNT($C27:$CS27),IF(INDEX($F$206:$F$229,MATCH($B247,$B$206:$B$229,FALSE))=0,NA(),INDEX(BF$14:BF$37,MATCH($B247,$B$14:$B$37,FALSE))/INDEX($F$206:$F$229,MATCH($B247,$B$206:$B$229,FALSE))),NA()),NA())</f>
        <v>#N/A</v>
      </c>
      <c r="BH247" s="65" t="e">
        <f>IF(BG55=1,IF(BG$13&lt;=COUNT($C27:$CS27),IF(INDEX($F$206:$F$229,MATCH($B247,$B$206:$B$229,FALSE))=0,NA(),INDEX(BG$14:BG$37,MATCH($B247,$B$14:$B$37,FALSE))/INDEX($F$206:$F$229,MATCH($B247,$B$206:$B$229,FALSE))),NA()),NA())</f>
        <v>#N/A</v>
      </c>
      <c r="BI247" s="65" t="e">
        <f>IF(BH55=1,IF(BH$13&lt;=COUNT($C27:$CS27),IF(INDEX($F$206:$F$229,MATCH($B247,$B$206:$B$229,FALSE))=0,NA(),INDEX(BH$14:BH$37,MATCH($B247,$B$14:$B$37,FALSE))/INDEX($F$206:$F$229,MATCH($B247,$B$206:$B$229,FALSE))),NA()),NA())</f>
        <v>#N/A</v>
      </c>
      <c r="BJ247" s="65" t="e">
        <f>IF(BI55=1,IF(BI$13&lt;=COUNT($C27:$CS27),IF(INDEX($F$206:$F$229,MATCH($B247,$B$206:$B$229,FALSE))=0,NA(),INDEX(BI$14:BI$37,MATCH($B247,$B$14:$B$37,FALSE))/INDEX($F$206:$F$229,MATCH($B247,$B$206:$B$229,FALSE))),NA()),NA())</f>
        <v>#N/A</v>
      </c>
      <c r="BK247" s="65" t="e">
        <f>IF(BJ55=1,IF(BJ$13&lt;=COUNT($C27:$CS27),IF(INDEX($F$206:$F$229,MATCH($B247,$B$206:$B$229,FALSE))=0,NA(),INDEX(BJ$14:BJ$37,MATCH($B247,$B$14:$B$37,FALSE))/INDEX($F$206:$F$229,MATCH($B247,$B$206:$B$229,FALSE))),NA()),NA())</f>
        <v>#N/A</v>
      </c>
      <c r="BL247" s="65" t="e">
        <f>IF(BK55=1,IF(BK$13&lt;=COUNT($C27:$CS27),IF(INDEX($F$206:$F$229,MATCH($B247,$B$206:$B$229,FALSE))=0,NA(),INDEX(BK$14:BK$37,MATCH($B247,$B$14:$B$37,FALSE))/INDEX($F$206:$F$229,MATCH($B247,$B$206:$B$229,FALSE))),NA()),NA())</f>
        <v>#N/A</v>
      </c>
      <c r="BM247" s="65" t="e">
        <f>IF(BL55=1,IF(BL$13&lt;=COUNT($C27:$CS27),IF(INDEX($F$206:$F$229,MATCH($B247,$B$206:$B$229,FALSE))=0,NA(),INDEX(BL$14:BL$37,MATCH($B247,$B$14:$B$37,FALSE))/INDEX($F$206:$F$229,MATCH($B247,$B$206:$B$229,FALSE))),NA()),NA())</f>
        <v>#N/A</v>
      </c>
      <c r="BN247" s="65" t="e">
        <f>IF(BM55=1,IF(BM$13&lt;=COUNT($C27:$CS27),IF(INDEX($F$206:$F$229,MATCH($B247,$B$206:$B$229,FALSE))=0,NA(),INDEX(BM$14:BM$37,MATCH($B247,$B$14:$B$37,FALSE))/INDEX($F$206:$F$229,MATCH($B247,$B$206:$B$229,FALSE))),NA()),NA())</f>
        <v>#N/A</v>
      </c>
      <c r="BO247" s="65" t="e">
        <f>IF(BN55=1,IF(BN$13&lt;=COUNT($C27:$CS27),IF(INDEX($F$206:$F$229,MATCH($B247,$B$206:$B$229,FALSE))=0,NA(),INDEX(BN$14:BN$37,MATCH($B247,$B$14:$B$37,FALSE))/INDEX($F$206:$F$229,MATCH($B247,$B$206:$B$229,FALSE))),NA()),NA())</f>
        <v>#N/A</v>
      </c>
      <c r="BP247" s="65" t="e">
        <f>IF(BO55=1,IF(BO$13&lt;=COUNT($C27:$CS27),IF(INDEX($F$206:$F$229,MATCH($B247,$B$206:$B$229,FALSE))=0,NA(),INDEX(BO$14:BO$37,MATCH($B247,$B$14:$B$37,FALSE))/INDEX($F$206:$F$229,MATCH($B247,$B$206:$B$229,FALSE))),NA()),NA())</f>
        <v>#N/A</v>
      </c>
      <c r="BQ247" s="65" t="e">
        <f>IF(BP55=1,IF(BP$13&lt;=COUNT($C27:$CS27),IF(INDEX($F$206:$F$229,MATCH($B247,$B$206:$B$229,FALSE))=0,NA(),INDEX(BP$14:BP$37,MATCH($B247,$B$14:$B$37,FALSE))/INDEX($F$206:$F$229,MATCH($B247,$B$206:$B$229,FALSE))),NA()),NA())</f>
        <v>#N/A</v>
      </c>
      <c r="BR247" s="65" t="e">
        <f>IF(BQ55=1,IF(BQ$13&lt;=COUNT($C27:$CS27),IF(INDEX($F$206:$F$229,MATCH($B247,$B$206:$B$229,FALSE))=0,NA(),INDEX(BQ$14:BQ$37,MATCH($B247,$B$14:$B$37,FALSE))/INDEX($F$206:$F$229,MATCH($B247,$B$206:$B$229,FALSE))),NA()),NA())</f>
        <v>#N/A</v>
      </c>
      <c r="BS247" s="65" t="e">
        <f>IF(BR55=1,IF(BR$13&lt;=COUNT($C27:$CS27),IF(INDEX($F$206:$F$229,MATCH($B247,$B$206:$B$229,FALSE))=0,NA(),INDEX(BR$14:BR$37,MATCH($B247,$B$14:$B$37,FALSE))/INDEX($F$206:$F$229,MATCH($B247,$B$206:$B$229,FALSE))),NA()),NA())</f>
        <v>#N/A</v>
      </c>
      <c r="BT247" s="65" t="e">
        <f>IF(BS55=1,IF(BS$13&lt;=COUNT($C27:$CS27),IF(INDEX($F$206:$F$229,MATCH($B247,$B$206:$B$229,FALSE))=0,NA(),INDEX(BS$14:BS$37,MATCH($B247,$B$14:$B$37,FALSE))/INDEX($F$206:$F$229,MATCH($B247,$B$206:$B$229,FALSE))),NA()),NA())</f>
        <v>#N/A</v>
      </c>
      <c r="BU247" s="65" t="e">
        <f>IF(BT55=1,IF(BT$13&lt;=COUNT($C27:$CS27),IF(INDEX($F$206:$F$229,MATCH($B247,$B$206:$B$229,FALSE))=0,NA(),INDEX(BT$14:BT$37,MATCH($B247,$B$14:$B$37,FALSE))/INDEX($F$206:$F$229,MATCH($B247,$B$206:$B$229,FALSE))),NA()),NA())</f>
        <v>#N/A</v>
      </c>
      <c r="BV247" s="65" t="e">
        <f>IF(BU55=1,IF(BU$13&lt;=COUNT($C27:$CS27),IF(INDEX($F$206:$F$229,MATCH($B247,$B$206:$B$229,FALSE))=0,NA(),INDEX(BU$14:BU$37,MATCH($B247,$B$14:$B$37,FALSE))/INDEX($F$206:$F$229,MATCH($B247,$B$206:$B$229,FALSE))),NA()),NA())</f>
        <v>#N/A</v>
      </c>
      <c r="BW247" s="65" t="e">
        <f>IF(BV55=1,IF(BV$13&lt;=COUNT($C27:$CS27),IF(INDEX($F$206:$F$229,MATCH($B247,$B$206:$B$229,FALSE))=0,NA(),INDEX(BV$14:BV$37,MATCH($B247,$B$14:$B$37,FALSE))/INDEX($F$206:$F$229,MATCH($B247,$B$206:$B$229,FALSE))),NA()),NA())</f>
        <v>#N/A</v>
      </c>
      <c r="BX247" s="65" t="e">
        <f>IF(BW55=1,IF(BW$13&lt;=COUNT($C27:$CS27),IF(INDEX($F$206:$F$229,MATCH($B247,$B$206:$B$229,FALSE))=0,NA(),INDEX(BW$14:BW$37,MATCH($B247,$B$14:$B$37,FALSE))/INDEX($F$206:$F$229,MATCH($B247,$B$206:$B$229,FALSE))),NA()),NA())</f>
        <v>#N/A</v>
      </c>
      <c r="BY247" s="65" t="e">
        <f>IF(BX55=1,IF(BX$13&lt;=COUNT($C27:$CS27),IF(INDEX($F$206:$F$229,MATCH($B247,$B$206:$B$229,FALSE))=0,NA(),INDEX(BX$14:BX$37,MATCH($B247,$B$14:$B$37,FALSE))/INDEX($F$206:$F$229,MATCH($B247,$B$206:$B$229,FALSE))),NA()),NA())</f>
        <v>#N/A</v>
      </c>
      <c r="BZ247" s="65" t="e">
        <f>IF(BY55=1,IF(BY$13&lt;=COUNT($C27:$CS27),IF(INDEX($F$206:$F$229,MATCH($B247,$B$206:$B$229,FALSE))=0,NA(),INDEX(BY$14:BY$37,MATCH($B247,$B$14:$B$37,FALSE))/INDEX($F$206:$F$229,MATCH($B247,$B$206:$B$229,FALSE))),NA()),NA())</f>
        <v>#N/A</v>
      </c>
      <c r="CA247" s="65" t="e">
        <f>IF(BZ55=1,IF(BZ$13&lt;=COUNT($C27:$CS27),IF(INDEX($F$206:$F$229,MATCH($B247,$B$206:$B$229,FALSE))=0,NA(),INDEX(BZ$14:BZ$37,MATCH($B247,$B$14:$B$37,FALSE))/INDEX($F$206:$F$229,MATCH($B247,$B$206:$B$229,FALSE))),NA()),NA())</f>
        <v>#N/A</v>
      </c>
      <c r="CB247" s="65" t="e">
        <f>IF(CA55=1,IF(CA$13&lt;=COUNT($C27:$CS27),IF(INDEX($F$206:$F$229,MATCH($B247,$B$206:$B$229,FALSE))=0,NA(),INDEX(CA$14:CA$37,MATCH($B247,$B$14:$B$37,FALSE))/INDEX($F$206:$F$229,MATCH($B247,$B$206:$B$229,FALSE))),NA()),NA())</f>
        <v>#N/A</v>
      </c>
      <c r="CC247" s="65" t="e">
        <f>IF(CB55=1,IF(CB$13&lt;=COUNT($C27:$CS27),IF(INDEX($F$206:$F$229,MATCH($B247,$B$206:$B$229,FALSE))=0,NA(),INDEX(CB$14:CB$37,MATCH($B247,$B$14:$B$37,FALSE))/INDEX($F$206:$F$229,MATCH($B247,$B$206:$B$229,FALSE))),NA()),NA())</f>
        <v>#N/A</v>
      </c>
      <c r="CD247" s="65" t="e">
        <f>IF(CC55=1,IF(CC$13&lt;=COUNT($C27:$CS27),IF(INDEX($F$206:$F$229,MATCH($B247,$B$206:$B$229,FALSE))=0,NA(),INDEX(CC$14:CC$37,MATCH($B247,$B$14:$B$37,FALSE))/INDEX($F$206:$F$229,MATCH($B247,$B$206:$B$229,FALSE))),NA()),NA())</f>
        <v>#N/A</v>
      </c>
      <c r="CE247" s="65" t="e">
        <f>IF(CD55=1,IF(CD$13&lt;=COUNT($C27:$CS27),IF(INDEX($F$206:$F$229,MATCH($B247,$B$206:$B$229,FALSE))=0,NA(),INDEX(CD$14:CD$37,MATCH($B247,$B$14:$B$37,FALSE))/INDEX($F$206:$F$229,MATCH($B247,$B$206:$B$229,FALSE))),NA()),NA())</f>
        <v>#N/A</v>
      </c>
      <c r="CF247" s="65" t="e">
        <f>IF(CE55=1,IF(CE$13&lt;=COUNT($C27:$CS27),IF(INDEX($F$206:$F$229,MATCH($B247,$B$206:$B$229,FALSE))=0,NA(),INDEX(CE$14:CE$37,MATCH($B247,$B$14:$B$37,FALSE))/INDEX($F$206:$F$229,MATCH($B247,$B$206:$B$229,FALSE))),NA()),NA())</f>
        <v>#N/A</v>
      </c>
      <c r="CG247" s="65" t="e">
        <f>IF(CF55=1,IF(CF$13&lt;=COUNT($C27:$CS27),IF(INDEX($F$206:$F$229,MATCH($B247,$B$206:$B$229,FALSE))=0,NA(),INDEX(CF$14:CF$37,MATCH($B247,$B$14:$B$37,FALSE))/INDEX($F$206:$F$229,MATCH($B247,$B$206:$B$229,FALSE))),NA()),NA())</f>
        <v>#N/A</v>
      </c>
      <c r="CH247" s="65" t="e">
        <f>IF(CG55=1,IF(CG$13&lt;=COUNT($C27:$CS27),IF(INDEX($F$206:$F$229,MATCH($B247,$B$206:$B$229,FALSE))=0,NA(),INDEX(CG$14:CG$37,MATCH($B247,$B$14:$B$37,FALSE))/INDEX($F$206:$F$229,MATCH($B247,$B$206:$B$229,FALSE))),NA()),NA())</f>
        <v>#N/A</v>
      </c>
      <c r="CI247" s="65" t="e">
        <f>IF(CH55=1,IF(CH$13&lt;=COUNT($C27:$CS27),IF(INDEX($F$206:$F$229,MATCH($B247,$B$206:$B$229,FALSE))=0,NA(),INDEX(CH$14:CH$37,MATCH($B247,$B$14:$B$37,FALSE))/INDEX($F$206:$F$229,MATCH($B247,$B$206:$B$229,FALSE))),NA()),NA())</f>
        <v>#N/A</v>
      </c>
      <c r="CJ247" s="65" t="e">
        <f>IF(CI55=1,IF(CI$13&lt;=COUNT($C27:$CS27),IF(INDEX($F$206:$F$229,MATCH($B247,$B$206:$B$229,FALSE))=0,NA(),INDEX(CI$14:CI$37,MATCH($B247,$B$14:$B$37,FALSE))/INDEX($F$206:$F$229,MATCH($B247,$B$206:$B$229,FALSE))),NA()),NA())</f>
        <v>#N/A</v>
      </c>
      <c r="CK247" s="65" t="e">
        <f>IF(CJ55=1,IF(CJ$13&lt;=COUNT($C27:$CS27),IF(INDEX($F$206:$F$229,MATCH($B247,$B$206:$B$229,FALSE))=0,NA(),INDEX(CJ$14:CJ$37,MATCH($B247,$B$14:$B$37,FALSE))/INDEX($F$206:$F$229,MATCH($B247,$B$206:$B$229,FALSE))),NA()),NA())</f>
        <v>#N/A</v>
      </c>
      <c r="CL247" s="65" t="e">
        <f>IF(CK55=1,IF(CK$13&lt;=COUNT($C27:$CS27),IF(INDEX($F$206:$F$229,MATCH($B247,$B$206:$B$229,FALSE))=0,NA(),INDEX(CK$14:CK$37,MATCH($B247,$B$14:$B$37,FALSE))/INDEX($F$206:$F$229,MATCH($B247,$B$206:$B$229,FALSE))),NA()),NA())</f>
        <v>#N/A</v>
      </c>
      <c r="CM247" s="65" t="e">
        <f>IF(CL55=1,IF(CL$13&lt;=COUNT($C27:$CS27),IF(INDEX($F$206:$F$229,MATCH($B247,$B$206:$B$229,FALSE))=0,NA(),INDEX(CL$14:CL$37,MATCH($B247,$B$14:$B$37,FALSE))/INDEX($F$206:$F$229,MATCH($B247,$B$206:$B$229,FALSE))),NA()),NA())</f>
        <v>#N/A</v>
      </c>
      <c r="CN247" s="65" t="e">
        <f>IF(CM55=1,IF(CM$13&lt;=COUNT($C27:$CS27),IF(INDEX($F$206:$F$229,MATCH($B247,$B$206:$B$229,FALSE))=0,NA(),INDEX(CM$14:CM$37,MATCH($B247,$B$14:$B$37,FALSE))/INDEX($F$206:$F$229,MATCH($B247,$B$206:$B$229,FALSE))),NA()),NA())</f>
        <v>#N/A</v>
      </c>
      <c r="CO247" s="65" t="e">
        <f>IF(CN55=1,IF(CN$13&lt;=COUNT($C27:$CS27),IF(INDEX($F$206:$F$229,MATCH($B247,$B$206:$B$229,FALSE))=0,NA(),INDEX(CN$14:CN$37,MATCH($B247,$B$14:$B$37,FALSE))/INDEX($F$206:$F$229,MATCH($B247,$B$206:$B$229,FALSE))),NA()),NA())</f>
        <v>#N/A</v>
      </c>
      <c r="CP247" s="65" t="e">
        <f>IF(CO55=1,IF(CO$13&lt;=COUNT($C27:$CS27),IF(INDEX($F$206:$F$229,MATCH($B247,$B$206:$B$229,FALSE))=0,NA(),INDEX(CO$14:CO$37,MATCH($B247,$B$14:$B$37,FALSE))/INDEX($F$206:$F$229,MATCH($B247,$B$206:$B$229,FALSE))),NA()),NA())</f>
        <v>#N/A</v>
      </c>
      <c r="CQ247" s="65" t="e">
        <f>IF(CP55=1,IF(CP$13&lt;=COUNT($C27:$CS27),IF(INDEX($F$206:$F$229,MATCH($B247,$B$206:$B$229,FALSE))=0,NA(),INDEX(CP$14:CP$37,MATCH($B247,$B$14:$B$37,FALSE))/INDEX($F$206:$F$229,MATCH($B247,$B$206:$B$229,FALSE))),NA()),NA())</f>
        <v>#N/A</v>
      </c>
      <c r="CR247" s="65" t="e">
        <f>IF(CQ55=1,IF(CQ$13&lt;=COUNT($C27:$CS27),IF(INDEX($F$206:$F$229,MATCH($B247,$B$206:$B$229,FALSE))=0,NA(),INDEX(CQ$14:CQ$37,MATCH($B247,$B$14:$B$37,FALSE))/INDEX($F$206:$F$229,MATCH($B247,$B$206:$B$229,FALSE))),NA()),NA())</f>
        <v>#N/A</v>
      </c>
      <c r="CS247" s="65" t="e">
        <f>IF(CR55=1,IF(CR$13&lt;=COUNT($C27:$CS27),IF(INDEX($F$206:$F$229,MATCH($B247,$B$206:$B$229,FALSE))=0,NA(),INDEX(CR$14:CR$37,MATCH($B247,$B$14:$B$37,FALSE))/INDEX($F$206:$F$229,MATCH($B247,$B$206:$B$229,FALSE))),NA()),NA())</f>
        <v>#N/A</v>
      </c>
      <c r="CT247" s="49"/>
      <c r="CU247" s="49"/>
      <c r="CV247" s="49"/>
      <c r="CW247" s="49"/>
    </row>
    <row r="248" spans="1:101" x14ac:dyDescent="0.25">
      <c r="A248" s="97">
        <f t="shared" si="105"/>
        <v>1</v>
      </c>
      <c r="B248" s="29">
        <f t="shared" si="104"/>
        <v>2010</v>
      </c>
      <c r="C248" s="154" t="str">
        <f t="shared" si="106"/>
        <v/>
      </c>
      <c r="D248" s="54">
        <f t="shared" ref="D246:BO249" ca="1" si="107">IF(C56=1,IF(C$13&lt;=COUNT($C28:$CS28),IF(INDEX($F$206:$F$229,MATCH($B248,$B$206:$B$229,FALSE))=0,NA(),INDEX(C$14:C$37,MATCH($B248,$B$14:$B$37,FALSE))/INDEX($F$206:$F$229,MATCH($B248,$B$206:$B$229,FALSE))),NA()),NA())</f>
        <v>0.16666666666666666</v>
      </c>
      <c r="E248" s="65">
        <f t="shared" ca="1" si="107"/>
        <v>0.66666666666666663</v>
      </c>
      <c r="F248" s="65">
        <f t="shared" ca="1" si="107"/>
        <v>1</v>
      </c>
      <c r="G248" s="65">
        <f t="shared" ca="1" si="107"/>
        <v>1</v>
      </c>
      <c r="H248" s="65">
        <f t="shared" ca="1" si="107"/>
        <v>1</v>
      </c>
      <c r="I248" s="65">
        <f t="shared" ca="1" si="107"/>
        <v>1</v>
      </c>
      <c r="J248" s="65">
        <f t="shared" ca="1" si="107"/>
        <v>1</v>
      </c>
      <c r="K248" s="65">
        <f t="shared" ca="1" si="107"/>
        <v>1</v>
      </c>
      <c r="L248" s="65">
        <f t="shared" ca="1" si="107"/>
        <v>1</v>
      </c>
      <c r="M248" s="65">
        <f t="shared" ca="1" si="107"/>
        <v>1</v>
      </c>
      <c r="N248" s="65" t="e">
        <f>IF(M56=1,IF(M$13&lt;=COUNT($C28:$CS28),IF(INDEX($F$206:$F$229,MATCH($B248,$B$206:$B$229,FALSE))=0,NA(),INDEX(M$14:M$37,MATCH($B248,$B$14:$B$37,FALSE))/INDEX($F$206:$F$229,MATCH($B248,$B$206:$B$229,FALSE))),NA()),NA())</f>
        <v>#N/A</v>
      </c>
      <c r="O248" s="65" t="e">
        <f>IF(N56=1,IF(N$13&lt;=COUNT($C28:$CS28),IF(INDEX($F$206:$F$229,MATCH($B248,$B$206:$B$229,FALSE))=0,NA(),INDEX(N$14:N$37,MATCH($B248,$B$14:$B$37,FALSE))/INDEX($F$206:$F$229,MATCH($B248,$B$206:$B$229,FALSE))),NA()),NA())</f>
        <v>#N/A</v>
      </c>
      <c r="P248" s="65" t="e">
        <f>IF(O56=1,IF(O$13&lt;=COUNT($C28:$CS28),IF(INDEX($F$206:$F$229,MATCH($B248,$B$206:$B$229,FALSE))=0,NA(),INDEX(O$14:O$37,MATCH($B248,$B$14:$B$37,FALSE))/INDEX($F$206:$F$229,MATCH($B248,$B$206:$B$229,FALSE))),NA()),NA())</f>
        <v>#N/A</v>
      </c>
      <c r="Q248" s="65" t="e">
        <f>IF(P56=1,IF(P$13&lt;=COUNT($C28:$CS28),IF(INDEX($F$206:$F$229,MATCH($B248,$B$206:$B$229,FALSE))=0,NA(),INDEX(P$14:P$37,MATCH($B248,$B$14:$B$37,FALSE))/INDEX($F$206:$F$229,MATCH($B248,$B$206:$B$229,FALSE))),NA()),NA())</f>
        <v>#N/A</v>
      </c>
      <c r="R248" s="65" t="e">
        <f>IF(Q56=1,IF(Q$13&lt;=COUNT($C28:$CS28),IF(INDEX($F$206:$F$229,MATCH($B248,$B$206:$B$229,FALSE))=0,NA(),INDEX(Q$14:Q$37,MATCH($B248,$B$14:$B$37,FALSE))/INDEX($F$206:$F$229,MATCH($B248,$B$206:$B$229,FALSE))),NA()),NA())</f>
        <v>#N/A</v>
      </c>
      <c r="S248" s="65" t="e">
        <f>IF(R56=1,IF(R$13&lt;=COUNT($C28:$CS28),IF(INDEX($F$206:$F$229,MATCH($B248,$B$206:$B$229,FALSE))=0,NA(),INDEX(R$14:R$37,MATCH($B248,$B$14:$B$37,FALSE))/INDEX($F$206:$F$229,MATCH($B248,$B$206:$B$229,FALSE))),NA()),NA())</f>
        <v>#N/A</v>
      </c>
      <c r="T248" s="65" t="e">
        <f>IF(S56=1,IF(S$13&lt;=COUNT($C28:$CS28),IF(INDEX($F$206:$F$229,MATCH($B248,$B$206:$B$229,FALSE))=0,NA(),INDEX(S$14:S$37,MATCH($B248,$B$14:$B$37,FALSE))/INDEX($F$206:$F$229,MATCH($B248,$B$206:$B$229,FALSE))),NA()),NA())</f>
        <v>#N/A</v>
      </c>
      <c r="U248" s="65" t="e">
        <f>IF(T56=1,IF(T$13&lt;=COUNT($C28:$CS28),IF(INDEX($F$206:$F$229,MATCH($B248,$B$206:$B$229,FALSE))=0,NA(),INDEX(T$14:T$37,MATCH($B248,$B$14:$B$37,FALSE))/INDEX($F$206:$F$229,MATCH($B248,$B$206:$B$229,FALSE))),NA()),NA())</f>
        <v>#N/A</v>
      </c>
      <c r="V248" s="65" t="e">
        <f>IF(U56=1,IF(U$13&lt;=COUNT($C28:$CS28),IF(INDEX($F$206:$F$229,MATCH($B248,$B$206:$B$229,FALSE))=0,NA(),INDEX(U$14:U$37,MATCH($B248,$B$14:$B$37,FALSE))/INDEX($F$206:$F$229,MATCH($B248,$B$206:$B$229,FALSE))),NA()),NA())</f>
        <v>#N/A</v>
      </c>
      <c r="W248" s="65" t="e">
        <f>IF(V56=1,IF(V$13&lt;=COUNT($C28:$CS28),IF(INDEX($F$206:$F$229,MATCH($B248,$B$206:$B$229,FALSE))=0,NA(),INDEX(V$14:V$37,MATCH($B248,$B$14:$B$37,FALSE))/INDEX($F$206:$F$229,MATCH($B248,$B$206:$B$229,FALSE))),NA()),NA())</f>
        <v>#N/A</v>
      </c>
      <c r="X248" s="65" t="e">
        <f>IF(W56=1,IF(W$13&lt;=COUNT($C28:$CS28),IF(INDEX($F$206:$F$229,MATCH($B248,$B$206:$B$229,FALSE))=0,NA(),INDEX(W$14:W$37,MATCH($B248,$B$14:$B$37,FALSE))/INDEX($F$206:$F$229,MATCH($B248,$B$206:$B$229,FALSE))),NA()),NA())</f>
        <v>#N/A</v>
      </c>
      <c r="Y248" s="65" t="e">
        <f>IF(X56=1,IF(X$13&lt;=COUNT($C28:$CS28),IF(INDEX($F$206:$F$229,MATCH($B248,$B$206:$B$229,FALSE))=0,NA(),INDEX(X$14:X$37,MATCH($B248,$B$14:$B$37,FALSE))/INDEX($F$206:$F$229,MATCH($B248,$B$206:$B$229,FALSE))),NA()),NA())</f>
        <v>#N/A</v>
      </c>
      <c r="Z248" s="65" t="e">
        <f>IF(Y56=1,IF(Y$13&lt;=COUNT($C28:$CS28),IF(INDEX($F$206:$F$229,MATCH($B248,$B$206:$B$229,FALSE))=0,NA(),INDEX(Y$14:Y$37,MATCH($B248,$B$14:$B$37,FALSE))/INDEX($F$206:$F$229,MATCH($B248,$B$206:$B$229,FALSE))),NA()),NA())</f>
        <v>#N/A</v>
      </c>
      <c r="AA248" s="65" t="e">
        <f>IF(Z56=1,IF(Z$13&lt;=COUNT($C28:$CS28),IF(INDEX($F$206:$F$229,MATCH($B248,$B$206:$B$229,FALSE))=0,NA(),INDEX(Z$14:Z$37,MATCH($B248,$B$14:$B$37,FALSE))/INDEX($F$206:$F$229,MATCH($B248,$B$206:$B$229,FALSE))),NA()),NA())</f>
        <v>#N/A</v>
      </c>
      <c r="AB248" s="65" t="e">
        <f>IF(AA56=1,IF(AA$13&lt;=COUNT($C28:$CS28),IF(INDEX($F$206:$F$229,MATCH($B248,$B$206:$B$229,FALSE))=0,NA(),INDEX(AA$14:AA$37,MATCH($B248,$B$14:$B$37,FALSE))/INDEX($F$206:$F$229,MATCH($B248,$B$206:$B$229,FALSE))),NA()),NA())</f>
        <v>#N/A</v>
      </c>
      <c r="AC248" s="65" t="e">
        <f>IF(AB56=1,IF(AB$13&lt;=COUNT($C28:$CS28),IF(INDEX($F$206:$F$229,MATCH($B248,$B$206:$B$229,FALSE))=0,NA(),INDEX(AB$14:AB$37,MATCH($B248,$B$14:$B$37,FALSE))/INDEX($F$206:$F$229,MATCH($B248,$B$206:$B$229,FALSE))),NA()),NA())</f>
        <v>#N/A</v>
      </c>
      <c r="AD248" s="65" t="e">
        <f>IF(AC56=1,IF(AC$13&lt;=COUNT($C28:$CS28),IF(INDEX($F$206:$F$229,MATCH($B248,$B$206:$B$229,FALSE))=0,NA(),INDEX(AC$14:AC$37,MATCH($B248,$B$14:$B$37,FALSE))/INDEX($F$206:$F$229,MATCH($B248,$B$206:$B$229,FALSE))),NA()),NA())</f>
        <v>#N/A</v>
      </c>
      <c r="AE248" s="65" t="e">
        <f>IF(AD56=1,IF(AD$13&lt;=COUNT($C28:$CS28),IF(INDEX($F$206:$F$229,MATCH($B248,$B$206:$B$229,FALSE))=0,NA(),INDEX(AD$14:AD$37,MATCH($B248,$B$14:$B$37,FALSE))/INDEX($F$206:$F$229,MATCH($B248,$B$206:$B$229,FALSE))),NA()),NA())</f>
        <v>#N/A</v>
      </c>
      <c r="AF248" s="65" t="e">
        <f>IF(AE56=1,IF(AE$13&lt;=COUNT($C28:$CS28),IF(INDEX($F$206:$F$229,MATCH($B248,$B$206:$B$229,FALSE))=0,NA(),INDEX(AE$14:AE$37,MATCH($B248,$B$14:$B$37,FALSE))/INDEX($F$206:$F$229,MATCH($B248,$B$206:$B$229,FALSE))),NA()),NA())</f>
        <v>#N/A</v>
      </c>
      <c r="AG248" s="65" t="e">
        <f>IF(AF56=1,IF(AF$13&lt;=COUNT($C28:$CS28),IF(INDEX($F$206:$F$229,MATCH($B248,$B$206:$B$229,FALSE))=0,NA(),INDEX(AF$14:AF$37,MATCH($B248,$B$14:$B$37,FALSE))/INDEX($F$206:$F$229,MATCH($B248,$B$206:$B$229,FALSE))),NA()),NA())</f>
        <v>#N/A</v>
      </c>
      <c r="AH248" s="65" t="e">
        <f>IF(AG56=1,IF(AG$13&lt;=COUNT($C28:$CS28),IF(INDEX($F$206:$F$229,MATCH($B248,$B$206:$B$229,FALSE))=0,NA(),INDEX(AG$14:AG$37,MATCH($B248,$B$14:$B$37,FALSE))/INDEX($F$206:$F$229,MATCH($B248,$B$206:$B$229,FALSE))),NA()),NA())</f>
        <v>#N/A</v>
      </c>
      <c r="AI248" s="65" t="e">
        <f>IF(AH56=1,IF(AH$13&lt;=COUNT($C28:$CS28),IF(INDEX($F$206:$F$229,MATCH($B248,$B$206:$B$229,FALSE))=0,NA(),INDEX(AH$14:AH$37,MATCH($B248,$B$14:$B$37,FALSE))/INDEX($F$206:$F$229,MATCH($B248,$B$206:$B$229,FALSE))),NA()),NA())</f>
        <v>#N/A</v>
      </c>
      <c r="AJ248" s="65" t="e">
        <f>IF(AI56=1,IF(AI$13&lt;=COUNT($C28:$CS28),IF(INDEX($F$206:$F$229,MATCH($B248,$B$206:$B$229,FALSE))=0,NA(),INDEX(AI$14:AI$37,MATCH($B248,$B$14:$B$37,FALSE))/INDEX($F$206:$F$229,MATCH($B248,$B$206:$B$229,FALSE))),NA()),NA())</f>
        <v>#N/A</v>
      </c>
      <c r="AK248" s="65" t="e">
        <f>IF(AJ56=1,IF(AJ$13&lt;=COUNT($C28:$CS28),IF(INDEX($F$206:$F$229,MATCH($B248,$B$206:$B$229,FALSE))=0,NA(),INDEX(AJ$14:AJ$37,MATCH($B248,$B$14:$B$37,FALSE))/INDEX($F$206:$F$229,MATCH($B248,$B$206:$B$229,FALSE))),NA()),NA())</f>
        <v>#N/A</v>
      </c>
      <c r="AL248" s="65" t="e">
        <f>IF(AK56=1,IF(AK$13&lt;=COUNT($C28:$CS28),IF(INDEX($F$206:$F$229,MATCH($B248,$B$206:$B$229,FALSE))=0,NA(),INDEX(AK$14:AK$37,MATCH($B248,$B$14:$B$37,FALSE))/INDEX($F$206:$F$229,MATCH($B248,$B$206:$B$229,FALSE))),NA()),NA())</f>
        <v>#N/A</v>
      </c>
      <c r="AM248" s="65" t="e">
        <f>IF(AL56=1,IF(AL$13&lt;=COUNT($C28:$CS28),IF(INDEX($F$206:$F$229,MATCH($B248,$B$206:$B$229,FALSE))=0,NA(),INDEX(AL$14:AL$37,MATCH($B248,$B$14:$B$37,FALSE))/INDEX($F$206:$F$229,MATCH($B248,$B$206:$B$229,FALSE))),NA()),NA())</f>
        <v>#N/A</v>
      </c>
      <c r="AN248" s="65" t="e">
        <f>IF(AM56=1,IF(AM$13&lt;=COUNT($C28:$CS28),IF(INDEX($F$206:$F$229,MATCH($B248,$B$206:$B$229,FALSE))=0,NA(),INDEX(AM$14:AM$37,MATCH($B248,$B$14:$B$37,FALSE))/INDEX($F$206:$F$229,MATCH($B248,$B$206:$B$229,FALSE))),NA()),NA())</f>
        <v>#N/A</v>
      </c>
      <c r="AO248" s="65" t="e">
        <f>IF(AN56=1,IF(AN$13&lt;=COUNT($C28:$CS28),IF(INDEX($F$206:$F$229,MATCH($B248,$B$206:$B$229,FALSE))=0,NA(),INDEX(AN$14:AN$37,MATCH($B248,$B$14:$B$37,FALSE))/INDEX($F$206:$F$229,MATCH($B248,$B$206:$B$229,FALSE))),NA()),NA())</f>
        <v>#N/A</v>
      </c>
      <c r="AP248" s="65" t="e">
        <f>IF(AO56=1,IF(AO$13&lt;=COUNT($C28:$CS28),IF(INDEX($F$206:$F$229,MATCH($B248,$B$206:$B$229,FALSE))=0,NA(),INDEX(AO$14:AO$37,MATCH($B248,$B$14:$B$37,FALSE))/INDEX($F$206:$F$229,MATCH($B248,$B$206:$B$229,FALSE))),NA()),NA())</f>
        <v>#N/A</v>
      </c>
      <c r="AQ248" s="65" t="e">
        <f>IF(AP56=1,IF(AP$13&lt;=COUNT($C28:$CS28),IF(INDEX($F$206:$F$229,MATCH($B248,$B$206:$B$229,FALSE))=0,NA(),INDEX(AP$14:AP$37,MATCH($B248,$B$14:$B$37,FALSE))/INDEX($F$206:$F$229,MATCH($B248,$B$206:$B$229,FALSE))),NA()),NA())</f>
        <v>#N/A</v>
      </c>
      <c r="AR248" s="65" t="e">
        <f>IF(AQ56=1,IF(AQ$13&lt;=COUNT($C28:$CS28),IF(INDEX($F$206:$F$229,MATCH($B248,$B$206:$B$229,FALSE))=0,NA(),INDEX(AQ$14:AQ$37,MATCH($B248,$B$14:$B$37,FALSE))/INDEX($F$206:$F$229,MATCH($B248,$B$206:$B$229,FALSE))),NA()),NA())</f>
        <v>#N/A</v>
      </c>
      <c r="AS248" s="65" t="e">
        <f>IF(AR56=1,IF(AR$13&lt;=COUNT($C28:$CS28),IF(INDEX($F$206:$F$229,MATCH($B248,$B$206:$B$229,FALSE))=0,NA(),INDEX(AR$14:AR$37,MATCH($B248,$B$14:$B$37,FALSE))/INDEX($F$206:$F$229,MATCH($B248,$B$206:$B$229,FALSE))),NA()),NA())</f>
        <v>#N/A</v>
      </c>
      <c r="AT248" s="65" t="e">
        <f>IF(AS56=1,IF(AS$13&lt;=COUNT($C28:$CS28),IF(INDEX($F$206:$F$229,MATCH($B248,$B$206:$B$229,FALSE))=0,NA(),INDEX(AS$14:AS$37,MATCH($B248,$B$14:$B$37,FALSE))/INDEX($F$206:$F$229,MATCH($B248,$B$206:$B$229,FALSE))),NA()),NA())</f>
        <v>#N/A</v>
      </c>
      <c r="AU248" s="65" t="e">
        <f>IF(AT56=1,IF(AT$13&lt;=COUNT($C28:$CS28),IF(INDEX($F$206:$F$229,MATCH($B248,$B$206:$B$229,FALSE))=0,NA(),INDEX(AT$14:AT$37,MATCH($B248,$B$14:$B$37,FALSE))/INDEX($F$206:$F$229,MATCH($B248,$B$206:$B$229,FALSE))),NA()),NA())</f>
        <v>#N/A</v>
      </c>
      <c r="AV248" s="65" t="e">
        <f>IF(AU56=1,IF(AU$13&lt;=COUNT($C28:$CS28),IF(INDEX($F$206:$F$229,MATCH($B248,$B$206:$B$229,FALSE))=0,NA(),INDEX(AU$14:AU$37,MATCH($B248,$B$14:$B$37,FALSE))/INDEX($F$206:$F$229,MATCH($B248,$B$206:$B$229,FALSE))),NA()),NA())</f>
        <v>#N/A</v>
      </c>
      <c r="AW248" s="65" t="e">
        <f>IF(AV56=1,IF(AV$13&lt;=COUNT($C28:$CS28),IF(INDEX($F$206:$F$229,MATCH($B248,$B$206:$B$229,FALSE))=0,NA(),INDEX(AV$14:AV$37,MATCH($B248,$B$14:$B$37,FALSE))/INDEX($F$206:$F$229,MATCH($B248,$B$206:$B$229,FALSE))),NA()),NA())</f>
        <v>#N/A</v>
      </c>
      <c r="AX248" s="65" t="e">
        <f>IF(AW56=1,IF(AW$13&lt;=COUNT($C28:$CS28),IF(INDEX($F$206:$F$229,MATCH($B248,$B$206:$B$229,FALSE))=0,NA(),INDEX(AW$14:AW$37,MATCH($B248,$B$14:$B$37,FALSE))/INDEX($F$206:$F$229,MATCH($B248,$B$206:$B$229,FALSE))),NA()),NA())</f>
        <v>#N/A</v>
      </c>
      <c r="AY248" s="65" t="e">
        <f>IF(AX56=1,IF(AX$13&lt;=COUNT($C28:$CS28),IF(INDEX($F$206:$F$229,MATCH($B248,$B$206:$B$229,FALSE))=0,NA(),INDEX(AX$14:AX$37,MATCH($B248,$B$14:$B$37,FALSE))/INDEX($F$206:$F$229,MATCH($B248,$B$206:$B$229,FALSE))),NA()),NA())</f>
        <v>#N/A</v>
      </c>
      <c r="AZ248" s="65" t="e">
        <f>IF(AY56=1,IF(AY$13&lt;=COUNT($C28:$CS28),IF(INDEX($F$206:$F$229,MATCH($B248,$B$206:$B$229,FALSE))=0,NA(),INDEX(AY$14:AY$37,MATCH($B248,$B$14:$B$37,FALSE))/INDEX($F$206:$F$229,MATCH($B248,$B$206:$B$229,FALSE))),NA()),NA())</f>
        <v>#N/A</v>
      </c>
      <c r="BA248" s="65" t="e">
        <f>IF(AZ56=1,IF(AZ$13&lt;=COUNT($C28:$CS28),IF(INDEX($F$206:$F$229,MATCH($B248,$B$206:$B$229,FALSE))=0,NA(),INDEX(AZ$14:AZ$37,MATCH($B248,$B$14:$B$37,FALSE))/INDEX($F$206:$F$229,MATCH($B248,$B$206:$B$229,FALSE))),NA()),NA())</f>
        <v>#N/A</v>
      </c>
      <c r="BB248" s="65" t="e">
        <f>IF(BA56=1,IF(BA$13&lt;=COUNT($C28:$CS28),IF(INDEX($F$206:$F$229,MATCH($B248,$B$206:$B$229,FALSE))=0,NA(),INDEX(BA$14:BA$37,MATCH($B248,$B$14:$B$37,FALSE))/INDEX($F$206:$F$229,MATCH($B248,$B$206:$B$229,FALSE))),NA()),NA())</f>
        <v>#N/A</v>
      </c>
      <c r="BC248" s="65" t="e">
        <f>IF(BB56=1,IF(BB$13&lt;=COUNT($C28:$CS28),IF(INDEX($F$206:$F$229,MATCH($B248,$B$206:$B$229,FALSE))=0,NA(),INDEX(BB$14:BB$37,MATCH($B248,$B$14:$B$37,FALSE))/INDEX($F$206:$F$229,MATCH($B248,$B$206:$B$229,FALSE))),NA()),NA())</f>
        <v>#N/A</v>
      </c>
      <c r="BD248" s="65" t="e">
        <f>IF(BC56=1,IF(BC$13&lt;=COUNT($C28:$CS28),IF(INDEX($F$206:$F$229,MATCH($B248,$B$206:$B$229,FALSE))=0,NA(),INDEX(BC$14:BC$37,MATCH($B248,$B$14:$B$37,FALSE))/INDEX($F$206:$F$229,MATCH($B248,$B$206:$B$229,FALSE))),NA()),NA())</f>
        <v>#N/A</v>
      </c>
      <c r="BE248" s="65" t="e">
        <f>IF(BD56=1,IF(BD$13&lt;=COUNT($C28:$CS28),IF(INDEX($F$206:$F$229,MATCH($B248,$B$206:$B$229,FALSE))=0,NA(),INDEX(BD$14:BD$37,MATCH($B248,$B$14:$B$37,FALSE))/INDEX($F$206:$F$229,MATCH($B248,$B$206:$B$229,FALSE))),NA()),NA())</f>
        <v>#N/A</v>
      </c>
      <c r="BF248" s="65" t="e">
        <f>IF(BE56=1,IF(BE$13&lt;=COUNT($C28:$CS28),IF(INDEX($F$206:$F$229,MATCH($B248,$B$206:$B$229,FALSE))=0,NA(),INDEX(BE$14:BE$37,MATCH($B248,$B$14:$B$37,FALSE))/INDEX($F$206:$F$229,MATCH($B248,$B$206:$B$229,FALSE))),NA()),NA())</f>
        <v>#N/A</v>
      </c>
      <c r="BG248" s="65" t="e">
        <f>IF(BF56=1,IF(BF$13&lt;=COUNT($C28:$CS28),IF(INDEX($F$206:$F$229,MATCH($B248,$B$206:$B$229,FALSE))=0,NA(),INDEX(BF$14:BF$37,MATCH($B248,$B$14:$B$37,FALSE))/INDEX($F$206:$F$229,MATCH($B248,$B$206:$B$229,FALSE))),NA()),NA())</f>
        <v>#N/A</v>
      </c>
      <c r="BH248" s="65" t="e">
        <f>IF(BG56=1,IF(BG$13&lt;=COUNT($C28:$CS28),IF(INDEX($F$206:$F$229,MATCH($B248,$B$206:$B$229,FALSE))=0,NA(),INDEX(BG$14:BG$37,MATCH($B248,$B$14:$B$37,FALSE))/INDEX($F$206:$F$229,MATCH($B248,$B$206:$B$229,FALSE))),NA()),NA())</f>
        <v>#N/A</v>
      </c>
      <c r="BI248" s="65" t="e">
        <f>IF(BH56=1,IF(BH$13&lt;=COUNT($C28:$CS28),IF(INDEX($F$206:$F$229,MATCH($B248,$B$206:$B$229,FALSE))=0,NA(),INDEX(BH$14:BH$37,MATCH($B248,$B$14:$B$37,FALSE))/INDEX($F$206:$F$229,MATCH($B248,$B$206:$B$229,FALSE))),NA()),NA())</f>
        <v>#N/A</v>
      </c>
      <c r="BJ248" s="65" t="e">
        <f>IF(BI56=1,IF(BI$13&lt;=COUNT($C28:$CS28),IF(INDEX($F$206:$F$229,MATCH($B248,$B$206:$B$229,FALSE))=0,NA(),INDEX(BI$14:BI$37,MATCH($B248,$B$14:$B$37,FALSE))/INDEX($F$206:$F$229,MATCH($B248,$B$206:$B$229,FALSE))),NA()),NA())</f>
        <v>#N/A</v>
      </c>
      <c r="BK248" s="65" t="e">
        <f>IF(BJ56=1,IF(BJ$13&lt;=COUNT($C28:$CS28),IF(INDEX($F$206:$F$229,MATCH($B248,$B$206:$B$229,FALSE))=0,NA(),INDEX(BJ$14:BJ$37,MATCH($B248,$B$14:$B$37,FALSE))/INDEX($F$206:$F$229,MATCH($B248,$B$206:$B$229,FALSE))),NA()),NA())</f>
        <v>#N/A</v>
      </c>
      <c r="BL248" s="65" t="e">
        <f>IF(BK56=1,IF(BK$13&lt;=COUNT($C28:$CS28),IF(INDEX($F$206:$F$229,MATCH($B248,$B$206:$B$229,FALSE))=0,NA(),INDEX(BK$14:BK$37,MATCH($B248,$B$14:$B$37,FALSE))/INDEX($F$206:$F$229,MATCH($B248,$B$206:$B$229,FALSE))),NA()),NA())</f>
        <v>#N/A</v>
      </c>
      <c r="BM248" s="65" t="e">
        <f>IF(BL56=1,IF(BL$13&lt;=COUNT($C28:$CS28),IF(INDEX($F$206:$F$229,MATCH($B248,$B$206:$B$229,FALSE))=0,NA(),INDEX(BL$14:BL$37,MATCH($B248,$B$14:$B$37,FALSE))/INDEX($F$206:$F$229,MATCH($B248,$B$206:$B$229,FALSE))),NA()),NA())</f>
        <v>#N/A</v>
      </c>
      <c r="BN248" s="65" t="e">
        <f>IF(BM56=1,IF(BM$13&lt;=COUNT($C28:$CS28),IF(INDEX($F$206:$F$229,MATCH($B248,$B$206:$B$229,FALSE))=0,NA(),INDEX(BM$14:BM$37,MATCH($B248,$B$14:$B$37,FALSE))/INDEX($F$206:$F$229,MATCH($B248,$B$206:$B$229,FALSE))),NA()),NA())</f>
        <v>#N/A</v>
      </c>
      <c r="BO248" s="65" t="e">
        <f>IF(BN56=1,IF(BN$13&lt;=COUNT($C28:$CS28),IF(INDEX($F$206:$F$229,MATCH($B248,$B$206:$B$229,FALSE))=0,NA(),INDEX(BN$14:BN$37,MATCH($B248,$B$14:$B$37,FALSE))/INDEX($F$206:$F$229,MATCH($B248,$B$206:$B$229,FALSE))),NA()),NA())</f>
        <v>#N/A</v>
      </c>
      <c r="BP248" s="65" t="e">
        <f>IF(BO56=1,IF(BO$13&lt;=COUNT($C28:$CS28),IF(INDEX($F$206:$F$229,MATCH($B248,$B$206:$B$229,FALSE))=0,NA(),INDEX(BO$14:BO$37,MATCH($B248,$B$14:$B$37,FALSE))/INDEX($F$206:$F$229,MATCH($B248,$B$206:$B$229,FALSE))),NA()),NA())</f>
        <v>#N/A</v>
      </c>
      <c r="BQ248" s="65" t="e">
        <f>IF(BP56=1,IF(BP$13&lt;=COUNT($C28:$CS28),IF(INDEX($F$206:$F$229,MATCH($B248,$B$206:$B$229,FALSE))=0,NA(),INDEX(BP$14:BP$37,MATCH($B248,$B$14:$B$37,FALSE))/INDEX($F$206:$F$229,MATCH($B248,$B$206:$B$229,FALSE))),NA()),NA())</f>
        <v>#N/A</v>
      </c>
      <c r="BR248" s="65" t="e">
        <f>IF(BQ56=1,IF(BQ$13&lt;=COUNT($C28:$CS28),IF(INDEX($F$206:$F$229,MATCH($B248,$B$206:$B$229,FALSE))=0,NA(),INDEX(BQ$14:BQ$37,MATCH($B248,$B$14:$B$37,FALSE))/INDEX($F$206:$F$229,MATCH($B248,$B$206:$B$229,FALSE))),NA()),NA())</f>
        <v>#N/A</v>
      </c>
      <c r="BS248" s="65" t="e">
        <f>IF(BR56=1,IF(BR$13&lt;=COUNT($C28:$CS28),IF(INDEX($F$206:$F$229,MATCH($B248,$B$206:$B$229,FALSE))=0,NA(),INDEX(BR$14:BR$37,MATCH($B248,$B$14:$B$37,FALSE))/INDEX($F$206:$F$229,MATCH($B248,$B$206:$B$229,FALSE))),NA()),NA())</f>
        <v>#N/A</v>
      </c>
      <c r="BT248" s="65" t="e">
        <f>IF(BS56=1,IF(BS$13&lt;=COUNT($C28:$CS28),IF(INDEX($F$206:$F$229,MATCH($B248,$B$206:$B$229,FALSE))=0,NA(),INDEX(BS$14:BS$37,MATCH($B248,$B$14:$B$37,FALSE))/INDEX($F$206:$F$229,MATCH($B248,$B$206:$B$229,FALSE))),NA()),NA())</f>
        <v>#N/A</v>
      </c>
      <c r="BU248" s="65" t="e">
        <f>IF(BT56=1,IF(BT$13&lt;=COUNT($C28:$CS28),IF(INDEX($F$206:$F$229,MATCH($B248,$B$206:$B$229,FALSE))=0,NA(),INDEX(BT$14:BT$37,MATCH($B248,$B$14:$B$37,FALSE))/INDEX($F$206:$F$229,MATCH($B248,$B$206:$B$229,FALSE))),NA()),NA())</f>
        <v>#N/A</v>
      </c>
      <c r="BV248" s="65" t="e">
        <f>IF(BU56=1,IF(BU$13&lt;=COUNT($C28:$CS28),IF(INDEX($F$206:$F$229,MATCH($B248,$B$206:$B$229,FALSE))=0,NA(),INDEX(BU$14:BU$37,MATCH($B248,$B$14:$B$37,FALSE))/INDEX($F$206:$F$229,MATCH($B248,$B$206:$B$229,FALSE))),NA()),NA())</f>
        <v>#N/A</v>
      </c>
      <c r="BW248" s="65" t="e">
        <f>IF(BV56=1,IF(BV$13&lt;=COUNT($C28:$CS28),IF(INDEX($F$206:$F$229,MATCH($B248,$B$206:$B$229,FALSE))=0,NA(),INDEX(BV$14:BV$37,MATCH($B248,$B$14:$B$37,FALSE))/INDEX($F$206:$F$229,MATCH($B248,$B$206:$B$229,FALSE))),NA()),NA())</f>
        <v>#N/A</v>
      </c>
      <c r="BX248" s="65" t="e">
        <f>IF(BW56=1,IF(BW$13&lt;=COUNT($C28:$CS28),IF(INDEX($F$206:$F$229,MATCH($B248,$B$206:$B$229,FALSE))=0,NA(),INDEX(BW$14:BW$37,MATCH($B248,$B$14:$B$37,FALSE))/INDEX($F$206:$F$229,MATCH($B248,$B$206:$B$229,FALSE))),NA()),NA())</f>
        <v>#N/A</v>
      </c>
      <c r="BY248" s="65" t="e">
        <f>IF(BX56=1,IF(BX$13&lt;=COUNT($C28:$CS28),IF(INDEX($F$206:$F$229,MATCH($B248,$B$206:$B$229,FALSE))=0,NA(),INDEX(BX$14:BX$37,MATCH($B248,$B$14:$B$37,FALSE))/INDEX($F$206:$F$229,MATCH($B248,$B$206:$B$229,FALSE))),NA()),NA())</f>
        <v>#N/A</v>
      </c>
      <c r="BZ248" s="65" t="e">
        <f>IF(BY56=1,IF(BY$13&lt;=COUNT($C28:$CS28),IF(INDEX($F$206:$F$229,MATCH($B248,$B$206:$B$229,FALSE))=0,NA(),INDEX(BY$14:BY$37,MATCH($B248,$B$14:$B$37,FALSE))/INDEX($F$206:$F$229,MATCH($B248,$B$206:$B$229,FALSE))),NA()),NA())</f>
        <v>#N/A</v>
      </c>
      <c r="CA248" s="65" t="e">
        <f>IF(BZ56=1,IF(BZ$13&lt;=COUNT($C28:$CS28),IF(INDEX($F$206:$F$229,MATCH($B248,$B$206:$B$229,FALSE))=0,NA(),INDEX(BZ$14:BZ$37,MATCH($B248,$B$14:$B$37,FALSE))/INDEX($F$206:$F$229,MATCH($B248,$B$206:$B$229,FALSE))),NA()),NA())</f>
        <v>#N/A</v>
      </c>
      <c r="CB248" s="65" t="e">
        <f>IF(CA56=1,IF(CA$13&lt;=COUNT($C28:$CS28),IF(INDEX($F$206:$F$229,MATCH($B248,$B$206:$B$229,FALSE))=0,NA(),INDEX(CA$14:CA$37,MATCH($B248,$B$14:$B$37,FALSE))/INDEX($F$206:$F$229,MATCH($B248,$B$206:$B$229,FALSE))),NA()),NA())</f>
        <v>#N/A</v>
      </c>
      <c r="CC248" s="65" t="e">
        <f>IF(CB56=1,IF(CB$13&lt;=COUNT($C28:$CS28),IF(INDEX($F$206:$F$229,MATCH($B248,$B$206:$B$229,FALSE))=0,NA(),INDEX(CB$14:CB$37,MATCH($B248,$B$14:$B$37,FALSE))/INDEX($F$206:$F$229,MATCH($B248,$B$206:$B$229,FALSE))),NA()),NA())</f>
        <v>#N/A</v>
      </c>
      <c r="CD248" s="65" t="e">
        <f>IF(CC56=1,IF(CC$13&lt;=COUNT($C28:$CS28),IF(INDEX($F$206:$F$229,MATCH($B248,$B$206:$B$229,FALSE))=0,NA(),INDEX(CC$14:CC$37,MATCH($B248,$B$14:$B$37,FALSE))/INDEX($F$206:$F$229,MATCH($B248,$B$206:$B$229,FALSE))),NA()),NA())</f>
        <v>#N/A</v>
      </c>
      <c r="CE248" s="65" t="e">
        <f>IF(CD56=1,IF(CD$13&lt;=COUNT($C28:$CS28),IF(INDEX($F$206:$F$229,MATCH($B248,$B$206:$B$229,FALSE))=0,NA(),INDEX(CD$14:CD$37,MATCH($B248,$B$14:$B$37,FALSE))/INDEX($F$206:$F$229,MATCH($B248,$B$206:$B$229,FALSE))),NA()),NA())</f>
        <v>#N/A</v>
      </c>
      <c r="CF248" s="65" t="e">
        <f>IF(CE56=1,IF(CE$13&lt;=COUNT($C28:$CS28),IF(INDEX($F$206:$F$229,MATCH($B248,$B$206:$B$229,FALSE))=0,NA(),INDEX(CE$14:CE$37,MATCH($B248,$B$14:$B$37,FALSE))/INDEX($F$206:$F$229,MATCH($B248,$B$206:$B$229,FALSE))),NA()),NA())</f>
        <v>#N/A</v>
      </c>
      <c r="CG248" s="65" t="e">
        <f>IF(CF56=1,IF(CF$13&lt;=COUNT($C28:$CS28),IF(INDEX($F$206:$F$229,MATCH($B248,$B$206:$B$229,FALSE))=0,NA(),INDEX(CF$14:CF$37,MATCH($B248,$B$14:$B$37,FALSE))/INDEX($F$206:$F$229,MATCH($B248,$B$206:$B$229,FALSE))),NA()),NA())</f>
        <v>#N/A</v>
      </c>
      <c r="CH248" s="65" t="e">
        <f>IF(CG56=1,IF(CG$13&lt;=COUNT($C28:$CS28),IF(INDEX($F$206:$F$229,MATCH($B248,$B$206:$B$229,FALSE))=0,NA(),INDEX(CG$14:CG$37,MATCH($B248,$B$14:$B$37,FALSE))/INDEX($F$206:$F$229,MATCH($B248,$B$206:$B$229,FALSE))),NA()),NA())</f>
        <v>#N/A</v>
      </c>
      <c r="CI248" s="65" t="e">
        <f>IF(CH56=1,IF(CH$13&lt;=COUNT($C28:$CS28),IF(INDEX($F$206:$F$229,MATCH($B248,$B$206:$B$229,FALSE))=0,NA(),INDEX(CH$14:CH$37,MATCH($B248,$B$14:$B$37,FALSE))/INDEX($F$206:$F$229,MATCH($B248,$B$206:$B$229,FALSE))),NA()),NA())</f>
        <v>#N/A</v>
      </c>
      <c r="CJ248" s="65" t="e">
        <f>IF(CI56=1,IF(CI$13&lt;=COUNT($C28:$CS28),IF(INDEX($F$206:$F$229,MATCH($B248,$B$206:$B$229,FALSE))=0,NA(),INDEX(CI$14:CI$37,MATCH($B248,$B$14:$B$37,FALSE))/INDEX($F$206:$F$229,MATCH($B248,$B$206:$B$229,FALSE))),NA()),NA())</f>
        <v>#N/A</v>
      </c>
      <c r="CK248" s="65" t="e">
        <f>IF(CJ56=1,IF(CJ$13&lt;=COUNT($C28:$CS28),IF(INDEX($F$206:$F$229,MATCH($B248,$B$206:$B$229,FALSE))=0,NA(),INDEX(CJ$14:CJ$37,MATCH($B248,$B$14:$B$37,FALSE))/INDEX($F$206:$F$229,MATCH($B248,$B$206:$B$229,FALSE))),NA()),NA())</f>
        <v>#N/A</v>
      </c>
      <c r="CL248" s="65" t="e">
        <f>IF(CK56=1,IF(CK$13&lt;=COUNT($C28:$CS28),IF(INDEX($F$206:$F$229,MATCH($B248,$B$206:$B$229,FALSE))=0,NA(),INDEX(CK$14:CK$37,MATCH($B248,$B$14:$B$37,FALSE))/INDEX($F$206:$F$229,MATCH($B248,$B$206:$B$229,FALSE))),NA()),NA())</f>
        <v>#N/A</v>
      </c>
      <c r="CM248" s="65" t="e">
        <f>IF(CL56=1,IF(CL$13&lt;=COUNT($C28:$CS28),IF(INDEX($F$206:$F$229,MATCH($B248,$B$206:$B$229,FALSE))=0,NA(),INDEX(CL$14:CL$37,MATCH($B248,$B$14:$B$37,FALSE))/INDEX($F$206:$F$229,MATCH($B248,$B$206:$B$229,FALSE))),NA()),NA())</f>
        <v>#N/A</v>
      </c>
      <c r="CN248" s="65" t="e">
        <f>IF(CM56=1,IF(CM$13&lt;=COUNT($C28:$CS28),IF(INDEX($F$206:$F$229,MATCH($B248,$B$206:$B$229,FALSE))=0,NA(),INDEX(CM$14:CM$37,MATCH($B248,$B$14:$B$37,FALSE))/INDEX($F$206:$F$229,MATCH($B248,$B$206:$B$229,FALSE))),NA()),NA())</f>
        <v>#N/A</v>
      </c>
      <c r="CO248" s="65" t="e">
        <f>IF(CN56=1,IF(CN$13&lt;=COUNT($C28:$CS28),IF(INDEX($F$206:$F$229,MATCH($B248,$B$206:$B$229,FALSE))=0,NA(),INDEX(CN$14:CN$37,MATCH($B248,$B$14:$B$37,FALSE))/INDEX($F$206:$F$229,MATCH($B248,$B$206:$B$229,FALSE))),NA()),NA())</f>
        <v>#N/A</v>
      </c>
      <c r="CP248" s="65" t="e">
        <f>IF(CO56=1,IF(CO$13&lt;=COUNT($C28:$CS28),IF(INDEX($F$206:$F$229,MATCH($B248,$B$206:$B$229,FALSE))=0,NA(),INDEX(CO$14:CO$37,MATCH($B248,$B$14:$B$37,FALSE))/INDEX($F$206:$F$229,MATCH($B248,$B$206:$B$229,FALSE))),NA()),NA())</f>
        <v>#N/A</v>
      </c>
      <c r="CQ248" s="65" t="e">
        <f>IF(CP56=1,IF(CP$13&lt;=COUNT($C28:$CS28),IF(INDEX($F$206:$F$229,MATCH($B248,$B$206:$B$229,FALSE))=0,NA(),INDEX(CP$14:CP$37,MATCH($B248,$B$14:$B$37,FALSE))/INDEX($F$206:$F$229,MATCH($B248,$B$206:$B$229,FALSE))),NA()),NA())</f>
        <v>#N/A</v>
      </c>
      <c r="CR248" s="65" t="e">
        <f>IF(CQ56=1,IF(CQ$13&lt;=COUNT($C28:$CS28),IF(INDEX($F$206:$F$229,MATCH($B248,$B$206:$B$229,FALSE))=0,NA(),INDEX(CQ$14:CQ$37,MATCH($B248,$B$14:$B$37,FALSE))/INDEX($F$206:$F$229,MATCH($B248,$B$206:$B$229,FALSE))),NA()),NA())</f>
        <v>#N/A</v>
      </c>
      <c r="CS248" s="65" t="e">
        <f>IF(CR56=1,IF(CR$13&lt;=COUNT($C28:$CS28),IF(INDEX($F$206:$F$229,MATCH($B248,$B$206:$B$229,FALSE))=0,NA(),INDEX(CR$14:CR$37,MATCH($B248,$B$14:$B$37,FALSE))/INDEX($F$206:$F$229,MATCH($B248,$B$206:$B$229,FALSE))),NA()),NA())</f>
        <v>#N/A</v>
      </c>
      <c r="CT248" s="49"/>
      <c r="CU248" s="49"/>
      <c r="CV248" s="49"/>
      <c r="CW248" s="49"/>
    </row>
    <row r="249" spans="1:101" x14ac:dyDescent="0.25">
      <c r="A249" s="97">
        <f t="shared" si="105"/>
        <v>1</v>
      </c>
      <c r="B249" s="29">
        <f t="shared" si="104"/>
        <v>2011</v>
      </c>
      <c r="C249" s="154" t="str">
        <f t="shared" si="106"/>
        <v/>
      </c>
      <c r="D249" s="54">
        <f t="shared" ca="1" si="107"/>
        <v>0.4</v>
      </c>
      <c r="E249" s="65">
        <f t="shared" ca="1" si="107"/>
        <v>1</v>
      </c>
      <c r="F249" s="65">
        <f t="shared" ca="1" si="107"/>
        <v>1</v>
      </c>
      <c r="G249" s="65">
        <f t="shared" ca="1" si="107"/>
        <v>1</v>
      </c>
      <c r="H249" s="65">
        <f t="shared" ca="1" si="107"/>
        <v>1</v>
      </c>
      <c r="I249" s="65">
        <f t="shared" ca="1" si="107"/>
        <v>1</v>
      </c>
      <c r="J249" s="65">
        <f t="shared" ca="1" si="107"/>
        <v>1</v>
      </c>
      <c r="K249" s="65">
        <f t="shared" ca="1" si="107"/>
        <v>1</v>
      </c>
      <c r="L249" s="65">
        <f t="shared" ca="1" si="107"/>
        <v>1</v>
      </c>
      <c r="M249" s="65" t="e">
        <f>IF(L57=1,IF(L$13&lt;=COUNT($C29:$CS29),IF(INDEX($F$206:$F$229,MATCH($B249,$B$206:$B$229,FALSE))=0,NA(),INDEX(L$14:L$37,MATCH($B249,$B$14:$B$37,FALSE))/INDEX($F$206:$F$229,MATCH($B249,$B$206:$B$229,FALSE))),NA()),NA())</f>
        <v>#N/A</v>
      </c>
      <c r="N249" s="65" t="e">
        <f>IF(M57=1,IF(M$13&lt;=COUNT($C29:$CS29),IF(INDEX($F$206:$F$229,MATCH($B249,$B$206:$B$229,FALSE))=0,NA(),INDEX(M$14:M$37,MATCH($B249,$B$14:$B$37,FALSE))/INDEX($F$206:$F$229,MATCH($B249,$B$206:$B$229,FALSE))),NA()),NA())</f>
        <v>#N/A</v>
      </c>
      <c r="O249" s="65" t="e">
        <f>IF(N57=1,IF(N$13&lt;=COUNT($C29:$CS29),IF(INDEX($F$206:$F$229,MATCH($B249,$B$206:$B$229,FALSE))=0,NA(),INDEX(N$14:N$37,MATCH($B249,$B$14:$B$37,FALSE))/INDEX($F$206:$F$229,MATCH($B249,$B$206:$B$229,FALSE))),NA()),NA())</f>
        <v>#N/A</v>
      </c>
      <c r="P249" s="65" t="e">
        <f>IF(O57=1,IF(O$13&lt;=COUNT($C29:$CS29),IF(INDEX($F$206:$F$229,MATCH($B249,$B$206:$B$229,FALSE))=0,NA(),INDEX(O$14:O$37,MATCH($B249,$B$14:$B$37,FALSE))/INDEX($F$206:$F$229,MATCH($B249,$B$206:$B$229,FALSE))),NA()),NA())</f>
        <v>#N/A</v>
      </c>
      <c r="Q249" s="65" t="e">
        <f>IF(P57=1,IF(P$13&lt;=COUNT($C29:$CS29),IF(INDEX($F$206:$F$229,MATCH($B249,$B$206:$B$229,FALSE))=0,NA(),INDEX(P$14:P$37,MATCH($B249,$B$14:$B$37,FALSE))/INDEX($F$206:$F$229,MATCH($B249,$B$206:$B$229,FALSE))),NA()),NA())</f>
        <v>#N/A</v>
      </c>
      <c r="R249" s="65" t="e">
        <f>IF(Q57=1,IF(Q$13&lt;=COUNT($C29:$CS29),IF(INDEX($F$206:$F$229,MATCH($B249,$B$206:$B$229,FALSE))=0,NA(),INDEX(Q$14:Q$37,MATCH($B249,$B$14:$B$37,FALSE))/INDEX($F$206:$F$229,MATCH($B249,$B$206:$B$229,FALSE))),NA()),NA())</f>
        <v>#N/A</v>
      </c>
      <c r="S249" s="65" t="e">
        <f>IF(R57=1,IF(R$13&lt;=COUNT($C29:$CS29),IF(INDEX($F$206:$F$229,MATCH($B249,$B$206:$B$229,FALSE))=0,NA(),INDEX(R$14:R$37,MATCH($B249,$B$14:$B$37,FALSE))/INDEX($F$206:$F$229,MATCH($B249,$B$206:$B$229,FALSE))),NA()),NA())</f>
        <v>#N/A</v>
      </c>
      <c r="T249" s="65" t="e">
        <f>IF(S57=1,IF(S$13&lt;=COUNT($C29:$CS29),IF(INDEX($F$206:$F$229,MATCH($B249,$B$206:$B$229,FALSE))=0,NA(),INDEX(S$14:S$37,MATCH($B249,$B$14:$B$37,FALSE))/INDEX($F$206:$F$229,MATCH($B249,$B$206:$B$229,FALSE))),NA()),NA())</f>
        <v>#N/A</v>
      </c>
      <c r="U249" s="65" t="e">
        <f>IF(T57=1,IF(T$13&lt;=COUNT($C29:$CS29),IF(INDEX($F$206:$F$229,MATCH($B249,$B$206:$B$229,FALSE))=0,NA(),INDEX(T$14:T$37,MATCH($B249,$B$14:$B$37,FALSE))/INDEX($F$206:$F$229,MATCH($B249,$B$206:$B$229,FALSE))),NA()),NA())</f>
        <v>#N/A</v>
      </c>
      <c r="V249" s="65" t="e">
        <f>IF(U57=1,IF(U$13&lt;=COUNT($C29:$CS29),IF(INDEX($F$206:$F$229,MATCH($B249,$B$206:$B$229,FALSE))=0,NA(),INDEX(U$14:U$37,MATCH($B249,$B$14:$B$37,FALSE))/INDEX($F$206:$F$229,MATCH($B249,$B$206:$B$229,FALSE))),NA()),NA())</f>
        <v>#N/A</v>
      </c>
      <c r="W249" s="65" t="e">
        <f>IF(V57=1,IF(V$13&lt;=COUNT($C29:$CS29),IF(INDEX($F$206:$F$229,MATCH($B249,$B$206:$B$229,FALSE))=0,NA(),INDEX(V$14:V$37,MATCH($B249,$B$14:$B$37,FALSE))/INDEX($F$206:$F$229,MATCH($B249,$B$206:$B$229,FALSE))),NA()),NA())</f>
        <v>#N/A</v>
      </c>
      <c r="X249" s="65" t="e">
        <f>IF(W57=1,IF(W$13&lt;=COUNT($C29:$CS29),IF(INDEX($F$206:$F$229,MATCH($B249,$B$206:$B$229,FALSE))=0,NA(),INDEX(W$14:W$37,MATCH($B249,$B$14:$B$37,FALSE))/INDEX($F$206:$F$229,MATCH($B249,$B$206:$B$229,FALSE))),NA()),NA())</f>
        <v>#N/A</v>
      </c>
      <c r="Y249" s="65" t="e">
        <f>IF(X57=1,IF(X$13&lt;=COUNT($C29:$CS29),IF(INDEX($F$206:$F$229,MATCH($B249,$B$206:$B$229,FALSE))=0,NA(),INDEX(X$14:X$37,MATCH($B249,$B$14:$B$37,FALSE))/INDEX($F$206:$F$229,MATCH($B249,$B$206:$B$229,FALSE))),NA()),NA())</f>
        <v>#N/A</v>
      </c>
      <c r="Z249" s="65" t="e">
        <f>IF(Y57=1,IF(Y$13&lt;=COUNT($C29:$CS29),IF(INDEX($F$206:$F$229,MATCH($B249,$B$206:$B$229,FALSE))=0,NA(),INDEX(Y$14:Y$37,MATCH($B249,$B$14:$B$37,FALSE))/INDEX($F$206:$F$229,MATCH($B249,$B$206:$B$229,FALSE))),NA()),NA())</f>
        <v>#N/A</v>
      </c>
      <c r="AA249" s="65" t="e">
        <f>IF(Z57=1,IF(Z$13&lt;=COUNT($C29:$CS29),IF(INDEX($F$206:$F$229,MATCH($B249,$B$206:$B$229,FALSE))=0,NA(),INDEX(Z$14:Z$37,MATCH($B249,$B$14:$B$37,FALSE))/INDEX($F$206:$F$229,MATCH($B249,$B$206:$B$229,FALSE))),NA()),NA())</f>
        <v>#N/A</v>
      </c>
      <c r="AB249" s="65" t="e">
        <f>IF(AA57=1,IF(AA$13&lt;=COUNT($C29:$CS29),IF(INDEX($F$206:$F$229,MATCH($B249,$B$206:$B$229,FALSE))=0,NA(),INDEX(AA$14:AA$37,MATCH($B249,$B$14:$B$37,FALSE))/INDEX($F$206:$F$229,MATCH($B249,$B$206:$B$229,FALSE))),NA()),NA())</f>
        <v>#N/A</v>
      </c>
      <c r="AC249" s="65" t="e">
        <f>IF(AB57=1,IF(AB$13&lt;=COUNT($C29:$CS29),IF(INDEX($F$206:$F$229,MATCH($B249,$B$206:$B$229,FALSE))=0,NA(),INDEX(AB$14:AB$37,MATCH($B249,$B$14:$B$37,FALSE))/INDEX($F$206:$F$229,MATCH($B249,$B$206:$B$229,FALSE))),NA()),NA())</f>
        <v>#N/A</v>
      </c>
      <c r="AD249" s="65" t="e">
        <f>IF(AC57=1,IF(AC$13&lt;=COUNT($C29:$CS29),IF(INDEX($F$206:$F$229,MATCH($B249,$B$206:$B$229,FALSE))=0,NA(),INDEX(AC$14:AC$37,MATCH($B249,$B$14:$B$37,FALSE))/INDEX($F$206:$F$229,MATCH($B249,$B$206:$B$229,FALSE))),NA()),NA())</f>
        <v>#N/A</v>
      </c>
      <c r="AE249" s="65" t="e">
        <f>IF(AD57=1,IF(AD$13&lt;=COUNT($C29:$CS29),IF(INDEX($F$206:$F$229,MATCH($B249,$B$206:$B$229,FALSE))=0,NA(),INDEX(AD$14:AD$37,MATCH($B249,$B$14:$B$37,FALSE))/INDEX($F$206:$F$229,MATCH($B249,$B$206:$B$229,FALSE))),NA()),NA())</f>
        <v>#N/A</v>
      </c>
      <c r="AF249" s="65" t="e">
        <f>IF(AE57=1,IF(AE$13&lt;=COUNT($C29:$CS29),IF(INDEX($F$206:$F$229,MATCH($B249,$B$206:$B$229,FALSE))=0,NA(),INDEX(AE$14:AE$37,MATCH($B249,$B$14:$B$37,FALSE))/INDEX($F$206:$F$229,MATCH($B249,$B$206:$B$229,FALSE))),NA()),NA())</f>
        <v>#N/A</v>
      </c>
      <c r="AG249" s="65" t="e">
        <f>IF(AF57=1,IF(AF$13&lt;=COUNT($C29:$CS29),IF(INDEX($F$206:$F$229,MATCH($B249,$B$206:$B$229,FALSE))=0,NA(),INDEX(AF$14:AF$37,MATCH($B249,$B$14:$B$37,FALSE))/INDEX($F$206:$F$229,MATCH($B249,$B$206:$B$229,FALSE))),NA()),NA())</f>
        <v>#N/A</v>
      </c>
      <c r="AH249" s="65" t="e">
        <f>IF(AG57=1,IF(AG$13&lt;=COUNT($C29:$CS29),IF(INDEX($F$206:$F$229,MATCH($B249,$B$206:$B$229,FALSE))=0,NA(),INDEX(AG$14:AG$37,MATCH($B249,$B$14:$B$37,FALSE))/INDEX($F$206:$F$229,MATCH($B249,$B$206:$B$229,FALSE))),NA()),NA())</f>
        <v>#N/A</v>
      </c>
      <c r="AI249" s="65" t="e">
        <f>IF(AH57=1,IF(AH$13&lt;=COUNT($C29:$CS29),IF(INDEX($F$206:$F$229,MATCH($B249,$B$206:$B$229,FALSE))=0,NA(),INDEX(AH$14:AH$37,MATCH($B249,$B$14:$B$37,FALSE))/INDEX($F$206:$F$229,MATCH($B249,$B$206:$B$229,FALSE))),NA()),NA())</f>
        <v>#N/A</v>
      </c>
      <c r="AJ249" s="65" t="e">
        <f>IF(AI57=1,IF(AI$13&lt;=COUNT($C29:$CS29),IF(INDEX($F$206:$F$229,MATCH($B249,$B$206:$B$229,FALSE))=0,NA(),INDEX(AI$14:AI$37,MATCH($B249,$B$14:$B$37,FALSE))/INDEX($F$206:$F$229,MATCH($B249,$B$206:$B$229,FALSE))),NA()),NA())</f>
        <v>#N/A</v>
      </c>
      <c r="AK249" s="65" t="e">
        <f>IF(AJ57=1,IF(AJ$13&lt;=COUNT($C29:$CS29),IF(INDEX($F$206:$F$229,MATCH($B249,$B$206:$B$229,FALSE))=0,NA(),INDEX(AJ$14:AJ$37,MATCH($B249,$B$14:$B$37,FALSE))/INDEX($F$206:$F$229,MATCH($B249,$B$206:$B$229,FALSE))),NA()),NA())</f>
        <v>#N/A</v>
      </c>
      <c r="AL249" s="65" t="e">
        <f>IF(AK57=1,IF(AK$13&lt;=COUNT($C29:$CS29),IF(INDEX($F$206:$F$229,MATCH($B249,$B$206:$B$229,FALSE))=0,NA(),INDEX(AK$14:AK$37,MATCH($B249,$B$14:$B$37,FALSE))/INDEX($F$206:$F$229,MATCH($B249,$B$206:$B$229,FALSE))),NA()),NA())</f>
        <v>#N/A</v>
      </c>
      <c r="AM249" s="65" t="e">
        <f>IF(AL57=1,IF(AL$13&lt;=COUNT($C29:$CS29),IF(INDEX($F$206:$F$229,MATCH($B249,$B$206:$B$229,FALSE))=0,NA(),INDEX(AL$14:AL$37,MATCH($B249,$B$14:$B$37,FALSE))/INDEX($F$206:$F$229,MATCH($B249,$B$206:$B$229,FALSE))),NA()),NA())</f>
        <v>#N/A</v>
      </c>
      <c r="AN249" s="65" t="e">
        <f>IF(AM57=1,IF(AM$13&lt;=COUNT($C29:$CS29),IF(INDEX($F$206:$F$229,MATCH($B249,$B$206:$B$229,FALSE))=0,NA(),INDEX(AM$14:AM$37,MATCH($B249,$B$14:$B$37,FALSE))/INDEX($F$206:$F$229,MATCH($B249,$B$206:$B$229,FALSE))),NA()),NA())</f>
        <v>#N/A</v>
      </c>
      <c r="AO249" s="65" t="e">
        <f>IF(AN57=1,IF(AN$13&lt;=COUNT($C29:$CS29),IF(INDEX($F$206:$F$229,MATCH($B249,$B$206:$B$229,FALSE))=0,NA(),INDEX(AN$14:AN$37,MATCH($B249,$B$14:$B$37,FALSE))/INDEX($F$206:$F$229,MATCH($B249,$B$206:$B$229,FALSE))),NA()),NA())</f>
        <v>#N/A</v>
      </c>
      <c r="AP249" s="65" t="e">
        <f>IF(AO57=1,IF(AO$13&lt;=COUNT($C29:$CS29),IF(INDEX($F$206:$F$229,MATCH($B249,$B$206:$B$229,FALSE))=0,NA(),INDEX(AO$14:AO$37,MATCH($B249,$B$14:$B$37,FALSE))/INDEX($F$206:$F$229,MATCH($B249,$B$206:$B$229,FALSE))),NA()),NA())</f>
        <v>#N/A</v>
      </c>
      <c r="AQ249" s="65" t="e">
        <f>IF(AP57=1,IF(AP$13&lt;=COUNT($C29:$CS29),IF(INDEX($F$206:$F$229,MATCH($B249,$B$206:$B$229,FALSE))=0,NA(),INDEX(AP$14:AP$37,MATCH($B249,$B$14:$B$37,FALSE))/INDEX($F$206:$F$229,MATCH($B249,$B$206:$B$229,FALSE))),NA()),NA())</f>
        <v>#N/A</v>
      </c>
      <c r="AR249" s="65" t="e">
        <f>IF(AQ57=1,IF(AQ$13&lt;=COUNT($C29:$CS29),IF(INDEX($F$206:$F$229,MATCH($B249,$B$206:$B$229,FALSE))=0,NA(),INDEX(AQ$14:AQ$37,MATCH($B249,$B$14:$B$37,FALSE))/INDEX($F$206:$F$229,MATCH($B249,$B$206:$B$229,FALSE))),NA()),NA())</f>
        <v>#N/A</v>
      </c>
      <c r="AS249" s="65" t="e">
        <f>IF(AR57=1,IF(AR$13&lt;=COUNT($C29:$CS29),IF(INDEX($F$206:$F$229,MATCH($B249,$B$206:$B$229,FALSE))=0,NA(),INDEX(AR$14:AR$37,MATCH($B249,$B$14:$B$37,FALSE))/INDEX($F$206:$F$229,MATCH($B249,$B$206:$B$229,FALSE))),NA()),NA())</f>
        <v>#N/A</v>
      </c>
      <c r="AT249" s="65" t="e">
        <f>IF(AS57=1,IF(AS$13&lt;=COUNT($C29:$CS29),IF(INDEX($F$206:$F$229,MATCH($B249,$B$206:$B$229,FALSE))=0,NA(),INDEX(AS$14:AS$37,MATCH($B249,$B$14:$B$37,FALSE))/INDEX($F$206:$F$229,MATCH($B249,$B$206:$B$229,FALSE))),NA()),NA())</f>
        <v>#N/A</v>
      </c>
      <c r="AU249" s="65" t="e">
        <f>IF(AT57=1,IF(AT$13&lt;=COUNT($C29:$CS29),IF(INDEX($F$206:$F$229,MATCH($B249,$B$206:$B$229,FALSE))=0,NA(),INDEX(AT$14:AT$37,MATCH($B249,$B$14:$B$37,FALSE))/INDEX($F$206:$F$229,MATCH($B249,$B$206:$B$229,FALSE))),NA()),NA())</f>
        <v>#N/A</v>
      </c>
      <c r="AV249" s="65" t="e">
        <f>IF(AU57=1,IF(AU$13&lt;=COUNT($C29:$CS29),IF(INDEX($F$206:$F$229,MATCH($B249,$B$206:$B$229,FALSE))=0,NA(),INDEX(AU$14:AU$37,MATCH($B249,$B$14:$B$37,FALSE))/INDEX($F$206:$F$229,MATCH($B249,$B$206:$B$229,FALSE))),NA()),NA())</f>
        <v>#N/A</v>
      </c>
      <c r="AW249" s="65" t="e">
        <f>IF(AV57=1,IF(AV$13&lt;=COUNT($C29:$CS29),IF(INDEX($F$206:$F$229,MATCH($B249,$B$206:$B$229,FALSE))=0,NA(),INDEX(AV$14:AV$37,MATCH($B249,$B$14:$B$37,FALSE))/INDEX($F$206:$F$229,MATCH($B249,$B$206:$B$229,FALSE))),NA()),NA())</f>
        <v>#N/A</v>
      </c>
      <c r="AX249" s="65" t="e">
        <f>IF(AW57=1,IF(AW$13&lt;=COUNT($C29:$CS29),IF(INDEX($F$206:$F$229,MATCH($B249,$B$206:$B$229,FALSE))=0,NA(),INDEX(AW$14:AW$37,MATCH($B249,$B$14:$B$37,FALSE))/INDEX($F$206:$F$229,MATCH($B249,$B$206:$B$229,FALSE))),NA()),NA())</f>
        <v>#N/A</v>
      </c>
      <c r="AY249" s="65" t="e">
        <f>IF(AX57=1,IF(AX$13&lt;=COUNT($C29:$CS29),IF(INDEX($F$206:$F$229,MATCH($B249,$B$206:$B$229,FALSE))=0,NA(),INDEX(AX$14:AX$37,MATCH($B249,$B$14:$B$37,FALSE))/INDEX($F$206:$F$229,MATCH($B249,$B$206:$B$229,FALSE))),NA()),NA())</f>
        <v>#N/A</v>
      </c>
      <c r="AZ249" s="65" t="e">
        <f>IF(AY57=1,IF(AY$13&lt;=COUNT($C29:$CS29),IF(INDEX($F$206:$F$229,MATCH($B249,$B$206:$B$229,FALSE))=0,NA(),INDEX(AY$14:AY$37,MATCH($B249,$B$14:$B$37,FALSE))/INDEX($F$206:$F$229,MATCH($B249,$B$206:$B$229,FALSE))),NA()),NA())</f>
        <v>#N/A</v>
      </c>
      <c r="BA249" s="65" t="e">
        <f>IF(AZ57=1,IF(AZ$13&lt;=COUNT($C29:$CS29),IF(INDEX($F$206:$F$229,MATCH($B249,$B$206:$B$229,FALSE))=0,NA(),INDEX(AZ$14:AZ$37,MATCH($B249,$B$14:$B$37,FALSE))/INDEX($F$206:$F$229,MATCH($B249,$B$206:$B$229,FALSE))),NA()),NA())</f>
        <v>#N/A</v>
      </c>
      <c r="BB249" s="65" t="e">
        <f>IF(BA57=1,IF(BA$13&lt;=COUNT($C29:$CS29),IF(INDEX($F$206:$F$229,MATCH($B249,$B$206:$B$229,FALSE))=0,NA(),INDEX(BA$14:BA$37,MATCH($B249,$B$14:$B$37,FALSE))/INDEX($F$206:$F$229,MATCH($B249,$B$206:$B$229,FALSE))),NA()),NA())</f>
        <v>#N/A</v>
      </c>
      <c r="BC249" s="65" t="e">
        <f>IF(BB57=1,IF(BB$13&lt;=COUNT($C29:$CS29),IF(INDEX($F$206:$F$229,MATCH($B249,$B$206:$B$229,FALSE))=0,NA(),INDEX(BB$14:BB$37,MATCH($B249,$B$14:$B$37,FALSE))/INDEX($F$206:$F$229,MATCH($B249,$B$206:$B$229,FALSE))),NA()),NA())</f>
        <v>#N/A</v>
      </c>
      <c r="BD249" s="65" t="e">
        <f>IF(BC57=1,IF(BC$13&lt;=COUNT($C29:$CS29),IF(INDEX($F$206:$F$229,MATCH($B249,$B$206:$B$229,FALSE))=0,NA(),INDEX(BC$14:BC$37,MATCH($B249,$B$14:$B$37,FALSE))/INDEX($F$206:$F$229,MATCH($B249,$B$206:$B$229,FALSE))),NA()),NA())</f>
        <v>#N/A</v>
      </c>
      <c r="BE249" s="65" t="e">
        <f>IF(BD57=1,IF(BD$13&lt;=COUNT($C29:$CS29),IF(INDEX($F$206:$F$229,MATCH($B249,$B$206:$B$229,FALSE))=0,NA(),INDEX(BD$14:BD$37,MATCH($B249,$B$14:$B$37,FALSE))/INDEX($F$206:$F$229,MATCH($B249,$B$206:$B$229,FALSE))),NA()),NA())</f>
        <v>#N/A</v>
      </c>
      <c r="BF249" s="65" t="e">
        <f>IF(BE57=1,IF(BE$13&lt;=COUNT($C29:$CS29),IF(INDEX($F$206:$F$229,MATCH($B249,$B$206:$B$229,FALSE))=0,NA(),INDEX(BE$14:BE$37,MATCH($B249,$B$14:$B$37,FALSE))/INDEX($F$206:$F$229,MATCH($B249,$B$206:$B$229,FALSE))),NA()),NA())</f>
        <v>#N/A</v>
      </c>
      <c r="BG249" s="65" t="e">
        <f>IF(BF57=1,IF(BF$13&lt;=COUNT($C29:$CS29),IF(INDEX($F$206:$F$229,MATCH($B249,$B$206:$B$229,FALSE))=0,NA(),INDEX(BF$14:BF$37,MATCH($B249,$B$14:$B$37,FALSE))/INDEX($F$206:$F$229,MATCH($B249,$B$206:$B$229,FALSE))),NA()),NA())</f>
        <v>#N/A</v>
      </c>
      <c r="BH249" s="65" t="e">
        <f>IF(BG57=1,IF(BG$13&lt;=COUNT($C29:$CS29),IF(INDEX($F$206:$F$229,MATCH($B249,$B$206:$B$229,FALSE))=0,NA(),INDEX(BG$14:BG$37,MATCH($B249,$B$14:$B$37,FALSE))/INDEX($F$206:$F$229,MATCH($B249,$B$206:$B$229,FALSE))),NA()),NA())</f>
        <v>#N/A</v>
      </c>
      <c r="BI249" s="65" t="e">
        <f>IF(BH57=1,IF(BH$13&lt;=COUNT($C29:$CS29),IF(INDEX($F$206:$F$229,MATCH($B249,$B$206:$B$229,FALSE))=0,NA(),INDEX(BH$14:BH$37,MATCH($B249,$B$14:$B$37,FALSE))/INDEX($F$206:$F$229,MATCH($B249,$B$206:$B$229,FALSE))),NA()),NA())</f>
        <v>#N/A</v>
      </c>
      <c r="BJ249" s="65" t="e">
        <f>IF(BI57=1,IF(BI$13&lt;=COUNT($C29:$CS29),IF(INDEX($F$206:$F$229,MATCH($B249,$B$206:$B$229,FALSE))=0,NA(),INDEX(BI$14:BI$37,MATCH($B249,$B$14:$B$37,FALSE))/INDEX($F$206:$F$229,MATCH($B249,$B$206:$B$229,FALSE))),NA()),NA())</f>
        <v>#N/A</v>
      </c>
      <c r="BK249" s="65" t="e">
        <f>IF(BJ57=1,IF(BJ$13&lt;=COUNT($C29:$CS29),IF(INDEX($F$206:$F$229,MATCH($B249,$B$206:$B$229,FALSE))=0,NA(),INDEX(BJ$14:BJ$37,MATCH($B249,$B$14:$B$37,FALSE))/INDEX($F$206:$F$229,MATCH($B249,$B$206:$B$229,FALSE))),NA()),NA())</f>
        <v>#N/A</v>
      </c>
      <c r="BL249" s="65" t="e">
        <f>IF(BK57=1,IF(BK$13&lt;=COUNT($C29:$CS29),IF(INDEX($F$206:$F$229,MATCH($B249,$B$206:$B$229,FALSE))=0,NA(),INDEX(BK$14:BK$37,MATCH($B249,$B$14:$B$37,FALSE))/INDEX($F$206:$F$229,MATCH($B249,$B$206:$B$229,FALSE))),NA()),NA())</f>
        <v>#N/A</v>
      </c>
      <c r="BM249" s="65" t="e">
        <f>IF(BL57=1,IF(BL$13&lt;=COUNT($C29:$CS29),IF(INDEX($F$206:$F$229,MATCH($B249,$B$206:$B$229,FALSE))=0,NA(),INDEX(BL$14:BL$37,MATCH($B249,$B$14:$B$37,FALSE))/INDEX($F$206:$F$229,MATCH($B249,$B$206:$B$229,FALSE))),NA()),NA())</f>
        <v>#N/A</v>
      </c>
      <c r="BN249" s="65" t="e">
        <f>IF(BM57=1,IF(BM$13&lt;=COUNT($C29:$CS29),IF(INDEX($F$206:$F$229,MATCH($B249,$B$206:$B$229,FALSE))=0,NA(),INDEX(BM$14:BM$37,MATCH($B249,$B$14:$B$37,FALSE))/INDEX($F$206:$F$229,MATCH($B249,$B$206:$B$229,FALSE))),NA()),NA())</f>
        <v>#N/A</v>
      </c>
      <c r="BO249" s="65" t="e">
        <f>IF(BN57=1,IF(BN$13&lt;=COUNT($C29:$CS29),IF(INDEX($F$206:$F$229,MATCH($B249,$B$206:$B$229,FALSE))=0,NA(),INDEX(BN$14:BN$37,MATCH($B249,$B$14:$B$37,FALSE))/INDEX($F$206:$F$229,MATCH($B249,$B$206:$B$229,FALSE))),NA()),NA())</f>
        <v>#N/A</v>
      </c>
      <c r="BP249" s="65" t="e">
        <f>IF(BO57=1,IF(BO$13&lt;=COUNT($C29:$CS29),IF(INDEX($F$206:$F$229,MATCH($B249,$B$206:$B$229,FALSE))=0,NA(),INDEX(BO$14:BO$37,MATCH($B249,$B$14:$B$37,FALSE))/INDEX($F$206:$F$229,MATCH($B249,$B$206:$B$229,FALSE))),NA()),NA())</f>
        <v>#N/A</v>
      </c>
      <c r="BQ249" s="65" t="e">
        <f>IF(BP57=1,IF(BP$13&lt;=COUNT($C29:$CS29),IF(INDEX($F$206:$F$229,MATCH($B249,$B$206:$B$229,FALSE))=0,NA(),INDEX(BP$14:BP$37,MATCH($B249,$B$14:$B$37,FALSE))/INDEX($F$206:$F$229,MATCH($B249,$B$206:$B$229,FALSE))),NA()),NA())</f>
        <v>#N/A</v>
      </c>
      <c r="BR249" s="65" t="e">
        <f>IF(BQ57=1,IF(BQ$13&lt;=COUNT($C29:$CS29),IF(INDEX($F$206:$F$229,MATCH($B249,$B$206:$B$229,FALSE))=0,NA(),INDEX(BQ$14:BQ$37,MATCH($B249,$B$14:$B$37,FALSE))/INDEX($F$206:$F$229,MATCH($B249,$B$206:$B$229,FALSE))),NA()),NA())</f>
        <v>#N/A</v>
      </c>
      <c r="BS249" s="65" t="e">
        <f>IF(BR57=1,IF(BR$13&lt;=COUNT($C29:$CS29),IF(INDEX($F$206:$F$229,MATCH($B249,$B$206:$B$229,FALSE))=0,NA(),INDEX(BR$14:BR$37,MATCH($B249,$B$14:$B$37,FALSE))/INDEX($F$206:$F$229,MATCH($B249,$B$206:$B$229,FALSE))),NA()),NA())</f>
        <v>#N/A</v>
      </c>
      <c r="BT249" s="65" t="e">
        <f>IF(BS57=1,IF(BS$13&lt;=COUNT($C29:$CS29),IF(INDEX($F$206:$F$229,MATCH($B249,$B$206:$B$229,FALSE))=0,NA(),INDEX(BS$14:BS$37,MATCH($B249,$B$14:$B$37,FALSE))/INDEX($F$206:$F$229,MATCH($B249,$B$206:$B$229,FALSE))),NA()),NA())</f>
        <v>#N/A</v>
      </c>
      <c r="BU249" s="65" t="e">
        <f>IF(BT57=1,IF(BT$13&lt;=COUNT($C29:$CS29),IF(INDEX($F$206:$F$229,MATCH($B249,$B$206:$B$229,FALSE))=0,NA(),INDEX(BT$14:BT$37,MATCH($B249,$B$14:$B$37,FALSE))/INDEX($F$206:$F$229,MATCH($B249,$B$206:$B$229,FALSE))),NA()),NA())</f>
        <v>#N/A</v>
      </c>
      <c r="BV249" s="65" t="e">
        <f>IF(BU57=1,IF(BU$13&lt;=COUNT($C29:$CS29),IF(INDEX($F$206:$F$229,MATCH($B249,$B$206:$B$229,FALSE))=0,NA(),INDEX(BU$14:BU$37,MATCH($B249,$B$14:$B$37,FALSE))/INDEX($F$206:$F$229,MATCH($B249,$B$206:$B$229,FALSE))),NA()),NA())</f>
        <v>#N/A</v>
      </c>
      <c r="BW249" s="65" t="e">
        <f>IF(BV57=1,IF(BV$13&lt;=COUNT($C29:$CS29),IF(INDEX($F$206:$F$229,MATCH($B249,$B$206:$B$229,FALSE))=0,NA(),INDEX(BV$14:BV$37,MATCH($B249,$B$14:$B$37,FALSE))/INDEX($F$206:$F$229,MATCH($B249,$B$206:$B$229,FALSE))),NA()),NA())</f>
        <v>#N/A</v>
      </c>
      <c r="BX249" s="65" t="e">
        <f>IF(BW57=1,IF(BW$13&lt;=COUNT($C29:$CS29),IF(INDEX($F$206:$F$229,MATCH($B249,$B$206:$B$229,FALSE))=0,NA(),INDEX(BW$14:BW$37,MATCH($B249,$B$14:$B$37,FALSE))/INDEX($F$206:$F$229,MATCH($B249,$B$206:$B$229,FALSE))),NA()),NA())</f>
        <v>#N/A</v>
      </c>
      <c r="BY249" s="65" t="e">
        <f>IF(BX57=1,IF(BX$13&lt;=COUNT($C29:$CS29),IF(INDEX($F$206:$F$229,MATCH($B249,$B$206:$B$229,FALSE))=0,NA(),INDEX(BX$14:BX$37,MATCH($B249,$B$14:$B$37,FALSE))/INDEX($F$206:$F$229,MATCH($B249,$B$206:$B$229,FALSE))),NA()),NA())</f>
        <v>#N/A</v>
      </c>
      <c r="BZ249" s="65" t="e">
        <f>IF(BY57=1,IF(BY$13&lt;=COUNT($C29:$CS29),IF(INDEX($F$206:$F$229,MATCH($B249,$B$206:$B$229,FALSE))=0,NA(),INDEX(BY$14:BY$37,MATCH($B249,$B$14:$B$37,FALSE))/INDEX($F$206:$F$229,MATCH($B249,$B$206:$B$229,FALSE))),NA()),NA())</f>
        <v>#N/A</v>
      </c>
      <c r="CA249" s="65" t="e">
        <f>IF(BZ57=1,IF(BZ$13&lt;=COUNT($C29:$CS29),IF(INDEX($F$206:$F$229,MATCH($B249,$B$206:$B$229,FALSE))=0,NA(),INDEX(BZ$14:BZ$37,MATCH($B249,$B$14:$B$37,FALSE))/INDEX($F$206:$F$229,MATCH($B249,$B$206:$B$229,FALSE))),NA()),NA())</f>
        <v>#N/A</v>
      </c>
      <c r="CB249" s="65" t="e">
        <f>IF(CA57=1,IF(CA$13&lt;=COUNT($C29:$CS29),IF(INDEX($F$206:$F$229,MATCH($B249,$B$206:$B$229,FALSE))=0,NA(),INDEX(CA$14:CA$37,MATCH($B249,$B$14:$B$37,FALSE))/INDEX($F$206:$F$229,MATCH($B249,$B$206:$B$229,FALSE))),NA()),NA())</f>
        <v>#N/A</v>
      </c>
      <c r="CC249" s="65" t="e">
        <f>IF(CB57=1,IF(CB$13&lt;=COUNT($C29:$CS29),IF(INDEX($F$206:$F$229,MATCH($B249,$B$206:$B$229,FALSE))=0,NA(),INDEX(CB$14:CB$37,MATCH($B249,$B$14:$B$37,FALSE))/INDEX($F$206:$F$229,MATCH($B249,$B$206:$B$229,FALSE))),NA()),NA())</f>
        <v>#N/A</v>
      </c>
      <c r="CD249" s="65" t="e">
        <f>IF(CC57=1,IF(CC$13&lt;=COUNT($C29:$CS29),IF(INDEX($F$206:$F$229,MATCH($B249,$B$206:$B$229,FALSE))=0,NA(),INDEX(CC$14:CC$37,MATCH($B249,$B$14:$B$37,FALSE))/INDEX($F$206:$F$229,MATCH($B249,$B$206:$B$229,FALSE))),NA()),NA())</f>
        <v>#N/A</v>
      </c>
      <c r="CE249" s="65" t="e">
        <f>IF(CD57=1,IF(CD$13&lt;=COUNT($C29:$CS29),IF(INDEX($F$206:$F$229,MATCH($B249,$B$206:$B$229,FALSE))=0,NA(),INDEX(CD$14:CD$37,MATCH($B249,$B$14:$B$37,FALSE))/INDEX($F$206:$F$229,MATCH($B249,$B$206:$B$229,FALSE))),NA()),NA())</f>
        <v>#N/A</v>
      </c>
      <c r="CF249" s="65" t="e">
        <f>IF(CE57=1,IF(CE$13&lt;=COUNT($C29:$CS29),IF(INDEX($F$206:$F$229,MATCH($B249,$B$206:$B$229,FALSE))=0,NA(),INDEX(CE$14:CE$37,MATCH($B249,$B$14:$B$37,FALSE))/INDEX($F$206:$F$229,MATCH($B249,$B$206:$B$229,FALSE))),NA()),NA())</f>
        <v>#N/A</v>
      </c>
      <c r="CG249" s="65" t="e">
        <f>IF(CF57=1,IF(CF$13&lt;=COUNT($C29:$CS29),IF(INDEX($F$206:$F$229,MATCH($B249,$B$206:$B$229,FALSE))=0,NA(),INDEX(CF$14:CF$37,MATCH($B249,$B$14:$B$37,FALSE))/INDEX($F$206:$F$229,MATCH($B249,$B$206:$B$229,FALSE))),NA()),NA())</f>
        <v>#N/A</v>
      </c>
      <c r="CH249" s="65" t="e">
        <f>IF(CG57=1,IF(CG$13&lt;=COUNT($C29:$CS29),IF(INDEX($F$206:$F$229,MATCH($B249,$B$206:$B$229,FALSE))=0,NA(),INDEX(CG$14:CG$37,MATCH($B249,$B$14:$B$37,FALSE))/INDEX($F$206:$F$229,MATCH($B249,$B$206:$B$229,FALSE))),NA()),NA())</f>
        <v>#N/A</v>
      </c>
      <c r="CI249" s="65" t="e">
        <f>IF(CH57=1,IF(CH$13&lt;=COUNT($C29:$CS29),IF(INDEX($F$206:$F$229,MATCH($B249,$B$206:$B$229,FALSE))=0,NA(),INDEX(CH$14:CH$37,MATCH($B249,$B$14:$B$37,FALSE))/INDEX($F$206:$F$229,MATCH($B249,$B$206:$B$229,FALSE))),NA()),NA())</f>
        <v>#N/A</v>
      </c>
      <c r="CJ249" s="65" t="e">
        <f>IF(CI57=1,IF(CI$13&lt;=COUNT($C29:$CS29),IF(INDEX($F$206:$F$229,MATCH($B249,$B$206:$B$229,FALSE))=0,NA(),INDEX(CI$14:CI$37,MATCH($B249,$B$14:$B$37,FALSE))/INDEX($F$206:$F$229,MATCH($B249,$B$206:$B$229,FALSE))),NA()),NA())</f>
        <v>#N/A</v>
      </c>
      <c r="CK249" s="65" t="e">
        <f>IF(CJ57=1,IF(CJ$13&lt;=COUNT($C29:$CS29),IF(INDEX($F$206:$F$229,MATCH($B249,$B$206:$B$229,FALSE))=0,NA(),INDEX(CJ$14:CJ$37,MATCH($B249,$B$14:$B$37,FALSE))/INDEX($F$206:$F$229,MATCH($B249,$B$206:$B$229,FALSE))),NA()),NA())</f>
        <v>#N/A</v>
      </c>
      <c r="CL249" s="65" t="e">
        <f>IF(CK57=1,IF(CK$13&lt;=COUNT($C29:$CS29),IF(INDEX($F$206:$F$229,MATCH($B249,$B$206:$B$229,FALSE))=0,NA(),INDEX(CK$14:CK$37,MATCH($B249,$B$14:$B$37,FALSE))/INDEX($F$206:$F$229,MATCH($B249,$B$206:$B$229,FALSE))),NA()),NA())</f>
        <v>#N/A</v>
      </c>
      <c r="CM249" s="65" t="e">
        <f>IF(CL57=1,IF(CL$13&lt;=COUNT($C29:$CS29),IF(INDEX($F$206:$F$229,MATCH($B249,$B$206:$B$229,FALSE))=0,NA(),INDEX(CL$14:CL$37,MATCH($B249,$B$14:$B$37,FALSE))/INDEX($F$206:$F$229,MATCH($B249,$B$206:$B$229,FALSE))),NA()),NA())</f>
        <v>#N/A</v>
      </c>
      <c r="CN249" s="65" t="e">
        <f>IF(CM57=1,IF(CM$13&lt;=COUNT($C29:$CS29),IF(INDEX($F$206:$F$229,MATCH($B249,$B$206:$B$229,FALSE))=0,NA(),INDEX(CM$14:CM$37,MATCH($B249,$B$14:$B$37,FALSE))/INDEX($F$206:$F$229,MATCH($B249,$B$206:$B$229,FALSE))),NA()),NA())</f>
        <v>#N/A</v>
      </c>
      <c r="CO249" s="65" t="e">
        <f>IF(CN57=1,IF(CN$13&lt;=COUNT($C29:$CS29),IF(INDEX($F$206:$F$229,MATCH($B249,$B$206:$B$229,FALSE))=0,NA(),INDEX(CN$14:CN$37,MATCH($B249,$B$14:$B$37,FALSE))/INDEX($F$206:$F$229,MATCH($B249,$B$206:$B$229,FALSE))),NA()),NA())</f>
        <v>#N/A</v>
      </c>
      <c r="CP249" s="65" t="e">
        <f>IF(CO57=1,IF(CO$13&lt;=COUNT($C29:$CS29),IF(INDEX($F$206:$F$229,MATCH($B249,$B$206:$B$229,FALSE))=0,NA(),INDEX(CO$14:CO$37,MATCH($B249,$B$14:$B$37,FALSE))/INDEX($F$206:$F$229,MATCH($B249,$B$206:$B$229,FALSE))),NA()),NA())</f>
        <v>#N/A</v>
      </c>
      <c r="CQ249" s="65" t="e">
        <f>IF(CP57=1,IF(CP$13&lt;=COUNT($C29:$CS29),IF(INDEX($F$206:$F$229,MATCH($B249,$B$206:$B$229,FALSE))=0,NA(),INDEX(CP$14:CP$37,MATCH($B249,$B$14:$B$37,FALSE))/INDEX($F$206:$F$229,MATCH($B249,$B$206:$B$229,FALSE))),NA()),NA())</f>
        <v>#N/A</v>
      </c>
      <c r="CR249" s="65" t="e">
        <f>IF(CQ57=1,IF(CQ$13&lt;=COUNT($C29:$CS29),IF(INDEX($F$206:$F$229,MATCH($B249,$B$206:$B$229,FALSE))=0,NA(),INDEX(CQ$14:CQ$37,MATCH($B249,$B$14:$B$37,FALSE))/INDEX($F$206:$F$229,MATCH($B249,$B$206:$B$229,FALSE))),NA()),NA())</f>
        <v>#N/A</v>
      </c>
      <c r="CS249" s="65" t="e">
        <f>IF(CR57=1,IF(CR$13&lt;=COUNT($C29:$CS29),IF(INDEX($F$206:$F$229,MATCH($B249,$B$206:$B$229,FALSE))=0,NA(),INDEX(CR$14:CR$37,MATCH($B249,$B$14:$B$37,FALSE))/INDEX($F$206:$F$229,MATCH($B249,$B$206:$B$229,FALSE))),NA()),NA())</f>
        <v>#N/A</v>
      </c>
      <c r="CT249" s="49"/>
      <c r="CU249" s="49"/>
      <c r="CV249" s="49"/>
      <c r="CW249" s="49"/>
    </row>
    <row r="250" spans="1:101" x14ac:dyDescent="0.25">
      <c r="A250" s="97">
        <f t="shared" si="105"/>
        <v>1</v>
      </c>
      <c r="B250" s="29">
        <f t="shared" si="104"/>
        <v>2012</v>
      </c>
      <c r="C250" s="154" t="str">
        <f t="shared" si="106"/>
        <v/>
      </c>
      <c r="D250" s="54">
        <f t="shared" ref="D250:BO253" ca="1" si="108">IF(C58=1,IF(C$13&lt;=COUNT($C30:$CS30),IF(INDEX($F$206:$F$229,MATCH($B250,$B$206:$B$229,FALSE))=0,NA(),INDEX(C$14:C$37,MATCH($B250,$B$14:$B$37,FALSE))/INDEX($F$206:$F$229,MATCH($B250,$B$206:$B$229,FALSE))),NA()),NA())</f>
        <v>0.66666666666666663</v>
      </c>
      <c r="E250" s="65">
        <f t="shared" ca="1" si="108"/>
        <v>1</v>
      </c>
      <c r="F250" s="65">
        <f t="shared" ca="1" si="108"/>
        <v>1</v>
      </c>
      <c r="G250" s="65">
        <f t="shared" ca="1" si="108"/>
        <v>1</v>
      </c>
      <c r="H250" s="65">
        <f t="shared" ca="1" si="108"/>
        <v>1</v>
      </c>
      <c r="I250" s="65">
        <f t="shared" ca="1" si="108"/>
        <v>1</v>
      </c>
      <c r="J250" s="65">
        <f t="shared" ca="1" si="108"/>
        <v>1</v>
      </c>
      <c r="K250" s="65">
        <f t="shared" ca="1" si="108"/>
        <v>1</v>
      </c>
      <c r="L250" s="65" t="e">
        <f>IF(K58=1,IF(K$13&lt;=COUNT($C30:$CS30),IF(INDEX($F$206:$F$229,MATCH($B250,$B$206:$B$229,FALSE))=0,NA(),INDEX(K$14:K$37,MATCH($B250,$B$14:$B$37,FALSE))/INDEX($F$206:$F$229,MATCH($B250,$B$206:$B$229,FALSE))),NA()),NA())</f>
        <v>#N/A</v>
      </c>
      <c r="M250" s="65" t="e">
        <f>IF(L58=1,IF(L$13&lt;=COUNT($C30:$CS30),IF(INDEX($F$206:$F$229,MATCH($B250,$B$206:$B$229,FALSE))=0,NA(),INDEX(L$14:L$37,MATCH($B250,$B$14:$B$37,FALSE))/INDEX($F$206:$F$229,MATCH($B250,$B$206:$B$229,FALSE))),NA()),NA())</f>
        <v>#N/A</v>
      </c>
      <c r="N250" s="65" t="e">
        <f>IF(M58=1,IF(M$13&lt;=COUNT($C30:$CS30),IF(INDEX($F$206:$F$229,MATCH($B250,$B$206:$B$229,FALSE))=0,NA(),INDEX(M$14:M$37,MATCH($B250,$B$14:$B$37,FALSE))/INDEX($F$206:$F$229,MATCH($B250,$B$206:$B$229,FALSE))),NA()),NA())</f>
        <v>#N/A</v>
      </c>
      <c r="O250" s="65" t="e">
        <f>IF(N58=1,IF(N$13&lt;=COUNT($C30:$CS30),IF(INDEX($F$206:$F$229,MATCH($B250,$B$206:$B$229,FALSE))=0,NA(),INDEX(N$14:N$37,MATCH($B250,$B$14:$B$37,FALSE))/INDEX($F$206:$F$229,MATCH($B250,$B$206:$B$229,FALSE))),NA()),NA())</f>
        <v>#N/A</v>
      </c>
      <c r="P250" s="65" t="e">
        <f>IF(O58=1,IF(O$13&lt;=COUNT($C30:$CS30),IF(INDEX($F$206:$F$229,MATCH($B250,$B$206:$B$229,FALSE))=0,NA(),INDEX(O$14:O$37,MATCH($B250,$B$14:$B$37,FALSE))/INDEX($F$206:$F$229,MATCH($B250,$B$206:$B$229,FALSE))),NA()),NA())</f>
        <v>#N/A</v>
      </c>
      <c r="Q250" s="65" t="e">
        <f>IF(P58=1,IF(P$13&lt;=COUNT($C30:$CS30),IF(INDEX($F$206:$F$229,MATCH($B250,$B$206:$B$229,FALSE))=0,NA(),INDEX(P$14:P$37,MATCH($B250,$B$14:$B$37,FALSE))/INDEX($F$206:$F$229,MATCH($B250,$B$206:$B$229,FALSE))),NA()),NA())</f>
        <v>#N/A</v>
      </c>
      <c r="R250" s="65" t="e">
        <f>IF(Q58=1,IF(Q$13&lt;=COUNT($C30:$CS30),IF(INDEX($F$206:$F$229,MATCH($B250,$B$206:$B$229,FALSE))=0,NA(),INDEX(Q$14:Q$37,MATCH($B250,$B$14:$B$37,FALSE))/INDEX($F$206:$F$229,MATCH($B250,$B$206:$B$229,FALSE))),NA()),NA())</f>
        <v>#N/A</v>
      </c>
      <c r="S250" s="65" t="e">
        <f>IF(R58=1,IF(R$13&lt;=COUNT($C30:$CS30),IF(INDEX($F$206:$F$229,MATCH($B250,$B$206:$B$229,FALSE))=0,NA(),INDEX(R$14:R$37,MATCH($B250,$B$14:$B$37,FALSE))/INDEX($F$206:$F$229,MATCH($B250,$B$206:$B$229,FALSE))),NA()),NA())</f>
        <v>#N/A</v>
      </c>
      <c r="T250" s="65" t="e">
        <f>IF(S58=1,IF(S$13&lt;=COUNT($C30:$CS30),IF(INDEX($F$206:$F$229,MATCH($B250,$B$206:$B$229,FALSE))=0,NA(),INDEX(S$14:S$37,MATCH($B250,$B$14:$B$37,FALSE))/INDEX($F$206:$F$229,MATCH($B250,$B$206:$B$229,FALSE))),NA()),NA())</f>
        <v>#N/A</v>
      </c>
      <c r="U250" s="65" t="e">
        <f>IF(T58=1,IF(T$13&lt;=COUNT($C30:$CS30),IF(INDEX($F$206:$F$229,MATCH($B250,$B$206:$B$229,FALSE))=0,NA(),INDEX(T$14:T$37,MATCH($B250,$B$14:$B$37,FALSE))/INDEX($F$206:$F$229,MATCH($B250,$B$206:$B$229,FALSE))),NA()),NA())</f>
        <v>#N/A</v>
      </c>
      <c r="V250" s="65" t="e">
        <f>IF(U58=1,IF(U$13&lt;=COUNT($C30:$CS30),IF(INDEX($F$206:$F$229,MATCH($B250,$B$206:$B$229,FALSE))=0,NA(),INDEX(U$14:U$37,MATCH($B250,$B$14:$B$37,FALSE))/INDEX($F$206:$F$229,MATCH($B250,$B$206:$B$229,FALSE))),NA()),NA())</f>
        <v>#N/A</v>
      </c>
      <c r="W250" s="65" t="e">
        <f>IF(V58=1,IF(V$13&lt;=COUNT($C30:$CS30),IF(INDEX($F$206:$F$229,MATCH($B250,$B$206:$B$229,FALSE))=0,NA(),INDEX(V$14:V$37,MATCH($B250,$B$14:$B$37,FALSE))/INDEX($F$206:$F$229,MATCH($B250,$B$206:$B$229,FALSE))),NA()),NA())</f>
        <v>#N/A</v>
      </c>
      <c r="X250" s="65" t="e">
        <f>IF(W58=1,IF(W$13&lt;=COUNT($C30:$CS30),IF(INDEX($F$206:$F$229,MATCH($B250,$B$206:$B$229,FALSE))=0,NA(),INDEX(W$14:W$37,MATCH($B250,$B$14:$B$37,FALSE))/INDEX($F$206:$F$229,MATCH($B250,$B$206:$B$229,FALSE))),NA()),NA())</f>
        <v>#N/A</v>
      </c>
      <c r="Y250" s="65" t="e">
        <f>IF(X58=1,IF(X$13&lt;=COUNT($C30:$CS30),IF(INDEX($F$206:$F$229,MATCH($B250,$B$206:$B$229,FALSE))=0,NA(),INDEX(X$14:X$37,MATCH($B250,$B$14:$B$37,FALSE))/INDEX($F$206:$F$229,MATCH($B250,$B$206:$B$229,FALSE))),NA()),NA())</f>
        <v>#N/A</v>
      </c>
      <c r="Z250" s="65" t="e">
        <f>IF(Y58=1,IF(Y$13&lt;=COUNT($C30:$CS30),IF(INDEX($F$206:$F$229,MATCH($B250,$B$206:$B$229,FALSE))=0,NA(),INDEX(Y$14:Y$37,MATCH($B250,$B$14:$B$37,FALSE))/INDEX($F$206:$F$229,MATCH($B250,$B$206:$B$229,FALSE))),NA()),NA())</f>
        <v>#N/A</v>
      </c>
      <c r="AA250" s="65" t="e">
        <f>IF(Z58=1,IF(Z$13&lt;=COUNT($C30:$CS30),IF(INDEX($F$206:$F$229,MATCH($B250,$B$206:$B$229,FALSE))=0,NA(),INDEX(Z$14:Z$37,MATCH($B250,$B$14:$B$37,FALSE))/INDEX($F$206:$F$229,MATCH($B250,$B$206:$B$229,FALSE))),NA()),NA())</f>
        <v>#N/A</v>
      </c>
      <c r="AB250" s="65" t="e">
        <f>IF(AA58=1,IF(AA$13&lt;=COUNT($C30:$CS30),IF(INDEX($F$206:$F$229,MATCH($B250,$B$206:$B$229,FALSE))=0,NA(),INDEX(AA$14:AA$37,MATCH($B250,$B$14:$B$37,FALSE))/INDEX($F$206:$F$229,MATCH($B250,$B$206:$B$229,FALSE))),NA()),NA())</f>
        <v>#N/A</v>
      </c>
      <c r="AC250" s="65" t="e">
        <f>IF(AB58=1,IF(AB$13&lt;=COUNT($C30:$CS30),IF(INDEX($F$206:$F$229,MATCH($B250,$B$206:$B$229,FALSE))=0,NA(),INDEX(AB$14:AB$37,MATCH($B250,$B$14:$B$37,FALSE))/INDEX($F$206:$F$229,MATCH($B250,$B$206:$B$229,FALSE))),NA()),NA())</f>
        <v>#N/A</v>
      </c>
      <c r="AD250" s="65" t="e">
        <f>IF(AC58=1,IF(AC$13&lt;=COUNT($C30:$CS30),IF(INDEX($F$206:$F$229,MATCH($B250,$B$206:$B$229,FALSE))=0,NA(),INDEX(AC$14:AC$37,MATCH($B250,$B$14:$B$37,FALSE))/INDEX($F$206:$F$229,MATCH($B250,$B$206:$B$229,FALSE))),NA()),NA())</f>
        <v>#N/A</v>
      </c>
      <c r="AE250" s="65" t="e">
        <f>IF(AD58=1,IF(AD$13&lt;=COUNT($C30:$CS30),IF(INDEX($F$206:$F$229,MATCH($B250,$B$206:$B$229,FALSE))=0,NA(),INDEX(AD$14:AD$37,MATCH($B250,$B$14:$B$37,FALSE))/INDEX($F$206:$F$229,MATCH($B250,$B$206:$B$229,FALSE))),NA()),NA())</f>
        <v>#N/A</v>
      </c>
      <c r="AF250" s="65" t="e">
        <f>IF(AE58=1,IF(AE$13&lt;=COUNT($C30:$CS30),IF(INDEX($F$206:$F$229,MATCH($B250,$B$206:$B$229,FALSE))=0,NA(),INDEX(AE$14:AE$37,MATCH($B250,$B$14:$B$37,FALSE))/INDEX($F$206:$F$229,MATCH($B250,$B$206:$B$229,FALSE))),NA()),NA())</f>
        <v>#N/A</v>
      </c>
      <c r="AG250" s="65" t="e">
        <f>IF(AF58=1,IF(AF$13&lt;=COUNT($C30:$CS30),IF(INDEX($F$206:$F$229,MATCH($B250,$B$206:$B$229,FALSE))=0,NA(),INDEX(AF$14:AF$37,MATCH($B250,$B$14:$B$37,FALSE))/INDEX($F$206:$F$229,MATCH($B250,$B$206:$B$229,FALSE))),NA()),NA())</f>
        <v>#N/A</v>
      </c>
      <c r="AH250" s="65" t="e">
        <f>IF(AG58=1,IF(AG$13&lt;=COUNT($C30:$CS30),IF(INDEX($F$206:$F$229,MATCH($B250,$B$206:$B$229,FALSE))=0,NA(),INDEX(AG$14:AG$37,MATCH($B250,$B$14:$B$37,FALSE))/INDEX($F$206:$F$229,MATCH($B250,$B$206:$B$229,FALSE))),NA()),NA())</f>
        <v>#N/A</v>
      </c>
      <c r="AI250" s="65" t="e">
        <f>IF(AH58=1,IF(AH$13&lt;=COUNT($C30:$CS30),IF(INDEX($F$206:$F$229,MATCH($B250,$B$206:$B$229,FALSE))=0,NA(),INDEX(AH$14:AH$37,MATCH($B250,$B$14:$B$37,FALSE))/INDEX($F$206:$F$229,MATCH($B250,$B$206:$B$229,FALSE))),NA()),NA())</f>
        <v>#N/A</v>
      </c>
      <c r="AJ250" s="65" t="e">
        <f>IF(AI58=1,IF(AI$13&lt;=COUNT($C30:$CS30),IF(INDEX($F$206:$F$229,MATCH($B250,$B$206:$B$229,FALSE))=0,NA(),INDEX(AI$14:AI$37,MATCH($B250,$B$14:$B$37,FALSE))/INDEX($F$206:$F$229,MATCH($B250,$B$206:$B$229,FALSE))),NA()),NA())</f>
        <v>#N/A</v>
      </c>
      <c r="AK250" s="65" t="e">
        <f>IF(AJ58=1,IF(AJ$13&lt;=COUNT($C30:$CS30),IF(INDEX($F$206:$F$229,MATCH($B250,$B$206:$B$229,FALSE))=0,NA(),INDEX(AJ$14:AJ$37,MATCH($B250,$B$14:$B$37,FALSE))/INDEX($F$206:$F$229,MATCH($B250,$B$206:$B$229,FALSE))),NA()),NA())</f>
        <v>#N/A</v>
      </c>
      <c r="AL250" s="65" t="e">
        <f>IF(AK58=1,IF(AK$13&lt;=COUNT($C30:$CS30),IF(INDEX($F$206:$F$229,MATCH($B250,$B$206:$B$229,FALSE))=0,NA(),INDEX(AK$14:AK$37,MATCH($B250,$B$14:$B$37,FALSE))/INDEX($F$206:$F$229,MATCH($B250,$B$206:$B$229,FALSE))),NA()),NA())</f>
        <v>#N/A</v>
      </c>
      <c r="AM250" s="65" t="e">
        <f>IF(AL58=1,IF(AL$13&lt;=COUNT($C30:$CS30),IF(INDEX($F$206:$F$229,MATCH($B250,$B$206:$B$229,FALSE))=0,NA(),INDEX(AL$14:AL$37,MATCH($B250,$B$14:$B$37,FALSE))/INDEX($F$206:$F$229,MATCH($B250,$B$206:$B$229,FALSE))),NA()),NA())</f>
        <v>#N/A</v>
      </c>
      <c r="AN250" s="65" t="e">
        <f>IF(AM58=1,IF(AM$13&lt;=COUNT($C30:$CS30),IF(INDEX($F$206:$F$229,MATCH($B250,$B$206:$B$229,FALSE))=0,NA(),INDEX(AM$14:AM$37,MATCH($B250,$B$14:$B$37,FALSE))/INDEX($F$206:$F$229,MATCH($B250,$B$206:$B$229,FALSE))),NA()),NA())</f>
        <v>#N/A</v>
      </c>
      <c r="AO250" s="65" t="e">
        <f>IF(AN58=1,IF(AN$13&lt;=COUNT($C30:$CS30),IF(INDEX($F$206:$F$229,MATCH($B250,$B$206:$B$229,FALSE))=0,NA(),INDEX(AN$14:AN$37,MATCH($B250,$B$14:$B$37,FALSE))/INDEX($F$206:$F$229,MATCH($B250,$B$206:$B$229,FALSE))),NA()),NA())</f>
        <v>#N/A</v>
      </c>
      <c r="AP250" s="65" t="e">
        <f>IF(AO58=1,IF(AO$13&lt;=COUNT($C30:$CS30),IF(INDEX($F$206:$F$229,MATCH($B250,$B$206:$B$229,FALSE))=0,NA(),INDEX(AO$14:AO$37,MATCH($B250,$B$14:$B$37,FALSE))/INDEX($F$206:$F$229,MATCH($B250,$B$206:$B$229,FALSE))),NA()),NA())</f>
        <v>#N/A</v>
      </c>
      <c r="AQ250" s="65" t="e">
        <f>IF(AP58=1,IF(AP$13&lt;=COUNT($C30:$CS30),IF(INDEX($F$206:$F$229,MATCH($B250,$B$206:$B$229,FALSE))=0,NA(),INDEX(AP$14:AP$37,MATCH($B250,$B$14:$B$37,FALSE))/INDEX($F$206:$F$229,MATCH($B250,$B$206:$B$229,FALSE))),NA()),NA())</f>
        <v>#N/A</v>
      </c>
      <c r="AR250" s="65" t="e">
        <f>IF(AQ58=1,IF(AQ$13&lt;=COUNT($C30:$CS30),IF(INDEX($F$206:$F$229,MATCH($B250,$B$206:$B$229,FALSE))=0,NA(),INDEX(AQ$14:AQ$37,MATCH($B250,$B$14:$B$37,FALSE))/INDEX($F$206:$F$229,MATCH($B250,$B$206:$B$229,FALSE))),NA()),NA())</f>
        <v>#N/A</v>
      </c>
      <c r="AS250" s="65" t="e">
        <f>IF(AR58=1,IF(AR$13&lt;=COUNT($C30:$CS30),IF(INDEX($F$206:$F$229,MATCH($B250,$B$206:$B$229,FALSE))=0,NA(),INDEX(AR$14:AR$37,MATCH($B250,$B$14:$B$37,FALSE))/INDEX($F$206:$F$229,MATCH($B250,$B$206:$B$229,FALSE))),NA()),NA())</f>
        <v>#N/A</v>
      </c>
      <c r="AT250" s="65" t="e">
        <f>IF(AS58=1,IF(AS$13&lt;=COUNT($C30:$CS30),IF(INDEX($F$206:$F$229,MATCH($B250,$B$206:$B$229,FALSE))=0,NA(),INDEX(AS$14:AS$37,MATCH($B250,$B$14:$B$37,FALSE))/INDEX($F$206:$F$229,MATCH($B250,$B$206:$B$229,FALSE))),NA()),NA())</f>
        <v>#N/A</v>
      </c>
      <c r="AU250" s="65" t="e">
        <f>IF(AT58=1,IF(AT$13&lt;=COUNT($C30:$CS30),IF(INDEX($F$206:$F$229,MATCH($B250,$B$206:$B$229,FALSE))=0,NA(),INDEX(AT$14:AT$37,MATCH($B250,$B$14:$B$37,FALSE))/INDEX($F$206:$F$229,MATCH($B250,$B$206:$B$229,FALSE))),NA()),NA())</f>
        <v>#N/A</v>
      </c>
      <c r="AV250" s="65" t="e">
        <f>IF(AU58=1,IF(AU$13&lt;=COUNT($C30:$CS30),IF(INDEX($F$206:$F$229,MATCH($B250,$B$206:$B$229,FALSE))=0,NA(),INDEX(AU$14:AU$37,MATCH($B250,$B$14:$B$37,FALSE))/INDEX($F$206:$F$229,MATCH($B250,$B$206:$B$229,FALSE))),NA()),NA())</f>
        <v>#N/A</v>
      </c>
      <c r="AW250" s="65" t="e">
        <f>IF(AV58=1,IF(AV$13&lt;=COUNT($C30:$CS30),IF(INDEX($F$206:$F$229,MATCH($B250,$B$206:$B$229,FALSE))=0,NA(),INDEX(AV$14:AV$37,MATCH($B250,$B$14:$B$37,FALSE))/INDEX($F$206:$F$229,MATCH($B250,$B$206:$B$229,FALSE))),NA()),NA())</f>
        <v>#N/A</v>
      </c>
      <c r="AX250" s="65" t="e">
        <f>IF(AW58=1,IF(AW$13&lt;=COUNT($C30:$CS30),IF(INDEX($F$206:$F$229,MATCH($B250,$B$206:$B$229,FALSE))=0,NA(),INDEX(AW$14:AW$37,MATCH($B250,$B$14:$B$37,FALSE))/INDEX($F$206:$F$229,MATCH($B250,$B$206:$B$229,FALSE))),NA()),NA())</f>
        <v>#N/A</v>
      </c>
      <c r="AY250" s="65" t="e">
        <f>IF(AX58=1,IF(AX$13&lt;=COUNT($C30:$CS30),IF(INDEX($F$206:$F$229,MATCH($B250,$B$206:$B$229,FALSE))=0,NA(),INDEX(AX$14:AX$37,MATCH($B250,$B$14:$B$37,FALSE))/INDEX($F$206:$F$229,MATCH($B250,$B$206:$B$229,FALSE))),NA()),NA())</f>
        <v>#N/A</v>
      </c>
      <c r="AZ250" s="65" t="e">
        <f>IF(AY58=1,IF(AY$13&lt;=COUNT($C30:$CS30),IF(INDEX($F$206:$F$229,MATCH($B250,$B$206:$B$229,FALSE))=0,NA(),INDEX(AY$14:AY$37,MATCH($B250,$B$14:$B$37,FALSE))/INDEX($F$206:$F$229,MATCH($B250,$B$206:$B$229,FALSE))),NA()),NA())</f>
        <v>#N/A</v>
      </c>
      <c r="BA250" s="65" t="e">
        <f>IF(AZ58=1,IF(AZ$13&lt;=COUNT($C30:$CS30),IF(INDEX($F$206:$F$229,MATCH($B250,$B$206:$B$229,FALSE))=0,NA(),INDEX(AZ$14:AZ$37,MATCH($B250,$B$14:$B$37,FALSE))/INDEX($F$206:$F$229,MATCH($B250,$B$206:$B$229,FALSE))),NA()),NA())</f>
        <v>#N/A</v>
      </c>
      <c r="BB250" s="65" t="e">
        <f>IF(BA58=1,IF(BA$13&lt;=COUNT($C30:$CS30),IF(INDEX($F$206:$F$229,MATCH($B250,$B$206:$B$229,FALSE))=0,NA(),INDEX(BA$14:BA$37,MATCH($B250,$B$14:$B$37,FALSE))/INDEX($F$206:$F$229,MATCH($B250,$B$206:$B$229,FALSE))),NA()),NA())</f>
        <v>#N/A</v>
      </c>
      <c r="BC250" s="65" t="e">
        <f>IF(BB58=1,IF(BB$13&lt;=COUNT($C30:$CS30),IF(INDEX($F$206:$F$229,MATCH($B250,$B$206:$B$229,FALSE))=0,NA(),INDEX(BB$14:BB$37,MATCH($B250,$B$14:$B$37,FALSE))/INDEX($F$206:$F$229,MATCH($B250,$B$206:$B$229,FALSE))),NA()),NA())</f>
        <v>#N/A</v>
      </c>
      <c r="BD250" s="65" t="e">
        <f>IF(BC58=1,IF(BC$13&lt;=COUNT($C30:$CS30),IF(INDEX($F$206:$F$229,MATCH($B250,$B$206:$B$229,FALSE))=0,NA(),INDEX(BC$14:BC$37,MATCH($B250,$B$14:$B$37,FALSE))/INDEX($F$206:$F$229,MATCH($B250,$B$206:$B$229,FALSE))),NA()),NA())</f>
        <v>#N/A</v>
      </c>
      <c r="BE250" s="65" t="e">
        <f>IF(BD58=1,IF(BD$13&lt;=COUNT($C30:$CS30),IF(INDEX($F$206:$F$229,MATCH($B250,$B$206:$B$229,FALSE))=0,NA(),INDEX(BD$14:BD$37,MATCH($B250,$B$14:$B$37,FALSE))/INDEX($F$206:$F$229,MATCH($B250,$B$206:$B$229,FALSE))),NA()),NA())</f>
        <v>#N/A</v>
      </c>
      <c r="BF250" s="65" t="e">
        <f>IF(BE58=1,IF(BE$13&lt;=COUNT($C30:$CS30),IF(INDEX($F$206:$F$229,MATCH($B250,$B$206:$B$229,FALSE))=0,NA(),INDEX(BE$14:BE$37,MATCH($B250,$B$14:$B$37,FALSE))/INDEX($F$206:$F$229,MATCH($B250,$B$206:$B$229,FALSE))),NA()),NA())</f>
        <v>#N/A</v>
      </c>
      <c r="BG250" s="65" t="e">
        <f>IF(BF58=1,IF(BF$13&lt;=COUNT($C30:$CS30),IF(INDEX($F$206:$F$229,MATCH($B250,$B$206:$B$229,FALSE))=0,NA(),INDEX(BF$14:BF$37,MATCH($B250,$B$14:$B$37,FALSE))/INDEX($F$206:$F$229,MATCH($B250,$B$206:$B$229,FALSE))),NA()),NA())</f>
        <v>#N/A</v>
      </c>
      <c r="BH250" s="65" t="e">
        <f>IF(BG58=1,IF(BG$13&lt;=COUNT($C30:$CS30),IF(INDEX($F$206:$F$229,MATCH($B250,$B$206:$B$229,FALSE))=0,NA(),INDEX(BG$14:BG$37,MATCH($B250,$B$14:$B$37,FALSE))/INDEX($F$206:$F$229,MATCH($B250,$B$206:$B$229,FALSE))),NA()),NA())</f>
        <v>#N/A</v>
      </c>
      <c r="BI250" s="65" t="e">
        <f>IF(BH58=1,IF(BH$13&lt;=COUNT($C30:$CS30),IF(INDEX($F$206:$F$229,MATCH($B250,$B$206:$B$229,FALSE))=0,NA(),INDEX(BH$14:BH$37,MATCH($B250,$B$14:$B$37,FALSE))/INDEX($F$206:$F$229,MATCH($B250,$B$206:$B$229,FALSE))),NA()),NA())</f>
        <v>#N/A</v>
      </c>
      <c r="BJ250" s="65" t="e">
        <f>IF(BI58=1,IF(BI$13&lt;=COUNT($C30:$CS30),IF(INDEX($F$206:$F$229,MATCH($B250,$B$206:$B$229,FALSE))=0,NA(),INDEX(BI$14:BI$37,MATCH($B250,$B$14:$B$37,FALSE))/INDEX($F$206:$F$229,MATCH($B250,$B$206:$B$229,FALSE))),NA()),NA())</f>
        <v>#N/A</v>
      </c>
      <c r="BK250" s="65" t="e">
        <f>IF(BJ58=1,IF(BJ$13&lt;=COUNT($C30:$CS30),IF(INDEX($F$206:$F$229,MATCH($B250,$B$206:$B$229,FALSE))=0,NA(),INDEX(BJ$14:BJ$37,MATCH($B250,$B$14:$B$37,FALSE))/INDEX($F$206:$F$229,MATCH($B250,$B$206:$B$229,FALSE))),NA()),NA())</f>
        <v>#N/A</v>
      </c>
      <c r="BL250" s="65" t="e">
        <f>IF(BK58=1,IF(BK$13&lt;=COUNT($C30:$CS30),IF(INDEX($F$206:$F$229,MATCH($B250,$B$206:$B$229,FALSE))=0,NA(),INDEX(BK$14:BK$37,MATCH($B250,$B$14:$B$37,FALSE))/INDEX($F$206:$F$229,MATCH($B250,$B$206:$B$229,FALSE))),NA()),NA())</f>
        <v>#N/A</v>
      </c>
      <c r="BM250" s="65" t="e">
        <f>IF(BL58=1,IF(BL$13&lt;=COUNT($C30:$CS30),IF(INDEX($F$206:$F$229,MATCH($B250,$B$206:$B$229,FALSE))=0,NA(),INDEX(BL$14:BL$37,MATCH($B250,$B$14:$B$37,FALSE))/INDEX($F$206:$F$229,MATCH($B250,$B$206:$B$229,FALSE))),NA()),NA())</f>
        <v>#N/A</v>
      </c>
      <c r="BN250" s="65" t="e">
        <f>IF(BM58=1,IF(BM$13&lt;=COUNT($C30:$CS30),IF(INDEX($F$206:$F$229,MATCH($B250,$B$206:$B$229,FALSE))=0,NA(),INDEX(BM$14:BM$37,MATCH($B250,$B$14:$B$37,FALSE))/INDEX($F$206:$F$229,MATCH($B250,$B$206:$B$229,FALSE))),NA()),NA())</f>
        <v>#N/A</v>
      </c>
      <c r="BO250" s="65" t="e">
        <f>IF(BN58=1,IF(BN$13&lt;=COUNT($C30:$CS30),IF(INDEX($F$206:$F$229,MATCH($B250,$B$206:$B$229,FALSE))=0,NA(),INDEX(BN$14:BN$37,MATCH($B250,$B$14:$B$37,FALSE))/INDEX($F$206:$F$229,MATCH($B250,$B$206:$B$229,FALSE))),NA()),NA())</f>
        <v>#N/A</v>
      </c>
      <c r="BP250" s="65" t="e">
        <f>IF(BO58=1,IF(BO$13&lt;=COUNT($C30:$CS30),IF(INDEX($F$206:$F$229,MATCH($B250,$B$206:$B$229,FALSE))=0,NA(),INDEX(BO$14:BO$37,MATCH($B250,$B$14:$B$37,FALSE))/INDEX($F$206:$F$229,MATCH($B250,$B$206:$B$229,FALSE))),NA()),NA())</f>
        <v>#N/A</v>
      </c>
      <c r="BQ250" s="65" t="e">
        <f>IF(BP58=1,IF(BP$13&lt;=COUNT($C30:$CS30),IF(INDEX($F$206:$F$229,MATCH($B250,$B$206:$B$229,FALSE))=0,NA(),INDEX(BP$14:BP$37,MATCH($B250,$B$14:$B$37,FALSE))/INDEX($F$206:$F$229,MATCH($B250,$B$206:$B$229,FALSE))),NA()),NA())</f>
        <v>#N/A</v>
      </c>
      <c r="BR250" s="65" t="e">
        <f>IF(BQ58=1,IF(BQ$13&lt;=COUNT($C30:$CS30),IF(INDEX($F$206:$F$229,MATCH($B250,$B$206:$B$229,FALSE))=0,NA(),INDEX(BQ$14:BQ$37,MATCH($B250,$B$14:$B$37,FALSE))/INDEX($F$206:$F$229,MATCH($B250,$B$206:$B$229,FALSE))),NA()),NA())</f>
        <v>#N/A</v>
      </c>
      <c r="BS250" s="65" t="e">
        <f>IF(BR58=1,IF(BR$13&lt;=COUNT($C30:$CS30),IF(INDEX($F$206:$F$229,MATCH($B250,$B$206:$B$229,FALSE))=0,NA(),INDEX(BR$14:BR$37,MATCH($B250,$B$14:$B$37,FALSE))/INDEX($F$206:$F$229,MATCH($B250,$B$206:$B$229,FALSE))),NA()),NA())</f>
        <v>#N/A</v>
      </c>
      <c r="BT250" s="65" t="e">
        <f>IF(BS58=1,IF(BS$13&lt;=COUNT($C30:$CS30),IF(INDEX($F$206:$F$229,MATCH($B250,$B$206:$B$229,FALSE))=0,NA(),INDEX(BS$14:BS$37,MATCH($B250,$B$14:$B$37,FALSE))/INDEX($F$206:$F$229,MATCH($B250,$B$206:$B$229,FALSE))),NA()),NA())</f>
        <v>#N/A</v>
      </c>
      <c r="BU250" s="65" t="e">
        <f>IF(BT58=1,IF(BT$13&lt;=COUNT($C30:$CS30),IF(INDEX($F$206:$F$229,MATCH($B250,$B$206:$B$229,FALSE))=0,NA(),INDEX(BT$14:BT$37,MATCH($B250,$B$14:$B$37,FALSE))/INDEX($F$206:$F$229,MATCH($B250,$B$206:$B$229,FALSE))),NA()),NA())</f>
        <v>#N/A</v>
      </c>
      <c r="BV250" s="65" t="e">
        <f>IF(BU58=1,IF(BU$13&lt;=COUNT($C30:$CS30),IF(INDEX($F$206:$F$229,MATCH($B250,$B$206:$B$229,FALSE))=0,NA(),INDEX(BU$14:BU$37,MATCH($B250,$B$14:$B$37,FALSE))/INDEX($F$206:$F$229,MATCH($B250,$B$206:$B$229,FALSE))),NA()),NA())</f>
        <v>#N/A</v>
      </c>
      <c r="BW250" s="65" t="e">
        <f>IF(BV58=1,IF(BV$13&lt;=COUNT($C30:$CS30),IF(INDEX($F$206:$F$229,MATCH($B250,$B$206:$B$229,FALSE))=0,NA(),INDEX(BV$14:BV$37,MATCH($B250,$B$14:$B$37,FALSE))/INDEX($F$206:$F$229,MATCH($B250,$B$206:$B$229,FALSE))),NA()),NA())</f>
        <v>#N/A</v>
      </c>
      <c r="BX250" s="65" t="e">
        <f>IF(BW58=1,IF(BW$13&lt;=COUNT($C30:$CS30),IF(INDEX($F$206:$F$229,MATCH($B250,$B$206:$B$229,FALSE))=0,NA(),INDEX(BW$14:BW$37,MATCH($B250,$B$14:$B$37,FALSE))/INDEX($F$206:$F$229,MATCH($B250,$B$206:$B$229,FALSE))),NA()),NA())</f>
        <v>#N/A</v>
      </c>
      <c r="BY250" s="65" t="e">
        <f>IF(BX58=1,IF(BX$13&lt;=COUNT($C30:$CS30),IF(INDEX($F$206:$F$229,MATCH($B250,$B$206:$B$229,FALSE))=0,NA(),INDEX(BX$14:BX$37,MATCH($B250,$B$14:$B$37,FALSE))/INDEX($F$206:$F$229,MATCH($B250,$B$206:$B$229,FALSE))),NA()),NA())</f>
        <v>#N/A</v>
      </c>
      <c r="BZ250" s="65" t="e">
        <f>IF(BY58=1,IF(BY$13&lt;=COUNT($C30:$CS30),IF(INDEX($F$206:$F$229,MATCH($B250,$B$206:$B$229,FALSE))=0,NA(),INDEX(BY$14:BY$37,MATCH($B250,$B$14:$B$37,FALSE))/INDEX($F$206:$F$229,MATCH($B250,$B$206:$B$229,FALSE))),NA()),NA())</f>
        <v>#N/A</v>
      </c>
      <c r="CA250" s="65" t="e">
        <f>IF(BZ58=1,IF(BZ$13&lt;=COUNT($C30:$CS30),IF(INDEX($F$206:$F$229,MATCH($B250,$B$206:$B$229,FALSE))=0,NA(),INDEX(BZ$14:BZ$37,MATCH($B250,$B$14:$B$37,FALSE))/INDEX($F$206:$F$229,MATCH($B250,$B$206:$B$229,FALSE))),NA()),NA())</f>
        <v>#N/A</v>
      </c>
      <c r="CB250" s="65" t="e">
        <f>IF(CA58=1,IF(CA$13&lt;=COUNT($C30:$CS30),IF(INDEX($F$206:$F$229,MATCH($B250,$B$206:$B$229,FALSE))=0,NA(),INDEX(CA$14:CA$37,MATCH($B250,$B$14:$B$37,FALSE))/INDEX($F$206:$F$229,MATCH($B250,$B$206:$B$229,FALSE))),NA()),NA())</f>
        <v>#N/A</v>
      </c>
      <c r="CC250" s="65" t="e">
        <f>IF(CB58=1,IF(CB$13&lt;=COUNT($C30:$CS30),IF(INDEX($F$206:$F$229,MATCH($B250,$B$206:$B$229,FALSE))=0,NA(),INDEX(CB$14:CB$37,MATCH($B250,$B$14:$B$37,FALSE))/INDEX($F$206:$F$229,MATCH($B250,$B$206:$B$229,FALSE))),NA()),NA())</f>
        <v>#N/A</v>
      </c>
      <c r="CD250" s="65" t="e">
        <f>IF(CC58=1,IF(CC$13&lt;=COUNT($C30:$CS30),IF(INDEX($F$206:$F$229,MATCH($B250,$B$206:$B$229,FALSE))=0,NA(),INDEX(CC$14:CC$37,MATCH($B250,$B$14:$B$37,FALSE))/INDEX($F$206:$F$229,MATCH($B250,$B$206:$B$229,FALSE))),NA()),NA())</f>
        <v>#N/A</v>
      </c>
      <c r="CE250" s="65" t="e">
        <f>IF(CD58=1,IF(CD$13&lt;=COUNT($C30:$CS30),IF(INDEX($F$206:$F$229,MATCH($B250,$B$206:$B$229,FALSE))=0,NA(),INDEX(CD$14:CD$37,MATCH($B250,$B$14:$B$37,FALSE))/INDEX($F$206:$F$229,MATCH($B250,$B$206:$B$229,FALSE))),NA()),NA())</f>
        <v>#N/A</v>
      </c>
      <c r="CF250" s="65" t="e">
        <f>IF(CE58=1,IF(CE$13&lt;=COUNT($C30:$CS30),IF(INDEX($F$206:$F$229,MATCH($B250,$B$206:$B$229,FALSE))=0,NA(),INDEX(CE$14:CE$37,MATCH($B250,$B$14:$B$37,FALSE))/INDEX($F$206:$F$229,MATCH($B250,$B$206:$B$229,FALSE))),NA()),NA())</f>
        <v>#N/A</v>
      </c>
      <c r="CG250" s="65" t="e">
        <f>IF(CF58=1,IF(CF$13&lt;=COUNT($C30:$CS30),IF(INDEX($F$206:$F$229,MATCH($B250,$B$206:$B$229,FALSE))=0,NA(),INDEX(CF$14:CF$37,MATCH($B250,$B$14:$B$37,FALSE))/INDEX($F$206:$F$229,MATCH($B250,$B$206:$B$229,FALSE))),NA()),NA())</f>
        <v>#N/A</v>
      </c>
      <c r="CH250" s="65" t="e">
        <f>IF(CG58=1,IF(CG$13&lt;=COUNT($C30:$CS30),IF(INDEX($F$206:$F$229,MATCH($B250,$B$206:$B$229,FALSE))=0,NA(),INDEX(CG$14:CG$37,MATCH($B250,$B$14:$B$37,FALSE))/INDEX($F$206:$F$229,MATCH($B250,$B$206:$B$229,FALSE))),NA()),NA())</f>
        <v>#N/A</v>
      </c>
      <c r="CI250" s="65" t="e">
        <f>IF(CH58=1,IF(CH$13&lt;=COUNT($C30:$CS30),IF(INDEX($F$206:$F$229,MATCH($B250,$B$206:$B$229,FALSE))=0,NA(),INDEX(CH$14:CH$37,MATCH($B250,$B$14:$B$37,FALSE))/INDEX($F$206:$F$229,MATCH($B250,$B$206:$B$229,FALSE))),NA()),NA())</f>
        <v>#N/A</v>
      </c>
      <c r="CJ250" s="65" t="e">
        <f>IF(CI58=1,IF(CI$13&lt;=COUNT($C30:$CS30),IF(INDEX($F$206:$F$229,MATCH($B250,$B$206:$B$229,FALSE))=0,NA(),INDEX(CI$14:CI$37,MATCH($B250,$B$14:$B$37,FALSE))/INDEX($F$206:$F$229,MATCH($B250,$B$206:$B$229,FALSE))),NA()),NA())</f>
        <v>#N/A</v>
      </c>
      <c r="CK250" s="65" t="e">
        <f>IF(CJ58=1,IF(CJ$13&lt;=COUNT($C30:$CS30),IF(INDEX($F$206:$F$229,MATCH($B250,$B$206:$B$229,FALSE))=0,NA(),INDEX(CJ$14:CJ$37,MATCH($B250,$B$14:$B$37,FALSE))/INDEX($F$206:$F$229,MATCH($B250,$B$206:$B$229,FALSE))),NA()),NA())</f>
        <v>#N/A</v>
      </c>
      <c r="CL250" s="65" t="e">
        <f>IF(CK58=1,IF(CK$13&lt;=COUNT($C30:$CS30),IF(INDEX($F$206:$F$229,MATCH($B250,$B$206:$B$229,FALSE))=0,NA(),INDEX(CK$14:CK$37,MATCH($B250,$B$14:$B$37,FALSE))/INDEX($F$206:$F$229,MATCH($B250,$B$206:$B$229,FALSE))),NA()),NA())</f>
        <v>#N/A</v>
      </c>
      <c r="CM250" s="65" t="e">
        <f>IF(CL58=1,IF(CL$13&lt;=COUNT($C30:$CS30),IF(INDEX($F$206:$F$229,MATCH($B250,$B$206:$B$229,FALSE))=0,NA(),INDEX(CL$14:CL$37,MATCH($B250,$B$14:$B$37,FALSE))/INDEX($F$206:$F$229,MATCH($B250,$B$206:$B$229,FALSE))),NA()),NA())</f>
        <v>#N/A</v>
      </c>
      <c r="CN250" s="65" t="e">
        <f>IF(CM58=1,IF(CM$13&lt;=COUNT($C30:$CS30),IF(INDEX($F$206:$F$229,MATCH($B250,$B$206:$B$229,FALSE))=0,NA(),INDEX(CM$14:CM$37,MATCH($B250,$B$14:$B$37,FALSE))/INDEX($F$206:$F$229,MATCH($B250,$B$206:$B$229,FALSE))),NA()),NA())</f>
        <v>#N/A</v>
      </c>
      <c r="CO250" s="65" t="e">
        <f>IF(CN58=1,IF(CN$13&lt;=COUNT($C30:$CS30),IF(INDEX($F$206:$F$229,MATCH($B250,$B$206:$B$229,FALSE))=0,NA(),INDEX(CN$14:CN$37,MATCH($B250,$B$14:$B$37,FALSE))/INDEX($F$206:$F$229,MATCH($B250,$B$206:$B$229,FALSE))),NA()),NA())</f>
        <v>#N/A</v>
      </c>
      <c r="CP250" s="65" t="e">
        <f>IF(CO58=1,IF(CO$13&lt;=COUNT($C30:$CS30),IF(INDEX($F$206:$F$229,MATCH($B250,$B$206:$B$229,FALSE))=0,NA(),INDEX(CO$14:CO$37,MATCH($B250,$B$14:$B$37,FALSE))/INDEX($F$206:$F$229,MATCH($B250,$B$206:$B$229,FALSE))),NA()),NA())</f>
        <v>#N/A</v>
      </c>
      <c r="CQ250" s="65" t="e">
        <f>IF(CP58=1,IF(CP$13&lt;=COUNT($C30:$CS30),IF(INDEX($F$206:$F$229,MATCH($B250,$B$206:$B$229,FALSE))=0,NA(),INDEX(CP$14:CP$37,MATCH($B250,$B$14:$B$37,FALSE))/INDEX($F$206:$F$229,MATCH($B250,$B$206:$B$229,FALSE))),NA()),NA())</f>
        <v>#N/A</v>
      </c>
      <c r="CR250" s="65" t="e">
        <f>IF(CQ58=1,IF(CQ$13&lt;=COUNT($C30:$CS30),IF(INDEX($F$206:$F$229,MATCH($B250,$B$206:$B$229,FALSE))=0,NA(),INDEX(CQ$14:CQ$37,MATCH($B250,$B$14:$B$37,FALSE))/INDEX($F$206:$F$229,MATCH($B250,$B$206:$B$229,FALSE))),NA()),NA())</f>
        <v>#N/A</v>
      </c>
      <c r="CS250" s="65" t="e">
        <f>IF(CR58=1,IF(CR$13&lt;=COUNT($C30:$CS30),IF(INDEX($F$206:$F$229,MATCH($B250,$B$206:$B$229,FALSE))=0,NA(),INDEX(CR$14:CR$37,MATCH($B250,$B$14:$B$37,FALSE))/INDEX($F$206:$F$229,MATCH($B250,$B$206:$B$229,FALSE))),NA()),NA())</f>
        <v>#N/A</v>
      </c>
      <c r="CT250" s="49"/>
      <c r="CU250" s="49"/>
      <c r="CV250" s="49"/>
      <c r="CW250" s="49"/>
    </row>
    <row r="251" spans="1:101" x14ac:dyDescent="0.25">
      <c r="A251" s="97">
        <f t="shared" si="105"/>
        <v>1</v>
      </c>
      <c r="B251" s="29">
        <f t="shared" si="104"/>
        <v>2013</v>
      </c>
      <c r="C251" s="154" t="str">
        <f t="shared" si="106"/>
        <v/>
      </c>
      <c r="D251" s="54" t="e">
        <f ca="1">IF(C59=1,IF(C$13&lt;=COUNT($C31:$CS31),IF(INDEX($F$206:$F$229,MATCH($B251,$B$206:$B$229,FALSE))=0,NA(),INDEX(C$14:C$37,MATCH($B251,$B$14:$B$37,FALSE))/INDEX($F$206:$F$229,MATCH($B251,$B$206:$B$229,FALSE))),NA()),NA())</f>
        <v>#N/A</v>
      </c>
      <c r="E251" s="65" t="e">
        <f ca="1">IF(D59=1,IF(D$13&lt;=COUNT($C31:$CS31),IF(INDEX($F$206:$F$229,MATCH($B251,$B$206:$B$229,FALSE))=0,NA(),INDEX(D$14:D$37,MATCH($B251,$B$14:$B$37,FALSE))/INDEX($F$206:$F$229,MATCH($B251,$B$206:$B$229,FALSE))),NA()),NA())</f>
        <v>#N/A</v>
      </c>
      <c r="F251" s="65" t="e">
        <f ca="1">IF(E59=1,IF(E$13&lt;=COUNT($C31:$CS31),IF(INDEX($F$206:$F$229,MATCH($B251,$B$206:$B$229,FALSE))=0,NA(),INDEX(E$14:E$37,MATCH($B251,$B$14:$B$37,FALSE))/INDEX($F$206:$F$229,MATCH($B251,$B$206:$B$229,FALSE))),NA()),NA())</f>
        <v>#N/A</v>
      </c>
      <c r="G251" s="65" t="e">
        <f ca="1">IF(F59=1,IF(F$13&lt;=COUNT($C31:$CS31),IF(INDEX($F$206:$F$229,MATCH($B251,$B$206:$B$229,FALSE))=0,NA(),INDEX(F$14:F$37,MATCH($B251,$B$14:$B$37,FALSE))/INDEX($F$206:$F$229,MATCH($B251,$B$206:$B$229,FALSE))),NA()),NA())</f>
        <v>#N/A</v>
      </c>
      <c r="H251" s="65" t="e">
        <f ca="1">IF(G59=1,IF(G$13&lt;=COUNT($C31:$CS31),IF(INDEX($F$206:$F$229,MATCH($B251,$B$206:$B$229,FALSE))=0,NA(),INDEX(G$14:G$37,MATCH($B251,$B$14:$B$37,FALSE))/INDEX($F$206:$F$229,MATCH($B251,$B$206:$B$229,FALSE))),NA()),NA())</f>
        <v>#N/A</v>
      </c>
      <c r="I251" s="65" t="e">
        <f ca="1">IF(H59=1,IF(H$13&lt;=COUNT($C31:$CS31),IF(INDEX($F$206:$F$229,MATCH($B251,$B$206:$B$229,FALSE))=0,NA(),INDEX(H$14:H$37,MATCH($B251,$B$14:$B$37,FALSE))/INDEX($F$206:$F$229,MATCH($B251,$B$206:$B$229,FALSE))),NA()),NA())</f>
        <v>#N/A</v>
      </c>
      <c r="J251" s="65" t="e">
        <f ca="1">IF(I59=1,IF(I$13&lt;=COUNT($C31:$CS31),IF(INDEX($F$206:$F$229,MATCH($B251,$B$206:$B$229,FALSE))=0,NA(),INDEX(I$14:I$37,MATCH($B251,$B$14:$B$37,FALSE))/INDEX($F$206:$F$229,MATCH($B251,$B$206:$B$229,FALSE))),NA()),NA())</f>
        <v>#N/A</v>
      </c>
      <c r="K251" s="65" t="e">
        <f>IF(J59=1,IF(J$13&lt;=COUNT($C31:$CS31),IF(INDEX($F$206:$F$229,MATCH($B251,$B$206:$B$229,FALSE))=0,NA(),INDEX(J$14:J$37,MATCH($B251,$B$14:$B$37,FALSE))/INDEX($F$206:$F$229,MATCH($B251,$B$206:$B$229,FALSE))),NA()),NA())</f>
        <v>#N/A</v>
      </c>
      <c r="L251" s="65" t="e">
        <f>IF(K59=1,IF(K$13&lt;=COUNT($C31:$CS31),IF(INDEX($F$206:$F$229,MATCH($B251,$B$206:$B$229,FALSE))=0,NA(),INDEX(K$14:K$37,MATCH($B251,$B$14:$B$37,FALSE))/INDEX($F$206:$F$229,MATCH($B251,$B$206:$B$229,FALSE))),NA()),NA())</f>
        <v>#N/A</v>
      </c>
      <c r="M251" s="65" t="e">
        <f>IF(L59=1,IF(L$13&lt;=COUNT($C31:$CS31),IF(INDEX($F$206:$F$229,MATCH($B251,$B$206:$B$229,FALSE))=0,NA(),INDEX(L$14:L$37,MATCH($B251,$B$14:$B$37,FALSE))/INDEX($F$206:$F$229,MATCH($B251,$B$206:$B$229,FALSE))),NA()),NA())</f>
        <v>#N/A</v>
      </c>
      <c r="N251" s="65" t="e">
        <f>IF(M59=1,IF(M$13&lt;=COUNT($C31:$CS31),IF(INDEX($F$206:$F$229,MATCH($B251,$B$206:$B$229,FALSE))=0,NA(),INDEX(M$14:M$37,MATCH($B251,$B$14:$B$37,FALSE))/INDEX($F$206:$F$229,MATCH($B251,$B$206:$B$229,FALSE))),NA()),NA())</f>
        <v>#N/A</v>
      </c>
      <c r="O251" s="65" t="e">
        <f>IF(N59=1,IF(N$13&lt;=COUNT($C31:$CS31),IF(INDEX($F$206:$F$229,MATCH($B251,$B$206:$B$229,FALSE))=0,NA(),INDEX(N$14:N$37,MATCH($B251,$B$14:$B$37,FALSE))/INDEX($F$206:$F$229,MATCH($B251,$B$206:$B$229,FALSE))),NA()),NA())</f>
        <v>#N/A</v>
      </c>
      <c r="P251" s="65" t="e">
        <f>IF(O59=1,IF(O$13&lt;=COUNT($C31:$CS31),IF(INDEX($F$206:$F$229,MATCH($B251,$B$206:$B$229,FALSE))=0,NA(),INDEX(O$14:O$37,MATCH($B251,$B$14:$B$37,FALSE))/INDEX($F$206:$F$229,MATCH($B251,$B$206:$B$229,FALSE))),NA()),NA())</f>
        <v>#N/A</v>
      </c>
      <c r="Q251" s="65" t="e">
        <f>IF(P59=1,IF(P$13&lt;=COUNT($C31:$CS31),IF(INDEX($F$206:$F$229,MATCH($B251,$B$206:$B$229,FALSE))=0,NA(),INDEX(P$14:P$37,MATCH($B251,$B$14:$B$37,FALSE))/INDEX($F$206:$F$229,MATCH($B251,$B$206:$B$229,FALSE))),NA()),NA())</f>
        <v>#N/A</v>
      </c>
      <c r="R251" s="65" t="e">
        <f>IF(Q59=1,IF(Q$13&lt;=COUNT($C31:$CS31),IF(INDEX($F$206:$F$229,MATCH($B251,$B$206:$B$229,FALSE))=0,NA(),INDEX(Q$14:Q$37,MATCH($B251,$B$14:$B$37,FALSE))/INDEX($F$206:$F$229,MATCH($B251,$B$206:$B$229,FALSE))),NA()),NA())</f>
        <v>#N/A</v>
      </c>
      <c r="S251" s="65" t="e">
        <f>IF(R59=1,IF(R$13&lt;=COUNT($C31:$CS31),IF(INDEX($F$206:$F$229,MATCH($B251,$B$206:$B$229,FALSE))=0,NA(),INDEX(R$14:R$37,MATCH($B251,$B$14:$B$37,FALSE))/INDEX($F$206:$F$229,MATCH($B251,$B$206:$B$229,FALSE))),NA()),NA())</f>
        <v>#N/A</v>
      </c>
      <c r="T251" s="65" t="e">
        <f>IF(S59=1,IF(S$13&lt;=COUNT($C31:$CS31),IF(INDEX($F$206:$F$229,MATCH($B251,$B$206:$B$229,FALSE))=0,NA(),INDEX(S$14:S$37,MATCH($B251,$B$14:$B$37,FALSE))/INDEX($F$206:$F$229,MATCH($B251,$B$206:$B$229,FALSE))),NA()),NA())</f>
        <v>#N/A</v>
      </c>
      <c r="U251" s="65" t="e">
        <f>IF(T59=1,IF(T$13&lt;=COUNT($C31:$CS31),IF(INDEX($F$206:$F$229,MATCH($B251,$B$206:$B$229,FALSE))=0,NA(),INDEX(T$14:T$37,MATCH($B251,$B$14:$B$37,FALSE))/INDEX($F$206:$F$229,MATCH($B251,$B$206:$B$229,FALSE))),NA()),NA())</f>
        <v>#N/A</v>
      </c>
      <c r="V251" s="65" t="e">
        <f>IF(U59=1,IF(U$13&lt;=COUNT($C31:$CS31),IF(INDEX($F$206:$F$229,MATCH($B251,$B$206:$B$229,FALSE))=0,NA(),INDEX(U$14:U$37,MATCH($B251,$B$14:$B$37,FALSE))/INDEX($F$206:$F$229,MATCH($B251,$B$206:$B$229,FALSE))),NA()),NA())</f>
        <v>#N/A</v>
      </c>
      <c r="W251" s="65" t="e">
        <f>IF(V59=1,IF(V$13&lt;=COUNT($C31:$CS31),IF(INDEX($F$206:$F$229,MATCH($B251,$B$206:$B$229,FALSE))=0,NA(),INDEX(V$14:V$37,MATCH($B251,$B$14:$B$37,FALSE))/INDEX($F$206:$F$229,MATCH($B251,$B$206:$B$229,FALSE))),NA()),NA())</f>
        <v>#N/A</v>
      </c>
      <c r="X251" s="65" t="e">
        <f>IF(W59=1,IF(W$13&lt;=COUNT($C31:$CS31),IF(INDEX($F$206:$F$229,MATCH($B251,$B$206:$B$229,FALSE))=0,NA(),INDEX(W$14:W$37,MATCH($B251,$B$14:$B$37,FALSE))/INDEX($F$206:$F$229,MATCH($B251,$B$206:$B$229,FALSE))),NA()),NA())</f>
        <v>#N/A</v>
      </c>
      <c r="Y251" s="65" t="e">
        <f>IF(X59=1,IF(X$13&lt;=COUNT($C31:$CS31),IF(INDEX($F$206:$F$229,MATCH($B251,$B$206:$B$229,FALSE))=0,NA(),INDEX(X$14:X$37,MATCH($B251,$B$14:$B$37,FALSE))/INDEX($F$206:$F$229,MATCH($B251,$B$206:$B$229,FALSE))),NA()),NA())</f>
        <v>#N/A</v>
      </c>
      <c r="Z251" s="65" t="e">
        <f>IF(Y59=1,IF(Y$13&lt;=COUNT($C31:$CS31),IF(INDEX($F$206:$F$229,MATCH($B251,$B$206:$B$229,FALSE))=0,NA(),INDEX(Y$14:Y$37,MATCH($B251,$B$14:$B$37,FALSE))/INDEX($F$206:$F$229,MATCH($B251,$B$206:$B$229,FALSE))),NA()),NA())</f>
        <v>#N/A</v>
      </c>
      <c r="AA251" s="65" t="e">
        <f>IF(Z59=1,IF(Z$13&lt;=COUNT($C31:$CS31),IF(INDEX($F$206:$F$229,MATCH($B251,$B$206:$B$229,FALSE))=0,NA(),INDEX(Z$14:Z$37,MATCH($B251,$B$14:$B$37,FALSE))/INDEX($F$206:$F$229,MATCH($B251,$B$206:$B$229,FALSE))),NA()),NA())</f>
        <v>#N/A</v>
      </c>
      <c r="AB251" s="65" t="e">
        <f>IF(AA59=1,IF(AA$13&lt;=COUNT($C31:$CS31),IF(INDEX($F$206:$F$229,MATCH($B251,$B$206:$B$229,FALSE))=0,NA(),INDEX(AA$14:AA$37,MATCH($B251,$B$14:$B$37,FALSE))/INDEX($F$206:$F$229,MATCH($B251,$B$206:$B$229,FALSE))),NA()),NA())</f>
        <v>#N/A</v>
      </c>
      <c r="AC251" s="65" t="e">
        <f>IF(AB59=1,IF(AB$13&lt;=COUNT($C31:$CS31),IF(INDEX($F$206:$F$229,MATCH($B251,$B$206:$B$229,FALSE))=0,NA(),INDEX(AB$14:AB$37,MATCH($B251,$B$14:$B$37,FALSE))/INDEX($F$206:$F$229,MATCH($B251,$B$206:$B$229,FALSE))),NA()),NA())</f>
        <v>#N/A</v>
      </c>
      <c r="AD251" s="65" t="e">
        <f>IF(AC59=1,IF(AC$13&lt;=COUNT($C31:$CS31),IF(INDEX($F$206:$F$229,MATCH($B251,$B$206:$B$229,FALSE))=0,NA(),INDEX(AC$14:AC$37,MATCH($B251,$B$14:$B$37,FALSE))/INDEX($F$206:$F$229,MATCH($B251,$B$206:$B$229,FALSE))),NA()),NA())</f>
        <v>#N/A</v>
      </c>
      <c r="AE251" s="65" t="e">
        <f>IF(AD59=1,IF(AD$13&lt;=COUNT($C31:$CS31),IF(INDEX($F$206:$F$229,MATCH($B251,$B$206:$B$229,FALSE))=0,NA(),INDEX(AD$14:AD$37,MATCH($B251,$B$14:$B$37,FALSE))/INDEX($F$206:$F$229,MATCH($B251,$B$206:$B$229,FALSE))),NA()),NA())</f>
        <v>#N/A</v>
      </c>
      <c r="AF251" s="65" t="e">
        <f>IF(AE59=1,IF(AE$13&lt;=COUNT($C31:$CS31),IF(INDEX($F$206:$F$229,MATCH($B251,$B$206:$B$229,FALSE))=0,NA(),INDEX(AE$14:AE$37,MATCH($B251,$B$14:$B$37,FALSE))/INDEX($F$206:$F$229,MATCH($B251,$B$206:$B$229,FALSE))),NA()),NA())</f>
        <v>#N/A</v>
      </c>
      <c r="AG251" s="65" t="e">
        <f>IF(AF59=1,IF(AF$13&lt;=COUNT($C31:$CS31),IF(INDEX($F$206:$F$229,MATCH($B251,$B$206:$B$229,FALSE))=0,NA(),INDEX(AF$14:AF$37,MATCH($B251,$B$14:$B$37,FALSE))/INDEX($F$206:$F$229,MATCH($B251,$B$206:$B$229,FALSE))),NA()),NA())</f>
        <v>#N/A</v>
      </c>
      <c r="AH251" s="65" t="e">
        <f>IF(AG59=1,IF(AG$13&lt;=COUNT($C31:$CS31),IF(INDEX($F$206:$F$229,MATCH($B251,$B$206:$B$229,FALSE))=0,NA(),INDEX(AG$14:AG$37,MATCH($B251,$B$14:$B$37,FALSE))/INDEX($F$206:$F$229,MATCH($B251,$B$206:$B$229,FALSE))),NA()),NA())</f>
        <v>#N/A</v>
      </c>
      <c r="AI251" s="65" t="e">
        <f>IF(AH59=1,IF(AH$13&lt;=COUNT($C31:$CS31),IF(INDEX($F$206:$F$229,MATCH($B251,$B$206:$B$229,FALSE))=0,NA(),INDEX(AH$14:AH$37,MATCH($B251,$B$14:$B$37,FALSE))/INDEX($F$206:$F$229,MATCH($B251,$B$206:$B$229,FALSE))),NA()),NA())</f>
        <v>#N/A</v>
      </c>
      <c r="AJ251" s="65" t="e">
        <f>IF(AI59=1,IF(AI$13&lt;=COUNT($C31:$CS31),IF(INDEX($F$206:$F$229,MATCH($B251,$B$206:$B$229,FALSE))=0,NA(),INDEX(AI$14:AI$37,MATCH($B251,$B$14:$B$37,FALSE))/INDEX($F$206:$F$229,MATCH($B251,$B$206:$B$229,FALSE))),NA()),NA())</f>
        <v>#N/A</v>
      </c>
      <c r="AK251" s="65" t="e">
        <f>IF(AJ59=1,IF(AJ$13&lt;=COUNT($C31:$CS31),IF(INDEX($F$206:$F$229,MATCH($B251,$B$206:$B$229,FALSE))=0,NA(),INDEX(AJ$14:AJ$37,MATCH($B251,$B$14:$B$37,FALSE))/INDEX($F$206:$F$229,MATCH($B251,$B$206:$B$229,FALSE))),NA()),NA())</f>
        <v>#N/A</v>
      </c>
      <c r="AL251" s="65" t="e">
        <f>IF(AK59=1,IF(AK$13&lt;=COUNT($C31:$CS31),IF(INDEX($F$206:$F$229,MATCH($B251,$B$206:$B$229,FALSE))=0,NA(),INDEX(AK$14:AK$37,MATCH($B251,$B$14:$B$37,FALSE))/INDEX($F$206:$F$229,MATCH($B251,$B$206:$B$229,FALSE))),NA()),NA())</f>
        <v>#N/A</v>
      </c>
      <c r="AM251" s="65" t="e">
        <f>IF(AL59=1,IF(AL$13&lt;=COUNT($C31:$CS31),IF(INDEX($F$206:$F$229,MATCH($B251,$B$206:$B$229,FALSE))=0,NA(),INDEX(AL$14:AL$37,MATCH($B251,$B$14:$B$37,FALSE))/INDEX($F$206:$F$229,MATCH($B251,$B$206:$B$229,FALSE))),NA()),NA())</f>
        <v>#N/A</v>
      </c>
      <c r="AN251" s="65" t="e">
        <f>IF(AM59=1,IF(AM$13&lt;=COUNT($C31:$CS31),IF(INDEX($F$206:$F$229,MATCH($B251,$B$206:$B$229,FALSE))=0,NA(),INDEX(AM$14:AM$37,MATCH($B251,$B$14:$B$37,FALSE))/INDEX($F$206:$F$229,MATCH($B251,$B$206:$B$229,FALSE))),NA()),NA())</f>
        <v>#N/A</v>
      </c>
      <c r="AO251" s="65" t="e">
        <f>IF(AN59=1,IF(AN$13&lt;=COUNT($C31:$CS31),IF(INDEX($F$206:$F$229,MATCH($B251,$B$206:$B$229,FALSE))=0,NA(),INDEX(AN$14:AN$37,MATCH($B251,$B$14:$B$37,FALSE))/INDEX($F$206:$F$229,MATCH($B251,$B$206:$B$229,FALSE))),NA()),NA())</f>
        <v>#N/A</v>
      </c>
      <c r="AP251" s="65" t="e">
        <f>IF(AO59=1,IF(AO$13&lt;=COUNT($C31:$CS31),IF(INDEX($F$206:$F$229,MATCH($B251,$B$206:$B$229,FALSE))=0,NA(),INDEX(AO$14:AO$37,MATCH($B251,$B$14:$B$37,FALSE))/INDEX($F$206:$F$229,MATCH($B251,$B$206:$B$229,FALSE))),NA()),NA())</f>
        <v>#N/A</v>
      </c>
      <c r="AQ251" s="65" t="e">
        <f>IF(AP59=1,IF(AP$13&lt;=COUNT($C31:$CS31),IF(INDEX($F$206:$F$229,MATCH($B251,$B$206:$B$229,FALSE))=0,NA(),INDEX(AP$14:AP$37,MATCH($B251,$B$14:$B$37,FALSE))/INDEX($F$206:$F$229,MATCH($B251,$B$206:$B$229,FALSE))),NA()),NA())</f>
        <v>#N/A</v>
      </c>
      <c r="AR251" s="65" t="e">
        <f>IF(AQ59=1,IF(AQ$13&lt;=COUNT($C31:$CS31),IF(INDEX($F$206:$F$229,MATCH($B251,$B$206:$B$229,FALSE))=0,NA(),INDEX(AQ$14:AQ$37,MATCH($B251,$B$14:$B$37,FALSE))/INDEX($F$206:$F$229,MATCH($B251,$B$206:$B$229,FALSE))),NA()),NA())</f>
        <v>#N/A</v>
      </c>
      <c r="AS251" s="65" t="e">
        <f>IF(AR59=1,IF(AR$13&lt;=COUNT($C31:$CS31),IF(INDEX($F$206:$F$229,MATCH($B251,$B$206:$B$229,FALSE))=0,NA(),INDEX(AR$14:AR$37,MATCH($B251,$B$14:$B$37,FALSE))/INDEX($F$206:$F$229,MATCH($B251,$B$206:$B$229,FALSE))),NA()),NA())</f>
        <v>#N/A</v>
      </c>
      <c r="AT251" s="65" t="e">
        <f>IF(AS59=1,IF(AS$13&lt;=COUNT($C31:$CS31),IF(INDEX($F$206:$F$229,MATCH($B251,$B$206:$B$229,FALSE))=0,NA(),INDEX(AS$14:AS$37,MATCH($B251,$B$14:$B$37,FALSE))/INDEX($F$206:$F$229,MATCH($B251,$B$206:$B$229,FALSE))),NA()),NA())</f>
        <v>#N/A</v>
      </c>
      <c r="AU251" s="65" t="e">
        <f>IF(AT59=1,IF(AT$13&lt;=COUNT($C31:$CS31),IF(INDEX($F$206:$F$229,MATCH($B251,$B$206:$B$229,FALSE))=0,NA(),INDEX(AT$14:AT$37,MATCH($B251,$B$14:$B$37,FALSE))/INDEX($F$206:$F$229,MATCH($B251,$B$206:$B$229,FALSE))),NA()),NA())</f>
        <v>#N/A</v>
      </c>
      <c r="AV251" s="65" t="e">
        <f>IF(AU59=1,IF(AU$13&lt;=COUNT($C31:$CS31),IF(INDEX($F$206:$F$229,MATCH($B251,$B$206:$B$229,FALSE))=0,NA(),INDEX(AU$14:AU$37,MATCH($B251,$B$14:$B$37,FALSE))/INDEX($F$206:$F$229,MATCH($B251,$B$206:$B$229,FALSE))),NA()),NA())</f>
        <v>#N/A</v>
      </c>
      <c r="AW251" s="65" t="e">
        <f>IF(AV59=1,IF(AV$13&lt;=COUNT($C31:$CS31),IF(INDEX($F$206:$F$229,MATCH($B251,$B$206:$B$229,FALSE))=0,NA(),INDEX(AV$14:AV$37,MATCH($B251,$B$14:$B$37,FALSE))/INDEX($F$206:$F$229,MATCH($B251,$B$206:$B$229,FALSE))),NA()),NA())</f>
        <v>#N/A</v>
      </c>
      <c r="AX251" s="65" t="e">
        <f>IF(AW59=1,IF(AW$13&lt;=COUNT($C31:$CS31),IF(INDEX($F$206:$F$229,MATCH($B251,$B$206:$B$229,FALSE))=0,NA(),INDEX(AW$14:AW$37,MATCH($B251,$B$14:$B$37,FALSE))/INDEX($F$206:$F$229,MATCH($B251,$B$206:$B$229,FALSE))),NA()),NA())</f>
        <v>#N/A</v>
      </c>
      <c r="AY251" s="65" t="e">
        <f>IF(AX59=1,IF(AX$13&lt;=COUNT($C31:$CS31),IF(INDEX($F$206:$F$229,MATCH($B251,$B$206:$B$229,FALSE))=0,NA(),INDEX(AX$14:AX$37,MATCH($B251,$B$14:$B$37,FALSE))/INDEX($F$206:$F$229,MATCH($B251,$B$206:$B$229,FALSE))),NA()),NA())</f>
        <v>#N/A</v>
      </c>
      <c r="AZ251" s="65" t="e">
        <f>IF(AY59=1,IF(AY$13&lt;=COUNT($C31:$CS31),IF(INDEX($F$206:$F$229,MATCH($B251,$B$206:$B$229,FALSE))=0,NA(),INDEX(AY$14:AY$37,MATCH($B251,$B$14:$B$37,FALSE))/INDEX($F$206:$F$229,MATCH($B251,$B$206:$B$229,FALSE))),NA()),NA())</f>
        <v>#N/A</v>
      </c>
      <c r="BA251" s="65" t="e">
        <f>IF(AZ59=1,IF(AZ$13&lt;=COUNT($C31:$CS31),IF(INDEX($F$206:$F$229,MATCH($B251,$B$206:$B$229,FALSE))=0,NA(),INDEX(AZ$14:AZ$37,MATCH($B251,$B$14:$B$37,FALSE))/INDEX($F$206:$F$229,MATCH($B251,$B$206:$B$229,FALSE))),NA()),NA())</f>
        <v>#N/A</v>
      </c>
      <c r="BB251" s="65" t="e">
        <f>IF(BA59=1,IF(BA$13&lt;=COUNT($C31:$CS31),IF(INDEX($F$206:$F$229,MATCH($B251,$B$206:$B$229,FALSE))=0,NA(),INDEX(BA$14:BA$37,MATCH($B251,$B$14:$B$37,FALSE))/INDEX($F$206:$F$229,MATCH($B251,$B$206:$B$229,FALSE))),NA()),NA())</f>
        <v>#N/A</v>
      </c>
      <c r="BC251" s="65" t="e">
        <f>IF(BB59=1,IF(BB$13&lt;=COUNT($C31:$CS31),IF(INDEX($F$206:$F$229,MATCH($B251,$B$206:$B$229,FALSE))=0,NA(),INDEX(BB$14:BB$37,MATCH($B251,$B$14:$B$37,FALSE))/INDEX($F$206:$F$229,MATCH($B251,$B$206:$B$229,FALSE))),NA()),NA())</f>
        <v>#N/A</v>
      </c>
      <c r="BD251" s="65" t="e">
        <f>IF(BC59=1,IF(BC$13&lt;=COUNT($C31:$CS31),IF(INDEX($F$206:$F$229,MATCH($B251,$B$206:$B$229,FALSE))=0,NA(),INDEX(BC$14:BC$37,MATCH($B251,$B$14:$B$37,FALSE))/INDEX($F$206:$F$229,MATCH($B251,$B$206:$B$229,FALSE))),NA()),NA())</f>
        <v>#N/A</v>
      </c>
      <c r="BE251" s="65" t="e">
        <f>IF(BD59=1,IF(BD$13&lt;=COUNT($C31:$CS31),IF(INDEX($F$206:$F$229,MATCH($B251,$B$206:$B$229,FALSE))=0,NA(),INDEX(BD$14:BD$37,MATCH($B251,$B$14:$B$37,FALSE))/INDEX($F$206:$F$229,MATCH($B251,$B$206:$B$229,FALSE))),NA()),NA())</f>
        <v>#N/A</v>
      </c>
      <c r="BF251" s="65" t="e">
        <f>IF(BE59=1,IF(BE$13&lt;=COUNT($C31:$CS31),IF(INDEX($F$206:$F$229,MATCH($B251,$B$206:$B$229,FALSE))=0,NA(),INDEX(BE$14:BE$37,MATCH($B251,$B$14:$B$37,FALSE))/INDEX($F$206:$F$229,MATCH($B251,$B$206:$B$229,FALSE))),NA()),NA())</f>
        <v>#N/A</v>
      </c>
      <c r="BG251" s="65" t="e">
        <f>IF(BF59=1,IF(BF$13&lt;=COUNT($C31:$CS31),IF(INDEX($F$206:$F$229,MATCH($B251,$B$206:$B$229,FALSE))=0,NA(),INDEX(BF$14:BF$37,MATCH($B251,$B$14:$B$37,FALSE))/INDEX($F$206:$F$229,MATCH($B251,$B$206:$B$229,FALSE))),NA()),NA())</f>
        <v>#N/A</v>
      </c>
      <c r="BH251" s="65" t="e">
        <f>IF(BG59=1,IF(BG$13&lt;=COUNT($C31:$CS31),IF(INDEX($F$206:$F$229,MATCH($B251,$B$206:$B$229,FALSE))=0,NA(),INDEX(BG$14:BG$37,MATCH($B251,$B$14:$B$37,FALSE))/INDEX($F$206:$F$229,MATCH($B251,$B$206:$B$229,FALSE))),NA()),NA())</f>
        <v>#N/A</v>
      </c>
      <c r="BI251" s="65" t="e">
        <f>IF(BH59=1,IF(BH$13&lt;=COUNT($C31:$CS31),IF(INDEX($F$206:$F$229,MATCH($B251,$B$206:$B$229,FALSE))=0,NA(),INDEX(BH$14:BH$37,MATCH($B251,$B$14:$B$37,FALSE))/INDEX($F$206:$F$229,MATCH($B251,$B$206:$B$229,FALSE))),NA()),NA())</f>
        <v>#N/A</v>
      </c>
      <c r="BJ251" s="65" t="e">
        <f>IF(BI59=1,IF(BI$13&lt;=COUNT($C31:$CS31),IF(INDEX($F$206:$F$229,MATCH($B251,$B$206:$B$229,FALSE))=0,NA(),INDEX(BI$14:BI$37,MATCH($B251,$B$14:$B$37,FALSE))/INDEX($F$206:$F$229,MATCH($B251,$B$206:$B$229,FALSE))),NA()),NA())</f>
        <v>#N/A</v>
      </c>
      <c r="BK251" s="65" t="e">
        <f>IF(BJ59=1,IF(BJ$13&lt;=COUNT($C31:$CS31),IF(INDEX($F$206:$F$229,MATCH($B251,$B$206:$B$229,FALSE))=0,NA(),INDEX(BJ$14:BJ$37,MATCH($B251,$B$14:$B$37,FALSE))/INDEX($F$206:$F$229,MATCH($B251,$B$206:$B$229,FALSE))),NA()),NA())</f>
        <v>#N/A</v>
      </c>
      <c r="BL251" s="65" t="e">
        <f>IF(BK59=1,IF(BK$13&lt;=COUNT($C31:$CS31),IF(INDEX($F$206:$F$229,MATCH($B251,$B$206:$B$229,FALSE))=0,NA(),INDEX(BK$14:BK$37,MATCH($B251,$B$14:$B$37,FALSE))/INDEX($F$206:$F$229,MATCH($B251,$B$206:$B$229,FALSE))),NA()),NA())</f>
        <v>#N/A</v>
      </c>
      <c r="BM251" s="65" t="e">
        <f>IF(BL59=1,IF(BL$13&lt;=COUNT($C31:$CS31),IF(INDEX($F$206:$F$229,MATCH($B251,$B$206:$B$229,FALSE))=0,NA(),INDEX(BL$14:BL$37,MATCH($B251,$B$14:$B$37,FALSE))/INDEX($F$206:$F$229,MATCH($B251,$B$206:$B$229,FALSE))),NA()),NA())</f>
        <v>#N/A</v>
      </c>
      <c r="BN251" s="65" t="e">
        <f>IF(BM59=1,IF(BM$13&lt;=COUNT($C31:$CS31),IF(INDEX($F$206:$F$229,MATCH($B251,$B$206:$B$229,FALSE))=0,NA(),INDEX(BM$14:BM$37,MATCH($B251,$B$14:$B$37,FALSE))/INDEX($F$206:$F$229,MATCH($B251,$B$206:$B$229,FALSE))),NA()),NA())</f>
        <v>#N/A</v>
      </c>
      <c r="BO251" s="65" t="e">
        <f>IF(BN59=1,IF(BN$13&lt;=COUNT($C31:$CS31),IF(INDEX($F$206:$F$229,MATCH($B251,$B$206:$B$229,FALSE))=0,NA(),INDEX(BN$14:BN$37,MATCH($B251,$B$14:$B$37,FALSE))/INDEX($F$206:$F$229,MATCH($B251,$B$206:$B$229,FALSE))),NA()),NA())</f>
        <v>#N/A</v>
      </c>
      <c r="BP251" s="65" t="e">
        <f>IF(BO59=1,IF(BO$13&lt;=COUNT($C31:$CS31),IF(INDEX($F$206:$F$229,MATCH($B251,$B$206:$B$229,FALSE))=0,NA(),INDEX(BO$14:BO$37,MATCH($B251,$B$14:$B$37,FALSE))/INDEX($F$206:$F$229,MATCH($B251,$B$206:$B$229,FALSE))),NA()),NA())</f>
        <v>#N/A</v>
      </c>
      <c r="BQ251" s="65" t="e">
        <f>IF(BP59=1,IF(BP$13&lt;=COUNT($C31:$CS31),IF(INDEX($F$206:$F$229,MATCH($B251,$B$206:$B$229,FALSE))=0,NA(),INDEX(BP$14:BP$37,MATCH($B251,$B$14:$B$37,FALSE))/INDEX($F$206:$F$229,MATCH($B251,$B$206:$B$229,FALSE))),NA()),NA())</f>
        <v>#N/A</v>
      </c>
      <c r="BR251" s="65" t="e">
        <f>IF(BQ59=1,IF(BQ$13&lt;=COUNT($C31:$CS31),IF(INDEX($F$206:$F$229,MATCH($B251,$B$206:$B$229,FALSE))=0,NA(),INDEX(BQ$14:BQ$37,MATCH($B251,$B$14:$B$37,FALSE))/INDEX($F$206:$F$229,MATCH($B251,$B$206:$B$229,FALSE))),NA()),NA())</f>
        <v>#N/A</v>
      </c>
      <c r="BS251" s="65" t="e">
        <f>IF(BR59=1,IF(BR$13&lt;=COUNT($C31:$CS31),IF(INDEX($F$206:$F$229,MATCH($B251,$B$206:$B$229,FALSE))=0,NA(),INDEX(BR$14:BR$37,MATCH($B251,$B$14:$B$37,FALSE))/INDEX($F$206:$F$229,MATCH($B251,$B$206:$B$229,FALSE))),NA()),NA())</f>
        <v>#N/A</v>
      </c>
      <c r="BT251" s="65" t="e">
        <f>IF(BS59=1,IF(BS$13&lt;=COUNT($C31:$CS31),IF(INDEX($F$206:$F$229,MATCH($B251,$B$206:$B$229,FALSE))=0,NA(),INDEX(BS$14:BS$37,MATCH($B251,$B$14:$B$37,FALSE))/INDEX($F$206:$F$229,MATCH($B251,$B$206:$B$229,FALSE))),NA()),NA())</f>
        <v>#N/A</v>
      </c>
      <c r="BU251" s="65" t="e">
        <f>IF(BT59=1,IF(BT$13&lt;=COUNT($C31:$CS31),IF(INDEX($F$206:$F$229,MATCH($B251,$B$206:$B$229,FALSE))=0,NA(),INDEX(BT$14:BT$37,MATCH($B251,$B$14:$B$37,FALSE))/INDEX($F$206:$F$229,MATCH($B251,$B$206:$B$229,FALSE))),NA()),NA())</f>
        <v>#N/A</v>
      </c>
      <c r="BV251" s="65" t="e">
        <f>IF(BU59=1,IF(BU$13&lt;=COUNT($C31:$CS31),IF(INDEX($F$206:$F$229,MATCH($B251,$B$206:$B$229,FALSE))=0,NA(),INDEX(BU$14:BU$37,MATCH($B251,$B$14:$B$37,FALSE))/INDEX($F$206:$F$229,MATCH($B251,$B$206:$B$229,FALSE))),NA()),NA())</f>
        <v>#N/A</v>
      </c>
      <c r="BW251" s="65" t="e">
        <f>IF(BV59=1,IF(BV$13&lt;=COUNT($C31:$CS31),IF(INDEX($F$206:$F$229,MATCH($B251,$B$206:$B$229,FALSE))=0,NA(),INDEX(BV$14:BV$37,MATCH($B251,$B$14:$B$37,FALSE))/INDEX($F$206:$F$229,MATCH($B251,$B$206:$B$229,FALSE))),NA()),NA())</f>
        <v>#N/A</v>
      </c>
      <c r="BX251" s="65" t="e">
        <f>IF(BW59=1,IF(BW$13&lt;=COUNT($C31:$CS31),IF(INDEX($F$206:$F$229,MATCH($B251,$B$206:$B$229,FALSE))=0,NA(),INDEX(BW$14:BW$37,MATCH($B251,$B$14:$B$37,FALSE))/INDEX($F$206:$F$229,MATCH($B251,$B$206:$B$229,FALSE))),NA()),NA())</f>
        <v>#N/A</v>
      </c>
      <c r="BY251" s="65" t="e">
        <f>IF(BX59=1,IF(BX$13&lt;=COUNT($C31:$CS31),IF(INDEX($F$206:$F$229,MATCH($B251,$B$206:$B$229,FALSE))=0,NA(),INDEX(BX$14:BX$37,MATCH($B251,$B$14:$B$37,FALSE))/INDEX($F$206:$F$229,MATCH($B251,$B$206:$B$229,FALSE))),NA()),NA())</f>
        <v>#N/A</v>
      </c>
      <c r="BZ251" s="65" t="e">
        <f>IF(BY59=1,IF(BY$13&lt;=COUNT($C31:$CS31),IF(INDEX($F$206:$F$229,MATCH($B251,$B$206:$B$229,FALSE))=0,NA(),INDEX(BY$14:BY$37,MATCH($B251,$B$14:$B$37,FALSE))/INDEX($F$206:$F$229,MATCH($B251,$B$206:$B$229,FALSE))),NA()),NA())</f>
        <v>#N/A</v>
      </c>
      <c r="CA251" s="65" t="e">
        <f>IF(BZ59=1,IF(BZ$13&lt;=COUNT($C31:$CS31),IF(INDEX($F$206:$F$229,MATCH($B251,$B$206:$B$229,FALSE))=0,NA(),INDEX(BZ$14:BZ$37,MATCH($B251,$B$14:$B$37,FALSE))/INDEX($F$206:$F$229,MATCH($B251,$B$206:$B$229,FALSE))),NA()),NA())</f>
        <v>#N/A</v>
      </c>
      <c r="CB251" s="65" t="e">
        <f>IF(CA59=1,IF(CA$13&lt;=COUNT($C31:$CS31),IF(INDEX($F$206:$F$229,MATCH($B251,$B$206:$B$229,FALSE))=0,NA(),INDEX(CA$14:CA$37,MATCH($B251,$B$14:$B$37,FALSE))/INDEX($F$206:$F$229,MATCH($B251,$B$206:$B$229,FALSE))),NA()),NA())</f>
        <v>#N/A</v>
      </c>
      <c r="CC251" s="65" t="e">
        <f>IF(CB59=1,IF(CB$13&lt;=COUNT($C31:$CS31),IF(INDEX($F$206:$F$229,MATCH($B251,$B$206:$B$229,FALSE))=0,NA(),INDEX(CB$14:CB$37,MATCH($B251,$B$14:$B$37,FALSE))/INDEX($F$206:$F$229,MATCH($B251,$B$206:$B$229,FALSE))),NA()),NA())</f>
        <v>#N/A</v>
      </c>
      <c r="CD251" s="65" t="e">
        <f>IF(CC59=1,IF(CC$13&lt;=COUNT($C31:$CS31),IF(INDEX($F$206:$F$229,MATCH($B251,$B$206:$B$229,FALSE))=0,NA(),INDEX(CC$14:CC$37,MATCH($B251,$B$14:$B$37,FALSE))/INDEX($F$206:$F$229,MATCH($B251,$B$206:$B$229,FALSE))),NA()),NA())</f>
        <v>#N/A</v>
      </c>
      <c r="CE251" s="65" t="e">
        <f>IF(CD59=1,IF(CD$13&lt;=COUNT($C31:$CS31),IF(INDEX($F$206:$F$229,MATCH($B251,$B$206:$B$229,FALSE))=0,NA(),INDEX(CD$14:CD$37,MATCH($B251,$B$14:$B$37,FALSE))/INDEX($F$206:$F$229,MATCH($B251,$B$206:$B$229,FALSE))),NA()),NA())</f>
        <v>#N/A</v>
      </c>
      <c r="CF251" s="65" t="e">
        <f>IF(CE59=1,IF(CE$13&lt;=COUNT($C31:$CS31),IF(INDEX($F$206:$F$229,MATCH($B251,$B$206:$B$229,FALSE))=0,NA(),INDEX(CE$14:CE$37,MATCH($B251,$B$14:$B$37,FALSE))/INDEX($F$206:$F$229,MATCH($B251,$B$206:$B$229,FALSE))),NA()),NA())</f>
        <v>#N/A</v>
      </c>
      <c r="CG251" s="65" t="e">
        <f>IF(CF59=1,IF(CF$13&lt;=COUNT($C31:$CS31),IF(INDEX($F$206:$F$229,MATCH($B251,$B$206:$B$229,FALSE))=0,NA(),INDEX(CF$14:CF$37,MATCH($B251,$B$14:$B$37,FALSE))/INDEX($F$206:$F$229,MATCH($B251,$B$206:$B$229,FALSE))),NA()),NA())</f>
        <v>#N/A</v>
      </c>
      <c r="CH251" s="65" t="e">
        <f>IF(CG59=1,IF(CG$13&lt;=COUNT($C31:$CS31),IF(INDEX($F$206:$F$229,MATCH($B251,$B$206:$B$229,FALSE))=0,NA(),INDEX(CG$14:CG$37,MATCH($B251,$B$14:$B$37,FALSE))/INDEX($F$206:$F$229,MATCH($B251,$B$206:$B$229,FALSE))),NA()),NA())</f>
        <v>#N/A</v>
      </c>
      <c r="CI251" s="65" t="e">
        <f>IF(CH59=1,IF(CH$13&lt;=COUNT($C31:$CS31),IF(INDEX($F$206:$F$229,MATCH($B251,$B$206:$B$229,FALSE))=0,NA(),INDEX(CH$14:CH$37,MATCH($B251,$B$14:$B$37,FALSE))/INDEX($F$206:$F$229,MATCH($B251,$B$206:$B$229,FALSE))),NA()),NA())</f>
        <v>#N/A</v>
      </c>
      <c r="CJ251" s="65" t="e">
        <f>IF(CI59=1,IF(CI$13&lt;=COUNT($C31:$CS31),IF(INDEX($F$206:$F$229,MATCH($B251,$B$206:$B$229,FALSE))=0,NA(),INDEX(CI$14:CI$37,MATCH($B251,$B$14:$B$37,FALSE))/INDEX($F$206:$F$229,MATCH($B251,$B$206:$B$229,FALSE))),NA()),NA())</f>
        <v>#N/A</v>
      </c>
      <c r="CK251" s="65" t="e">
        <f>IF(CJ59=1,IF(CJ$13&lt;=COUNT($C31:$CS31),IF(INDEX($F$206:$F$229,MATCH($B251,$B$206:$B$229,FALSE))=0,NA(),INDEX(CJ$14:CJ$37,MATCH($B251,$B$14:$B$37,FALSE))/INDEX($F$206:$F$229,MATCH($B251,$B$206:$B$229,FALSE))),NA()),NA())</f>
        <v>#N/A</v>
      </c>
      <c r="CL251" s="65" t="e">
        <f>IF(CK59=1,IF(CK$13&lt;=COUNT($C31:$CS31),IF(INDEX($F$206:$F$229,MATCH($B251,$B$206:$B$229,FALSE))=0,NA(),INDEX(CK$14:CK$37,MATCH($B251,$B$14:$B$37,FALSE))/INDEX($F$206:$F$229,MATCH($B251,$B$206:$B$229,FALSE))),NA()),NA())</f>
        <v>#N/A</v>
      </c>
      <c r="CM251" s="65" t="e">
        <f>IF(CL59=1,IF(CL$13&lt;=COUNT($C31:$CS31),IF(INDEX($F$206:$F$229,MATCH($B251,$B$206:$B$229,FALSE))=0,NA(),INDEX(CL$14:CL$37,MATCH($B251,$B$14:$B$37,FALSE))/INDEX($F$206:$F$229,MATCH($B251,$B$206:$B$229,FALSE))),NA()),NA())</f>
        <v>#N/A</v>
      </c>
      <c r="CN251" s="65" t="e">
        <f>IF(CM59=1,IF(CM$13&lt;=COUNT($C31:$CS31),IF(INDEX($F$206:$F$229,MATCH($B251,$B$206:$B$229,FALSE))=0,NA(),INDEX(CM$14:CM$37,MATCH($B251,$B$14:$B$37,FALSE))/INDEX($F$206:$F$229,MATCH($B251,$B$206:$B$229,FALSE))),NA()),NA())</f>
        <v>#N/A</v>
      </c>
      <c r="CO251" s="65" t="e">
        <f>IF(CN59=1,IF(CN$13&lt;=COUNT($C31:$CS31),IF(INDEX($F$206:$F$229,MATCH($B251,$B$206:$B$229,FALSE))=0,NA(),INDEX(CN$14:CN$37,MATCH($B251,$B$14:$B$37,FALSE))/INDEX($F$206:$F$229,MATCH($B251,$B$206:$B$229,FALSE))),NA()),NA())</f>
        <v>#N/A</v>
      </c>
      <c r="CP251" s="65" t="e">
        <f>IF(CO59=1,IF(CO$13&lt;=COUNT($C31:$CS31),IF(INDEX($F$206:$F$229,MATCH($B251,$B$206:$B$229,FALSE))=0,NA(),INDEX(CO$14:CO$37,MATCH($B251,$B$14:$B$37,FALSE))/INDEX($F$206:$F$229,MATCH($B251,$B$206:$B$229,FALSE))),NA()),NA())</f>
        <v>#N/A</v>
      </c>
      <c r="CQ251" s="65" t="e">
        <f>IF(CP59=1,IF(CP$13&lt;=COUNT($C31:$CS31),IF(INDEX($F$206:$F$229,MATCH($B251,$B$206:$B$229,FALSE))=0,NA(),INDEX(CP$14:CP$37,MATCH($B251,$B$14:$B$37,FALSE))/INDEX($F$206:$F$229,MATCH($B251,$B$206:$B$229,FALSE))),NA()),NA())</f>
        <v>#N/A</v>
      </c>
      <c r="CR251" s="65" t="e">
        <f>IF(CQ59=1,IF(CQ$13&lt;=COUNT($C31:$CS31),IF(INDEX($F$206:$F$229,MATCH($B251,$B$206:$B$229,FALSE))=0,NA(),INDEX(CQ$14:CQ$37,MATCH($B251,$B$14:$B$37,FALSE))/INDEX($F$206:$F$229,MATCH($B251,$B$206:$B$229,FALSE))),NA()),NA())</f>
        <v>#N/A</v>
      </c>
      <c r="CS251" s="65" t="e">
        <f>IF(CR59=1,IF(CR$13&lt;=COUNT($C31:$CS31),IF(INDEX($F$206:$F$229,MATCH($B251,$B$206:$B$229,FALSE))=0,NA(),INDEX(CR$14:CR$37,MATCH($B251,$B$14:$B$37,FALSE))/INDEX($F$206:$F$229,MATCH($B251,$B$206:$B$229,FALSE))),NA()),NA())</f>
        <v>#N/A</v>
      </c>
      <c r="CT251" s="49"/>
      <c r="CU251" s="49"/>
      <c r="CV251" s="49"/>
      <c r="CW251" s="49"/>
    </row>
    <row r="252" spans="1:101" x14ac:dyDescent="0.25">
      <c r="A252" s="97">
        <f t="shared" si="105"/>
        <v>1</v>
      </c>
      <c r="B252" s="29">
        <f t="shared" si="104"/>
        <v>2014</v>
      </c>
      <c r="C252" s="154" t="str">
        <f t="shared" si="106"/>
        <v/>
      </c>
      <c r="D252" s="54">
        <f t="shared" ca="1" si="108"/>
        <v>1</v>
      </c>
      <c r="E252" s="65">
        <f t="shared" ca="1" si="108"/>
        <v>1</v>
      </c>
      <c r="F252" s="65">
        <f t="shared" ca="1" si="108"/>
        <v>1</v>
      </c>
      <c r="G252" s="65">
        <f t="shared" ca="1" si="108"/>
        <v>1</v>
      </c>
      <c r="H252" s="65">
        <f t="shared" ca="1" si="108"/>
        <v>1</v>
      </c>
      <c r="I252" s="65">
        <f t="shared" ca="1" si="108"/>
        <v>1</v>
      </c>
      <c r="J252" s="65" t="e">
        <f>IF(I60=1,IF(I$13&lt;=COUNT($C32:$CS32),IF(INDEX($F$206:$F$229,MATCH($B252,$B$206:$B$229,FALSE))=0,NA(),INDEX(I$14:I$37,MATCH($B252,$B$14:$B$37,FALSE))/INDEX($F$206:$F$229,MATCH($B252,$B$206:$B$229,FALSE))),NA()),NA())</f>
        <v>#N/A</v>
      </c>
      <c r="K252" s="65" t="e">
        <f>IF(J60=1,IF(J$13&lt;=COUNT($C32:$CS32),IF(INDEX($F$206:$F$229,MATCH($B252,$B$206:$B$229,FALSE))=0,NA(),INDEX(J$14:J$37,MATCH($B252,$B$14:$B$37,FALSE))/INDEX($F$206:$F$229,MATCH($B252,$B$206:$B$229,FALSE))),NA()),NA())</f>
        <v>#N/A</v>
      </c>
      <c r="L252" s="65" t="e">
        <f>IF(K60=1,IF(K$13&lt;=COUNT($C32:$CS32),IF(INDEX($F$206:$F$229,MATCH($B252,$B$206:$B$229,FALSE))=0,NA(),INDEX(K$14:K$37,MATCH($B252,$B$14:$B$37,FALSE))/INDEX($F$206:$F$229,MATCH($B252,$B$206:$B$229,FALSE))),NA()),NA())</f>
        <v>#N/A</v>
      </c>
      <c r="M252" s="65" t="e">
        <f>IF(L60=1,IF(L$13&lt;=COUNT($C32:$CS32),IF(INDEX($F$206:$F$229,MATCH($B252,$B$206:$B$229,FALSE))=0,NA(),INDEX(L$14:L$37,MATCH($B252,$B$14:$B$37,FALSE))/INDEX($F$206:$F$229,MATCH($B252,$B$206:$B$229,FALSE))),NA()),NA())</f>
        <v>#N/A</v>
      </c>
      <c r="N252" s="65" t="e">
        <f>IF(M60=1,IF(M$13&lt;=COUNT($C32:$CS32),IF(INDEX($F$206:$F$229,MATCH($B252,$B$206:$B$229,FALSE))=0,NA(),INDEX(M$14:M$37,MATCH($B252,$B$14:$B$37,FALSE))/INDEX($F$206:$F$229,MATCH($B252,$B$206:$B$229,FALSE))),NA()),NA())</f>
        <v>#N/A</v>
      </c>
      <c r="O252" s="65" t="e">
        <f>IF(N60=1,IF(N$13&lt;=COUNT($C32:$CS32),IF(INDEX($F$206:$F$229,MATCH($B252,$B$206:$B$229,FALSE))=0,NA(),INDEX(N$14:N$37,MATCH($B252,$B$14:$B$37,FALSE))/INDEX($F$206:$F$229,MATCH($B252,$B$206:$B$229,FALSE))),NA()),NA())</f>
        <v>#N/A</v>
      </c>
      <c r="P252" s="65" t="e">
        <f>IF(O60=1,IF(O$13&lt;=COUNT($C32:$CS32),IF(INDEX($F$206:$F$229,MATCH($B252,$B$206:$B$229,FALSE))=0,NA(),INDEX(O$14:O$37,MATCH($B252,$B$14:$B$37,FALSE))/INDEX($F$206:$F$229,MATCH($B252,$B$206:$B$229,FALSE))),NA()),NA())</f>
        <v>#N/A</v>
      </c>
      <c r="Q252" s="65" t="e">
        <f>IF(P60=1,IF(P$13&lt;=COUNT($C32:$CS32),IF(INDEX($F$206:$F$229,MATCH($B252,$B$206:$B$229,FALSE))=0,NA(),INDEX(P$14:P$37,MATCH($B252,$B$14:$B$37,FALSE))/INDEX($F$206:$F$229,MATCH($B252,$B$206:$B$229,FALSE))),NA()),NA())</f>
        <v>#N/A</v>
      </c>
      <c r="R252" s="65" t="e">
        <f>IF(Q60=1,IF(Q$13&lt;=COUNT($C32:$CS32),IF(INDEX($F$206:$F$229,MATCH($B252,$B$206:$B$229,FALSE))=0,NA(),INDEX(Q$14:Q$37,MATCH($B252,$B$14:$B$37,FALSE))/INDEX($F$206:$F$229,MATCH($B252,$B$206:$B$229,FALSE))),NA()),NA())</f>
        <v>#N/A</v>
      </c>
      <c r="S252" s="65" t="e">
        <f>IF(R60=1,IF(R$13&lt;=COUNT($C32:$CS32),IF(INDEX($F$206:$F$229,MATCH($B252,$B$206:$B$229,FALSE))=0,NA(),INDEX(R$14:R$37,MATCH($B252,$B$14:$B$37,FALSE))/INDEX($F$206:$F$229,MATCH($B252,$B$206:$B$229,FALSE))),NA()),NA())</f>
        <v>#N/A</v>
      </c>
      <c r="T252" s="65" t="e">
        <f>IF(S60=1,IF(S$13&lt;=COUNT($C32:$CS32),IF(INDEX($F$206:$F$229,MATCH($B252,$B$206:$B$229,FALSE))=0,NA(),INDEX(S$14:S$37,MATCH($B252,$B$14:$B$37,FALSE))/INDEX($F$206:$F$229,MATCH($B252,$B$206:$B$229,FALSE))),NA()),NA())</f>
        <v>#N/A</v>
      </c>
      <c r="U252" s="65" t="e">
        <f>IF(T60=1,IF(T$13&lt;=COUNT($C32:$CS32),IF(INDEX($F$206:$F$229,MATCH($B252,$B$206:$B$229,FALSE))=0,NA(),INDEX(T$14:T$37,MATCH($B252,$B$14:$B$37,FALSE))/INDEX($F$206:$F$229,MATCH($B252,$B$206:$B$229,FALSE))),NA()),NA())</f>
        <v>#N/A</v>
      </c>
      <c r="V252" s="65" t="e">
        <f>IF(U60=1,IF(U$13&lt;=COUNT($C32:$CS32),IF(INDEX($F$206:$F$229,MATCH($B252,$B$206:$B$229,FALSE))=0,NA(),INDEX(U$14:U$37,MATCH($B252,$B$14:$B$37,FALSE))/INDEX($F$206:$F$229,MATCH($B252,$B$206:$B$229,FALSE))),NA()),NA())</f>
        <v>#N/A</v>
      </c>
      <c r="W252" s="65" t="e">
        <f>IF(V60=1,IF(V$13&lt;=COUNT($C32:$CS32),IF(INDEX($F$206:$F$229,MATCH($B252,$B$206:$B$229,FALSE))=0,NA(),INDEX(V$14:V$37,MATCH($B252,$B$14:$B$37,FALSE))/INDEX($F$206:$F$229,MATCH($B252,$B$206:$B$229,FALSE))),NA()),NA())</f>
        <v>#N/A</v>
      </c>
      <c r="X252" s="65" t="e">
        <f>IF(W60=1,IF(W$13&lt;=COUNT($C32:$CS32),IF(INDEX($F$206:$F$229,MATCH($B252,$B$206:$B$229,FALSE))=0,NA(),INDEX(W$14:W$37,MATCH($B252,$B$14:$B$37,FALSE))/INDEX($F$206:$F$229,MATCH($B252,$B$206:$B$229,FALSE))),NA()),NA())</f>
        <v>#N/A</v>
      </c>
      <c r="Y252" s="65" t="e">
        <f>IF(X60=1,IF(X$13&lt;=COUNT($C32:$CS32),IF(INDEX($F$206:$F$229,MATCH($B252,$B$206:$B$229,FALSE))=0,NA(),INDEX(X$14:X$37,MATCH($B252,$B$14:$B$37,FALSE))/INDEX($F$206:$F$229,MATCH($B252,$B$206:$B$229,FALSE))),NA()),NA())</f>
        <v>#N/A</v>
      </c>
      <c r="Z252" s="65" t="e">
        <f>IF(Y60=1,IF(Y$13&lt;=COUNT($C32:$CS32),IF(INDEX($F$206:$F$229,MATCH($B252,$B$206:$B$229,FALSE))=0,NA(),INDEX(Y$14:Y$37,MATCH($B252,$B$14:$B$37,FALSE))/INDEX($F$206:$F$229,MATCH($B252,$B$206:$B$229,FALSE))),NA()),NA())</f>
        <v>#N/A</v>
      </c>
      <c r="AA252" s="65" t="e">
        <f>IF(Z60=1,IF(Z$13&lt;=COUNT($C32:$CS32),IF(INDEX($F$206:$F$229,MATCH($B252,$B$206:$B$229,FALSE))=0,NA(),INDEX(Z$14:Z$37,MATCH($B252,$B$14:$B$37,FALSE))/INDEX($F$206:$F$229,MATCH($B252,$B$206:$B$229,FALSE))),NA()),NA())</f>
        <v>#N/A</v>
      </c>
      <c r="AB252" s="65" t="e">
        <f>IF(AA60=1,IF(AA$13&lt;=COUNT($C32:$CS32),IF(INDEX($F$206:$F$229,MATCH($B252,$B$206:$B$229,FALSE))=0,NA(),INDEX(AA$14:AA$37,MATCH($B252,$B$14:$B$37,FALSE))/INDEX($F$206:$F$229,MATCH($B252,$B$206:$B$229,FALSE))),NA()),NA())</f>
        <v>#N/A</v>
      </c>
      <c r="AC252" s="65" t="e">
        <f>IF(AB60=1,IF(AB$13&lt;=COUNT($C32:$CS32),IF(INDEX($F$206:$F$229,MATCH($B252,$B$206:$B$229,FALSE))=0,NA(),INDEX(AB$14:AB$37,MATCH($B252,$B$14:$B$37,FALSE))/INDEX($F$206:$F$229,MATCH($B252,$B$206:$B$229,FALSE))),NA()),NA())</f>
        <v>#N/A</v>
      </c>
      <c r="AD252" s="65" t="e">
        <f>IF(AC60=1,IF(AC$13&lt;=COUNT($C32:$CS32),IF(INDEX($F$206:$F$229,MATCH($B252,$B$206:$B$229,FALSE))=0,NA(),INDEX(AC$14:AC$37,MATCH($B252,$B$14:$B$37,FALSE))/INDEX($F$206:$F$229,MATCH($B252,$B$206:$B$229,FALSE))),NA()),NA())</f>
        <v>#N/A</v>
      </c>
      <c r="AE252" s="65" t="e">
        <f>IF(AD60=1,IF(AD$13&lt;=COUNT($C32:$CS32),IF(INDEX($F$206:$F$229,MATCH($B252,$B$206:$B$229,FALSE))=0,NA(),INDEX(AD$14:AD$37,MATCH($B252,$B$14:$B$37,FALSE))/INDEX($F$206:$F$229,MATCH($B252,$B$206:$B$229,FALSE))),NA()),NA())</f>
        <v>#N/A</v>
      </c>
      <c r="AF252" s="65" t="e">
        <f>IF(AE60=1,IF(AE$13&lt;=COUNT($C32:$CS32),IF(INDEX($F$206:$F$229,MATCH($B252,$B$206:$B$229,FALSE))=0,NA(),INDEX(AE$14:AE$37,MATCH($B252,$B$14:$B$37,FALSE))/INDEX($F$206:$F$229,MATCH($B252,$B$206:$B$229,FALSE))),NA()),NA())</f>
        <v>#N/A</v>
      </c>
      <c r="AG252" s="65" t="e">
        <f>IF(AF60=1,IF(AF$13&lt;=COUNT($C32:$CS32),IF(INDEX($F$206:$F$229,MATCH($B252,$B$206:$B$229,FALSE))=0,NA(),INDEX(AF$14:AF$37,MATCH($B252,$B$14:$B$37,FALSE))/INDEX($F$206:$F$229,MATCH($B252,$B$206:$B$229,FALSE))),NA()),NA())</f>
        <v>#N/A</v>
      </c>
      <c r="AH252" s="65" t="e">
        <f>IF(AG60=1,IF(AG$13&lt;=COUNT($C32:$CS32),IF(INDEX($F$206:$F$229,MATCH($B252,$B$206:$B$229,FALSE))=0,NA(),INDEX(AG$14:AG$37,MATCH($B252,$B$14:$B$37,FALSE))/INDEX($F$206:$F$229,MATCH($B252,$B$206:$B$229,FALSE))),NA()),NA())</f>
        <v>#N/A</v>
      </c>
      <c r="AI252" s="65" t="e">
        <f>IF(AH60=1,IF(AH$13&lt;=COUNT($C32:$CS32),IF(INDEX($F$206:$F$229,MATCH($B252,$B$206:$B$229,FALSE))=0,NA(),INDEX(AH$14:AH$37,MATCH($B252,$B$14:$B$37,FALSE))/INDEX($F$206:$F$229,MATCH($B252,$B$206:$B$229,FALSE))),NA()),NA())</f>
        <v>#N/A</v>
      </c>
      <c r="AJ252" s="65" t="e">
        <f>IF(AI60=1,IF(AI$13&lt;=COUNT($C32:$CS32),IF(INDEX($F$206:$F$229,MATCH($B252,$B$206:$B$229,FALSE))=0,NA(),INDEX(AI$14:AI$37,MATCH($B252,$B$14:$B$37,FALSE))/INDEX($F$206:$F$229,MATCH($B252,$B$206:$B$229,FALSE))),NA()),NA())</f>
        <v>#N/A</v>
      </c>
      <c r="AK252" s="65" t="e">
        <f>IF(AJ60=1,IF(AJ$13&lt;=COUNT($C32:$CS32),IF(INDEX($F$206:$F$229,MATCH($B252,$B$206:$B$229,FALSE))=0,NA(),INDEX(AJ$14:AJ$37,MATCH($B252,$B$14:$B$37,FALSE))/INDEX($F$206:$F$229,MATCH($B252,$B$206:$B$229,FALSE))),NA()),NA())</f>
        <v>#N/A</v>
      </c>
      <c r="AL252" s="65" t="e">
        <f>IF(AK60=1,IF(AK$13&lt;=COUNT($C32:$CS32),IF(INDEX($F$206:$F$229,MATCH($B252,$B$206:$B$229,FALSE))=0,NA(),INDEX(AK$14:AK$37,MATCH($B252,$B$14:$B$37,FALSE))/INDEX($F$206:$F$229,MATCH($B252,$B$206:$B$229,FALSE))),NA()),NA())</f>
        <v>#N/A</v>
      </c>
      <c r="AM252" s="65" t="e">
        <f>IF(AL60=1,IF(AL$13&lt;=COUNT($C32:$CS32),IF(INDEX($F$206:$F$229,MATCH($B252,$B$206:$B$229,FALSE))=0,NA(),INDEX(AL$14:AL$37,MATCH($B252,$B$14:$B$37,FALSE))/INDEX($F$206:$F$229,MATCH($B252,$B$206:$B$229,FALSE))),NA()),NA())</f>
        <v>#N/A</v>
      </c>
      <c r="AN252" s="65" t="e">
        <f>IF(AM60=1,IF(AM$13&lt;=COUNT($C32:$CS32),IF(INDEX($F$206:$F$229,MATCH($B252,$B$206:$B$229,FALSE))=0,NA(),INDEX(AM$14:AM$37,MATCH($B252,$B$14:$B$37,FALSE))/INDEX($F$206:$F$229,MATCH($B252,$B$206:$B$229,FALSE))),NA()),NA())</f>
        <v>#N/A</v>
      </c>
      <c r="AO252" s="65" t="e">
        <f>IF(AN60=1,IF(AN$13&lt;=COUNT($C32:$CS32),IF(INDEX($F$206:$F$229,MATCH($B252,$B$206:$B$229,FALSE))=0,NA(),INDEX(AN$14:AN$37,MATCH($B252,$B$14:$B$37,FALSE))/INDEX($F$206:$F$229,MATCH($B252,$B$206:$B$229,FALSE))),NA()),NA())</f>
        <v>#N/A</v>
      </c>
      <c r="AP252" s="65" t="e">
        <f>IF(AO60=1,IF(AO$13&lt;=COUNT($C32:$CS32),IF(INDEX($F$206:$F$229,MATCH($B252,$B$206:$B$229,FALSE))=0,NA(),INDEX(AO$14:AO$37,MATCH($B252,$B$14:$B$37,FALSE))/INDEX($F$206:$F$229,MATCH($B252,$B$206:$B$229,FALSE))),NA()),NA())</f>
        <v>#N/A</v>
      </c>
      <c r="AQ252" s="65" t="e">
        <f>IF(AP60=1,IF(AP$13&lt;=COUNT($C32:$CS32),IF(INDEX($F$206:$F$229,MATCH($B252,$B$206:$B$229,FALSE))=0,NA(),INDEX(AP$14:AP$37,MATCH($B252,$B$14:$B$37,FALSE))/INDEX($F$206:$F$229,MATCH($B252,$B$206:$B$229,FALSE))),NA()),NA())</f>
        <v>#N/A</v>
      </c>
      <c r="AR252" s="65" t="e">
        <f>IF(AQ60=1,IF(AQ$13&lt;=COUNT($C32:$CS32),IF(INDEX($F$206:$F$229,MATCH($B252,$B$206:$B$229,FALSE))=0,NA(),INDEX(AQ$14:AQ$37,MATCH($B252,$B$14:$B$37,FALSE))/INDEX($F$206:$F$229,MATCH($B252,$B$206:$B$229,FALSE))),NA()),NA())</f>
        <v>#N/A</v>
      </c>
      <c r="AS252" s="65" t="e">
        <f>IF(AR60=1,IF(AR$13&lt;=COUNT($C32:$CS32),IF(INDEX($F$206:$F$229,MATCH($B252,$B$206:$B$229,FALSE))=0,NA(),INDEX(AR$14:AR$37,MATCH($B252,$B$14:$B$37,FALSE))/INDEX($F$206:$F$229,MATCH($B252,$B$206:$B$229,FALSE))),NA()),NA())</f>
        <v>#N/A</v>
      </c>
      <c r="AT252" s="65" t="e">
        <f>IF(AS60=1,IF(AS$13&lt;=COUNT($C32:$CS32),IF(INDEX($F$206:$F$229,MATCH($B252,$B$206:$B$229,FALSE))=0,NA(),INDEX(AS$14:AS$37,MATCH($B252,$B$14:$B$37,FALSE))/INDEX($F$206:$F$229,MATCH($B252,$B$206:$B$229,FALSE))),NA()),NA())</f>
        <v>#N/A</v>
      </c>
      <c r="AU252" s="65" t="e">
        <f>IF(AT60=1,IF(AT$13&lt;=COUNT($C32:$CS32),IF(INDEX($F$206:$F$229,MATCH($B252,$B$206:$B$229,FALSE))=0,NA(),INDEX(AT$14:AT$37,MATCH($B252,$B$14:$B$37,FALSE))/INDEX($F$206:$F$229,MATCH($B252,$B$206:$B$229,FALSE))),NA()),NA())</f>
        <v>#N/A</v>
      </c>
      <c r="AV252" s="65" t="e">
        <f>IF(AU60=1,IF(AU$13&lt;=COUNT($C32:$CS32),IF(INDEX($F$206:$F$229,MATCH($B252,$B$206:$B$229,FALSE))=0,NA(),INDEX(AU$14:AU$37,MATCH($B252,$B$14:$B$37,FALSE))/INDEX($F$206:$F$229,MATCH($B252,$B$206:$B$229,FALSE))),NA()),NA())</f>
        <v>#N/A</v>
      </c>
      <c r="AW252" s="65" t="e">
        <f>IF(AV60=1,IF(AV$13&lt;=COUNT($C32:$CS32),IF(INDEX($F$206:$F$229,MATCH($B252,$B$206:$B$229,FALSE))=0,NA(),INDEX(AV$14:AV$37,MATCH($B252,$B$14:$B$37,FALSE))/INDEX($F$206:$F$229,MATCH($B252,$B$206:$B$229,FALSE))),NA()),NA())</f>
        <v>#N/A</v>
      </c>
      <c r="AX252" s="65" t="e">
        <f>IF(AW60=1,IF(AW$13&lt;=COUNT($C32:$CS32),IF(INDEX($F$206:$F$229,MATCH($B252,$B$206:$B$229,FALSE))=0,NA(),INDEX(AW$14:AW$37,MATCH($B252,$B$14:$B$37,FALSE))/INDEX($F$206:$F$229,MATCH($B252,$B$206:$B$229,FALSE))),NA()),NA())</f>
        <v>#N/A</v>
      </c>
      <c r="AY252" s="65" t="e">
        <f>IF(AX60=1,IF(AX$13&lt;=COUNT($C32:$CS32),IF(INDEX($F$206:$F$229,MATCH($B252,$B$206:$B$229,FALSE))=0,NA(),INDEX(AX$14:AX$37,MATCH($B252,$B$14:$B$37,FALSE))/INDEX($F$206:$F$229,MATCH($B252,$B$206:$B$229,FALSE))),NA()),NA())</f>
        <v>#N/A</v>
      </c>
      <c r="AZ252" s="65" t="e">
        <f>IF(AY60=1,IF(AY$13&lt;=COUNT($C32:$CS32),IF(INDEX($F$206:$F$229,MATCH($B252,$B$206:$B$229,FALSE))=0,NA(),INDEX(AY$14:AY$37,MATCH($B252,$B$14:$B$37,FALSE))/INDEX($F$206:$F$229,MATCH($B252,$B$206:$B$229,FALSE))),NA()),NA())</f>
        <v>#N/A</v>
      </c>
      <c r="BA252" s="65" t="e">
        <f>IF(AZ60=1,IF(AZ$13&lt;=COUNT($C32:$CS32),IF(INDEX($F$206:$F$229,MATCH($B252,$B$206:$B$229,FALSE))=0,NA(),INDEX(AZ$14:AZ$37,MATCH($B252,$B$14:$B$37,FALSE))/INDEX($F$206:$F$229,MATCH($B252,$B$206:$B$229,FALSE))),NA()),NA())</f>
        <v>#N/A</v>
      </c>
      <c r="BB252" s="65" t="e">
        <f>IF(BA60=1,IF(BA$13&lt;=COUNT($C32:$CS32),IF(INDEX($F$206:$F$229,MATCH($B252,$B$206:$B$229,FALSE))=0,NA(),INDEX(BA$14:BA$37,MATCH($B252,$B$14:$B$37,FALSE))/INDEX($F$206:$F$229,MATCH($B252,$B$206:$B$229,FALSE))),NA()),NA())</f>
        <v>#N/A</v>
      </c>
      <c r="BC252" s="65" t="e">
        <f>IF(BB60=1,IF(BB$13&lt;=COUNT($C32:$CS32),IF(INDEX($F$206:$F$229,MATCH($B252,$B$206:$B$229,FALSE))=0,NA(),INDEX(BB$14:BB$37,MATCH($B252,$B$14:$B$37,FALSE))/INDEX($F$206:$F$229,MATCH($B252,$B$206:$B$229,FALSE))),NA()),NA())</f>
        <v>#N/A</v>
      </c>
      <c r="BD252" s="65" t="e">
        <f>IF(BC60=1,IF(BC$13&lt;=COUNT($C32:$CS32),IF(INDEX($F$206:$F$229,MATCH($B252,$B$206:$B$229,FALSE))=0,NA(),INDEX(BC$14:BC$37,MATCH($B252,$B$14:$B$37,FALSE))/INDEX($F$206:$F$229,MATCH($B252,$B$206:$B$229,FALSE))),NA()),NA())</f>
        <v>#N/A</v>
      </c>
      <c r="BE252" s="65" t="e">
        <f>IF(BD60=1,IF(BD$13&lt;=COUNT($C32:$CS32),IF(INDEX($F$206:$F$229,MATCH($B252,$B$206:$B$229,FALSE))=0,NA(),INDEX(BD$14:BD$37,MATCH($B252,$B$14:$B$37,FALSE))/INDEX($F$206:$F$229,MATCH($B252,$B$206:$B$229,FALSE))),NA()),NA())</f>
        <v>#N/A</v>
      </c>
      <c r="BF252" s="65" t="e">
        <f>IF(BE60=1,IF(BE$13&lt;=COUNT($C32:$CS32),IF(INDEX($F$206:$F$229,MATCH($B252,$B$206:$B$229,FALSE))=0,NA(),INDEX(BE$14:BE$37,MATCH($B252,$B$14:$B$37,FALSE))/INDEX($F$206:$F$229,MATCH($B252,$B$206:$B$229,FALSE))),NA()),NA())</f>
        <v>#N/A</v>
      </c>
      <c r="BG252" s="65" t="e">
        <f>IF(BF60=1,IF(BF$13&lt;=COUNT($C32:$CS32),IF(INDEX($F$206:$F$229,MATCH($B252,$B$206:$B$229,FALSE))=0,NA(),INDEX(BF$14:BF$37,MATCH($B252,$B$14:$B$37,FALSE))/INDEX($F$206:$F$229,MATCH($B252,$B$206:$B$229,FALSE))),NA()),NA())</f>
        <v>#N/A</v>
      </c>
      <c r="BH252" s="65" t="e">
        <f>IF(BG60=1,IF(BG$13&lt;=COUNT($C32:$CS32),IF(INDEX($F$206:$F$229,MATCH($B252,$B$206:$B$229,FALSE))=0,NA(),INDEX(BG$14:BG$37,MATCH($B252,$B$14:$B$37,FALSE))/INDEX($F$206:$F$229,MATCH($B252,$B$206:$B$229,FALSE))),NA()),NA())</f>
        <v>#N/A</v>
      </c>
      <c r="BI252" s="65" t="e">
        <f>IF(BH60=1,IF(BH$13&lt;=COUNT($C32:$CS32),IF(INDEX($F$206:$F$229,MATCH($B252,$B$206:$B$229,FALSE))=0,NA(),INDEX(BH$14:BH$37,MATCH($B252,$B$14:$B$37,FALSE))/INDEX($F$206:$F$229,MATCH($B252,$B$206:$B$229,FALSE))),NA()),NA())</f>
        <v>#N/A</v>
      </c>
      <c r="BJ252" s="65" t="e">
        <f>IF(BI60=1,IF(BI$13&lt;=COUNT($C32:$CS32),IF(INDEX($F$206:$F$229,MATCH($B252,$B$206:$B$229,FALSE))=0,NA(),INDEX(BI$14:BI$37,MATCH($B252,$B$14:$B$37,FALSE))/INDEX($F$206:$F$229,MATCH($B252,$B$206:$B$229,FALSE))),NA()),NA())</f>
        <v>#N/A</v>
      </c>
      <c r="BK252" s="65" t="e">
        <f>IF(BJ60=1,IF(BJ$13&lt;=COUNT($C32:$CS32),IF(INDEX($F$206:$F$229,MATCH($B252,$B$206:$B$229,FALSE))=0,NA(),INDEX(BJ$14:BJ$37,MATCH($B252,$B$14:$B$37,FALSE))/INDEX($F$206:$F$229,MATCH($B252,$B$206:$B$229,FALSE))),NA()),NA())</f>
        <v>#N/A</v>
      </c>
      <c r="BL252" s="65" t="e">
        <f>IF(BK60=1,IF(BK$13&lt;=COUNT($C32:$CS32),IF(INDEX($F$206:$F$229,MATCH($B252,$B$206:$B$229,FALSE))=0,NA(),INDEX(BK$14:BK$37,MATCH($B252,$B$14:$B$37,FALSE))/INDEX($F$206:$F$229,MATCH($B252,$B$206:$B$229,FALSE))),NA()),NA())</f>
        <v>#N/A</v>
      </c>
      <c r="BM252" s="65" t="e">
        <f>IF(BL60=1,IF(BL$13&lt;=COUNT($C32:$CS32),IF(INDEX($F$206:$F$229,MATCH($B252,$B$206:$B$229,FALSE))=0,NA(),INDEX(BL$14:BL$37,MATCH($B252,$B$14:$B$37,FALSE))/INDEX($F$206:$F$229,MATCH($B252,$B$206:$B$229,FALSE))),NA()),NA())</f>
        <v>#N/A</v>
      </c>
      <c r="BN252" s="65" t="e">
        <f>IF(BM60=1,IF(BM$13&lt;=COUNT($C32:$CS32),IF(INDEX($F$206:$F$229,MATCH($B252,$B$206:$B$229,FALSE))=0,NA(),INDEX(BM$14:BM$37,MATCH($B252,$B$14:$B$37,FALSE))/INDEX($F$206:$F$229,MATCH($B252,$B$206:$B$229,FALSE))),NA()),NA())</f>
        <v>#N/A</v>
      </c>
      <c r="BO252" s="65" t="e">
        <f>IF(BN60=1,IF(BN$13&lt;=COUNT($C32:$CS32),IF(INDEX($F$206:$F$229,MATCH($B252,$B$206:$B$229,FALSE))=0,NA(),INDEX(BN$14:BN$37,MATCH($B252,$B$14:$B$37,FALSE))/INDEX($F$206:$F$229,MATCH($B252,$B$206:$B$229,FALSE))),NA()),NA())</f>
        <v>#N/A</v>
      </c>
      <c r="BP252" s="65" t="e">
        <f>IF(BO60=1,IF(BO$13&lt;=COUNT($C32:$CS32),IF(INDEX($F$206:$F$229,MATCH($B252,$B$206:$B$229,FALSE))=0,NA(),INDEX(BO$14:BO$37,MATCH($B252,$B$14:$B$37,FALSE))/INDEX($F$206:$F$229,MATCH($B252,$B$206:$B$229,FALSE))),NA()),NA())</f>
        <v>#N/A</v>
      </c>
      <c r="BQ252" s="65" t="e">
        <f>IF(BP60=1,IF(BP$13&lt;=COUNT($C32:$CS32),IF(INDEX($F$206:$F$229,MATCH($B252,$B$206:$B$229,FALSE))=0,NA(),INDEX(BP$14:BP$37,MATCH($B252,$B$14:$B$37,FALSE))/INDEX($F$206:$F$229,MATCH($B252,$B$206:$B$229,FALSE))),NA()),NA())</f>
        <v>#N/A</v>
      </c>
      <c r="BR252" s="65" t="e">
        <f>IF(BQ60=1,IF(BQ$13&lt;=COUNT($C32:$CS32),IF(INDEX($F$206:$F$229,MATCH($B252,$B$206:$B$229,FALSE))=0,NA(),INDEX(BQ$14:BQ$37,MATCH($B252,$B$14:$B$37,FALSE))/INDEX($F$206:$F$229,MATCH($B252,$B$206:$B$229,FALSE))),NA()),NA())</f>
        <v>#N/A</v>
      </c>
      <c r="BS252" s="65" t="e">
        <f>IF(BR60=1,IF(BR$13&lt;=COUNT($C32:$CS32),IF(INDEX($F$206:$F$229,MATCH($B252,$B$206:$B$229,FALSE))=0,NA(),INDEX(BR$14:BR$37,MATCH($B252,$B$14:$B$37,FALSE))/INDEX($F$206:$F$229,MATCH($B252,$B$206:$B$229,FALSE))),NA()),NA())</f>
        <v>#N/A</v>
      </c>
      <c r="BT252" s="65" t="e">
        <f>IF(BS60=1,IF(BS$13&lt;=COUNT($C32:$CS32),IF(INDEX($F$206:$F$229,MATCH($B252,$B$206:$B$229,FALSE))=0,NA(),INDEX(BS$14:BS$37,MATCH($B252,$B$14:$B$37,FALSE))/INDEX($F$206:$F$229,MATCH($B252,$B$206:$B$229,FALSE))),NA()),NA())</f>
        <v>#N/A</v>
      </c>
      <c r="BU252" s="65" t="e">
        <f>IF(BT60=1,IF(BT$13&lt;=COUNT($C32:$CS32),IF(INDEX($F$206:$F$229,MATCH($B252,$B$206:$B$229,FALSE))=0,NA(),INDEX(BT$14:BT$37,MATCH($B252,$B$14:$B$37,FALSE))/INDEX($F$206:$F$229,MATCH($B252,$B$206:$B$229,FALSE))),NA()),NA())</f>
        <v>#N/A</v>
      </c>
      <c r="BV252" s="65" t="e">
        <f>IF(BU60=1,IF(BU$13&lt;=COUNT($C32:$CS32),IF(INDEX($F$206:$F$229,MATCH($B252,$B$206:$B$229,FALSE))=0,NA(),INDEX(BU$14:BU$37,MATCH($B252,$B$14:$B$37,FALSE))/INDEX($F$206:$F$229,MATCH($B252,$B$206:$B$229,FALSE))),NA()),NA())</f>
        <v>#N/A</v>
      </c>
      <c r="BW252" s="65" t="e">
        <f>IF(BV60=1,IF(BV$13&lt;=COUNT($C32:$CS32),IF(INDEX($F$206:$F$229,MATCH($B252,$B$206:$B$229,FALSE))=0,NA(),INDEX(BV$14:BV$37,MATCH($B252,$B$14:$B$37,FALSE))/INDEX($F$206:$F$229,MATCH($B252,$B$206:$B$229,FALSE))),NA()),NA())</f>
        <v>#N/A</v>
      </c>
      <c r="BX252" s="65" t="e">
        <f>IF(BW60=1,IF(BW$13&lt;=COUNT($C32:$CS32),IF(INDEX($F$206:$F$229,MATCH($B252,$B$206:$B$229,FALSE))=0,NA(),INDEX(BW$14:BW$37,MATCH($B252,$B$14:$B$37,FALSE))/INDEX($F$206:$F$229,MATCH($B252,$B$206:$B$229,FALSE))),NA()),NA())</f>
        <v>#N/A</v>
      </c>
      <c r="BY252" s="65" t="e">
        <f>IF(BX60=1,IF(BX$13&lt;=COUNT($C32:$CS32),IF(INDEX($F$206:$F$229,MATCH($B252,$B$206:$B$229,FALSE))=0,NA(),INDEX(BX$14:BX$37,MATCH($B252,$B$14:$B$37,FALSE))/INDEX($F$206:$F$229,MATCH($B252,$B$206:$B$229,FALSE))),NA()),NA())</f>
        <v>#N/A</v>
      </c>
      <c r="BZ252" s="65" t="e">
        <f>IF(BY60=1,IF(BY$13&lt;=COUNT($C32:$CS32),IF(INDEX($F$206:$F$229,MATCH($B252,$B$206:$B$229,FALSE))=0,NA(),INDEX(BY$14:BY$37,MATCH($B252,$B$14:$B$37,FALSE))/INDEX($F$206:$F$229,MATCH($B252,$B$206:$B$229,FALSE))),NA()),NA())</f>
        <v>#N/A</v>
      </c>
      <c r="CA252" s="65" t="e">
        <f>IF(BZ60=1,IF(BZ$13&lt;=COUNT($C32:$CS32),IF(INDEX($F$206:$F$229,MATCH($B252,$B$206:$B$229,FALSE))=0,NA(),INDEX(BZ$14:BZ$37,MATCH($B252,$B$14:$B$37,FALSE))/INDEX($F$206:$F$229,MATCH($B252,$B$206:$B$229,FALSE))),NA()),NA())</f>
        <v>#N/A</v>
      </c>
      <c r="CB252" s="65" t="e">
        <f>IF(CA60=1,IF(CA$13&lt;=COUNT($C32:$CS32),IF(INDEX($F$206:$F$229,MATCH($B252,$B$206:$B$229,FALSE))=0,NA(),INDEX(CA$14:CA$37,MATCH($B252,$B$14:$B$37,FALSE))/INDEX($F$206:$F$229,MATCH($B252,$B$206:$B$229,FALSE))),NA()),NA())</f>
        <v>#N/A</v>
      </c>
      <c r="CC252" s="65" t="e">
        <f>IF(CB60=1,IF(CB$13&lt;=COUNT($C32:$CS32),IF(INDEX($F$206:$F$229,MATCH($B252,$B$206:$B$229,FALSE))=0,NA(),INDEX(CB$14:CB$37,MATCH($B252,$B$14:$B$37,FALSE))/INDEX($F$206:$F$229,MATCH($B252,$B$206:$B$229,FALSE))),NA()),NA())</f>
        <v>#N/A</v>
      </c>
      <c r="CD252" s="65" t="e">
        <f>IF(CC60=1,IF(CC$13&lt;=COUNT($C32:$CS32),IF(INDEX($F$206:$F$229,MATCH($B252,$B$206:$B$229,FALSE))=0,NA(),INDEX(CC$14:CC$37,MATCH($B252,$B$14:$B$37,FALSE))/INDEX($F$206:$F$229,MATCH($B252,$B$206:$B$229,FALSE))),NA()),NA())</f>
        <v>#N/A</v>
      </c>
      <c r="CE252" s="65" t="e">
        <f>IF(CD60=1,IF(CD$13&lt;=COUNT($C32:$CS32),IF(INDEX($F$206:$F$229,MATCH($B252,$B$206:$B$229,FALSE))=0,NA(),INDEX(CD$14:CD$37,MATCH($B252,$B$14:$B$37,FALSE))/INDEX($F$206:$F$229,MATCH($B252,$B$206:$B$229,FALSE))),NA()),NA())</f>
        <v>#N/A</v>
      </c>
      <c r="CF252" s="65" t="e">
        <f>IF(CE60=1,IF(CE$13&lt;=COUNT($C32:$CS32),IF(INDEX($F$206:$F$229,MATCH($B252,$B$206:$B$229,FALSE))=0,NA(),INDEX(CE$14:CE$37,MATCH($B252,$B$14:$B$37,FALSE))/INDEX($F$206:$F$229,MATCH($B252,$B$206:$B$229,FALSE))),NA()),NA())</f>
        <v>#N/A</v>
      </c>
      <c r="CG252" s="65" t="e">
        <f>IF(CF60=1,IF(CF$13&lt;=COUNT($C32:$CS32),IF(INDEX($F$206:$F$229,MATCH($B252,$B$206:$B$229,FALSE))=0,NA(),INDEX(CF$14:CF$37,MATCH($B252,$B$14:$B$37,FALSE))/INDEX($F$206:$F$229,MATCH($B252,$B$206:$B$229,FALSE))),NA()),NA())</f>
        <v>#N/A</v>
      </c>
      <c r="CH252" s="65" t="e">
        <f>IF(CG60=1,IF(CG$13&lt;=COUNT($C32:$CS32),IF(INDEX($F$206:$F$229,MATCH($B252,$B$206:$B$229,FALSE))=0,NA(),INDEX(CG$14:CG$37,MATCH($B252,$B$14:$B$37,FALSE))/INDEX($F$206:$F$229,MATCH($B252,$B$206:$B$229,FALSE))),NA()),NA())</f>
        <v>#N/A</v>
      </c>
      <c r="CI252" s="65" t="e">
        <f>IF(CH60=1,IF(CH$13&lt;=COUNT($C32:$CS32),IF(INDEX($F$206:$F$229,MATCH($B252,$B$206:$B$229,FALSE))=0,NA(),INDEX(CH$14:CH$37,MATCH($B252,$B$14:$B$37,FALSE))/INDEX($F$206:$F$229,MATCH($B252,$B$206:$B$229,FALSE))),NA()),NA())</f>
        <v>#N/A</v>
      </c>
      <c r="CJ252" s="65" t="e">
        <f>IF(CI60=1,IF(CI$13&lt;=COUNT($C32:$CS32),IF(INDEX($F$206:$F$229,MATCH($B252,$B$206:$B$229,FALSE))=0,NA(),INDEX(CI$14:CI$37,MATCH($B252,$B$14:$B$37,FALSE))/INDEX($F$206:$F$229,MATCH($B252,$B$206:$B$229,FALSE))),NA()),NA())</f>
        <v>#N/A</v>
      </c>
      <c r="CK252" s="65" t="e">
        <f>IF(CJ60=1,IF(CJ$13&lt;=COUNT($C32:$CS32),IF(INDEX($F$206:$F$229,MATCH($B252,$B$206:$B$229,FALSE))=0,NA(),INDEX(CJ$14:CJ$37,MATCH($B252,$B$14:$B$37,FALSE))/INDEX($F$206:$F$229,MATCH($B252,$B$206:$B$229,FALSE))),NA()),NA())</f>
        <v>#N/A</v>
      </c>
      <c r="CL252" s="65" t="e">
        <f>IF(CK60=1,IF(CK$13&lt;=COUNT($C32:$CS32),IF(INDEX($F$206:$F$229,MATCH($B252,$B$206:$B$229,FALSE))=0,NA(),INDEX(CK$14:CK$37,MATCH($B252,$B$14:$B$37,FALSE))/INDEX($F$206:$F$229,MATCH($B252,$B$206:$B$229,FALSE))),NA()),NA())</f>
        <v>#N/A</v>
      </c>
      <c r="CM252" s="65" t="e">
        <f>IF(CL60=1,IF(CL$13&lt;=COUNT($C32:$CS32),IF(INDEX($F$206:$F$229,MATCH($B252,$B$206:$B$229,FALSE))=0,NA(),INDEX(CL$14:CL$37,MATCH($B252,$B$14:$B$37,FALSE))/INDEX($F$206:$F$229,MATCH($B252,$B$206:$B$229,FALSE))),NA()),NA())</f>
        <v>#N/A</v>
      </c>
      <c r="CN252" s="65" t="e">
        <f>IF(CM60=1,IF(CM$13&lt;=COUNT($C32:$CS32),IF(INDEX($F$206:$F$229,MATCH($B252,$B$206:$B$229,FALSE))=0,NA(),INDEX(CM$14:CM$37,MATCH($B252,$B$14:$B$37,FALSE))/INDEX($F$206:$F$229,MATCH($B252,$B$206:$B$229,FALSE))),NA()),NA())</f>
        <v>#N/A</v>
      </c>
      <c r="CO252" s="65" t="e">
        <f>IF(CN60=1,IF(CN$13&lt;=COUNT($C32:$CS32),IF(INDEX($F$206:$F$229,MATCH($B252,$B$206:$B$229,FALSE))=0,NA(),INDEX(CN$14:CN$37,MATCH($B252,$B$14:$B$37,FALSE))/INDEX($F$206:$F$229,MATCH($B252,$B$206:$B$229,FALSE))),NA()),NA())</f>
        <v>#N/A</v>
      </c>
      <c r="CP252" s="65" t="e">
        <f>IF(CO60=1,IF(CO$13&lt;=COUNT($C32:$CS32),IF(INDEX($F$206:$F$229,MATCH($B252,$B$206:$B$229,FALSE))=0,NA(),INDEX(CO$14:CO$37,MATCH($B252,$B$14:$B$37,FALSE))/INDEX($F$206:$F$229,MATCH($B252,$B$206:$B$229,FALSE))),NA()),NA())</f>
        <v>#N/A</v>
      </c>
      <c r="CQ252" s="65" t="e">
        <f>IF(CP60=1,IF(CP$13&lt;=COUNT($C32:$CS32),IF(INDEX($F$206:$F$229,MATCH($B252,$B$206:$B$229,FALSE))=0,NA(),INDEX(CP$14:CP$37,MATCH($B252,$B$14:$B$37,FALSE))/INDEX($F$206:$F$229,MATCH($B252,$B$206:$B$229,FALSE))),NA()),NA())</f>
        <v>#N/A</v>
      </c>
      <c r="CR252" s="65" t="e">
        <f>IF(CQ60=1,IF(CQ$13&lt;=COUNT($C32:$CS32),IF(INDEX($F$206:$F$229,MATCH($B252,$B$206:$B$229,FALSE))=0,NA(),INDEX(CQ$14:CQ$37,MATCH($B252,$B$14:$B$37,FALSE))/INDEX($F$206:$F$229,MATCH($B252,$B$206:$B$229,FALSE))),NA()),NA())</f>
        <v>#N/A</v>
      </c>
      <c r="CS252" s="65" t="e">
        <f>IF(CR60=1,IF(CR$13&lt;=COUNT($C32:$CS32),IF(INDEX($F$206:$F$229,MATCH($B252,$B$206:$B$229,FALSE))=0,NA(),INDEX(CR$14:CR$37,MATCH($B252,$B$14:$B$37,FALSE))/INDEX($F$206:$F$229,MATCH($B252,$B$206:$B$229,FALSE))),NA()),NA())</f>
        <v>#N/A</v>
      </c>
      <c r="CT252" s="49"/>
      <c r="CU252" s="49"/>
      <c r="CV252" s="49"/>
      <c r="CW252" s="49"/>
    </row>
    <row r="253" spans="1:101" x14ac:dyDescent="0.25">
      <c r="A253" s="97">
        <f t="shared" si="105"/>
        <v>1</v>
      </c>
      <c r="B253" s="29">
        <f t="shared" si="104"/>
        <v>2015</v>
      </c>
      <c r="C253" s="154" t="str">
        <f t="shared" si="106"/>
        <v/>
      </c>
      <c r="D253" s="54" t="e">
        <f ca="1">IF(C61=1,IF(C$13&lt;=COUNT($C33:$CS33),IF(INDEX($F$206:$F$229,MATCH($B253,$B$206:$B$229,FALSE))=0,NA(),INDEX(C$14:C$37,MATCH($B253,$B$14:$B$37,FALSE))/INDEX($F$206:$F$229,MATCH($B253,$B$206:$B$229,FALSE))),NA()),NA())</f>
        <v>#N/A</v>
      </c>
      <c r="E253" s="65" t="e">
        <f ca="1">IF(D61=1,IF(D$13&lt;=COUNT($C33:$CS33),IF(INDEX($F$206:$F$229,MATCH($B253,$B$206:$B$229,FALSE))=0,NA(),INDEX(D$14:D$37,MATCH($B253,$B$14:$B$37,FALSE))/INDEX($F$206:$F$229,MATCH($B253,$B$206:$B$229,FALSE))),NA()),NA())</f>
        <v>#N/A</v>
      </c>
      <c r="F253" s="65" t="e">
        <f ca="1">IF(E61=1,IF(E$13&lt;=COUNT($C33:$CS33),IF(INDEX($F$206:$F$229,MATCH($B253,$B$206:$B$229,FALSE))=0,NA(),INDEX(E$14:E$37,MATCH($B253,$B$14:$B$37,FALSE))/INDEX($F$206:$F$229,MATCH($B253,$B$206:$B$229,FALSE))),NA()),NA())</f>
        <v>#N/A</v>
      </c>
      <c r="G253" s="65" t="e">
        <f ca="1">IF(F61=1,IF(F$13&lt;=COUNT($C33:$CS33),IF(INDEX($F$206:$F$229,MATCH($B253,$B$206:$B$229,FALSE))=0,NA(),INDEX(F$14:F$37,MATCH($B253,$B$14:$B$37,FALSE))/INDEX($F$206:$F$229,MATCH($B253,$B$206:$B$229,FALSE))),NA()),NA())</f>
        <v>#N/A</v>
      </c>
      <c r="H253" s="65" t="e">
        <f ca="1">IF(G61=1,IF(G$13&lt;=COUNT($C33:$CS33),IF(INDEX($F$206:$F$229,MATCH($B253,$B$206:$B$229,FALSE))=0,NA(),INDEX(G$14:G$37,MATCH($B253,$B$14:$B$37,FALSE))/INDEX($F$206:$F$229,MATCH($B253,$B$206:$B$229,FALSE))),NA()),NA())</f>
        <v>#N/A</v>
      </c>
      <c r="I253" s="65" t="e">
        <f>IF(H61=1,IF(H$13&lt;=COUNT($C33:$CS33),IF(INDEX($F$206:$F$229,MATCH($B253,$B$206:$B$229,FALSE))=0,NA(),INDEX(H$14:H$37,MATCH($B253,$B$14:$B$37,FALSE))/INDEX($F$206:$F$229,MATCH($B253,$B$206:$B$229,FALSE))),NA()),NA())</f>
        <v>#N/A</v>
      </c>
      <c r="J253" s="65" t="e">
        <f>IF(I61=1,IF(I$13&lt;=COUNT($C33:$CS33),IF(INDEX($F$206:$F$229,MATCH($B253,$B$206:$B$229,FALSE))=0,NA(),INDEX(I$14:I$37,MATCH($B253,$B$14:$B$37,FALSE))/INDEX($F$206:$F$229,MATCH($B253,$B$206:$B$229,FALSE))),NA()),NA())</f>
        <v>#N/A</v>
      </c>
      <c r="K253" s="65" t="e">
        <f>IF(J61=1,IF(J$13&lt;=COUNT($C33:$CS33),IF(INDEX($F$206:$F$229,MATCH($B253,$B$206:$B$229,FALSE))=0,NA(),INDEX(J$14:J$37,MATCH($B253,$B$14:$B$37,FALSE))/INDEX($F$206:$F$229,MATCH($B253,$B$206:$B$229,FALSE))),NA()),NA())</f>
        <v>#N/A</v>
      </c>
      <c r="L253" s="65" t="e">
        <f>IF(K61=1,IF(K$13&lt;=COUNT($C33:$CS33),IF(INDEX($F$206:$F$229,MATCH($B253,$B$206:$B$229,FALSE))=0,NA(),INDEX(K$14:K$37,MATCH($B253,$B$14:$B$37,FALSE))/INDEX($F$206:$F$229,MATCH($B253,$B$206:$B$229,FALSE))),NA()),NA())</f>
        <v>#N/A</v>
      </c>
      <c r="M253" s="65" t="e">
        <f>IF(L61=1,IF(L$13&lt;=COUNT($C33:$CS33),IF(INDEX($F$206:$F$229,MATCH($B253,$B$206:$B$229,FALSE))=0,NA(),INDEX(L$14:L$37,MATCH($B253,$B$14:$B$37,FALSE))/INDEX($F$206:$F$229,MATCH($B253,$B$206:$B$229,FALSE))),NA()),NA())</f>
        <v>#N/A</v>
      </c>
      <c r="N253" s="65" t="e">
        <f>IF(M61=1,IF(M$13&lt;=COUNT($C33:$CS33),IF(INDEX($F$206:$F$229,MATCH($B253,$B$206:$B$229,FALSE))=0,NA(),INDEX(M$14:M$37,MATCH($B253,$B$14:$B$37,FALSE))/INDEX($F$206:$F$229,MATCH($B253,$B$206:$B$229,FALSE))),NA()),NA())</f>
        <v>#N/A</v>
      </c>
      <c r="O253" s="65" t="e">
        <f>IF(N61=1,IF(N$13&lt;=COUNT($C33:$CS33),IF(INDEX($F$206:$F$229,MATCH($B253,$B$206:$B$229,FALSE))=0,NA(),INDEX(N$14:N$37,MATCH($B253,$B$14:$B$37,FALSE))/INDEX($F$206:$F$229,MATCH($B253,$B$206:$B$229,FALSE))),NA()),NA())</f>
        <v>#N/A</v>
      </c>
      <c r="P253" s="65" t="e">
        <f>IF(O61=1,IF(O$13&lt;=COUNT($C33:$CS33),IF(INDEX($F$206:$F$229,MATCH($B253,$B$206:$B$229,FALSE))=0,NA(),INDEX(O$14:O$37,MATCH($B253,$B$14:$B$37,FALSE))/INDEX($F$206:$F$229,MATCH($B253,$B$206:$B$229,FALSE))),NA()),NA())</f>
        <v>#N/A</v>
      </c>
      <c r="Q253" s="65" t="e">
        <f>IF(P61=1,IF(P$13&lt;=COUNT($C33:$CS33),IF(INDEX($F$206:$F$229,MATCH($B253,$B$206:$B$229,FALSE))=0,NA(),INDEX(P$14:P$37,MATCH($B253,$B$14:$B$37,FALSE))/INDEX($F$206:$F$229,MATCH($B253,$B$206:$B$229,FALSE))),NA()),NA())</f>
        <v>#N/A</v>
      </c>
      <c r="R253" s="65" t="e">
        <f>IF(Q61=1,IF(Q$13&lt;=COUNT($C33:$CS33),IF(INDEX($F$206:$F$229,MATCH($B253,$B$206:$B$229,FALSE))=0,NA(),INDEX(Q$14:Q$37,MATCH($B253,$B$14:$B$37,FALSE))/INDEX($F$206:$F$229,MATCH($B253,$B$206:$B$229,FALSE))),NA()),NA())</f>
        <v>#N/A</v>
      </c>
      <c r="S253" s="65" t="e">
        <f>IF(R61=1,IF(R$13&lt;=COUNT($C33:$CS33),IF(INDEX($F$206:$F$229,MATCH($B253,$B$206:$B$229,FALSE))=0,NA(),INDEX(R$14:R$37,MATCH($B253,$B$14:$B$37,FALSE))/INDEX($F$206:$F$229,MATCH($B253,$B$206:$B$229,FALSE))),NA()),NA())</f>
        <v>#N/A</v>
      </c>
      <c r="T253" s="65" t="e">
        <f>IF(S61=1,IF(S$13&lt;=COUNT($C33:$CS33),IF(INDEX($F$206:$F$229,MATCH($B253,$B$206:$B$229,FALSE))=0,NA(),INDEX(S$14:S$37,MATCH($B253,$B$14:$B$37,FALSE))/INDEX($F$206:$F$229,MATCH($B253,$B$206:$B$229,FALSE))),NA()),NA())</f>
        <v>#N/A</v>
      </c>
      <c r="U253" s="65" t="e">
        <f>IF(T61=1,IF(T$13&lt;=COUNT($C33:$CS33),IF(INDEX($F$206:$F$229,MATCH($B253,$B$206:$B$229,FALSE))=0,NA(),INDEX(T$14:T$37,MATCH($B253,$B$14:$B$37,FALSE))/INDEX($F$206:$F$229,MATCH($B253,$B$206:$B$229,FALSE))),NA()),NA())</f>
        <v>#N/A</v>
      </c>
      <c r="V253" s="65" t="e">
        <f>IF(U61=1,IF(U$13&lt;=COUNT($C33:$CS33),IF(INDEX($F$206:$F$229,MATCH($B253,$B$206:$B$229,FALSE))=0,NA(),INDEX(U$14:U$37,MATCH($B253,$B$14:$B$37,FALSE))/INDEX($F$206:$F$229,MATCH($B253,$B$206:$B$229,FALSE))),NA()),NA())</f>
        <v>#N/A</v>
      </c>
      <c r="W253" s="65" t="e">
        <f>IF(V61=1,IF(V$13&lt;=COUNT($C33:$CS33),IF(INDEX($F$206:$F$229,MATCH($B253,$B$206:$B$229,FALSE))=0,NA(),INDEX(V$14:V$37,MATCH($B253,$B$14:$B$37,FALSE))/INDEX($F$206:$F$229,MATCH($B253,$B$206:$B$229,FALSE))),NA()),NA())</f>
        <v>#N/A</v>
      </c>
      <c r="X253" s="65" t="e">
        <f>IF(W61=1,IF(W$13&lt;=COUNT($C33:$CS33),IF(INDEX($F$206:$F$229,MATCH($B253,$B$206:$B$229,FALSE))=0,NA(),INDEX(W$14:W$37,MATCH($B253,$B$14:$B$37,FALSE))/INDEX($F$206:$F$229,MATCH($B253,$B$206:$B$229,FALSE))),NA()),NA())</f>
        <v>#N/A</v>
      </c>
      <c r="Y253" s="65" t="e">
        <f>IF(X61=1,IF(X$13&lt;=COUNT($C33:$CS33),IF(INDEX($F$206:$F$229,MATCH($B253,$B$206:$B$229,FALSE))=0,NA(),INDEX(X$14:X$37,MATCH($B253,$B$14:$B$37,FALSE))/INDEX($F$206:$F$229,MATCH($B253,$B$206:$B$229,FALSE))),NA()),NA())</f>
        <v>#N/A</v>
      </c>
      <c r="Z253" s="65" t="e">
        <f>IF(Y61=1,IF(Y$13&lt;=COUNT($C33:$CS33),IF(INDEX($F$206:$F$229,MATCH($B253,$B$206:$B$229,FALSE))=0,NA(),INDEX(Y$14:Y$37,MATCH($B253,$B$14:$B$37,FALSE))/INDEX($F$206:$F$229,MATCH($B253,$B$206:$B$229,FALSE))),NA()),NA())</f>
        <v>#N/A</v>
      </c>
      <c r="AA253" s="65" t="e">
        <f>IF(Z61=1,IF(Z$13&lt;=COUNT($C33:$CS33),IF(INDEX($F$206:$F$229,MATCH($B253,$B$206:$B$229,FALSE))=0,NA(),INDEX(Z$14:Z$37,MATCH($B253,$B$14:$B$37,FALSE))/INDEX($F$206:$F$229,MATCH($B253,$B$206:$B$229,FALSE))),NA()),NA())</f>
        <v>#N/A</v>
      </c>
      <c r="AB253" s="65" t="e">
        <f>IF(AA61=1,IF(AA$13&lt;=COUNT($C33:$CS33),IF(INDEX($F$206:$F$229,MATCH($B253,$B$206:$B$229,FALSE))=0,NA(),INDEX(AA$14:AA$37,MATCH($B253,$B$14:$B$37,FALSE))/INDEX($F$206:$F$229,MATCH($B253,$B$206:$B$229,FALSE))),NA()),NA())</f>
        <v>#N/A</v>
      </c>
      <c r="AC253" s="65" t="e">
        <f>IF(AB61=1,IF(AB$13&lt;=COUNT($C33:$CS33),IF(INDEX($F$206:$F$229,MATCH($B253,$B$206:$B$229,FALSE))=0,NA(),INDEX(AB$14:AB$37,MATCH($B253,$B$14:$B$37,FALSE))/INDEX($F$206:$F$229,MATCH($B253,$B$206:$B$229,FALSE))),NA()),NA())</f>
        <v>#N/A</v>
      </c>
      <c r="AD253" s="65" t="e">
        <f>IF(AC61=1,IF(AC$13&lt;=COUNT($C33:$CS33),IF(INDEX($F$206:$F$229,MATCH($B253,$B$206:$B$229,FALSE))=0,NA(),INDEX(AC$14:AC$37,MATCH($B253,$B$14:$B$37,FALSE))/INDEX($F$206:$F$229,MATCH($B253,$B$206:$B$229,FALSE))),NA()),NA())</f>
        <v>#N/A</v>
      </c>
      <c r="AE253" s="65" t="e">
        <f>IF(AD61=1,IF(AD$13&lt;=COUNT($C33:$CS33),IF(INDEX($F$206:$F$229,MATCH($B253,$B$206:$B$229,FALSE))=0,NA(),INDEX(AD$14:AD$37,MATCH($B253,$B$14:$B$37,FALSE))/INDEX($F$206:$F$229,MATCH($B253,$B$206:$B$229,FALSE))),NA()),NA())</f>
        <v>#N/A</v>
      </c>
      <c r="AF253" s="65" t="e">
        <f>IF(AE61=1,IF(AE$13&lt;=COUNT($C33:$CS33),IF(INDEX($F$206:$F$229,MATCH($B253,$B$206:$B$229,FALSE))=0,NA(),INDEX(AE$14:AE$37,MATCH($B253,$B$14:$B$37,FALSE))/INDEX($F$206:$F$229,MATCH($B253,$B$206:$B$229,FALSE))),NA()),NA())</f>
        <v>#N/A</v>
      </c>
      <c r="AG253" s="65" t="e">
        <f>IF(AF61=1,IF(AF$13&lt;=COUNT($C33:$CS33),IF(INDEX($F$206:$F$229,MATCH($B253,$B$206:$B$229,FALSE))=0,NA(),INDEX(AF$14:AF$37,MATCH($B253,$B$14:$B$37,FALSE))/INDEX($F$206:$F$229,MATCH($B253,$B$206:$B$229,FALSE))),NA()),NA())</f>
        <v>#N/A</v>
      </c>
      <c r="AH253" s="65" t="e">
        <f>IF(AG61=1,IF(AG$13&lt;=COUNT($C33:$CS33),IF(INDEX($F$206:$F$229,MATCH($B253,$B$206:$B$229,FALSE))=0,NA(),INDEX(AG$14:AG$37,MATCH($B253,$B$14:$B$37,FALSE))/INDEX($F$206:$F$229,MATCH($B253,$B$206:$B$229,FALSE))),NA()),NA())</f>
        <v>#N/A</v>
      </c>
      <c r="AI253" s="65" t="e">
        <f>IF(AH61=1,IF(AH$13&lt;=COUNT($C33:$CS33),IF(INDEX($F$206:$F$229,MATCH($B253,$B$206:$B$229,FALSE))=0,NA(),INDEX(AH$14:AH$37,MATCH($B253,$B$14:$B$37,FALSE))/INDEX($F$206:$F$229,MATCH($B253,$B$206:$B$229,FALSE))),NA()),NA())</f>
        <v>#N/A</v>
      </c>
      <c r="AJ253" s="65" t="e">
        <f>IF(AI61=1,IF(AI$13&lt;=COUNT($C33:$CS33),IF(INDEX($F$206:$F$229,MATCH($B253,$B$206:$B$229,FALSE))=0,NA(),INDEX(AI$14:AI$37,MATCH($B253,$B$14:$B$37,FALSE))/INDEX($F$206:$F$229,MATCH($B253,$B$206:$B$229,FALSE))),NA()),NA())</f>
        <v>#N/A</v>
      </c>
      <c r="AK253" s="65" t="e">
        <f>IF(AJ61=1,IF(AJ$13&lt;=COUNT($C33:$CS33),IF(INDEX($F$206:$F$229,MATCH($B253,$B$206:$B$229,FALSE))=0,NA(),INDEX(AJ$14:AJ$37,MATCH($B253,$B$14:$B$37,FALSE))/INDEX($F$206:$F$229,MATCH($B253,$B$206:$B$229,FALSE))),NA()),NA())</f>
        <v>#N/A</v>
      </c>
      <c r="AL253" s="65" t="e">
        <f>IF(AK61=1,IF(AK$13&lt;=COUNT($C33:$CS33),IF(INDEX($F$206:$F$229,MATCH($B253,$B$206:$B$229,FALSE))=0,NA(),INDEX(AK$14:AK$37,MATCH($B253,$B$14:$B$37,FALSE))/INDEX($F$206:$F$229,MATCH($B253,$B$206:$B$229,FALSE))),NA()),NA())</f>
        <v>#N/A</v>
      </c>
      <c r="AM253" s="65" t="e">
        <f>IF(AL61=1,IF(AL$13&lt;=COUNT($C33:$CS33),IF(INDEX($F$206:$F$229,MATCH($B253,$B$206:$B$229,FALSE))=0,NA(),INDEX(AL$14:AL$37,MATCH($B253,$B$14:$B$37,FALSE))/INDEX($F$206:$F$229,MATCH($B253,$B$206:$B$229,FALSE))),NA()),NA())</f>
        <v>#N/A</v>
      </c>
      <c r="AN253" s="65" t="e">
        <f>IF(AM61=1,IF(AM$13&lt;=COUNT($C33:$CS33),IF(INDEX($F$206:$F$229,MATCH($B253,$B$206:$B$229,FALSE))=0,NA(),INDEX(AM$14:AM$37,MATCH($B253,$B$14:$B$37,FALSE))/INDEX($F$206:$F$229,MATCH($B253,$B$206:$B$229,FALSE))),NA()),NA())</f>
        <v>#N/A</v>
      </c>
      <c r="AO253" s="65" t="e">
        <f>IF(AN61=1,IF(AN$13&lt;=COUNT($C33:$CS33),IF(INDEX($F$206:$F$229,MATCH($B253,$B$206:$B$229,FALSE))=0,NA(),INDEX(AN$14:AN$37,MATCH($B253,$B$14:$B$37,FALSE))/INDEX($F$206:$F$229,MATCH($B253,$B$206:$B$229,FALSE))),NA()),NA())</f>
        <v>#N/A</v>
      </c>
      <c r="AP253" s="65" t="e">
        <f>IF(AO61=1,IF(AO$13&lt;=COUNT($C33:$CS33),IF(INDEX($F$206:$F$229,MATCH($B253,$B$206:$B$229,FALSE))=0,NA(),INDEX(AO$14:AO$37,MATCH($B253,$B$14:$B$37,FALSE))/INDEX($F$206:$F$229,MATCH($B253,$B$206:$B$229,FALSE))),NA()),NA())</f>
        <v>#N/A</v>
      </c>
      <c r="AQ253" s="65" t="e">
        <f>IF(AP61=1,IF(AP$13&lt;=COUNT($C33:$CS33),IF(INDEX($F$206:$F$229,MATCH($B253,$B$206:$B$229,FALSE))=0,NA(),INDEX(AP$14:AP$37,MATCH($B253,$B$14:$B$37,FALSE))/INDEX($F$206:$F$229,MATCH($B253,$B$206:$B$229,FALSE))),NA()),NA())</f>
        <v>#N/A</v>
      </c>
      <c r="AR253" s="65" t="e">
        <f>IF(AQ61=1,IF(AQ$13&lt;=COUNT($C33:$CS33),IF(INDEX($F$206:$F$229,MATCH($B253,$B$206:$B$229,FALSE))=0,NA(),INDEX(AQ$14:AQ$37,MATCH($B253,$B$14:$B$37,FALSE))/INDEX($F$206:$F$229,MATCH($B253,$B$206:$B$229,FALSE))),NA()),NA())</f>
        <v>#N/A</v>
      </c>
      <c r="AS253" s="65" t="e">
        <f>IF(AR61=1,IF(AR$13&lt;=COUNT($C33:$CS33),IF(INDEX($F$206:$F$229,MATCH($B253,$B$206:$B$229,FALSE))=0,NA(),INDEX(AR$14:AR$37,MATCH($B253,$B$14:$B$37,FALSE))/INDEX($F$206:$F$229,MATCH($B253,$B$206:$B$229,FALSE))),NA()),NA())</f>
        <v>#N/A</v>
      </c>
      <c r="AT253" s="65" t="e">
        <f>IF(AS61=1,IF(AS$13&lt;=COUNT($C33:$CS33),IF(INDEX($F$206:$F$229,MATCH($B253,$B$206:$B$229,FALSE))=0,NA(),INDEX(AS$14:AS$37,MATCH($B253,$B$14:$B$37,FALSE))/INDEX($F$206:$F$229,MATCH($B253,$B$206:$B$229,FALSE))),NA()),NA())</f>
        <v>#N/A</v>
      </c>
      <c r="AU253" s="65" t="e">
        <f>IF(AT61=1,IF(AT$13&lt;=COUNT($C33:$CS33),IF(INDEX($F$206:$F$229,MATCH($B253,$B$206:$B$229,FALSE))=0,NA(),INDEX(AT$14:AT$37,MATCH($B253,$B$14:$B$37,FALSE))/INDEX($F$206:$F$229,MATCH($B253,$B$206:$B$229,FALSE))),NA()),NA())</f>
        <v>#N/A</v>
      </c>
      <c r="AV253" s="65" t="e">
        <f>IF(AU61=1,IF(AU$13&lt;=COUNT($C33:$CS33),IF(INDEX($F$206:$F$229,MATCH($B253,$B$206:$B$229,FALSE))=0,NA(),INDEX(AU$14:AU$37,MATCH($B253,$B$14:$B$37,FALSE))/INDEX($F$206:$F$229,MATCH($B253,$B$206:$B$229,FALSE))),NA()),NA())</f>
        <v>#N/A</v>
      </c>
      <c r="AW253" s="65" t="e">
        <f>IF(AV61=1,IF(AV$13&lt;=COUNT($C33:$CS33),IF(INDEX($F$206:$F$229,MATCH($B253,$B$206:$B$229,FALSE))=0,NA(),INDEX(AV$14:AV$37,MATCH($B253,$B$14:$B$37,FALSE))/INDEX($F$206:$F$229,MATCH($B253,$B$206:$B$229,FALSE))),NA()),NA())</f>
        <v>#N/A</v>
      </c>
      <c r="AX253" s="65" t="e">
        <f>IF(AW61=1,IF(AW$13&lt;=COUNT($C33:$CS33),IF(INDEX($F$206:$F$229,MATCH($B253,$B$206:$B$229,FALSE))=0,NA(),INDEX(AW$14:AW$37,MATCH($B253,$B$14:$B$37,FALSE))/INDEX($F$206:$F$229,MATCH($B253,$B$206:$B$229,FALSE))),NA()),NA())</f>
        <v>#N/A</v>
      </c>
      <c r="AY253" s="65" t="e">
        <f>IF(AX61=1,IF(AX$13&lt;=COUNT($C33:$CS33),IF(INDEX($F$206:$F$229,MATCH($B253,$B$206:$B$229,FALSE))=0,NA(),INDEX(AX$14:AX$37,MATCH($B253,$B$14:$B$37,FALSE))/INDEX($F$206:$F$229,MATCH($B253,$B$206:$B$229,FALSE))),NA()),NA())</f>
        <v>#N/A</v>
      </c>
      <c r="AZ253" s="65" t="e">
        <f>IF(AY61=1,IF(AY$13&lt;=COUNT($C33:$CS33),IF(INDEX($F$206:$F$229,MATCH($B253,$B$206:$B$229,FALSE))=0,NA(),INDEX(AY$14:AY$37,MATCH($B253,$B$14:$B$37,FALSE))/INDEX($F$206:$F$229,MATCH($B253,$B$206:$B$229,FALSE))),NA()),NA())</f>
        <v>#N/A</v>
      </c>
      <c r="BA253" s="65" t="e">
        <f>IF(AZ61=1,IF(AZ$13&lt;=COUNT($C33:$CS33),IF(INDEX($F$206:$F$229,MATCH($B253,$B$206:$B$229,FALSE))=0,NA(),INDEX(AZ$14:AZ$37,MATCH($B253,$B$14:$B$37,FALSE))/INDEX($F$206:$F$229,MATCH($B253,$B$206:$B$229,FALSE))),NA()),NA())</f>
        <v>#N/A</v>
      </c>
      <c r="BB253" s="65" t="e">
        <f>IF(BA61=1,IF(BA$13&lt;=COUNT($C33:$CS33),IF(INDEX($F$206:$F$229,MATCH($B253,$B$206:$B$229,FALSE))=0,NA(),INDEX(BA$14:BA$37,MATCH($B253,$B$14:$B$37,FALSE))/INDEX($F$206:$F$229,MATCH($B253,$B$206:$B$229,FALSE))),NA()),NA())</f>
        <v>#N/A</v>
      </c>
      <c r="BC253" s="65" t="e">
        <f>IF(BB61=1,IF(BB$13&lt;=COUNT($C33:$CS33),IF(INDEX($F$206:$F$229,MATCH($B253,$B$206:$B$229,FALSE))=0,NA(),INDEX(BB$14:BB$37,MATCH($B253,$B$14:$B$37,FALSE))/INDEX($F$206:$F$229,MATCH($B253,$B$206:$B$229,FALSE))),NA()),NA())</f>
        <v>#N/A</v>
      </c>
      <c r="BD253" s="65" t="e">
        <f>IF(BC61=1,IF(BC$13&lt;=COUNT($C33:$CS33),IF(INDEX($F$206:$F$229,MATCH($B253,$B$206:$B$229,FALSE))=0,NA(),INDEX(BC$14:BC$37,MATCH($B253,$B$14:$B$37,FALSE))/INDEX($F$206:$F$229,MATCH($B253,$B$206:$B$229,FALSE))),NA()),NA())</f>
        <v>#N/A</v>
      </c>
      <c r="BE253" s="65" t="e">
        <f>IF(BD61=1,IF(BD$13&lt;=COUNT($C33:$CS33),IF(INDEX($F$206:$F$229,MATCH($B253,$B$206:$B$229,FALSE))=0,NA(),INDEX(BD$14:BD$37,MATCH($B253,$B$14:$B$37,FALSE))/INDEX($F$206:$F$229,MATCH($B253,$B$206:$B$229,FALSE))),NA()),NA())</f>
        <v>#N/A</v>
      </c>
      <c r="BF253" s="65" t="e">
        <f>IF(BE61=1,IF(BE$13&lt;=COUNT($C33:$CS33),IF(INDEX($F$206:$F$229,MATCH($B253,$B$206:$B$229,FALSE))=0,NA(),INDEX(BE$14:BE$37,MATCH($B253,$B$14:$B$37,FALSE))/INDEX($F$206:$F$229,MATCH($B253,$B$206:$B$229,FALSE))),NA()),NA())</f>
        <v>#N/A</v>
      </c>
      <c r="BG253" s="65" t="e">
        <f>IF(BF61=1,IF(BF$13&lt;=COUNT($C33:$CS33),IF(INDEX($F$206:$F$229,MATCH($B253,$B$206:$B$229,FALSE))=0,NA(),INDEX(BF$14:BF$37,MATCH($B253,$B$14:$B$37,FALSE))/INDEX($F$206:$F$229,MATCH($B253,$B$206:$B$229,FALSE))),NA()),NA())</f>
        <v>#N/A</v>
      </c>
      <c r="BH253" s="65" t="e">
        <f>IF(BG61=1,IF(BG$13&lt;=COUNT($C33:$CS33),IF(INDEX($F$206:$F$229,MATCH($B253,$B$206:$B$229,FALSE))=0,NA(),INDEX(BG$14:BG$37,MATCH($B253,$B$14:$B$37,FALSE))/INDEX($F$206:$F$229,MATCH($B253,$B$206:$B$229,FALSE))),NA()),NA())</f>
        <v>#N/A</v>
      </c>
      <c r="BI253" s="65" t="e">
        <f>IF(BH61=1,IF(BH$13&lt;=COUNT($C33:$CS33),IF(INDEX($F$206:$F$229,MATCH($B253,$B$206:$B$229,FALSE))=0,NA(),INDEX(BH$14:BH$37,MATCH($B253,$B$14:$B$37,FALSE))/INDEX($F$206:$F$229,MATCH($B253,$B$206:$B$229,FALSE))),NA()),NA())</f>
        <v>#N/A</v>
      </c>
      <c r="BJ253" s="65" t="e">
        <f>IF(BI61=1,IF(BI$13&lt;=COUNT($C33:$CS33),IF(INDEX($F$206:$F$229,MATCH($B253,$B$206:$B$229,FALSE))=0,NA(),INDEX(BI$14:BI$37,MATCH($B253,$B$14:$B$37,FALSE))/INDEX($F$206:$F$229,MATCH($B253,$B$206:$B$229,FALSE))),NA()),NA())</f>
        <v>#N/A</v>
      </c>
      <c r="BK253" s="65" t="e">
        <f>IF(BJ61=1,IF(BJ$13&lt;=COUNT($C33:$CS33),IF(INDEX($F$206:$F$229,MATCH($B253,$B$206:$B$229,FALSE))=0,NA(),INDEX(BJ$14:BJ$37,MATCH($B253,$B$14:$B$37,FALSE))/INDEX($F$206:$F$229,MATCH($B253,$B$206:$B$229,FALSE))),NA()),NA())</f>
        <v>#N/A</v>
      </c>
      <c r="BL253" s="65" t="e">
        <f>IF(BK61=1,IF(BK$13&lt;=COUNT($C33:$CS33),IF(INDEX($F$206:$F$229,MATCH($B253,$B$206:$B$229,FALSE))=0,NA(),INDEX(BK$14:BK$37,MATCH($B253,$B$14:$B$37,FALSE))/INDEX($F$206:$F$229,MATCH($B253,$B$206:$B$229,FALSE))),NA()),NA())</f>
        <v>#N/A</v>
      </c>
      <c r="BM253" s="65" t="e">
        <f>IF(BL61=1,IF(BL$13&lt;=COUNT($C33:$CS33),IF(INDEX($F$206:$F$229,MATCH($B253,$B$206:$B$229,FALSE))=0,NA(),INDEX(BL$14:BL$37,MATCH($B253,$B$14:$B$37,FALSE))/INDEX($F$206:$F$229,MATCH($B253,$B$206:$B$229,FALSE))),NA()),NA())</f>
        <v>#N/A</v>
      </c>
      <c r="BN253" s="65" t="e">
        <f>IF(BM61=1,IF(BM$13&lt;=COUNT($C33:$CS33),IF(INDEX($F$206:$F$229,MATCH($B253,$B$206:$B$229,FALSE))=0,NA(),INDEX(BM$14:BM$37,MATCH($B253,$B$14:$B$37,FALSE))/INDEX($F$206:$F$229,MATCH($B253,$B$206:$B$229,FALSE))),NA()),NA())</f>
        <v>#N/A</v>
      </c>
      <c r="BO253" s="65" t="e">
        <f>IF(BN61=1,IF(BN$13&lt;=COUNT($C33:$CS33),IF(INDEX($F$206:$F$229,MATCH($B253,$B$206:$B$229,FALSE))=0,NA(),INDEX(BN$14:BN$37,MATCH($B253,$B$14:$B$37,FALSE))/INDEX($F$206:$F$229,MATCH($B253,$B$206:$B$229,FALSE))),NA()),NA())</f>
        <v>#N/A</v>
      </c>
      <c r="BP253" s="65" t="e">
        <f>IF(BO61=1,IF(BO$13&lt;=COUNT($C33:$CS33),IF(INDEX($F$206:$F$229,MATCH($B253,$B$206:$B$229,FALSE))=0,NA(),INDEX(BO$14:BO$37,MATCH($B253,$B$14:$B$37,FALSE))/INDEX($F$206:$F$229,MATCH($B253,$B$206:$B$229,FALSE))),NA()),NA())</f>
        <v>#N/A</v>
      </c>
      <c r="BQ253" s="65" t="e">
        <f>IF(BP61=1,IF(BP$13&lt;=COUNT($C33:$CS33),IF(INDEX($F$206:$F$229,MATCH($B253,$B$206:$B$229,FALSE))=0,NA(),INDEX(BP$14:BP$37,MATCH($B253,$B$14:$B$37,FALSE))/INDEX($F$206:$F$229,MATCH($B253,$B$206:$B$229,FALSE))),NA()),NA())</f>
        <v>#N/A</v>
      </c>
      <c r="BR253" s="65" t="e">
        <f>IF(BQ61=1,IF(BQ$13&lt;=COUNT($C33:$CS33),IF(INDEX($F$206:$F$229,MATCH($B253,$B$206:$B$229,FALSE))=0,NA(),INDEX(BQ$14:BQ$37,MATCH($B253,$B$14:$B$37,FALSE))/INDEX($F$206:$F$229,MATCH($B253,$B$206:$B$229,FALSE))),NA()),NA())</f>
        <v>#N/A</v>
      </c>
      <c r="BS253" s="65" t="e">
        <f>IF(BR61=1,IF(BR$13&lt;=COUNT($C33:$CS33),IF(INDEX($F$206:$F$229,MATCH($B253,$B$206:$B$229,FALSE))=0,NA(),INDEX(BR$14:BR$37,MATCH($B253,$B$14:$B$37,FALSE))/INDEX($F$206:$F$229,MATCH($B253,$B$206:$B$229,FALSE))),NA()),NA())</f>
        <v>#N/A</v>
      </c>
      <c r="BT253" s="65" t="e">
        <f>IF(BS61=1,IF(BS$13&lt;=COUNT($C33:$CS33),IF(INDEX($F$206:$F$229,MATCH($B253,$B$206:$B$229,FALSE))=0,NA(),INDEX(BS$14:BS$37,MATCH($B253,$B$14:$B$37,FALSE))/INDEX($F$206:$F$229,MATCH($B253,$B$206:$B$229,FALSE))),NA()),NA())</f>
        <v>#N/A</v>
      </c>
      <c r="BU253" s="65" t="e">
        <f>IF(BT61=1,IF(BT$13&lt;=COUNT($C33:$CS33),IF(INDEX($F$206:$F$229,MATCH($B253,$B$206:$B$229,FALSE))=0,NA(),INDEX(BT$14:BT$37,MATCH($B253,$B$14:$B$37,FALSE))/INDEX($F$206:$F$229,MATCH($B253,$B$206:$B$229,FALSE))),NA()),NA())</f>
        <v>#N/A</v>
      </c>
      <c r="BV253" s="65" t="e">
        <f>IF(BU61=1,IF(BU$13&lt;=COUNT($C33:$CS33),IF(INDEX($F$206:$F$229,MATCH($B253,$B$206:$B$229,FALSE))=0,NA(),INDEX(BU$14:BU$37,MATCH($B253,$B$14:$B$37,FALSE))/INDEX($F$206:$F$229,MATCH($B253,$B$206:$B$229,FALSE))),NA()),NA())</f>
        <v>#N/A</v>
      </c>
      <c r="BW253" s="65" t="e">
        <f>IF(BV61=1,IF(BV$13&lt;=COUNT($C33:$CS33),IF(INDEX($F$206:$F$229,MATCH($B253,$B$206:$B$229,FALSE))=0,NA(),INDEX(BV$14:BV$37,MATCH($B253,$B$14:$B$37,FALSE))/INDEX($F$206:$F$229,MATCH($B253,$B$206:$B$229,FALSE))),NA()),NA())</f>
        <v>#N/A</v>
      </c>
      <c r="BX253" s="65" t="e">
        <f>IF(BW61=1,IF(BW$13&lt;=COUNT($C33:$CS33),IF(INDEX($F$206:$F$229,MATCH($B253,$B$206:$B$229,FALSE))=0,NA(),INDEX(BW$14:BW$37,MATCH($B253,$B$14:$B$37,FALSE))/INDEX($F$206:$F$229,MATCH($B253,$B$206:$B$229,FALSE))),NA()),NA())</f>
        <v>#N/A</v>
      </c>
      <c r="BY253" s="65" t="e">
        <f>IF(BX61=1,IF(BX$13&lt;=COUNT($C33:$CS33),IF(INDEX($F$206:$F$229,MATCH($B253,$B$206:$B$229,FALSE))=0,NA(),INDEX(BX$14:BX$37,MATCH($B253,$B$14:$B$37,FALSE))/INDEX($F$206:$F$229,MATCH($B253,$B$206:$B$229,FALSE))),NA()),NA())</f>
        <v>#N/A</v>
      </c>
      <c r="BZ253" s="65" t="e">
        <f>IF(BY61=1,IF(BY$13&lt;=COUNT($C33:$CS33),IF(INDEX($F$206:$F$229,MATCH($B253,$B$206:$B$229,FALSE))=0,NA(),INDEX(BY$14:BY$37,MATCH($B253,$B$14:$B$37,FALSE))/INDEX($F$206:$F$229,MATCH($B253,$B$206:$B$229,FALSE))),NA()),NA())</f>
        <v>#N/A</v>
      </c>
      <c r="CA253" s="65" t="e">
        <f>IF(BZ61=1,IF(BZ$13&lt;=COUNT($C33:$CS33),IF(INDEX($F$206:$F$229,MATCH($B253,$B$206:$B$229,FALSE))=0,NA(),INDEX(BZ$14:BZ$37,MATCH($B253,$B$14:$B$37,FALSE))/INDEX($F$206:$F$229,MATCH($B253,$B$206:$B$229,FALSE))),NA()),NA())</f>
        <v>#N/A</v>
      </c>
      <c r="CB253" s="65" t="e">
        <f>IF(CA61=1,IF(CA$13&lt;=COUNT($C33:$CS33),IF(INDEX($F$206:$F$229,MATCH($B253,$B$206:$B$229,FALSE))=0,NA(),INDEX(CA$14:CA$37,MATCH($B253,$B$14:$B$37,FALSE))/INDEX($F$206:$F$229,MATCH($B253,$B$206:$B$229,FALSE))),NA()),NA())</f>
        <v>#N/A</v>
      </c>
      <c r="CC253" s="65" t="e">
        <f>IF(CB61=1,IF(CB$13&lt;=COUNT($C33:$CS33),IF(INDEX($F$206:$F$229,MATCH($B253,$B$206:$B$229,FALSE))=0,NA(),INDEX(CB$14:CB$37,MATCH($B253,$B$14:$B$37,FALSE))/INDEX($F$206:$F$229,MATCH($B253,$B$206:$B$229,FALSE))),NA()),NA())</f>
        <v>#N/A</v>
      </c>
      <c r="CD253" s="65" t="e">
        <f>IF(CC61=1,IF(CC$13&lt;=COUNT($C33:$CS33),IF(INDEX($F$206:$F$229,MATCH($B253,$B$206:$B$229,FALSE))=0,NA(),INDEX(CC$14:CC$37,MATCH($B253,$B$14:$B$37,FALSE))/INDEX($F$206:$F$229,MATCH($B253,$B$206:$B$229,FALSE))),NA()),NA())</f>
        <v>#N/A</v>
      </c>
      <c r="CE253" s="65" t="e">
        <f>IF(CD61=1,IF(CD$13&lt;=COUNT($C33:$CS33),IF(INDEX($F$206:$F$229,MATCH($B253,$B$206:$B$229,FALSE))=0,NA(),INDEX(CD$14:CD$37,MATCH($B253,$B$14:$B$37,FALSE))/INDEX($F$206:$F$229,MATCH($B253,$B$206:$B$229,FALSE))),NA()),NA())</f>
        <v>#N/A</v>
      </c>
      <c r="CF253" s="65" t="e">
        <f>IF(CE61=1,IF(CE$13&lt;=COUNT($C33:$CS33),IF(INDEX($F$206:$F$229,MATCH($B253,$B$206:$B$229,FALSE))=0,NA(),INDEX(CE$14:CE$37,MATCH($B253,$B$14:$B$37,FALSE))/INDEX($F$206:$F$229,MATCH($B253,$B$206:$B$229,FALSE))),NA()),NA())</f>
        <v>#N/A</v>
      </c>
      <c r="CG253" s="65" t="e">
        <f>IF(CF61=1,IF(CF$13&lt;=COUNT($C33:$CS33),IF(INDEX($F$206:$F$229,MATCH($B253,$B$206:$B$229,FALSE))=0,NA(),INDEX(CF$14:CF$37,MATCH($B253,$B$14:$B$37,FALSE))/INDEX($F$206:$F$229,MATCH($B253,$B$206:$B$229,FALSE))),NA()),NA())</f>
        <v>#N/A</v>
      </c>
      <c r="CH253" s="65" t="e">
        <f>IF(CG61=1,IF(CG$13&lt;=COUNT($C33:$CS33),IF(INDEX($F$206:$F$229,MATCH($B253,$B$206:$B$229,FALSE))=0,NA(),INDEX(CG$14:CG$37,MATCH($B253,$B$14:$B$37,FALSE))/INDEX($F$206:$F$229,MATCH($B253,$B$206:$B$229,FALSE))),NA()),NA())</f>
        <v>#N/A</v>
      </c>
      <c r="CI253" s="65" t="e">
        <f>IF(CH61=1,IF(CH$13&lt;=COUNT($C33:$CS33),IF(INDEX($F$206:$F$229,MATCH($B253,$B$206:$B$229,FALSE))=0,NA(),INDEX(CH$14:CH$37,MATCH($B253,$B$14:$B$37,FALSE))/INDEX($F$206:$F$229,MATCH($B253,$B$206:$B$229,FALSE))),NA()),NA())</f>
        <v>#N/A</v>
      </c>
      <c r="CJ253" s="65" t="e">
        <f>IF(CI61=1,IF(CI$13&lt;=COUNT($C33:$CS33),IF(INDEX($F$206:$F$229,MATCH($B253,$B$206:$B$229,FALSE))=0,NA(),INDEX(CI$14:CI$37,MATCH($B253,$B$14:$B$37,FALSE))/INDEX($F$206:$F$229,MATCH($B253,$B$206:$B$229,FALSE))),NA()),NA())</f>
        <v>#N/A</v>
      </c>
      <c r="CK253" s="65" t="e">
        <f>IF(CJ61=1,IF(CJ$13&lt;=COUNT($C33:$CS33),IF(INDEX($F$206:$F$229,MATCH($B253,$B$206:$B$229,FALSE))=0,NA(),INDEX(CJ$14:CJ$37,MATCH($B253,$B$14:$B$37,FALSE))/INDEX($F$206:$F$229,MATCH($B253,$B$206:$B$229,FALSE))),NA()),NA())</f>
        <v>#N/A</v>
      </c>
      <c r="CL253" s="65" t="e">
        <f>IF(CK61=1,IF(CK$13&lt;=COUNT($C33:$CS33),IF(INDEX($F$206:$F$229,MATCH($B253,$B$206:$B$229,FALSE))=0,NA(),INDEX(CK$14:CK$37,MATCH($B253,$B$14:$B$37,FALSE))/INDEX($F$206:$F$229,MATCH($B253,$B$206:$B$229,FALSE))),NA()),NA())</f>
        <v>#N/A</v>
      </c>
      <c r="CM253" s="65" t="e">
        <f>IF(CL61=1,IF(CL$13&lt;=COUNT($C33:$CS33),IF(INDEX($F$206:$F$229,MATCH($B253,$B$206:$B$229,FALSE))=0,NA(),INDEX(CL$14:CL$37,MATCH($B253,$B$14:$B$37,FALSE))/INDEX($F$206:$F$229,MATCH($B253,$B$206:$B$229,FALSE))),NA()),NA())</f>
        <v>#N/A</v>
      </c>
      <c r="CN253" s="65" t="e">
        <f>IF(CM61=1,IF(CM$13&lt;=COUNT($C33:$CS33),IF(INDEX($F$206:$F$229,MATCH($B253,$B$206:$B$229,FALSE))=0,NA(),INDEX(CM$14:CM$37,MATCH($B253,$B$14:$B$37,FALSE))/INDEX($F$206:$F$229,MATCH($B253,$B$206:$B$229,FALSE))),NA()),NA())</f>
        <v>#N/A</v>
      </c>
      <c r="CO253" s="65" t="e">
        <f>IF(CN61=1,IF(CN$13&lt;=COUNT($C33:$CS33),IF(INDEX($F$206:$F$229,MATCH($B253,$B$206:$B$229,FALSE))=0,NA(),INDEX(CN$14:CN$37,MATCH($B253,$B$14:$B$37,FALSE))/INDEX($F$206:$F$229,MATCH($B253,$B$206:$B$229,FALSE))),NA()),NA())</f>
        <v>#N/A</v>
      </c>
      <c r="CP253" s="65" t="e">
        <f>IF(CO61=1,IF(CO$13&lt;=COUNT($C33:$CS33),IF(INDEX($F$206:$F$229,MATCH($B253,$B$206:$B$229,FALSE))=0,NA(),INDEX(CO$14:CO$37,MATCH($B253,$B$14:$B$37,FALSE))/INDEX($F$206:$F$229,MATCH($B253,$B$206:$B$229,FALSE))),NA()),NA())</f>
        <v>#N/A</v>
      </c>
      <c r="CQ253" s="65" t="e">
        <f>IF(CP61=1,IF(CP$13&lt;=COUNT($C33:$CS33),IF(INDEX($F$206:$F$229,MATCH($B253,$B$206:$B$229,FALSE))=0,NA(),INDEX(CP$14:CP$37,MATCH($B253,$B$14:$B$37,FALSE))/INDEX($F$206:$F$229,MATCH($B253,$B$206:$B$229,FALSE))),NA()),NA())</f>
        <v>#N/A</v>
      </c>
      <c r="CR253" s="65" t="e">
        <f>IF(CQ61=1,IF(CQ$13&lt;=COUNT($C33:$CS33),IF(INDEX($F$206:$F$229,MATCH($B253,$B$206:$B$229,FALSE))=0,NA(),INDEX(CQ$14:CQ$37,MATCH($B253,$B$14:$B$37,FALSE))/INDEX($F$206:$F$229,MATCH($B253,$B$206:$B$229,FALSE))),NA()),NA())</f>
        <v>#N/A</v>
      </c>
      <c r="CS253" s="65" t="e">
        <f>IF(CR61=1,IF(CR$13&lt;=COUNT($C33:$CS33),IF(INDEX($F$206:$F$229,MATCH($B253,$B$206:$B$229,FALSE))=0,NA(),INDEX(CR$14:CR$37,MATCH($B253,$B$14:$B$37,FALSE))/INDEX($F$206:$F$229,MATCH($B253,$B$206:$B$229,FALSE))),NA()),NA())</f>
        <v>#N/A</v>
      </c>
      <c r="CT253" s="49"/>
      <c r="CU253" s="49"/>
      <c r="CV253" s="49"/>
      <c r="CW253" s="49"/>
    </row>
    <row r="254" spans="1:101" x14ac:dyDescent="0.25">
      <c r="A254" s="97">
        <f t="shared" si="105"/>
        <v>1</v>
      </c>
      <c r="B254" s="29">
        <f t="shared" si="104"/>
        <v>2016</v>
      </c>
      <c r="C254" s="154" t="str">
        <f t="shared" si="106"/>
        <v/>
      </c>
      <c r="D254" s="54">
        <f t="shared" ref="D254:BO257" ca="1" si="109">IF(C62=1,IF(C$13&lt;=COUNT($C34:$CS34),IF(INDEX($F$206:$F$229,MATCH($B254,$B$206:$B$229,FALSE))=0,NA(),INDEX(C$14:C$37,MATCH($B254,$B$14:$B$37,FALSE))/INDEX($F$206:$F$229,MATCH($B254,$B$206:$B$229,FALSE))),NA()),NA())</f>
        <v>0.5</v>
      </c>
      <c r="E254" s="65">
        <f t="shared" ca="1" si="109"/>
        <v>1</v>
      </c>
      <c r="F254" s="65">
        <f t="shared" ca="1" si="109"/>
        <v>1</v>
      </c>
      <c r="G254" s="65">
        <f t="shared" ca="1" si="109"/>
        <v>1</v>
      </c>
      <c r="H254" s="65" t="e">
        <f>IF(G62=1,IF(G$13&lt;=COUNT($C34:$CS34),IF(INDEX($F$206:$F$229,MATCH($B254,$B$206:$B$229,FALSE))=0,NA(),INDEX(G$14:G$37,MATCH($B254,$B$14:$B$37,FALSE))/INDEX($F$206:$F$229,MATCH($B254,$B$206:$B$229,FALSE))),NA()),NA())</f>
        <v>#N/A</v>
      </c>
      <c r="I254" s="65" t="e">
        <f>IF(H62=1,IF(H$13&lt;=COUNT($C34:$CS34),IF(INDEX($F$206:$F$229,MATCH($B254,$B$206:$B$229,FALSE))=0,NA(),INDEX(H$14:H$37,MATCH($B254,$B$14:$B$37,FALSE))/INDEX($F$206:$F$229,MATCH($B254,$B$206:$B$229,FALSE))),NA()),NA())</f>
        <v>#N/A</v>
      </c>
      <c r="J254" s="65" t="e">
        <f>IF(I62=1,IF(I$13&lt;=COUNT($C34:$CS34),IF(INDEX($F$206:$F$229,MATCH($B254,$B$206:$B$229,FALSE))=0,NA(),INDEX(I$14:I$37,MATCH($B254,$B$14:$B$37,FALSE))/INDEX($F$206:$F$229,MATCH($B254,$B$206:$B$229,FALSE))),NA()),NA())</f>
        <v>#N/A</v>
      </c>
      <c r="K254" s="65" t="e">
        <f>IF(J62=1,IF(J$13&lt;=COUNT($C34:$CS34),IF(INDEX($F$206:$F$229,MATCH($B254,$B$206:$B$229,FALSE))=0,NA(),INDEX(J$14:J$37,MATCH($B254,$B$14:$B$37,FALSE))/INDEX($F$206:$F$229,MATCH($B254,$B$206:$B$229,FALSE))),NA()),NA())</f>
        <v>#N/A</v>
      </c>
      <c r="L254" s="65" t="e">
        <f>IF(K62=1,IF(K$13&lt;=COUNT($C34:$CS34),IF(INDEX($F$206:$F$229,MATCH($B254,$B$206:$B$229,FALSE))=0,NA(),INDEX(K$14:K$37,MATCH($B254,$B$14:$B$37,FALSE))/INDEX($F$206:$F$229,MATCH($B254,$B$206:$B$229,FALSE))),NA()),NA())</f>
        <v>#N/A</v>
      </c>
      <c r="M254" s="65" t="e">
        <f>IF(L62=1,IF(L$13&lt;=COUNT($C34:$CS34),IF(INDEX($F$206:$F$229,MATCH($B254,$B$206:$B$229,FALSE))=0,NA(),INDEX(L$14:L$37,MATCH($B254,$B$14:$B$37,FALSE))/INDEX($F$206:$F$229,MATCH($B254,$B$206:$B$229,FALSE))),NA()),NA())</f>
        <v>#N/A</v>
      </c>
      <c r="N254" s="65" t="e">
        <f>IF(M62=1,IF(M$13&lt;=COUNT($C34:$CS34),IF(INDEX($F$206:$F$229,MATCH($B254,$B$206:$B$229,FALSE))=0,NA(),INDEX(M$14:M$37,MATCH($B254,$B$14:$B$37,FALSE))/INDEX($F$206:$F$229,MATCH($B254,$B$206:$B$229,FALSE))),NA()),NA())</f>
        <v>#N/A</v>
      </c>
      <c r="O254" s="65" t="e">
        <f>IF(N62=1,IF(N$13&lt;=COUNT($C34:$CS34),IF(INDEX($F$206:$F$229,MATCH($B254,$B$206:$B$229,FALSE))=0,NA(),INDEX(N$14:N$37,MATCH($B254,$B$14:$B$37,FALSE))/INDEX($F$206:$F$229,MATCH($B254,$B$206:$B$229,FALSE))),NA()),NA())</f>
        <v>#N/A</v>
      </c>
      <c r="P254" s="65" t="e">
        <f>IF(O62=1,IF(O$13&lt;=COUNT($C34:$CS34),IF(INDEX($F$206:$F$229,MATCH($B254,$B$206:$B$229,FALSE))=0,NA(),INDEX(O$14:O$37,MATCH($B254,$B$14:$B$37,FALSE))/INDEX($F$206:$F$229,MATCH($B254,$B$206:$B$229,FALSE))),NA()),NA())</f>
        <v>#N/A</v>
      </c>
      <c r="Q254" s="65" t="e">
        <f>IF(P62=1,IF(P$13&lt;=COUNT($C34:$CS34),IF(INDEX($F$206:$F$229,MATCH($B254,$B$206:$B$229,FALSE))=0,NA(),INDEX(P$14:P$37,MATCH($B254,$B$14:$B$37,FALSE))/INDEX($F$206:$F$229,MATCH($B254,$B$206:$B$229,FALSE))),NA()),NA())</f>
        <v>#N/A</v>
      </c>
      <c r="R254" s="65" t="e">
        <f>IF(Q62=1,IF(Q$13&lt;=COUNT($C34:$CS34),IF(INDEX($F$206:$F$229,MATCH($B254,$B$206:$B$229,FALSE))=0,NA(),INDEX(Q$14:Q$37,MATCH($B254,$B$14:$B$37,FALSE))/INDEX($F$206:$F$229,MATCH($B254,$B$206:$B$229,FALSE))),NA()),NA())</f>
        <v>#N/A</v>
      </c>
      <c r="S254" s="65" t="e">
        <f>IF(R62=1,IF(R$13&lt;=COUNT($C34:$CS34),IF(INDEX($F$206:$F$229,MATCH($B254,$B$206:$B$229,FALSE))=0,NA(),INDEX(R$14:R$37,MATCH($B254,$B$14:$B$37,FALSE))/INDEX($F$206:$F$229,MATCH($B254,$B$206:$B$229,FALSE))),NA()),NA())</f>
        <v>#N/A</v>
      </c>
      <c r="T254" s="65" t="e">
        <f>IF(S62=1,IF(S$13&lt;=COUNT($C34:$CS34),IF(INDEX($F$206:$F$229,MATCH($B254,$B$206:$B$229,FALSE))=0,NA(),INDEX(S$14:S$37,MATCH($B254,$B$14:$B$37,FALSE))/INDEX($F$206:$F$229,MATCH($B254,$B$206:$B$229,FALSE))),NA()),NA())</f>
        <v>#N/A</v>
      </c>
      <c r="U254" s="65" t="e">
        <f>IF(T62=1,IF(T$13&lt;=COUNT($C34:$CS34),IF(INDEX($F$206:$F$229,MATCH($B254,$B$206:$B$229,FALSE))=0,NA(),INDEX(T$14:T$37,MATCH($B254,$B$14:$B$37,FALSE))/INDEX($F$206:$F$229,MATCH($B254,$B$206:$B$229,FALSE))),NA()),NA())</f>
        <v>#N/A</v>
      </c>
      <c r="V254" s="65" t="e">
        <f>IF(U62=1,IF(U$13&lt;=COUNT($C34:$CS34),IF(INDEX($F$206:$F$229,MATCH($B254,$B$206:$B$229,FALSE))=0,NA(),INDEX(U$14:U$37,MATCH($B254,$B$14:$B$37,FALSE))/INDEX($F$206:$F$229,MATCH($B254,$B$206:$B$229,FALSE))),NA()),NA())</f>
        <v>#N/A</v>
      </c>
      <c r="W254" s="65" t="e">
        <f>IF(V62=1,IF(V$13&lt;=COUNT($C34:$CS34),IF(INDEX($F$206:$F$229,MATCH($B254,$B$206:$B$229,FALSE))=0,NA(),INDEX(V$14:V$37,MATCH($B254,$B$14:$B$37,FALSE))/INDEX($F$206:$F$229,MATCH($B254,$B$206:$B$229,FALSE))),NA()),NA())</f>
        <v>#N/A</v>
      </c>
      <c r="X254" s="65" t="e">
        <f>IF(W62=1,IF(W$13&lt;=COUNT($C34:$CS34),IF(INDEX($F$206:$F$229,MATCH($B254,$B$206:$B$229,FALSE))=0,NA(),INDEX(W$14:W$37,MATCH($B254,$B$14:$B$37,FALSE))/INDEX($F$206:$F$229,MATCH($B254,$B$206:$B$229,FALSE))),NA()),NA())</f>
        <v>#N/A</v>
      </c>
      <c r="Y254" s="65" t="e">
        <f>IF(X62=1,IF(X$13&lt;=COUNT($C34:$CS34),IF(INDEX($F$206:$F$229,MATCH($B254,$B$206:$B$229,FALSE))=0,NA(),INDEX(X$14:X$37,MATCH($B254,$B$14:$B$37,FALSE))/INDEX($F$206:$F$229,MATCH($B254,$B$206:$B$229,FALSE))),NA()),NA())</f>
        <v>#N/A</v>
      </c>
      <c r="Z254" s="65" t="e">
        <f>IF(Y62=1,IF(Y$13&lt;=COUNT($C34:$CS34),IF(INDEX($F$206:$F$229,MATCH($B254,$B$206:$B$229,FALSE))=0,NA(),INDEX(Y$14:Y$37,MATCH($B254,$B$14:$B$37,FALSE))/INDEX($F$206:$F$229,MATCH($B254,$B$206:$B$229,FALSE))),NA()),NA())</f>
        <v>#N/A</v>
      </c>
      <c r="AA254" s="65" t="e">
        <f>IF(Z62=1,IF(Z$13&lt;=COUNT($C34:$CS34),IF(INDEX($F$206:$F$229,MATCH($B254,$B$206:$B$229,FALSE))=0,NA(),INDEX(Z$14:Z$37,MATCH($B254,$B$14:$B$37,FALSE))/INDEX($F$206:$F$229,MATCH($B254,$B$206:$B$229,FALSE))),NA()),NA())</f>
        <v>#N/A</v>
      </c>
      <c r="AB254" s="65" t="e">
        <f>IF(AA62=1,IF(AA$13&lt;=COUNT($C34:$CS34),IF(INDEX($F$206:$F$229,MATCH($B254,$B$206:$B$229,FALSE))=0,NA(),INDEX(AA$14:AA$37,MATCH($B254,$B$14:$B$37,FALSE))/INDEX($F$206:$F$229,MATCH($B254,$B$206:$B$229,FALSE))),NA()),NA())</f>
        <v>#N/A</v>
      </c>
      <c r="AC254" s="65" t="e">
        <f>IF(AB62=1,IF(AB$13&lt;=COUNT($C34:$CS34),IF(INDEX($F$206:$F$229,MATCH($B254,$B$206:$B$229,FALSE))=0,NA(),INDEX(AB$14:AB$37,MATCH($B254,$B$14:$B$37,FALSE))/INDEX($F$206:$F$229,MATCH($B254,$B$206:$B$229,FALSE))),NA()),NA())</f>
        <v>#N/A</v>
      </c>
      <c r="AD254" s="65" t="e">
        <f>IF(AC62=1,IF(AC$13&lt;=COUNT($C34:$CS34),IF(INDEX($F$206:$F$229,MATCH($B254,$B$206:$B$229,FALSE))=0,NA(),INDEX(AC$14:AC$37,MATCH($B254,$B$14:$B$37,FALSE))/INDEX($F$206:$F$229,MATCH($B254,$B$206:$B$229,FALSE))),NA()),NA())</f>
        <v>#N/A</v>
      </c>
      <c r="AE254" s="65" t="e">
        <f>IF(AD62=1,IF(AD$13&lt;=COUNT($C34:$CS34),IF(INDEX($F$206:$F$229,MATCH($B254,$B$206:$B$229,FALSE))=0,NA(),INDEX(AD$14:AD$37,MATCH($B254,$B$14:$B$37,FALSE))/INDEX($F$206:$F$229,MATCH($B254,$B$206:$B$229,FALSE))),NA()),NA())</f>
        <v>#N/A</v>
      </c>
      <c r="AF254" s="65" t="e">
        <f>IF(AE62=1,IF(AE$13&lt;=COUNT($C34:$CS34),IF(INDEX($F$206:$F$229,MATCH($B254,$B$206:$B$229,FALSE))=0,NA(),INDEX(AE$14:AE$37,MATCH($B254,$B$14:$B$37,FALSE))/INDEX($F$206:$F$229,MATCH($B254,$B$206:$B$229,FALSE))),NA()),NA())</f>
        <v>#N/A</v>
      </c>
      <c r="AG254" s="65" t="e">
        <f>IF(AF62=1,IF(AF$13&lt;=COUNT($C34:$CS34),IF(INDEX($F$206:$F$229,MATCH($B254,$B$206:$B$229,FALSE))=0,NA(),INDEX(AF$14:AF$37,MATCH($B254,$B$14:$B$37,FALSE))/INDEX($F$206:$F$229,MATCH($B254,$B$206:$B$229,FALSE))),NA()),NA())</f>
        <v>#N/A</v>
      </c>
      <c r="AH254" s="65" t="e">
        <f>IF(AG62=1,IF(AG$13&lt;=COUNT($C34:$CS34),IF(INDEX($F$206:$F$229,MATCH($B254,$B$206:$B$229,FALSE))=0,NA(),INDEX(AG$14:AG$37,MATCH($B254,$B$14:$B$37,FALSE))/INDEX($F$206:$F$229,MATCH($B254,$B$206:$B$229,FALSE))),NA()),NA())</f>
        <v>#N/A</v>
      </c>
      <c r="AI254" s="65" t="e">
        <f>IF(AH62=1,IF(AH$13&lt;=COUNT($C34:$CS34),IF(INDEX($F$206:$F$229,MATCH($B254,$B$206:$B$229,FALSE))=0,NA(),INDEX(AH$14:AH$37,MATCH($B254,$B$14:$B$37,FALSE))/INDEX($F$206:$F$229,MATCH($B254,$B$206:$B$229,FALSE))),NA()),NA())</f>
        <v>#N/A</v>
      </c>
      <c r="AJ254" s="65" t="e">
        <f>IF(AI62=1,IF(AI$13&lt;=COUNT($C34:$CS34),IF(INDEX($F$206:$F$229,MATCH($B254,$B$206:$B$229,FALSE))=0,NA(),INDEX(AI$14:AI$37,MATCH($B254,$B$14:$B$37,FALSE))/INDEX($F$206:$F$229,MATCH($B254,$B$206:$B$229,FALSE))),NA()),NA())</f>
        <v>#N/A</v>
      </c>
      <c r="AK254" s="65" t="e">
        <f>IF(AJ62=1,IF(AJ$13&lt;=COUNT($C34:$CS34),IF(INDEX($F$206:$F$229,MATCH($B254,$B$206:$B$229,FALSE))=0,NA(),INDEX(AJ$14:AJ$37,MATCH($B254,$B$14:$B$37,FALSE))/INDEX($F$206:$F$229,MATCH($B254,$B$206:$B$229,FALSE))),NA()),NA())</f>
        <v>#N/A</v>
      </c>
      <c r="AL254" s="65" t="e">
        <f>IF(AK62=1,IF(AK$13&lt;=COUNT($C34:$CS34),IF(INDEX($F$206:$F$229,MATCH($B254,$B$206:$B$229,FALSE))=0,NA(),INDEX(AK$14:AK$37,MATCH($B254,$B$14:$B$37,FALSE))/INDEX($F$206:$F$229,MATCH($B254,$B$206:$B$229,FALSE))),NA()),NA())</f>
        <v>#N/A</v>
      </c>
      <c r="AM254" s="65" t="e">
        <f>IF(AL62=1,IF(AL$13&lt;=COUNT($C34:$CS34),IF(INDEX($F$206:$F$229,MATCH($B254,$B$206:$B$229,FALSE))=0,NA(),INDEX(AL$14:AL$37,MATCH($B254,$B$14:$B$37,FALSE))/INDEX($F$206:$F$229,MATCH($B254,$B$206:$B$229,FALSE))),NA()),NA())</f>
        <v>#N/A</v>
      </c>
      <c r="AN254" s="65" t="e">
        <f>IF(AM62=1,IF(AM$13&lt;=COUNT($C34:$CS34),IF(INDEX($F$206:$F$229,MATCH($B254,$B$206:$B$229,FALSE))=0,NA(),INDEX(AM$14:AM$37,MATCH($B254,$B$14:$B$37,FALSE))/INDEX($F$206:$F$229,MATCH($B254,$B$206:$B$229,FALSE))),NA()),NA())</f>
        <v>#N/A</v>
      </c>
      <c r="AO254" s="65" t="e">
        <f>IF(AN62=1,IF(AN$13&lt;=COUNT($C34:$CS34),IF(INDEX($F$206:$F$229,MATCH($B254,$B$206:$B$229,FALSE))=0,NA(),INDEX(AN$14:AN$37,MATCH($B254,$B$14:$B$37,FALSE))/INDEX($F$206:$F$229,MATCH($B254,$B$206:$B$229,FALSE))),NA()),NA())</f>
        <v>#N/A</v>
      </c>
      <c r="AP254" s="65" t="e">
        <f>IF(AO62=1,IF(AO$13&lt;=COUNT($C34:$CS34),IF(INDEX($F$206:$F$229,MATCH($B254,$B$206:$B$229,FALSE))=0,NA(),INDEX(AO$14:AO$37,MATCH($B254,$B$14:$B$37,FALSE))/INDEX($F$206:$F$229,MATCH($B254,$B$206:$B$229,FALSE))),NA()),NA())</f>
        <v>#N/A</v>
      </c>
      <c r="AQ254" s="65" t="e">
        <f>IF(AP62=1,IF(AP$13&lt;=COUNT($C34:$CS34),IF(INDEX($F$206:$F$229,MATCH($B254,$B$206:$B$229,FALSE))=0,NA(),INDEX(AP$14:AP$37,MATCH($B254,$B$14:$B$37,FALSE))/INDEX($F$206:$F$229,MATCH($B254,$B$206:$B$229,FALSE))),NA()),NA())</f>
        <v>#N/A</v>
      </c>
      <c r="AR254" s="65" t="e">
        <f>IF(AQ62=1,IF(AQ$13&lt;=COUNT($C34:$CS34),IF(INDEX($F$206:$F$229,MATCH($B254,$B$206:$B$229,FALSE))=0,NA(),INDEX(AQ$14:AQ$37,MATCH($B254,$B$14:$B$37,FALSE))/INDEX($F$206:$F$229,MATCH($B254,$B$206:$B$229,FALSE))),NA()),NA())</f>
        <v>#N/A</v>
      </c>
      <c r="AS254" s="65" t="e">
        <f>IF(AR62=1,IF(AR$13&lt;=COUNT($C34:$CS34),IF(INDEX($F$206:$F$229,MATCH($B254,$B$206:$B$229,FALSE))=0,NA(),INDEX(AR$14:AR$37,MATCH($B254,$B$14:$B$37,FALSE))/INDEX($F$206:$F$229,MATCH($B254,$B$206:$B$229,FALSE))),NA()),NA())</f>
        <v>#N/A</v>
      </c>
      <c r="AT254" s="65" t="e">
        <f>IF(AS62=1,IF(AS$13&lt;=COUNT($C34:$CS34),IF(INDEX($F$206:$F$229,MATCH($B254,$B$206:$B$229,FALSE))=0,NA(),INDEX(AS$14:AS$37,MATCH($B254,$B$14:$B$37,FALSE))/INDEX($F$206:$F$229,MATCH($B254,$B$206:$B$229,FALSE))),NA()),NA())</f>
        <v>#N/A</v>
      </c>
      <c r="AU254" s="65" t="e">
        <f>IF(AT62=1,IF(AT$13&lt;=COUNT($C34:$CS34),IF(INDEX($F$206:$F$229,MATCH($B254,$B$206:$B$229,FALSE))=0,NA(),INDEX(AT$14:AT$37,MATCH($B254,$B$14:$B$37,FALSE))/INDEX($F$206:$F$229,MATCH($B254,$B$206:$B$229,FALSE))),NA()),NA())</f>
        <v>#N/A</v>
      </c>
      <c r="AV254" s="65" t="e">
        <f>IF(AU62=1,IF(AU$13&lt;=COUNT($C34:$CS34),IF(INDEX($F$206:$F$229,MATCH($B254,$B$206:$B$229,FALSE))=0,NA(),INDEX(AU$14:AU$37,MATCH($B254,$B$14:$B$37,FALSE))/INDEX($F$206:$F$229,MATCH($B254,$B$206:$B$229,FALSE))),NA()),NA())</f>
        <v>#N/A</v>
      </c>
      <c r="AW254" s="65" t="e">
        <f>IF(AV62=1,IF(AV$13&lt;=COUNT($C34:$CS34),IF(INDEX($F$206:$F$229,MATCH($B254,$B$206:$B$229,FALSE))=0,NA(),INDEX(AV$14:AV$37,MATCH($B254,$B$14:$B$37,FALSE))/INDEX($F$206:$F$229,MATCH($B254,$B$206:$B$229,FALSE))),NA()),NA())</f>
        <v>#N/A</v>
      </c>
      <c r="AX254" s="65" t="e">
        <f>IF(AW62=1,IF(AW$13&lt;=COUNT($C34:$CS34),IF(INDEX($F$206:$F$229,MATCH($B254,$B$206:$B$229,FALSE))=0,NA(),INDEX(AW$14:AW$37,MATCH($B254,$B$14:$B$37,FALSE))/INDEX($F$206:$F$229,MATCH($B254,$B$206:$B$229,FALSE))),NA()),NA())</f>
        <v>#N/A</v>
      </c>
      <c r="AY254" s="65" t="e">
        <f>IF(AX62=1,IF(AX$13&lt;=COUNT($C34:$CS34),IF(INDEX($F$206:$F$229,MATCH($B254,$B$206:$B$229,FALSE))=0,NA(),INDEX(AX$14:AX$37,MATCH($B254,$B$14:$B$37,FALSE))/INDEX($F$206:$F$229,MATCH($B254,$B$206:$B$229,FALSE))),NA()),NA())</f>
        <v>#N/A</v>
      </c>
      <c r="AZ254" s="65" t="e">
        <f>IF(AY62=1,IF(AY$13&lt;=COUNT($C34:$CS34),IF(INDEX($F$206:$F$229,MATCH($B254,$B$206:$B$229,FALSE))=0,NA(),INDEX(AY$14:AY$37,MATCH($B254,$B$14:$B$37,FALSE))/INDEX($F$206:$F$229,MATCH($B254,$B$206:$B$229,FALSE))),NA()),NA())</f>
        <v>#N/A</v>
      </c>
      <c r="BA254" s="65" t="e">
        <f>IF(AZ62=1,IF(AZ$13&lt;=COUNT($C34:$CS34),IF(INDEX($F$206:$F$229,MATCH($B254,$B$206:$B$229,FALSE))=0,NA(),INDEX(AZ$14:AZ$37,MATCH($B254,$B$14:$B$37,FALSE))/INDEX($F$206:$F$229,MATCH($B254,$B$206:$B$229,FALSE))),NA()),NA())</f>
        <v>#N/A</v>
      </c>
      <c r="BB254" s="65" t="e">
        <f>IF(BA62=1,IF(BA$13&lt;=COUNT($C34:$CS34),IF(INDEX($F$206:$F$229,MATCH($B254,$B$206:$B$229,FALSE))=0,NA(),INDEX(BA$14:BA$37,MATCH($B254,$B$14:$B$37,FALSE))/INDEX($F$206:$F$229,MATCH($B254,$B$206:$B$229,FALSE))),NA()),NA())</f>
        <v>#N/A</v>
      </c>
      <c r="BC254" s="65" t="e">
        <f>IF(BB62=1,IF(BB$13&lt;=COUNT($C34:$CS34),IF(INDEX($F$206:$F$229,MATCH($B254,$B$206:$B$229,FALSE))=0,NA(),INDEX(BB$14:BB$37,MATCH($B254,$B$14:$B$37,FALSE))/INDEX($F$206:$F$229,MATCH($B254,$B$206:$B$229,FALSE))),NA()),NA())</f>
        <v>#N/A</v>
      </c>
      <c r="BD254" s="65" t="e">
        <f>IF(BC62=1,IF(BC$13&lt;=COUNT($C34:$CS34),IF(INDEX($F$206:$F$229,MATCH($B254,$B$206:$B$229,FALSE))=0,NA(),INDEX(BC$14:BC$37,MATCH($B254,$B$14:$B$37,FALSE))/INDEX($F$206:$F$229,MATCH($B254,$B$206:$B$229,FALSE))),NA()),NA())</f>
        <v>#N/A</v>
      </c>
      <c r="BE254" s="65" t="e">
        <f>IF(BD62=1,IF(BD$13&lt;=COUNT($C34:$CS34),IF(INDEX($F$206:$F$229,MATCH($B254,$B$206:$B$229,FALSE))=0,NA(),INDEX(BD$14:BD$37,MATCH($B254,$B$14:$B$37,FALSE))/INDEX($F$206:$F$229,MATCH($B254,$B$206:$B$229,FALSE))),NA()),NA())</f>
        <v>#N/A</v>
      </c>
      <c r="BF254" s="65" t="e">
        <f>IF(BE62=1,IF(BE$13&lt;=COUNT($C34:$CS34),IF(INDEX($F$206:$F$229,MATCH($B254,$B$206:$B$229,FALSE))=0,NA(),INDEX(BE$14:BE$37,MATCH($B254,$B$14:$B$37,FALSE))/INDEX($F$206:$F$229,MATCH($B254,$B$206:$B$229,FALSE))),NA()),NA())</f>
        <v>#N/A</v>
      </c>
      <c r="BG254" s="65" t="e">
        <f>IF(BF62=1,IF(BF$13&lt;=COUNT($C34:$CS34),IF(INDEX($F$206:$F$229,MATCH($B254,$B$206:$B$229,FALSE))=0,NA(),INDEX(BF$14:BF$37,MATCH($B254,$B$14:$B$37,FALSE))/INDEX($F$206:$F$229,MATCH($B254,$B$206:$B$229,FALSE))),NA()),NA())</f>
        <v>#N/A</v>
      </c>
      <c r="BH254" s="65" t="e">
        <f>IF(BG62=1,IF(BG$13&lt;=COUNT($C34:$CS34),IF(INDEX($F$206:$F$229,MATCH($B254,$B$206:$B$229,FALSE))=0,NA(),INDEX(BG$14:BG$37,MATCH($B254,$B$14:$B$37,FALSE))/INDEX($F$206:$F$229,MATCH($B254,$B$206:$B$229,FALSE))),NA()),NA())</f>
        <v>#N/A</v>
      </c>
      <c r="BI254" s="65" t="e">
        <f>IF(BH62=1,IF(BH$13&lt;=COUNT($C34:$CS34),IF(INDEX($F$206:$F$229,MATCH($B254,$B$206:$B$229,FALSE))=0,NA(),INDEX(BH$14:BH$37,MATCH($B254,$B$14:$B$37,FALSE))/INDEX($F$206:$F$229,MATCH($B254,$B$206:$B$229,FALSE))),NA()),NA())</f>
        <v>#N/A</v>
      </c>
      <c r="BJ254" s="65" t="e">
        <f>IF(BI62=1,IF(BI$13&lt;=COUNT($C34:$CS34),IF(INDEX($F$206:$F$229,MATCH($B254,$B$206:$B$229,FALSE))=0,NA(),INDEX(BI$14:BI$37,MATCH($B254,$B$14:$B$37,FALSE))/INDEX($F$206:$F$229,MATCH($B254,$B$206:$B$229,FALSE))),NA()),NA())</f>
        <v>#N/A</v>
      </c>
      <c r="BK254" s="65" t="e">
        <f>IF(BJ62=1,IF(BJ$13&lt;=COUNT($C34:$CS34),IF(INDEX($F$206:$F$229,MATCH($B254,$B$206:$B$229,FALSE))=0,NA(),INDEX(BJ$14:BJ$37,MATCH($B254,$B$14:$B$37,FALSE))/INDEX($F$206:$F$229,MATCH($B254,$B$206:$B$229,FALSE))),NA()),NA())</f>
        <v>#N/A</v>
      </c>
      <c r="BL254" s="65" t="e">
        <f>IF(BK62=1,IF(BK$13&lt;=COUNT($C34:$CS34),IF(INDEX($F$206:$F$229,MATCH($B254,$B$206:$B$229,FALSE))=0,NA(),INDEX(BK$14:BK$37,MATCH($B254,$B$14:$B$37,FALSE))/INDEX($F$206:$F$229,MATCH($B254,$B$206:$B$229,FALSE))),NA()),NA())</f>
        <v>#N/A</v>
      </c>
      <c r="BM254" s="65" t="e">
        <f>IF(BL62=1,IF(BL$13&lt;=COUNT($C34:$CS34),IF(INDEX($F$206:$F$229,MATCH($B254,$B$206:$B$229,FALSE))=0,NA(),INDEX(BL$14:BL$37,MATCH($B254,$B$14:$B$37,FALSE))/INDEX($F$206:$F$229,MATCH($B254,$B$206:$B$229,FALSE))),NA()),NA())</f>
        <v>#N/A</v>
      </c>
      <c r="BN254" s="65" t="e">
        <f>IF(BM62=1,IF(BM$13&lt;=COUNT($C34:$CS34),IF(INDEX($F$206:$F$229,MATCH($B254,$B$206:$B$229,FALSE))=0,NA(),INDEX(BM$14:BM$37,MATCH($B254,$B$14:$B$37,FALSE))/INDEX($F$206:$F$229,MATCH($B254,$B$206:$B$229,FALSE))),NA()),NA())</f>
        <v>#N/A</v>
      </c>
      <c r="BO254" s="65" t="e">
        <f>IF(BN62=1,IF(BN$13&lt;=COUNT($C34:$CS34),IF(INDEX($F$206:$F$229,MATCH($B254,$B$206:$B$229,FALSE))=0,NA(),INDEX(BN$14:BN$37,MATCH($B254,$B$14:$B$37,FALSE))/INDEX($F$206:$F$229,MATCH($B254,$B$206:$B$229,FALSE))),NA()),NA())</f>
        <v>#N/A</v>
      </c>
      <c r="BP254" s="65" t="e">
        <f>IF(BO62=1,IF(BO$13&lt;=COUNT($C34:$CS34),IF(INDEX($F$206:$F$229,MATCH($B254,$B$206:$B$229,FALSE))=0,NA(),INDEX(BO$14:BO$37,MATCH($B254,$B$14:$B$37,FALSE))/INDEX($F$206:$F$229,MATCH($B254,$B$206:$B$229,FALSE))),NA()),NA())</f>
        <v>#N/A</v>
      </c>
      <c r="BQ254" s="65" t="e">
        <f>IF(BP62=1,IF(BP$13&lt;=COUNT($C34:$CS34),IF(INDEX($F$206:$F$229,MATCH($B254,$B$206:$B$229,FALSE))=0,NA(),INDEX(BP$14:BP$37,MATCH($B254,$B$14:$B$37,FALSE))/INDEX($F$206:$F$229,MATCH($B254,$B$206:$B$229,FALSE))),NA()),NA())</f>
        <v>#N/A</v>
      </c>
      <c r="BR254" s="65" t="e">
        <f>IF(BQ62=1,IF(BQ$13&lt;=COUNT($C34:$CS34),IF(INDEX($F$206:$F$229,MATCH($B254,$B$206:$B$229,FALSE))=0,NA(),INDEX(BQ$14:BQ$37,MATCH($B254,$B$14:$B$37,FALSE))/INDEX($F$206:$F$229,MATCH($B254,$B$206:$B$229,FALSE))),NA()),NA())</f>
        <v>#N/A</v>
      </c>
      <c r="BS254" s="65" t="e">
        <f>IF(BR62=1,IF(BR$13&lt;=COUNT($C34:$CS34),IF(INDEX($F$206:$F$229,MATCH($B254,$B$206:$B$229,FALSE))=0,NA(),INDEX(BR$14:BR$37,MATCH($B254,$B$14:$B$37,FALSE))/INDEX($F$206:$F$229,MATCH($B254,$B$206:$B$229,FALSE))),NA()),NA())</f>
        <v>#N/A</v>
      </c>
      <c r="BT254" s="65" t="e">
        <f>IF(BS62=1,IF(BS$13&lt;=COUNT($C34:$CS34),IF(INDEX($F$206:$F$229,MATCH($B254,$B$206:$B$229,FALSE))=0,NA(),INDEX(BS$14:BS$37,MATCH($B254,$B$14:$B$37,FALSE))/INDEX($F$206:$F$229,MATCH($B254,$B$206:$B$229,FALSE))),NA()),NA())</f>
        <v>#N/A</v>
      </c>
      <c r="BU254" s="65" t="e">
        <f>IF(BT62=1,IF(BT$13&lt;=COUNT($C34:$CS34),IF(INDEX($F$206:$F$229,MATCH($B254,$B$206:$B$229,FALSE))=0,NA(),INDEX(BT$14:BT$37,MATCH($B254,$B$14:$B$37,FALSE))/INDEX($F$206:$F$229,MATCH($B254,$B$206:$B$229,FALSE))),NA()),NA())</f>
        <v>#N/A</v>
      </c>
      <c r="BV254" s="65" t="e">
        <f>IF(BU62=1,IF(BU$13&lt;=COUNT($C34:$CS34),IF(INDEX($F$206:$F$229,MATCH($B254,$B$206:$B$229,FALSE))=0,NA(),INDEX(BU$14:BU$37,MATCH($B254,$B$14:$B$37,FALSE))/INDEX($F$206:$F$229,MATCH($B254,$B$206:$B$229,FALSE))),NA()),NA())</f>
        <v>#N/A</v>
      </c>
      <c r="BW254" s="65" t="e">
        <f>IF(BV62=1,IF(BV$13&lt;=COUNT($C34:$CS34),IF(INDEX($F$206:$F$229,MATCH($B254,$B$206:$B$229,FALSE))=0,NA(),INDEX(BV$14:BV$37,MATCH($B254,$B$14:$B$37,FALSE))/INDEX($F$206:$F$229,MATCH($B254,$B$206:$B$229,FALSE))),NA()),NA())</f>
        <v>#N/A</v>
      </c>
      <c r="BX254" s="65" t="e">
        <f>IF(BW62=1,IF(BW$13&lt;=COUNT($C34:$CS34),IF(INDEX($F$206:$F$229,MATCH($B254,$B$206:$B$229,FALSE))=0,NA(),INDEX(BW$14:BW$37,MATCH($B254,$B$14:$B$37,FALSE))/INDEX($F$206:$F$229,MATCH($B254,$B$206:$B$229,FALSE))),NA()),NA())</f>
        <v>#N/A</v>
      </c>
      <c r="BY254" s="65" t="e">
        <f>IF(BX62=1,IF(BX$13&lt;=COUNT($C34:$CS34),IF(INDEX($F$206:$F$229,MATCH($B254,$B$206:$B$229,FALSE))=0,NA(),INDEX(BX$14:BX$37,MATCH($B254,$B$14:$B$37,FALSE))/INDEX($F$206:$F$229,MATCH($B254,$B$206:$B$229,FALSE))),NA()),NA())</f>
        <v>#N/A</v>
      </c>
      <c r="BZ254" s="65" t="e">
        <f>IF(BY62=1,IF(BY$13&lt;=COUNT($C34:$CS34),IF(INDEX($F$206:$F$229,MATCH($B254,$B$206:$B$229,FALSE))=0,NA(),INDEX(BY$14:BY$37,MATCH($B254,$B$14:$B$37,FALSE))/INDEX($F$206:$F$229,MATCH($B254,$B$206:$B$229,FALSE))),NA()),NA())</f>
        <v>#N/A</v>
      </c>
      <c r="CA254" s="65" t="e">
        <f>IF(BZ62=1,IF(BZ$13&lt;=COUNT($C34:$CS34),IF(INDEX($F$206:$F$229,MATCH($B254,$B$206:$B$229,FALSE))=0,NA(),INDEX(BZ$14:BZ$37,MATCH($B254,$B$14:$B$37,FALSE))/INDEX($F$206:$F$229,MATCH($B254,$B$206:$B$229,FALSE))),NA()),NA())</f>
        <v>#N/A</v>
      </c>
      <c r="CB254" s="65" t="e">
        <f>IF(CA62=1,IF(CA$13&lt;=COUNT($C34:$CS34),IF(INDEX($F$206:$F$229,MATCH($B254,$B$206:$B$229,FALSE))=0,NA(),INDEX(CA$14:CA$37,MATCH($B254,$B$14:$B$37,FALSE))/INDEX($F$206:$F$229,MATCH($B254,$B$206:$B$229,FALSE))),NA()),NA())</f>
        <v>#N/A</v>
      </c>
      <c r="CC254" s="65" t="e">
        <f>IF(CB62=1,IF(CB$13&lt;=COUNT($C34:$CS34),IF(INDEX($F$206:$F$229,MATCH($B254,$B$206:$B$229,FALSE))=0,NA(),INDEX(CB$14:CB$37,MATCH($B254,$B$14:$B$37,FALSE))/INDEX($F$206:$F$229,MATCH($B254,$B$206:$B$229,FALSE))),NA()),NA())</f>
        <v>#N/A</v>
      </c>
      <c r="CD254" s="65" t="e">
        <f>IF(CC62=1,IF(CC$13&lt;=COUNT($C34:$CS34),IF(INDEX($F$206:$F$229,MATCH($B254,$B$206:$B$229,FALSE))=0,NA(),INDEX(CC$14:CC$37,MATCH($B254,$B$14:$B$37,FALSE))/INDEX($F$206:$F$229,MATCH($B254,$B$206:$B$229,FALSE))),NA()),NA())</f>
        <v>#N/A</v>
      </c>
      <c r="CE254" s="65" t="e">
        <f>IF(CD62=1,IF(CD$13&lt;=COUNT($C34:$CS34),IF(INDEX($F$206:$F$229,MATCH($B254,$B$206:$B$229,FALSE))=0,NA(),INDEX(CD$14:CD$37,MATCH($B254,$B$14:$B$37,FALSE))/INDEX($F$206:$F$229,MATCH($B254,$B$206:$B$229,FALSE))),NA()),NA())</f>
        <v>#N/A</v>
      </c>
      <c r="CF254" s="65" t="e">
        <f>IF(CE62=1,IF(CE$13&lt;=COUNT($C34:$CS34),IF(INDEX($F$206:$F$229,MATCH($B254,$B$206:$B$229,FALSE))=0,NA(),INDEX(CE$14:CE$37,MATCH($B254,$B$14:$B$37,FALSE))/INDEX($F$206:$F$229,MATCH($B254,$B$206:$B$229,FALSE))),NA()),NA())</f>
        <v>#N/A</v>
      </c>
      <c r="CG254" s="65" t="e">
        <f>IF(CF62=1,IF(CF$13&lt;=COUNT($C34:$CS34),IF(INDEX($F$206:$F$229,MATCH($B254,$B$206:$B$229,FALSE))=0,NA(),INDEX(CF$14:CF$37,MATCH($B254,$B$14:$B$37,FALSE))/INDEX($F$206:$F$229,MATCH($B254,$B$206:$B$229,FALSE))),NA()),NA())</f>
        <v>#N/A</v>
      </c>
      <c r="CH254" s="65" t="e">
        <f>IF(CG62=1,IF(CG$13&lt;=COUNT($C34:$CS34),IF(INDEX($F$206:$F$229,MATCH($B254,$B$206:$B$229,FALSE))=0,NA(),INDEX(CG$14:CG$37,MATCH($B254,$B$14:$B$37,FALSE))/INDEX($F$206:$F$229,MATCH($B254,$B$206:$B$229,FALSE))),NA()),NA())</f>
        <v>#N/A</v>
      </c>
      <c r="CI254" s="65" t="e">
        <f>IF(CH62=1,IF(CH$13&lt;=COUNT($C34:$CS34),IF(INDEX($F$206:$F$229,MATCH($B254,$B$206:$B$229,FALSE))=0,NA(),INDEX(CH$14:CH$37,MATCH($B254,$B$14:$B$37,FALSE))/INDEX($F$206:$F$229,MATCH($B254,$B$206:$B$229,FALSE))),NA()),NA())</f>
        <v>#N/A</v>
      </c>
      <c r="CJ254" s="65" t="e">
        <f>IF(CI62=1,IF(CI$13&lt;=COUNT($C34:$CS34),IF(INDEX($F$206:$F$229,MATCH($B254,$B$206:$B$229,FALSE))=0,NA(),INDEX(CI$14:CI$37,MATCH($B254,$B$14:$B$37,FALSE))/INDEX($F$206:$F$229,MATCH($B254,$B$206:$B$229,FALSE))),NA()),NA())</f>
        <v>#N/A</v>
      </c>
      <c r="CK254" s="65" t="e">
        <f>IF(CJ62=1,IF(CJ$13&lt;=COUNT($C34:$CS34),IF(INDEX($F$206:$F$229,MATCH($B254,$B$206:$B$229,FALSE))=0,NA(),INDEX(CJ$14:CJ$37,MATCH($B254,$B$14:$B$37,FALSE))/INDEX($F$206:$F$229,MATCH($B254,$B$206:$B$229,FALSE))),NA()),NA())</f>
        <v>#N/A</v>
      </c>
      <c r="CL254" s="65" t="e">
        <f>IF(CK62=1,IF(CK$13&lt;=COUNT($C34:$CS34),IF(INDEX($F$206:$F$229,MATCH($B254,$B$206:$B$229,FALSE))=0,NA(),INDEX(CK$14:CK$37,MATCH($B254,$B$14:$B$37,FALSE))/INDEX($F$206:$F$229,MATCH($B254,$B$206:$B$229,FALSE))),NA()),NA())</f>
        <v>#N/A</v>
      </c>
      <c r="CM254" s="65" t="e">
        <f>IF(CL62=1,IF(CL$13&lt;=COUNT($C34:$CS34),IF(INDEX($F$206:$F$229,MATCH($B254,$B$206:$B$229,FALSE))=0,NA(),INDEX(CL$14:CL$37,MATCH($B254,$B$14:$B$37,FALSE))/INDEX($F$206:$F$229,MATCH($B254,$B$206:$B$229,FALSE))),NA()),NA())</f>
        <v>#N/A</v>
      </c>
      <c r="CN254" s="65" t="e">
        <f>IF(CM62=1,IF(CM$13&lt;=COUNT($C34:$CS34),IF(INDEX($F$206:$F$229,MATCH($B254,$B$206:$B$229,FALSE))=0,NA(),INDEX(CM$14:CM$37,MATCH($B254,$B$14:$B$37,FALSE))/INDEX($F$206:$F$229,MATCH($B254,$B$206:$B$229,FALSE))),NA()),NA())</f>
        <v>#N/A</v>
      </c>
      <c r="CO254" s="65" t="e">
        <f>IF(CN62=1,IF(CN$13&lt;=COUNT($C34:$CS34),IF(INDEX($F$206:$F$229,MATCH($B254,$B$206:$B$229,FALSE))=0,NA(),INDEX(CN$14:CN$37,MATCH($B254,$B$14:$B$37,FALSE))/INDEX($F$206:$F$229,MATCH($B254,$B$206:$B$229,FALSE))),NA()),NA())</f>
        <v>#N/A</v>
      </c>
      <c r="CP254" s="65" t="e">
        <f>IF(CO62=1,IF(CO$13&lt;=COUNT($C34:$CS34),IF(INDEX($F$206:$F$229,MATCH($B254,$B$206:$B$229,FALSE))=0,NA(),INDEX(CO$14:CO$37,MATCH($B254,$B$14:$B$37,FALSE))/INDEX($F$206:$F$229,MATCH($B254,$B$206:$B$229,FALSE))),NA()),NA())</f>
        <v>#N/A</v>
      </c>
      <c r="CQ254" s="65" t="e">
        <f>IF(CP62=1,IF(CP$13&lt;=COUNT($C34:$CS34),IF(INDEX($F$206:$F$229,MATCH($B254,$B$206:$B$229,FALSE))=0,NA(),INDEX(CP$14:CP$37,MATCH($B254,$B$14:$B$37,FALSE))/INDEX($F$206:$F$229,MATCH($B254,$B$206:$B$229,FALSE))),NA()),NA())</f>
        <v>#N/A</v>
      </c>
      <c r="CR254" s="65" t="e">
        <f>IF(CQ62=1,IF(CQ$13&lt;=COUNT($C34:$CS34),IF(INDEX($F$206:$F$229,MATCH($B254,$B$206:$B$229,FALSE))=0,NA(),INDEX(CQ$14:CQ$37,MATCH($B254,$B$14:$B$37,FALSE))/INDEX($F$206:$F$229,MATCH($B254,$B$206:$B$229,FALSE))),NA()),NA())</f>
        <v>#N/A</v>
      </c>
      <c r="CS254" s="65" t="e">
        <f>IF(CR62=1,IF(CR$13&lt;=COUNT($C34:$CS34),IF(INDEX($F$206:$F$229,MATCH($B254,$B$206:$B$229,FALSE))=0,NA(),INDEX(CR$14:CR$37,MATCH($B254,$B$14:$B$37,FALSE))/INDEX($F$206:$F$229,MATCH($B254,$B$206:$B$229,FALSE))),NA()),NA())</f>
        <v>#N/A</v>
      </c>
      <c r="CT254" s="49"/>
      <c r="CU254" s="49"/>
      <c r="CV254" s="49"/>
      <c r="CW254" s="49"/>
    </row>
    <row r="255" spans="1:101" x14ac:dyDescent="0.25">
      <c r="A255" s="97">
        <f t="shared" si="105"/>
        <v>1</v>
      </c>
      <c r="B255" s="29">
        <f t="shared" si="104"/>
        <v>2017</v>
      </c>
      <c r="C255" s="154" t="str">
        <f t="shared" si="106"/>
        <v/>
      </c>
      <c r="D255" s="54">
        <f t="shared" ca="1" si="109"/>
        <v>1</v>
      </c>
      <c r="E255" s="65">
        <f t="shared" ca="1" si="109"/>
        <v>1</v>
      </c>
      <c r="F255" s="65">
        <f t="shared" ca="1" si="109"/>
        <v>1</v>
      </c>
      <c r="G255" s="65" t="e">
        <f>IF(F63=1,IF(F$13&lt;=COUNT($C35:$CS35),IF(INDEX($F$206:$F$229,MATCH($B255,$B$206:$B$229,FALSE))=0,NA(),INDEX(F$14:F$37,MATCH($B255,$B$14:$B$37,FALSE))/INDEX($F$206:$F$229,MATCH($B255,$B$206:$B$229,FALSE))),NA()),NA())</f>
        <v>#N/A</v>
      </c>
      <c r="H255" s="65" t="e">
        <f>IF(G63=1,IF(G$13&lt;=COUNT($C35:$CS35),IF(INDEX($F$206:$F$229,MATCH($B255,$B$206:$B$229,FALSE))=0,NA(),INDEX(G$14:G$37,MATCH($B255,$B$14:$B$37,FALSE))/INDEX($F$206:$F$229,MATCH($B255,$B$206:$B$229,FALSE))),NA()),NA())</f>
        <v>#N/A</v>
      </c>
      <c r="I255" s="65" t="e">
        <f>IF(H63=1,IF(H$13&lt;=COUNT($C35:$CS35),IF(INDEX($F$206:$F$229,MATCH($B255,$B$206:$B$229,FALSE))=0,NA(),INDEX(H$14:H$37,MATCH($B255,$B$14:$B$37,FALSE))/INDEX($F$206:$F$229,MATCH($B255,$B$206:$B$229,FALSE))),NA()),NA())</f>
        <v>#N/A</v>
      </c>
      <c r="J255" s="65" t="e">
        <f>IF(I63=1,IF(I$13&lt;=COUNT($C35:$CS35),IF(INDEX($F$206:$F$229,MATCH($B255,$B$206:$B$229,FALSE))=0,NA(),INDEX(I$14:I$37,MATCH($B255,$B$14:$B$37,FALSE))/INDEX($F$206:$F$229,MATCH($B255,$B$206:$B$229,FALSE))),NA()),NA())</f>
        <v>#N/A</v>
      </c>
      <c r="K255" s="65" t="e">
        <f>IF(J63=1,IF(J$13&lt;=COUNT($C35:$CS35),IF(INDEX($F$206:$F$229,MATCH($B255,$B$206:$B$229,FALSE))=0,NA(),INDEX(J$14:J$37,MATCH($B255,$B$14:$B$37,FALSE))/INDEX($F$206:$F$229,MATCH($B255,$B$206:$B$229,FALSE))),NA()),NA())</f>
        <v>#N/A</v>
      </c>
      <c r="L255" s="65" t="e">
        <f>IF(K63=1,IF(K$13&lt;=COUNT($C35:$CS35),IF(INDEX($F$206:$F$229,MATCH($B255,$B$206:$B$229,FALSE))=0,NA(),INDEX(K$14:K$37,MATCH($B255,$B$14:$B$37,FALSE))/INDEX($F$206:$F$229,MATCH($B255,$B$206:$B$229,FALSE))),NA()),NA())</f>
        <v>#N/A</v>
      </c>
      <c r="M255" s="65" t="e">
        <f>IF(L63=1,IF(L$13&lt;=COUNT($C35:$CS35),IF(INDEX($F$206:$F$229,MATCH($B255,$B$206:$B$229,FALSE))=0,NA(),INDEX(L$14:L$37,MATCH($B255,$B$14:$B$37,FALSE))/INDEX($F$206:$F$229,MATCH($B255,$B$206:$B$229,FALSE))),NA()),NA())</f>
        <v>#N/A</v>
      </c>
      <c r="N255" s="65" t="e">
        <f>IF(M63=1,IF(M$13&lt;=COUNT($C35:$CS35),IF(INDEX($F$206:$F$229,MATCH($B255,$B$206:$B$229,FALSE))=0,NA(),INDEX(M$14:M$37,MATCH($B255,$B$14:$B$37,FALSE))/INDEX($F$206:$F$229,MATCH($B255,$B$206:$B$229,FALSE))),NA()),NA())</f>
        <v>#N/A</v>
      </c>
      <c r="O255" s="65" t="e">
        <f>IF(N63=1,IF(N$13&lt;=COUNT($C35:$CS35),IF(INDEX($F$206:$F$229,MATCH($B255,$B$206:$B$229,FALSE))=0,NA(),INDEX(N$14:N$37,MATCH($B255,$B$14:$B$37,FALSE))/INDEX($F$206:$F$229,MATCH($B255,$B$206:$B$229,FALSE))),NA()),NA())</f>
        <v>#N/A</v>
      </c>
      <c r="P255" s="65" t="e">
        <f>IF(O63=1,IF(O$13&lt;=COUNT($C35:$CS35),IF(INDEX($F$206:$F$229,MATCH($B255,$B$206:$B$229,FALSE))=0,NA(),INDEX(O$14:O$37,MATCH($B255,$B$14:$B$37,FALSE))/INDEX($F$206:$F$229,MATCH($B255,$B$206:$B$229,FALSE))),NA()),NA())</f>
        <v>#N/A</v>
      </c>
      <c r="Q255" s="65" t="e">
        <f>IF(P63=1,IF(P$13&lt;=COUNT($C35:$CS35),IF(INDEX($F$206:$F$229,MATCH($B255,$B$206:$B$229,FALSE))=0,NA(),INDEX(P$14:P$37,MATCH($B255,$B$14:$B$37,FALSE))/INDEX($F$206:$F$229,MATCH($B255,$B$206:$B$229,FALSE))),NA()),NA())</f>
        <v>#N/A</v>
      </c>
      <c r="R255" s="65" t="e">
        <f>IF(Q63=1,IF(Q$13&lt;=COUNT($C35:$CS35),IF(INDEX($F$206:$F$229,MATCH($B255,$B$206:$B$229,FALSE))=0,NA(),INDEX(Q$14:Q$37,MATCH($B255,$B$14:$B$37,FALSE))/INDEX($F$206:$F$229,MATCH($B255,$B$206:$B$229,FALSE))),NA()),NA())</f>
        <v>#N/A</v>
      </c>
      <c r="S255" s="65" t="e">
        <f>IF(R63=1,IF(R$13&lt;=COUNT($C35:$CS35),IF(INDEX($F$206:$F$229,MATCH($B255,$B$206:$B$229,FALSE))=0,NA(),INDEX(R$14:R$37,MATCH($B255,$B$14:$B$37,FALSE))/INDEX($F$206:$F$229,MATCH($B255,$B$206:$B$229,FALSE))),NA()),NA())</f>
        <v>#N/A</v>
      </c>
      <c r="T255" s="65" t="e">
        <f>IF(S63=1,IF(S$13&lt;=COUNT($C35:$CS35),IF(INDEX($F$206:$F$229,MATCH($B255,$B$206:$B$229,FALSE))=0,NA(),INDEX(S$14:S$37,MATCH($B255,$B$14:$B$37,FALSE))/INDEX($F$206:$F$229,MATCH($B255,$B$206:$B$229,FALSE))),NA()),NA())</f>
        <v>#N/A</v>
      </c>
      <c r="U255" s="65" t="e">
        <f>IF(T63=1,IF(T$13&lt;=COUNT($C35:$CS35),IF(INDEX($F$206:$F$229,MATCH($B255,$B$206:$B$229,FALSE))=0,NA(),INDEX(T$14:T$37,MATCH($B255,$B$14:$B$37,FALSE))/INDEX($F$206:$F$229,MATCH($B255,$B$206:$B$229,FALSE))),NA()),NA())</f>
        <v>#N/A</v>
      </c>
      <c r="V255" s="65" t="e">
        <f>IF(U63=1,IF(U$13&lt;=COUNT($C35:$CS35),IF(INDEX($F$206:$F$229,MATCH($B255,$B$206:$B$229,FALSE))=0,NA(),INDEX(U$14:U$37,MATCH($B255,$B$14:$B$37,FALSE))/INDEX($F$206:$F$229,MATCH($B255,$B$206:$B$229,FALSE))),NA()),NA())</f>
        <v>#N/A</v>
      </c>
      <c r="W255" s="65" t="e">
        <f>IF(V63=1,IF(V$13&lt;=COUNT($C35:$CS35),IF(INDEX($F$206:$F$229,MATCH($B255,$B$206:$B$229,FALSE))=0,NA(),INDEX(V$14:V$37,MATCH($B255,$B$14:$B$37,FALSE))/INDEX($F$206:$F$229,MATCH($B255,$B$206:$B$229,FALSE))),NA()),NA())</f>
        <v>#N/A</v>
      </c>
      <c r="X255" s="65" t="e">
        <f>IF(W63=1,IF(W$13&lt;=COUNT($C35:$CS35),IF(INDEX($F$206:$F$229,MATCH($B255,$B$206:$B$229,FALSE))=0,NA(),INDEX(W$14:W$37,MATCH($B255,$B$14:$B$37,FALSE))/INDEX($F$206:$F$229,MATCH($B255,$B$206:$B$229,FALSE))),NA()),NA())</f>
        <v>#N/A</v>
      </c>
      <c r="Y255" s="65" t="e">
        <f>IF(X63=1,IF(X$13&lt;=COUNT($C35:$CS35),IF(INDEX($F$206:$F$229,MATCH($B255,$B$206:$B$229,FALSE))=0,NA(),INDEX(X$14:X$37,MATCH($B255,$B$14:$B$37,FALSE))/INDEX($F$206:$F$229,MATCH($B255,$B$206:$B$229,FALSE))),NA()),NA())</f>
        <v>#N/A</v>
      </c>
      <c r="Z255" s="65" t="e">
        <f>IF(Y63=1,IF(Y$13&lt;=COUNT($C35:$CS35),IF(INDEX($F$206:$F$229,MATCH($B255,$B$206:$B$229,FALSE))=0,NA(),INDEX(Y$14:Y$37,MATCH($B255,$B$14:$B$37,FALSE))/INDEX($F$206:$F$229,MATCH($B255,$B$206:$B$229,FALSE))),NA()),NA())</f>
        <v>#N/A</v>
      </c>
      <c r="AA255" s="65" t="e">
        <f>IF(Z63=1,IF(Z$13&lt;=COUNT($C35:$CS35),IF(INDEX($F$206:$F$229,MATCH($B255,$B$206:$B$229,FALSE))=0,NA(),INDEX(Z$14:Z$37,MATCH($B255,$B$14:$B$37,FALSE))/INDEX($F$206:$F$229,MATCH($B255,$B$206:$B$229,FALSE))),NA()),NA())</f>
        <v>#N/A</v>
      </c>
      <c r="AB255" s="65" t="e">
        <f>IF(AA63=1,IF(AA$13&lt;=COUNT($C35:$CS35),IF(INDEX($F$206:$F$229,MATCH($B255,$B$206:$B$229,FALSE))=0,NA(),INDEX(AA$14:AA$37,MATCH($B255,$B$14:$B$37,FALSE))/INDEX($F$206:$F$229,MATCH($B255,$B$206:$B$229,FALSE))),NA()),NA())</f>
        <v>#N/A</v>
      </c>
      <c r="AC255" s="65" t="e">
        <f>IF(AB63=1,IF(AB$13&lt;=COUNT($C35:$CS35),IF(INDEX($F$206:$F$229,MATCH($B255,$B$206:$B$229,FALSE))=0,NA(),INDEX(AB$14:AB$37,MATCH($B255,$B$14:$B$37,FALSE))/INDEX($F$206:$F$229,MATCH($B255,$B$206:$B$229,FALSE))),NA()),NA())</f>
        <v>#N/A</v>
      </c>
      <c r="AD255" s="65" t="e">
        <f>IF(AC63=1,IF(AC$13&lt;=COUNT($C35:$CS35),IF(INDEX($F$206:$F$229,MATCH($B255,$B$206:$B$229,FALSE))=0,NA(),INDEX(AC$14:AC$37,MATCH($B255,$B$14:$B$37,FALSE))/INDEX($F$206:$F$229,MATCH($B255,$B$206:$B$229,FALSE))),NA()),NA())</f>
        <v>#N/A</v>
      </c>
      <c r="AE255" s="65" t="e">
        <f>IF(AD63=1,IF(AD$13&lt;=COUNT($C35:$CS35),IF(INDEX($F$206:$F$229,MATCH($B255,$B$206:$B$229,FALSE))=0,NA(),INDEX(AD$14:AD$37,MATCH($B255,$B$14:$B$37,FALSE))/INDEX($F$206:$F$229,MATCH($B255,$B$206:$B$229,FALSE))),NA()),NA())</f>
        <v>#N/A</v>
      </c>
      <c r="AF255" s="65" t="e">
        <f>IF(AE63=1,IF(AE$13&lt;=COUNT($C35:$CS35),IF(INDEX($F$206:$F$229,MATCH($B255,$B$206:$B$229,FALSE))=0,NA(),INDEX(AE$14:AE$37,MATCH($B255,$B$14:$B$37,FALSE))/INDEX($F$206:$F$229,MATCH($B255,$B$206:$B$229,FALSE))),NA()),NA())</f>
        <v>#N/A</v>
      </c>
      <c r="AG255" s="65" t="e">
        <f>IF(AF63=1,IF(AF$13&lt;=COUNT($C35:$CS35),IF(INDEX($F$206:$F$229,MATCH($B255,$B$206:$B$229,FALSE))=0,NA(),INDEX(AF$14:AF$37,MATCH($B255,$B$14:$B$37,FALSE))/INDEX($F$206:$F$229,MATCH($B255,$B$206:$B$229,FALSE))),NA()),NA())</f>
        <v>#N/A</v>
      </c>
      <c r="AH255" s="65" t="e">
        <f>IF(AG63=1,IF(AG$13&lt;=COUNT($C35:$CS35),IF(INDEX($F$206:$F$229,MATCH($B255,$B$206:$B$229,FALSE))=0,NA(),INDEX(AG$14:AG$37,MATCH($B255,$B$14:$B$37,FALSE))/INDEX($F$206:$F$229,MATCH($B255,$B$206:$B$229,FALSE))),NA()),NA())</f>
        <v>#N/A</v>
      </c>
      <c r="AI255" s="65" t="e">
        <f>IF(AH63=1,IF(AH$13&lt;=COUNT($C35:$CS35),IF(INDEX($F$206:$F$229,MATCH($B255,$B$206:$B$229,FALSE))=0,NA(),INDEX(AH$14:AH$37,MATCH($B255,$B$14:$B$37,FALSE))/INDEX($F$206:$F$229,MATCH($B255,$B$206:$B$229,FALSE))),NA()),NA())</f>
        <v>#N/A</v>
      </c>
      <c r="AJ255" s="65" t="e">
        <f>IF(AI63=1,IF(AI$13&lt;=COUNT($C35:$CS35),IF(INDEX($F$206:$F$229,MATCH($B255,$B$206:$B$229,FALSE))=0,NA(),INDEX(AI$14:AI$37,MATCH($B255,$B$14:$B$37,FALSE))/INDEX($F$206:$F$229,MATCH($B255,$B$206:$B$229,FALSE))),NA()),NA())</f>
        <v>#N/A</v>
      </c>
      <c r="AK255" s="65" t="e">
        <f>IF(AJ63=1,IF(AJ$13&lt;=COUNT($C35:$CS35),IF(INDEX($F$206:$F$229,MATCH($B255,$B$206:$B$229,FALSE))=0,NA(),INDEX(AJ$14:AJ$37,MATCH($B255,$B$14:$B$37,FALSE))/INDEX($F$206:$F$229,MATCH($B255,$B$206:$B$229,FALSE))),NA()),NA())</f>
        <v>#N/A</v>
      </c>
      <c r="AL255" s="65" t="e">
        <f>IF(AK63=1,IF(AK$13&lt;=COUNT($C35:$CS35),IF(INDEX($F$206:$F$229,MATCH($B255,$B$206:$B$229,FALSE))=0,NA(),INDEX(AK$14:AK$37,MATCH($B255,$B$14:$B$37,FALSE))/INDEX($F$206:$F$229,MATCH($B255,$B$206:$B$229,FALSE))),NA()),NA())</f>
        <v>#N/A</v>
      </c>
      <c r="AM255" s="65" t="e">
        <f>IF(AL63=1,IF(AL$13&lt;=COUNT($C35:$CS35),IF(INDEX($F$206:$F$229,MATCH($B255,$B$206:$B$229,FALSE))=0,NA(),INDEX(AL$14:AL$37,MATCH($B255,$B$14:$B$37,FALSE))/INDEX($F$206:$F$229,MATCH($B255,$B$206:$B$229,FALSE))),NA()),NA())</f>
        <v>#N/A</v>
      </c>
      <c r="AN255" s="65" t="e">
        <f>IF(AM63=1,IF(AM$13&lt;=COUNT($C35:$CS35),IF(INDEX($F$206:$F$229,MATCH($B255,$B$206:$B$229,FALSE))=0,NA(),INDEX(AM$14:AM$37,MATCH($B255,$B$14:$B$37,FALSE))/INDEX($F$206:$F$229,MATCH($B255,$B$206:$B$229,FALSE))),NA()),NA())</f>
        <v>#N/A</v>
      </c>
      <c r="AO255" s="65" t="e">
        <f>IF(AN63=1,IF(AN$13&lt;=COUNT($C35:$CS35),IF(INDEX($F$206:$F$229,MATCH($B255,$B$206:$B$229,FALSE))=0,NA(),INDEX(AN$14:AN$37,MATCH($B255,$B$14:$B$37,FALSE))/INDEX($F$206:$F$229,MATCH($B255,$B$206:$B$229,FALSE))),NA()),NA())</f>
        <v>#N/A</v>
      </c>
      <c r="AP255" s="65" t="e">
        <f>IF(AO63=1,IF(AO$13&lt;=COUNT($C35:$CS35),IF(INDEX($F$206:$F$229,MATCH($B255,$B$206:$B$229,FALSE))=0,NA(),INDEX(AO$14:AO$37,MATCH($B255,$B$14:$B$37,FALSE))/INDEX($F$206:$F$229,MATCH($B255,$B$206:$B$229,FALSE))),NA()),NA())</f>
        <v>#N/A</v>
      </c>
      <c r="AQ255" s="65" t="e">
        <f>IF(AP63=1,IF(AP$13&lt;=COUNT($C35:$CS35),IF(INDEX($F$206:$F$229,MATCH($B255,$B$206:$B$229,FALSE))=0,NA(),INDEX(AP$14:AP$37,MATCH($B255,$B$14:$B$37,FALSE))/INDEX($F$206:$F$229,MATCH($B255,$B$206:$B$229,FALSE))),NA()),NA())</f>
        <v>#N/A</v>
      </c>
      <c r="AR255" s="65" t="e">
        <f>IF(AQ63=1,IF(AQ$13&lt;=COUNT($C35:$CS35),IF(INDEX($F$206:$F$229,MATCH($B255,$B$206:$B$229,FALSE))=0,NA(),INDEX(AQ$14:AQ$37,MATCH($B255,$B$14:$B$37,FALSE))/INDEX($F$206:$F$229,MATCH($B255,$B$206:$B$229,FALSE))),NA()),NA())</f>
        <v>#N/A</v>
      </c>
      <c r="AS255" s="65" t="e">
        <f>IF(AR63=1,IF(AR$13&lt;=COUNT($C35:$CS35),IF(INDEX($F$206:$F$229,MATCH($B255,$B$206:$B$229,FALSE))=0,NA(),INDEX(AR$14:AR$37,MATCH($B255,$B$14:$B$37,FALSE))/INDEX($F$206:$F$229,MATCH($B255,$B$206:$B$229,FALSE))),NA()),NA())</f>
        <v>#N/A</v>
      </c>
      <c r="AT255" s="65" t="e">
        <f>IF(AS63=1,IF(AS$13&lt;=COUNT($C35:$CS35),IF(INDEX($F$206:$F$229,MATCH($B255,$B$206:$B$229,FALSE))=0,NA(),INDEX(AS$14:AS$37,MATCH($B255,$B$14:$B$37,FALSE))/INDEX($F$206:$F$229,MATCH($B255,$B$206:$B$229,FALSE))),NA()),NA())</f>
        <v>#N/A</v>
      </c>
      <c r="AU255" s="65" t="e">
        <f>IF(AT63=1,IF(AT$13&lt;=COUNT($C35:$CS35),IF(INDEX($F$206:$F$229,MATCH($B255,$B$206:$B$229,FALSE))=0,NA(),INDEX(AT$14:AT$37,MATCH($B255,$B$14:$B$37,FALSE))/INDEX($F$206:$F$229,MATCH($B255,$B$206:$B$229,FALSE))),NA()),NA())</f>
        <v>#N/A</v>
      </c>
      <c r="AV255" s="65" t="e">
        <f>IF(AU63=1,IF(AU$13&lt;=COUNT($C35:$CS35),IF(INDEX($F$206:$F$229,MATCH($B255,$B$206:$B$229,FALSE))=0,NA(),INDEX(AU$14:AU$37,MATCH($B255,$B$14:$B$37,FALSE))/INDEX($F$206:$F$229,MATCH($B255,$B$206:$B$229,FALSE))),NA()),NA())</f>
        <v>#N/A</v>
      </c>
      <c r="AW255" s="65" t="e">
        <f>IF(AV63=1,IF(AV$13&lt;=COUNT($C35:$CS35),IF(INDEX($F$206:$F$229,MATCH($B255,$B$206:$B$229,FALSE))=0,NA(),INDEX(AV$14:AV$37,MATCH($B255,$B$14:$B$37,FALSE))/INDEX($F$206:$F$229,MATCH($B255,$B$206:$B$229,FALSE))),NA()),NA())</f>
        <v>#N/A</v>
      </c>
      <c r="AX255" s="65" t="e">
        <f>IF(AW63=1,IF(AW$13&lt;=COUNT($C35:$CS35),IF(INDEX($F$206:$F$229,MATCH($B255,$B$206:$B$229,FALSE))=0,NA(),INDEX(AW$14:AW$37,MATCH($B255,$B$14:$B$37,FALSE))/INDEX($F$206:$F$229,MATCH($B255,$B$206:$B$229,FALSE))),NA()),NA())</f>
        <v>#N/A</v>
      </c>
      <c r="AY255" s="65" t="e">
        <f>IF(AX63=1,IF(AX$13&lt;=COUNT($C35:$CS35),IF(INDEX($F$206:$F$229,MATCH($B255,$B$206:$B$229,FALSE))=0,NA(),INDEX(AX$14:AX$37,MATCH($B255,$B$14:$B$37,FALSE))/INDEX($F$206:$F$229,MATCH($B255,$B$206:$B$229,FALSE))),NA()),NA())</f>
        <v>#N/A</v>
      </c>
      <c r="AZ255" s="65" t="e">
        <f>IF(AY63=1,IF(AY$13&lt;=COUNT($C35:$CS35),IF(INDEX($F$206:$F$229,MATCH($B255,$B$206:$B$229,FALSE))=0,NA(),INDEX(AY$14:AY$37,MATCH($B255,$B$14:$B$37,FALSE))/INDEX($F$206:$F$229,MATCH($B255,$B$206:$B$229,FALSE))),NA()),NA())</f>
        <v>#N/A</v>
      </c>
      <c r="BA255" s="65" t="e">
        <f>IF(AZ63=1,IF(AZ$13&lt;=COUNT($C35:$CS35),IF(INDEX($F$206:$F$229,MATCH($B255,$B$206:$B$229,FALSE))=0,NA(),INDEX(AZ$14:AZ$37,MATCH($B255,$B$14:$B$37,FALSE))/INDEX($F$206:$F$229,MATCH($B255,$B$206:$B$229,FALSE))),NA()),NA())</f>
        <v>#N/A</v>
      </c>
      <c r="BB255" s="65" t="e">
        <f>IF(BA63=1,IF(BA$13&lt;=COUNT($C35:$CS35),IF(INDEX($F$206:$F$229,MATCH($B255,$B$206:$B$229,FALSE))=0,NA(),INDEX(BA$14:BA$37,MATCH($B255,$B$14:$B$37,FALSE))/INDEX($F$206:$F$229,MATCH($B255,$B$206:$B$229,FALSE))),NA()),NA())</f>
        <v>#N/A</v>
      </c>
      <c r="BC255" s="65" t="e">
        <f>IF(BB63=1,IF(BB$13&lt;=COUNT($C35:$CS35),IF(INDEX($F$206:$F$229,MATCH($B255,$B$206:$B$229,FALSE))=0,NA(),INDEX(BB$14:BB$37,MATCH($B255,$B$14:$B$37,FALSE))/INDEX($F$206:$F$229,MATCH($B255,$B$206:$B$229,FALSE))),NA()),NA())</f>
        <v>#N/A</v>
      </c>
      <c r="BD255" s="65" t="e">
        <f>IF(BC63=1,IF(BC$13&lt;=COUNT($C35:$CS35),IF(INDEX($F$206:$F$229,MATCH($B255,$B$206:$B$229,FALSE))=0,NA(),INDEX(BC$14:BC$37,MATCH($B255,$B$14:$B$37,FALSE))/INDEX($F$206:$F$229,MATCH($B255,$B$206:$B$229,FALSE))),NA()),NA())</f>
        <v>#N/A</v>
      </c>
      <c r="BE255" s="65" t="e">
        <f>IF(BD63=1,IF(BD$13&lt;=COUNT($C35:$CS35),IF(INDEX($F$206:$F$229,MATCH($B255,$B$206:$B$229,FALSE))=0,NA(),INDEX(BD$14:BD$37,MATCH($B255,$B$14:$B$37,FALSE))/INDEX($F$206:$F$229,MATCH($B255,$B$206:$B$229,FALSE))),NA()),NA())</f>
        <v>#N/A</v>
      </c>
      <c r="BF255" s="65" t="e">
        <f>IF(BE63=1,IF(BE$13&lt;=COUNT($C35:$CS35),IF(INDEX($F$206:$F$229,MATCH($B255,$B$206:$B$229,FALSE))=0,NA(),INDEX(BE$14:BE$37,MATCH($B255,$B$14:$B$37,FALSE))/INDEX($F$206:$F$229,MATCH($B255,$B$206:$B$229,FALSE))),NA()),NA())</f>
        <v>#N/A</v>
      </c>
      <c r="BG255" s="65" t="e">
        <f>IF(BF63=1,IF(BF$13&lt;=COUNT($C35:$CS35),IF(INDEX($F$206:$F$229,MATCH($B255,$B$206:$B$229,FALSE))=0,NA(),INDEX(BF$14:BF$37,MATCH($B255,$B$14:$B$37,FALSE))/INDEX($F$206:$F$229,MATCH($B255,$B$206:$B$229,FALSE))),NA()),NA())</f>
        <v>#N/A</v>
      </c>
      <c r="BH255" s="65" t="e">
        <f>IF(BG63=1,IF(BG$13&lt;=COUNT($C35:$CS35),IF(INDEX($F$206:$F$229,MATCH($B255,$B$206:$B$229,FALSE))=0,NA(),INDEX(BG$14:BG$37,MATCH($B255,$B$14:$B$37,FALSE))/INDEX($F$206:$F$229,MATCH($B255,$B$206:$B$229,FALSE))),NA()),NA())</f>
        <v>#N/A</v>
      </c>
      <c r="BI255" s="65" t="e">
        <f>IF(BH63=1,IF(BH$13&lt;=COUNT($C35:$CS35),IF(INDEX($F$206:$F$229,MATCH($B255,$B$206:$B$229,FALSE))=0,NA(),INDEX(BH$14:BH$37,MATCH($B255,$B$14:$B$37,FALSE))/INDEX($F$206:$F$229,MATCH($B255,$B$206:$B$229,FALSE))),NA()),NA())</f>
        <v>#N/A</v>
      </c>
      <c r="BJ255" s="65" t="e">
        <f>IF(BI63=1,IF(BI$13&lt;=COUNT($C35:$CS35),IF(INDEX($F$206:$F$229,MATCH($B255,$B$206:$B$229,FALSE))=0,NA(),INDEX(BI$14:BI$37,MATCH($B255,$B$14:$B$37,FALSE))/INDEX($F$206:$F$229,MATCH($B255,$B$206:$B$229,FALSE))),NA()),NA())</f>
        <v>#N/A</v>
      </c>
      <c r="BK255" s="65" t="e">
        <f>IF(BJ63=1,IF(BJ$13&lt;=COUNT($C35:$CS35),IF(INDEX($F$206:$F$229,MATCH($B255,$B$206:$B$229,FALSE))=0,NA(),INDEX(BJ$14:BJ$37,MATCH($B255,$B$14:$B$37,FALSE))/INDEX($F$206:$F$229,MATCH($B255,$B$206:$B$229,FALSE))),NA()),NA())</f>
        <v>#N/A</v>
      </c>
      <c r="BL255" s="65" t="e">
        <f>IF(BK63=1,IF(BK$13&lt;=COUNT($C35:$CS35),IF(INDEX($F$206:$F$229,MATCH($B255,$B$206:$B$229,FALSE))=0,NA(),INDEX(BK$14:BK$37,MATCH($B255,$B$14:$B$37,FALSE))/INDEX($F$206:$F$229,MATCH($B255,$B$206:$B$229,FALSE))),NA()),NA())</f>
        <v>#N/A</v>
      </c>
      <c r="BM255" s="65" t="e">
        <f>IF(BL63=1,IF(BL$13&lt;=COUNT($C35:$CS35),IF(INDEX($F$206:$F$229,MATCH($B255,$B$206:$B$229,FALSE))=0,NA(),INDEX(BL$14:BL$37,MATCH($B255,$B$14:$B$37,FALSE))/INDEX($F$206:$F$229,MATCH($B255,$B$206:$B$229,FALSE))),NA()),NA())</f>
        <v>#N/A</v>
      </c>
      <c r="BN255" s="65" t="e">
        <f>IF(BM63=1,IF(BM$13&lt;=COUNT($C35:$CS35),IF(INDEX($F$206:$F$229,MATCH($B255,$B$206:$B$229,FALSE))=0,NA(),INDEX(BM$14:BM$37,MATCH($B255,$B$14:$B$37,FALSE))/INDEX($F$206:$F$229,MATCH($B255,$B$206:$B$229,FALSE))),NA()),NA())</f>
        <v>#N/A</v>
      </c>
      <c r="BO255" s="65" t="e">
        <f>IF(BN63=1,IF(BN$13&lt;=COUNT($C35:$CS35),IF(INDEX($F$206:$F$229,MATCH($B255,$B$206:$B$229,FALSE))=0,NA(),INDEX(BN$14:BN$37,MATCH($B255,$B$14:$B$37,FALSE))/INDEX($F$206:$F$229,MATCH($B255,$B$206:$B$229,FALSE))),NA()),NA())</f>
        <v>#N/A</v>
      </c>
      <c r="BP255" s="65" t="e">
        <f>IF(BO63=1,IF(BO$13&lt;=COUNT($C35:$CS35),IF(INDEX($F$206:$F$229,MATCH($B255,$B$206:$B$229,FALSE))=0,NA(),INDEX(BO$14:BO$37,MATCH($B255,$B$14:$B$37,FALSE))/INDEX($F$206:$F$229,MATCH($B255,$B$206:$B$229,FALSE))),NA()),NA())</f>
        <v>#N/A</v>
      </c>
      <c r="BQ255" s="65" t="e">
        <f>IF(BP63=1,IF(BP$13&lt;=COUNT($C35:$CS35),IF(INDEX($F$206:$F$229,MATCH($B255,$B$206:$B$229,FALSE))=0,NA(),INDEX(BP$14:BP$37,MATCH($B255,$B$14:$B$37,FALSE))/INDEX($F$206:$F$229,MATCH($B255,$B$206:$B$229,FALSE))),NA()),NA())</f>
        <v>#N/A</v>
      </c>
      <c r="BR255" s="65" t="e">
        <f>IF(BQ63=1,IF(BQ$13&lt;=COUNT($C35:$CS35),IF(INDEX($F$206:$F$229,MATCH($B255,$B$206:$B$229,FALSE))=0,NA(),INDEX(BQ$14:BQ$37,MATCH($B255,$B$14:$B$37,FALSE))/INDEX($F$206:$F$229,MATCH($B255,$B$206:$B$229,FALSE))),NA()),NA())</f>
        <v>#N/A</v>
      </c>
      <c r="BS255" s="65" t="e">
        <f>IF(BR63=1,IF(BR$13&lt;=COUNT($C35:$CS35),IF(INDEX($F$206:$F$229,MATCH($B255,$B$206:$B$229,FALSE))=0,NA(),INDEX(BR$14:BR$37,MATCH($B255,$B$14:$B$37,FALSE))/INDEX($F$206:$F$229,MATCH($B255,$B$206:$B$229,FALSE))),NA()),NA())</f>
        <v>#N/A</v>
      </c>
      <c r="BT255" s="65" t="e">
        <f>IF(BS63=1,IF(BS$13&lt;=COUNT($C35:$CS35),IF(INDEX($F$206:$F$229,MATCH($B255,$B$206:$B$229,FALSE))=0,NA(),INDEX(BS$14:BS$37,MATCH($B255,$B$14:$B$37,FALSE))/INDEX($F$206:$F$229,MATCH($B255,$B$206:$B$229,FALSE))),NA()),NA())</f>
        <v>#N/A</v>
      </c>
      <c r="BU255" s="65" t="e">
        <f>IF(BT63=1,IF(BT$13&lt;=COUNT($C35:$CS35),IF(INDEX($F$206:$F$229,MATCH($B255,$B$206:$B$229,FALSE))=0,NA(),INDEX(BT$14:BT$37,MATCH($B255,$B$14:$B$37,FALSE))/INDEX($F$206:$F$229,MATCH($B255,$B$206:$B$229,FALSE))),NA()),NA())</f>
        <v>#N/A</v>
      </c>
      <c r="BV255" s="65" t="e">
        <f>IF(BU63=1,IF(BU$13&lt;=COUNT($C35:$CS35),IF(INDEX($F$206:$F$229,MATCH($B255,$B$206:$B$229,FALSE))=0,NA(),INDEX(BU$14:BU$37,MATCH($B255,$B$14:$B$37,FALSE))/INDEX($F$206:$F$229,MATCH($B255,$B$206:$B$229,FALSE))),NA()),NA())</f>
        <v>#N/A</v>
      </c>
      <c r="BW255" s="65" t="e">
        <f>IF(BV63=1,IF(BV$13&lt;=COUNT($C35:$CS35),IF(INDEX($F$206:$F$229,MATCH($B255,$B$206:$B$229,FALSE))=0,NA(),INDEX(BV$14:BV$37,MATCH($B255,$B$14:$B$37,FALSE))/INDEX($F$206:$F$229,MATCH($B255,$B$206:$B$229,FALSE))),NA()),NA())</f>
        <v>#N/A</v>
      </c>
      <c r="BX255" s="65" t="e">
        <f>IF(BW63=1,IF(BW$13&lt;=COUNT($C35:$CS35),IF(INDEX($F$206:$F$229,MATCH($B255,$B$206:$B$229,FALSE))=0,NA(),INDEX(BW$14:BW$37,MATCH($B255,$B$14:$B$37,FALSE))/INDEX($F$206:$F$229,MATCH($B255,$B$206:$B$229,FALSE))),NA()),NA())</f>
        <v>#N/A</v>
      </c>
      <c r="BY255" s="65" t="e">
        <f>IF(BX63=1,IF(BX$13&lt;=COUNT($C35:$CS35),IF(INDEX($F$206:$F$229,MATCH($B255,$B$206:$B$229,FALSE))=0,NA(),INDEX(BX$14:BX$37,MATCH($B255,$B$14:$B$37,FALSE))/INDEX($F$206:$F$229,MATCH($B255,$B$206:$B$229,FALSE))),NA()),NA())</f>
        <v>#N/A</v>
      </c>
      <c r="BZ255" s="65" t="e">
        <f>IF(BY63=1,IF(BY$13&lt;=COUNT($C35:$CS35),IF(INDEX($F$206:$F$229,MATCH($B255,$B$206:$B$229,FALSE))=0,NA(),INDEX(BY$14:BY$37,MATCH($B255,$B$14:$B$37,FALSE))/INDEX($F$206:$F$229,MATCH($B255,$B$206:$B$229,FALSE))),NA()),NA())</f>
        <v>#N/A</v>
      </c>
      <c r="CA255" s="65" t="e">
        <f>IF(BZ63=1,IF(BZ$13&lt;=COUNT($C35:$CS35),IF(INDEX($F$206:$F$229,MATCH($B255,$B$206:$B$229,FALSE))=0,NA(),INDEX(BZ$14:BZ$37,MATCH($B255,$B$14:$B$37,FALSE))/INDEX($F$206:$F$229,MATCH($B255,$B$206:$B$229,FALSE))),NA()),NA())</f>
        <v>#N/A</v>
      </c>
      <c r="CB255" s="65" t="e">
        <f>IF(CA63=1,IF(CA$13&lt;=COUNT($C35:$CS35),IF(INDEX($F$206:$F$229,MATCH($B255,$B$206:$B$229,FALSE))=0,NA(),INDEX(CA$14:CA$37,MATCH($B255,$B$14:$B$37,FALSE))/INDEX($F$206:$F$229,MATCH($B255,$B$206:$B$229,FALSE))),NA()),NA())</f>
        <v>#N/A</v>
      </c>
      <c r="CC255" s="65" t="e">
        <f>IF(CB63=1,IF(CB$13&lt;=COUNT($C35:$CS35),IF(INDEX($F$206:$F$229,MATCH($B255,$B$206:$B$229,FALSE))=0,NA(),INDEX(CB$14:CB$37,MATCH($B255,$B$14:$B$37,FALSE))/INDEX($F$206:$F$229,MATCH($B255,$B$206:$B$229,FALSE))),NA()),NA())</f>
        <v>#N/A</v>
      </c>
      <c r="CD255" s="65" t="e">
        <f>IF(CC63=1,IF(CC$13&lt;=COUNT($C35:$CS35),IF(INDEX($F$206:$F$229,MATCH($B255,$B$206:$B$229,FALSE))=0,NA(),INDEX(CC$14:CC$37,MATCH($B255,$B$14:$B$37,FALSE))/INDEX($F$206:$F$229,MATCH($B255,$B$206:$B$229,FALSE))),NA()),NA())</f>
        <v>#N/A</v>
      </c>
      <c r="CE255" s="65" t="e">
        <f>IF(CD63=1,IF(CD$13&lt;=COUNT($C35:$CS35),IF(INDEX($F$206:$F$229,MATCH($B255,$B$206:$B$229,FALSE))=0,NA(),INDEX(CD$14:CD$37,MATCH($B255,$B$14:$B$37,FALSE))/INDEX($F$206:$F$229,MATCH($B255,$B$206:$B$229,FALSE))),NA()),NA())</f>
        <v>#N/A</v>
      </c>
      <c r="CF255" s="65" t="e">
        <f>IF(CE63=1,IF(CE$13&lt;=COUNT($C35:$CS35),IF(INDEX($F$206:$F$229,MATCH($B255,$B$206:$B$229,FALSE))=0,NA(),INDEX(CE$14:CE$37,MATCH($B255,$B$14:$B$37,FALSE))/INDEX($F$206:$F$229,MATCH($B255,$B$206:$B$229,FALSE))),NA()),NA())</f>
        <v>#N/A</v>
      </c>
      <c r="CG255" s="65" t="e">
        <f>IF(CF63=1,IF(CF$13&lt;=COUNT($C35:$CS35),IF(INDEX($F$206:$F$229,MATCH($B255,$B$206:$B$229,FALSE))=0,NA(),INDEX(CF$14:CF$37,MATCH($B255,$B$14:$B$37,FALSE))/INDEX($F$206:$F$229,MATCH($B255,$B$206:$B$229,FALSE))),NA()),NA())</f>
        <v>#N/A</v>
      </c>
      <c r="CH255" s="65" t="e">
        <f>IF(CG63=1,IF(CG$13&lt;=COUNT($C35:$CS35),IF(INDEX($F$206:$F$229,MATCH($B255,$B$206:$B$229,FALSE))=0,NA(),INDEX(CG$14:CG$37,MATCH($B255,$B$14:$B$37,FALSE))/INDEX($F$206:$F$229,MATCH($B255,$B$206:$B$229,FALSE))),NA()),NA())</f>
        <v>#N/A</v>
      </c>
      <c r="CI255" s="65" t="e">
        <f>IF(CH63=1,IF(CH$13&lt;=COUNT($C35:$CS35),IF(INDEX($F$206:$F$229,MATCH($B255,$B$206:$B$229,FALSE))=0,NA(),INDEX(CH$14:CH$37,MATCH($B255,$B$14:$B$37,FALSE))/INDEX($F$206:$F$229,MATCH($B255,$B$206:$B$229,FALSE))),NA()),NA())</f>
        <v>#N/A</v>
      </c>
      <c r="CJ255" s="65" t="e">
        <f>IF(CI63=1,IF(CI$13&lt;=COUNT($C35:$CS35),IF(INDEX($F$206:$F$229,MATCH($B255,$B$206:$B$229,FALSE))=0,NA(),INDEX(CI$14:CI$37,MATCH($B255,$B$14:$B$37,FALSE))/INDEX($F$206:$F$229,MATCH($B255,$B$206:$B$229,FALSE))),NA()),NA())</f>
        <v>#N/A</v>
      </c>
      <c r="CK255" s="65" t="e">
        <f>IF(CJ63=1,IF(CJ$13&lt;=COUNT($C35:$CS35),IF(INDEX($F$206:$F$229,MATCH($B255,$B$206:$B$229,FALSE))=0,NA(),INDEX(CJ$14:CJ$37,MATCH($B255,$B$14:$B$37,FALSE))/INDEX($F$206:$F$229,MATCH($B255,$B$206:$B$229,FALSE))),NA()),NA())</f>
        <v>#N/A</v>
      </c>
      <c r="CL255" s="65" t="e">
        <f>IF(CK63=1,IF(CK$13&lt;=COUNT($C35:$CS35),IF(INDEX($F$206:$F$229,MATCH($B255,$B$206:$B$229,FALSE))=0,NA(),INDEX(CK$14:CK$37,MATCH($B255,$B$14:$B$37,FALSE))/INDEX($F$206:$F$229,MATCH($B255,$B$206:$B$229,FALSE))),NA()),NA())</f>
        <v>#N/A</v>
      </c>
      <c r="CM255" s="65" t="e">
        <f>IF(CL63=1,IF(CL$13&lt;=COUNT($C35:$CS35),IF(INDEX($F$206:$F$229,MATCH($B255,$B$206:$B$229,FALSE))=0,NA(),INDEX(CL$14:CL$37,MATCH($B255,$B$14:$B$37,FALSE))/INDEX($F$206:$F$229,MATCH($B255,$B$206:$B$229,FALSE))),NA()),NA())</f>
        <v>#N/A</v>
      </c>
      <c r="CN255" s="65" t="e">
        <f>IF(CM63=1,IF(CM$13&lt;=COUNT($C35:$CS35),IF(INDEX($F$206:$F$229,MATCH($B255,$B$206:$B$229,FALSE))=0,NA(),INDEX(CM$14:CM$37,MATCH($B255,$B$14:$B$37,FALSE))/INDEX($F$206:$F$229,MATCH($B255,$B$206:$B$229,FALSE))),NA()),NA())</f>
        <v>#N/A</v>
      </c>
      <c r="CO255" s="65" t="e">
        <f>IF(CN63=1,IF(CN$13&lt;=COUNT($C35:$CS35),IF(INDEX($F$206:$F$229,MATCH($B255,$B$206:$B$229,FALSE))=0,NA(),INDEX(CN$14:CN$37,MATCH($B255,$B$14:$B$37,FALSE))/INDEX($F$206:$F$229,MATCH($B255,$B$206:$B$229,FALSE))),NA()),NA())</f>
        <v>#N/A</v>
      </c>
      <c r="CP255" s="65" t="e">
        <f>IF(CO63=1,IF(CO$13&lt;=COUNT($C35:$CS35),IF(INDEX($F$206:$F$229,MATCH($B255,$B$206:$B$229,FALSE))=0,NA(),INDEX(CO$14:CO$37,MATCH($B255,$B$14:$B$37,FALSE))/INDEX($F$206:$F$229,MATCH($B255,$B$206:$B$229,FALSE))),NA()),NA())</f>
        <v>#N/A</v>
      </c>
      <c r="CQ255" s="65" t="e">
        <f>IF(CP63=1,IF(CP$13&lt;=COUNT($C35:$CS35),IF(INDEX($F$206:$F$229,MATCH($B255,$B$206:$B$229,FALSE))=0,NA(),INDEX(CP$14:CP$37,MATCH($B255,$B$14:$B$37,FALSE))/INDEX($F$206:$F$229,MATCH($B255,$B$206:$B$229,FALSE))),NA()),NA())</f>
        <v>#N/A</v>
      </c>
      <c r="CR255" s="65" t="e">
        <f>IF(CQ63=1,IF(CQ$13&lt;=COUNT($C35:$CS35),IF(INDEX($F$206:$F$229,MATCH($B255,$B$206:$B$229,FALSE))=0,NA(),INDEX(CQ$14:CQ$37,MATCH($B255,$B$14:$B$37,FALSE))/INDEX($F$206:$F$229,MATCH($B255,$B$206:$B$229,FALSE))),NA()),NA())</f>
        <v>#N/A</v>
      </c>
      <c r="CS255" s="65" t="e">
        <f>IF(CR63=1,IF(CR$13&lt;=COUNT($C35:$CS35),IF(INDEX($F$206:$F$229,MATCH($B255,$B$206:$B$229,FALSE))=0,NA(),INDEX(CR$14:CR$37,MATCH($B255,$B$14:$B$37,FALSE))/INDEX($F$206:$F$229,MATCH($B255,$B$206:$B$229,FALSE))),NA()),NA())</f>
        <v>#N/A</v>
      </c>
      <c r="CT255" s="49"/>
      <c r="CU255" s="49"/>
      <c r="CV255" s="49"/>
      <c r="CW255" s="49"/>
    </row>
    <row r="256" spans="1:101" x14ac:dyDescent="0.25">
      <c r="A256" s="97">
        <f t="shared" si="105"/>
        <v>1</v>
      </c>
      <c r="B256" s="29">
        <v>2018</v>
      </c>
      <c r="C256" s="154" t="str">
        <f t="shared" si="106"/>
        <v/>
      </c>
      <c r="D256" s="54">
        <f t="shared" ca="1" si="109"/>
        <v>0.88235294117647056</v>
      </c>
      <c r="E256" s="65">
        <f t="shared" ca="1" si="109"/>
        <v>0.88235294117647056</v>
      </c>
      <c r="F256" s="65" t="e">
        <f>IF(E64=1,IF(E$13&lt;=COUNT($C36:$CS36),IF(INDEX($F$206:$F$229,MATCH($B256,$B$206:$B$229,FALSE))=0,NA(),INDEX(E$14:E$37,MATCH($B256,$B$14:$B$37,FALSE))/INDEX($F$206:$F$229,MATCH($B256,$B$206:$B$229,FALSE))),NA()),NA())</f>
        <v>#N/A</v>
      </c>
      <c r="G256" s="65" t="e">
        <f>IF(F64=1,IF(F$13&lt;=COUNT($C36:$CS36),IF(INDEX($F$206:$F$229,MATCH($B256,$B$206:$B$229,FALSE))=0,NA(),INDEX(F$14:F$37,MATCH($B256,$B$14:$B$37,FALSE))/INDEX($F$206:$F$229,MATCH($B256,$B$206:$B$229,FALSE))),NA()),NA())</f>
        <v>#N/A</v>
      </c>
      <c r="H256" s="65" t="e">
        <f>IF(G64=1,IF(G$13&lt;=COUNT($C36:$CS36),IF(INDEX($F$206:$F$229,MATCH($B256,$B$206:$B$229,FALSE))=0,NA(),INDEX(G$14:G$37,MATCH($B256,$B$14:$B$37,FALSE))/INDEX($F$206:$F$229,MATCH($B256,$B$206:$B$229,FALSE))),NA()),NA())</f>
        <v>#N/A</v>
      </c>
      <c r="I256" s="65" t="e">
        <f>IF(H64=1,IF(H$13&lt;=COUNT($C36:$CS36),IF(INDEX($F$206:$F$229,MATCH($B256,$B$206:$B$229,FALSE))=0,NA(),INDEX(H$14:H$37,MATCH($B256,$B$14:$B$37,FALSE))/INDEX($F$206:$F$229,MATCH($B256,$B$206:$B$229,FALSE))),NA()),NA())</f>
        <v>#N/A</v>
      </c>
      <c r="J256" s="65" t="e">
        <f>IF(I64=1,IF(I$13&lt;=COUNT($C36:$CS36),IF(INDEX($F$206:$F$229,MATCH($B256,$B$206:$B$229,FALSE))=0,NA(),INDEX(I$14:I$37,MATCH($B256,$B$14:$B$37,FALSE))/INDEX($F$206:$F$229,MATCH($B256,$B$206:$B$229,FALSE))),NA()),NA())</f>
        <v>#N/A</v>
      </c>
      <c r="K256" s="65" t="e">
        <f>IF(J64=1,IF(J$13&lt;=COUNT($C36:$CS36),IF(INDEX($F$206:$F$229,MATCH($B256,$B$206:$B$229,FALSE))=0,NA(),INDEX(J$14:J$37,MATCH($B256,$B$14:$B$37,FALSE))/INDEX($F$206:$F$229,MATCH($B256,$B$206:$B$229,FALSE))),NA()),NA())</f>
        <v>#N/A</v>
      </c>
      <c r="L256" s="65" t="e">
        <f>IF(K64=1,IF(K$13&lt;=COUNT($C36:$CS36),IF(INDEX($F$206:$F$229,MATCH($B256,$B$206:$B$229,FALSE))=0,NA(),INDEX(K$14:K$37,MATCH($B256,$B$14:$B$37,FALSE))/INDEX($F$206:$F$229,MATCH($B256,$B$206:$B$229,FALSE))),NA()),NA())</f>
        <v>#N/A</v>
      </c>
      <c r="M256" s="65" t="e">
        <f>IF(L64=1,IF(L$13&lt;=COUNT($C36:$CS36),IF(INDEX($F$206:$F$229,MATCH($B256,$B$206:$B$229,FALSE))=0,NA(),INDEX(L$14:L$37,MATCH($B256,$B$14:$B$37,FALSE))/INDEX($F$206:$F$229,MATCH($B256,$B$206:$B$229,FALSE))),NA()),NA())</f>
        <v>#N/A</v>
      </c>
      <c r="N256" s="65" t="e">
        <f>IF(M64=1,IF(M$13&lt;=COUNT($C36:$CS36),IF(INDEX($F$206:$F$229,MATCH($B256,$B$206:$B$229,FALSE))=0,NA(),INDEX(M$14:M$37,MATCH($B256,$B$14:$B$37,FALSE))/INDEX($F$206:$F$229,MATCH($B256,$B$206:$B$229,FALSE))),NA()),NA())</f>
        <v>#N/A</v>
      </c>
      <c r="O256" s="65" t="e">
        <f>IF(N64=1,IF(N$13&lt;=COUNT($C36:$CS36),IF(INDEX($F$206:$F$229,MATCH($B256,$B$206:$B$229,FALSE))=0,NA(),INDEX(N$14:N$37,MATCH($B256,$B$14:$B$37,FALSE))/INDEX($F$206:$F$229,MATCH($B256,$B$206:$B$229,FALSE))),NA()),NA())</f>
        <v>#N/A</v>
      </c>
      <c r="P256" s="65" t="e">
        <f>IF(O64=1,IF(O$13&lt;=COUNT($C36:$CS36),IF(INDEX($F$206:$F$229,MATCH($B256,$B$206:$B$229,FALSE))=0,NA(),INDEX(O$14:O$37,MATCH($B256,$B$14:$B$37,FALSE))/INDEX($F$206:$F$229,MATCH($B256,$B$206:$B$229,FALSE))),NA()),NA())</f>
        <v>#N/A</v>
      </c>
      <c r="Q256" s="65" t="e">
        <f>IF(P64=1,IF(P$13&lt;=COUNT($C36:$CS36),IF(INDEX($F$206:$F$229,MATCH($B256,$B$206:$B$229,FALSE))=0,NA(),INDEX(P$14:P$37,MATCH($B256,$B$14:$B$37,FALSE))/INDEX($F$206:$F$229,MATCH($B256,$B$206:$B$229,FALSE))),NA()),NA())</f>
        <v>#N/A</v>
      </c>
      <c r="R256" s="65" t="e">
        <f>IF(Q64=1,IF(Q$13&lt;=COUNT($C36:$CS36),IF(INDEX($F$206:$F$229,MATCH($B256,$B$206:$B$229,FALSE))=0,NA(),INDEX(Q$14:Q$37,MATCH($B256,$B$14:$B$37,FALSE))/INDEX($F$206:$F$229,MATCH($B256,$B$206:$B$229,FALSE))),NA()),NA())</f>
        <v>#N/A</v>
      </c>
      <c r="S256" s="65" t="e">
        <f>IF(R64=1,IF(R$13&lt;=COUNT($C36:$CS36),IF(INDEX($F$206:$F$229,MATCH($B256,$B$206:$B$229,FALSE))=0,NA(),INDEX(R$14:R$37,MATCH($B256,$B$14:$B$37,FALSE))/INDEX($F$206:$F$229,MATCH($B256,$B$206:$B$229,FALSE))),NA()),NA())</f>
        <v>#N/A</v>
      </c>
      <c r="T256" s="65" t="e">
        <f>IF(S64=1,IF(S$13&lt;=COUNT($C36:$CS36),IF(INDEX($F$206:$F$229,MATCH($B256,$B$206:$B$229,FALSE))=0,NA(),INDEX(S$14:S$37,MATCH($B256,$B$14:$B$37,FALSE))/INDEX($F$206:$F$229,MATCH($B256,$B$206:$B$229,FALSE))),NA()),NA())</f>
        <v>#N/A</v>
      </c>
      <c r="U256" s="65" t="e">
        <f>IF(T64=1,IF(T$13&lt;=COUNT($C36:$CS36),IF(INDEX($F$206:$F$229,MATCH($B256,$B$206:$B$229,FALSE))=0,NA(),INDEX(T$14:T$37,MATCH($B256,$B$14:$B$37,FALSE))/INDEX($F$206:$F$229,MATCH($B256,$B$206:$B$229,FALSE))),NA()),NA())</f>
        <v>#N/A</v>
      </c>
      <c r="V256" s="65" t="e">
        <f>IF(U64=1,IF(U$13&lt;=COUNT($C36:$CS36),IF(INDEX($F$206:$F$229,MATCH($B256,$B$206:$B$229,FALSE))=0,NA(),INDEX(U$14:U$37,MATCH($B256,$B$14:$B$37,FALSE))/INDEX($F$206:$F$229,MATCH($B256,$B$206:$B$229,FALSE))),NA()),NA())</f>
        <v>#N/A</v>
      </c>
      <c r="W256" s="65" t="e">
        <f>IF(V64=1,IF(V$13&lt;=COUNT($C36:$CS36),IF(INDEX($F$206:$F$229,MATCH($B256,$B$206:$B$229,FALSE))=0,NA(),INDEX(V$14:V$37,MATCH($B256,$B$14:$B$37,FALSE))/INDEX($F$206:$F$229,MATCH($B256,$B$206:$B$229,FALSE))),NA()),NA())</f>
        <v>#N/A</v>
      </c>
      <c r="X256" s="65" t="e">
        <f>IF(W64=1,IF(W$13&lt;=COUNT($C36:$CS36),IF(INDEX($F$206:$F$229,MATCH($B256,$B$206:$B$229,FALSE))=0,NA(),INDEX(W$14:W$37,MATCH($B256,$B$14:$B$37,FALSE))/INDEX($F$206:$F$229,MATCH($B256,$B$206:$B$229,FALSE))),NA()),NA())</f>
        <v>#N/A</v>
      </c>
      <c r="Y256" s="65" t="e">
        <f>IF(X64=1,IF(X$13&lt;=COUNT($C36:$CS36),IF(INDEX($F$206:$F$229,MATCH($B256,$B$206:$B$229,FALSE))=0,NA(),INDEX(X$14:X$37,MATCH($B256,$B$14:$B$37,FALSE))/INDEX($F$206:$F$229,MATCH($B256,$B$206:$B$229,FALSE))),NA()),NA())</f>
        <v>#N/A</v>
      </c>
      <c r="Z256" s="65" t="e">
        <f>IF(Y64=1,IF(Y$13&lt;=COUNT($C36:$CS36),IF(INDEX($F$206:$F$229,MATCH($B256,$B$206:$B$229,FALSE))=0,NA(),INDEX(Y$14:Y$37,MATCH($B256,$B$14:$B$37,FALSE))/INDEX($F$206:$F$229,MATCH($B256,$B$206:$B$229,FALSE))),NA()),NA())</f>
        <v>#N/A</v>
      </c>
      <c r="AA256" s="65" t="e">
        <f>IF(Z64=1,IF(Z$13&lt;=COUNT($C36:$CS36),IF(INDEX($F$206:$F$229,MATCH($B256,$B$206:$B$229,FALSE))=0,NA(),INDEX(Z$14:Z$37,MATCH($B256,$B$14:$B$37,FALSE))/INDEX($F$206:$F$229,MATCH($B256,$B$206:$B$229,FALSE))),NA()),NA())</f>
        <v>#N/A</v>
      </c>
      <c r="AB256" s="65" t="e">
        <f>IF(AA64=1,IF(AA$13&lt;=COUNT($C36:$CS36),IF(INDEX($F$206:$F$229,MATCH($B256,$B$206:$B$229,FALSE))=0,NA(),INDEX(AA$14:AA$37,MATCH($B256,$B$14:$B$37,FALSE))/INDEX($F$206:$F$229,MATCH($B256,$B$206:$B$229,FALSE))),NA()),NA())</f>
        <v>#N/A</v>
      </c>
      <c r="AC256" s="65" t="e">
        <f>IF(AB64=1,IF(AB$13&lt;=COUNT($C36:$CS36),IF(INDEX($F$206:$F$229,MATCH($B256,$B$206:$B$229,FALSE))=0,NA(),INDEX(AB$14:AB$37,MATCH($B256,$B$14:$B$37,FALSE))/INDEX($F$206:$F$229,MATCH($B256,$B$206:$B$229,FALSE))),NA()),NA())</f>
        <v>#N/A</v>
      </c>
      <c r="AD256" s="65" t="e">
        <f>IF(AC64=1,IF(AC$13&lt;=COUNT($C36:$CS36),IF(INDEX($F$206:$F$229,MATCH($B256,$B$206:$B$229,FALSE))=0,NA(),INDEX(AC$14:AC$37,MATCH($B256,$B$14:$B$37,FALSE))/INDEX($F$206:$F$229,MATCH($B256,$B$206:$B$229,FALSE))),NA()),NA())</f>
        <v>#N/A</v>
      </c>
      <c r="AE256" s="65" t="e">
        <f>IF(AD64=1,IF(AD$13&lt;=COUNT($C36:$CS36),IF(INDEX($F$206:$F$229,MATCH($B256,$B$206:$B$229,FALSE))=0,NA(),INDEX(AD$14:AD$37,MATCH($B256,$B$14:$B$37,FALSE))/INDEX($F$206:$F$229,MATCH($B256,$B$206:$B$229,FALSE))),NA()),NA())</f>
        <v>#N/A</v>
      </c>
      <c r="AF256" s="65" t="e">
        <f>IF(AE64=1,IF(AE$13&lt;=COUNT($C36:$CS36),IF(INDEX($F$206:$F$229,MATCH($B256,$B$206:$B$229,FALSE))=0,NA(),INDEX(AE$14:AE$37,MATCH($B256,$B$14:$B$37,FALSE))/INDEX($F$206:$F$229,MATCH($B256,$B$206:$B$229,FALSE))),NA()),NA())</f>
        <v>#N/A</v>
      </c>
      <c r="AG256" s="65" t="e">
        <f>IF(AF64=1,IF(AF$13&lt;=COUNT($C36:$CS36),IF(INDEX($F$206:$F$229,MATCH($B256,$B$206:$B$229,FALSE))=0,NA(),INDEX(AF$14:AF$37,MATCH($B256,$B$14:$B$37,FALSE))/INDEX($F$206:$F$229,MATCH($B256,$B$206:$B$229,FALSE))),NA()),NA())</f>
        <v>#N/A</v>
      </c>
      <c r="AH256" s="65" t="e">
        <f>IF(AG64=1,IF(AG$13&lt;=COUNT($C36:$CS36),IF(INDEX($F$206:$F$229,MATCH($B256,$B$206:$B$229,FALSE))=0,NA(),INDEX(AG$14:AG$37,MATCH($B256,$B$14:$B$37,FALSE))/INDEX($F$206:$F$229,MATCH($B256,$B$206:$B$229,FALSE))),NA()),NA())</f>
        <v>#N/A</v>
      </c>
      <c r="AI256" s="65" t="e">
        <f>IF(AH64=1,IF(AH$13&lt;=COUNT($C36:$CS36),IF(INDEX($F$206:$F$229,MATCH($B256,$B$206:$B$229,FALSE))=0,NA(),INDEX(AH$14:AH$37,MATCH($B256,$B$14:$B$37,FALSE))/INDEX($F$206:$F$229,MATCH($B256,$B$206:$B$229,FALSE))),NA()),NA())</f>
        <v>#N/A</v>
      </c>
      <c r="AJ256" s="65" t="e">
        <f>IF(AI64=1,IF(AI$13&lt;=COUNT($C36:$CS36),IF(INDEX($F$206:$F$229,MATCH($B256,$B$206:$B$229,FALSE))=0,NA(),INDEX(AI$14:AI$37,MATCH($B256,$B$14:$B$37,FALSE))/INDEX($F$206:$F$229,MATCH($B256,$B$206:$B$229,FALSE))),NA()),NA())</f>
        <v>#N/A</v>
      </c>
      <c r="AK256" s="65" t="e">
        <f>IF(AJ64=1,IF(AJ$13&lt;=COUNT($C36:$CS36),IF(INDEX($F$206:$F$229,MATCH($B256,$B$206:$B$229,FALSE))=0,NA(),INDEX(AJ$14:AJ$37,MATCH($B256,$B$14:$B$37,FALSE))/INDEX($F$206:$F$229,MATCH($B256,$B$206:$B$229,FALSE))),NA()),NA())</f>
        <v>#N/A</v>
      </c>
      <c r="AL256" s="65" t="e">
        <f>IF(AK64=1,IF(AK$13&lt;=COUNT($C36:$CS36),IF(INDEX($F$206:$F$229,MATCH($B256,$B$206:$B$229,FALSE))=0,NA(),INDEX(AK$14:AK$37,MATCH($B256,$B$14:$B$37,FALSE))/INDEX($F$206:$F$229,MATCH($B256,$B$206:$B$229,FALSE))),NA()),NA())</f>
        <v>#N/A</v>
      </c>
      <c r="AM256" s="65" t="e">
        <f>IF(AL64=1,IF(AL$13&lt;=COUNT($C36:$CS36),IF(INDEX($F$206:$F$229,MATCH($B256,$B$206:$B$229,FALSE))=0,NA(),INDEX(AL$14:AL$37,MATCH($B256,$B$14:$B$37,FALSE))/INDEX($F$206:$F$229,MATCH($B256,$B$206:$B$229,FALSE))),NA()),NA())</f>
        <v>#N/A</v>
      </c>
      <c r="AN256" s="65" t="e">
        <f>IF(AM64=1,IF(AM$13&lt;=COUNT($C36:$CS36),IF(INDEX($F$206:$F$229,MATCH($B256,$B$206:$B$229,FALSE))=0,NA(),INDEX(AM$14:AM$37,MATCH($B256,$B$14:$B$37,FALSE))/INDEX($F$206:$F$229,MATCH($B256,$B$206:$B$229,FALSE))),NA()),NA())</f>
        <v>#N/A</v>
      </c>
      <c r="AO256" s="65" t="e">
        <f>IF(AN64=1,IF(AN$13&lt;=COUNT($C36:$CS36),IF(INDEX($F$206:$F$229,MATCH($B256,$B$206:$B$229,FALSE))=0,NA(),INDEX(AN$14:AN$37,MATCH($B256,$B$14:$B$37,FALSE))/INDEX($F$206:$F$229,MATCH($B256,$B$206:$B$229,FALSE))),NA()),NA())</f>
        <v>#N/A</v>
      </c>
      <c r="AP256" s="65" t="e">
        <f>IF(AO64=1,IF(AO$13&lt;=COUNT($C36:$CS36),IF(INDEX($F$206:$F$229,MATCH($B256,$B$206:$B$229,FALSE))=0,NA(),INDEX(AO$14:AO$37,MATCH($B256,$B$14:$B$37,FALSE))/INDEX($F$206:$F$229,MATCH($B256,$B$206:$B$229,FALSE))),NA()),NA())</f>
        <v>#N/A</v>
      </c>
      <c r="AQ256" s="65" t="e">
        <f>IF(AP64=1,IF(AP$13&lt;=COUNT($C36:$CS36),IF(INDEX($F$206:$F$229,MATCH($B256,$B$206:$B$229,FALSE))=0,NA(),INDEX(AP$14:AP$37,MATCH($B256,$B$14:$B$37,FALSE))/INDEX($F$206:$F$229,MATCH($B256,$B$206:$B$229,FALSE))),NA()),NA())</f>
        <v>#N/A</v>
      </c>
      <c r="AR256" s="65" t="e">
        <f>IF(AQ64=1,IF(AQ$13&lt;=COUNT($C36:$CS36),IF(INDEX($F$206:$F$229,MATCH($B256,$B$206:$B$229,FALSE))=0,NA(),INDEX(AQ$14:AQ$37,MATCH($B256,$B$14:$B$37,FALSE))/INDEX($F$206:$F$229,MATCH($B256,$B$206:$B$229,FALSE))),NA()),NA())</f>
        <v>#N/A</v>
      </c>
      <c r="AS256" s="65" t="e">
        <f>IF(AR64=1,IF(AR$13&lt;=COUNT($C36:$CS36),IF(INDEX($F$206:$F$229,MATCH($B256,$B$206:$B$229,FALSE))=0,NA(),INDEX(AR$14:AR$37,MATCH($B256,$B$14:$B$37,FALSE))/INDEX($F$206:$F$229,MATCH($B256,$B$206:$B$229,FALSE))),NA()),NA())</f>
        <v>#N/A</v>
      </c>
      <c r="AT256" s="65" t="e">
        <f>IF(AS64=1,IF(AS$13&lt;=COUNT($C36:$CS36),IF(INDEX($F$206:$F$229,MATCH($B256,$B$206:$B$229,FALSE))=0,NA(),INDEX(AS$14:AS$37,MATCH($B256,$B$14:$B$37,FALSE))/INDEX($F$206:$F$229,MATCH($B256,$B$206:$B$229,FALSE))),NA()),NA())</f>
        <v>#N/A</v>
      </c>
      <c r="AU256" s="65" t="e">
        <f>IF(AT64=1,IF(AT$13&lt;=COUNT($C36:$CS36),IF(INDEX($F$206:$F$229,MATCH($B256,$B$206:$B$229,FALSE))=0,NA(),INDEX(AT$14:AT$37,MATCH($B256,$B$14:$B$37,FALSE))/INDEX($F$206:$F$229,MATCH($B256,$B$206:$B$229,FALSE))),NA()),NA())</f>
        <v>#N/A</v>
      </c>
      <c r="AV256" s="65" t="e">
        <f>IF(AU64=1,IF(AU$13&lt;=COUNT($C36:$CS36),IF(INDEX($F$206:$F$229,MATCH($B256,$B$206:$B$229,FALSE))=0,NA(),INDEX(AU$14:AU$37,MATCH($B256,$B$14:$B$37,FALSE))/INDEX($F$206:$F$229,MATCH($B256,$B$206:$B$229,FALSE))),NA()),NA())</f>
        <v>#N/A</v>
      </c>
      <c r="AW256" s="65" t="e">
        <f>IF(AV64=1,IF(AV$13&lt;=COUNT($C36:$CS36),IF(INDEX($F$206:$F$229,MATCH($B256,$B$206:$B$229,FALSE))=0,NA(),INDEX(AV$14:AV$37,MATCH($B256,$B$14:$B$37,FALSE))/INDEX($F$206:$F$229,MATCH($B256,$B$206:$B$229,FALSE))),NA()),NA())</f>
        <v>#N/A</v>
      </c>
      <c r="AX256" s="65" t="e">
        <f>IF(AW64=1,IF(AW$13&lt;=COUNT($C36:$CS36),IF(INDEX($F$206:$F$229,MATCH($B256,$B$206:$B$229,FALSE))=0,NA(),INDEX(AW$14:AW$37,MATCH($B256,$B$14:$B$37,FALSE))/INDEX($F$206:$F$229,MATCH($B256,$B$206:$B$229,FALSE))),NA()),NA())</f>
        <v>#N/A</v>
      </c>
      <c r="AY256" s="65" t="e">
        <f>IF(AX64=1,IF(AX$13&lt;=COUNT($C36:$CS36),IF(INDEX($F$206:$F$229,MATCH($B256,$B$206:$B$229,FALSE))=0,NA(),INDEX(AX$14:AX$37,MATCH($B256,$B$14:$B$37,FALSE))/INDEX($F$206:$F$229,MATCH($B256,$B$206:$B$229,FALSE))),NA()),NA())</f>
        <v>#N/A</v>
      </c>
      <c r="AZ256" s="65" t="e">
        <f>IF(AY64=1,IF(AY$13&lt;=COUNT($C36:$CS36),IF(INDEX($F$206:$F$229,MATCH($B256,$B$206:$B$229,FALSE))=0,NA(),INDEX(AY$14:AY$37,MATCH($B256,$B$14:$B$37,FALSE))/INDEX($F$206:$F$229,MATCH($B256,$B$206:$B$229,FALSE))),NA()),NA())</f>
        <v>#N/A</v>
      </c>
      <c r="BA256" s="65" t="e">
        <f>IF(AZ64=1,IF(AZ$13&lt;=COUNT($C36:$CS36),IF(INDEX($F$206:$F$229,MATCH($B256,$B$206:$B$229,FALSE))=0,NA(),INDEX(AZ$14:AZ$37,MATCH($B256,$B$14:$B$37,FALSE))/INDEX($F$206:$F$229,MATCH($B256,$B$206:$B$229,FALSE))),NA()),NA())</f>
        <v>#N/A</v>
      </c>
      <c r="BB256" s="65" t="e">
        <f>IF(BA64=1,IF(BA$13&lt;=COUNT($C36:$CS36),IF(INDEX($F$206:$F$229,MATCH($B256,$B$206:$B$229,FALSE))=0,NA(),INDEX(BA$14:BA$37,MATCH($B256,$B$14:$B$37,FALSE))/INDEX($F$206:$F$229,MATCH($B256,$B$206:$B$229,FALSE))),NA()),NA())</f>
        <v>#N/A</v>
      </c>
      <c r="BC256" s="65" t="e">
        <f>IF(BB64=1,IF(BB$13&lt;=COUNT($C36:$CS36),IF(INDEX($F$206:$F$229,MATCH($B256,$B$206:$B$229,FALSE))=0,NA(),INDEX(BB$14:BB$37,MATCH($B256,$B$14:$B$37,FALSE))/INDEX($F$206:$F$229,MATCH($B256,$B$206:$B$229,FALSE))),NA()),NA())</f>
        <v>#N/A</v>
      </c>
      <c r="BD256" s="65" t="e">
        <f>IF(BC64=1,IF(BC$13&lt;=COUNT($C36:$CS36),IF(INDEX($F$206:$F$229,MATCH($B256,$B$206:$B$229,FALSE))=0,NA(),INDEX(BC$14:BC$37,MATCH($B256,$B$14:$B$37,FALSE))/INDEX($F$206:$F$229,MATCH($B256,$B$206:$B$229,FALSE))),NA()),NA())</f>
        <v>#N/A</v>
      </c>
      <c r="BE256" s="65" t="e">
        <f>IF(BD64=1,IF(BD$13&lt;=COUNT($C36:$CS36),IF(INDEX($F$206:$F$229,MATCH($B256,$B$206:$B$229,FALSE))=0,NA(),INDEX(BD$14:BD$37,MATCH($B256,$B$14:$B$37,FALSE))/INDEX($F$206:$F$229,MATCH($B256,$B$206:$B$229,FALSE))),NA()),NA())</f>
        <v>#N/A</v>
      </c>
      <c r="BF256" s="65" t="e">
        <f>IF(BE64=1,IF(BE$13&lt;=COUNT($C36:$CS36),IF(INDEX($F$206:$F$229,MATCH($B256,$B$206:$B$229,FALSE))=0,NA(),INDEX(BE$14:BE$37,MATCH($B256,$B$14:$B$37,FALSE))/INDEX($F$206:$F$229,MATCH($B256,$B$206:$B$229,FALSE))),NA()),NA())</f>
        <v>#N/A</v>
      </c>
      <c r="BG256" s="65" t="e">
        <f>IF(BF64=1,IF(BF$13&lt;=COUNT($C36:$CS36),IF(INDEX($F$206:$F$229,MATCH($B256,$B$206:$B$229,FALSE))=0,NA(),INDEX(BF$14:BF$37,MATCH($B256,$B$14:$B$37,FALSE))/INDEX($F$206:$F$229,MATCH($B256,$B$206:$B$229,FALSE))),NA()),NA())</f>
        <v>#N/A</v>
      </c>
      <c r="BH256" s="65" t="e">
        <f>IF(BG64=1,IF(BG$13&lt;=COUNT($C36:$CS36),IF(INDEX($F$206:$F$229,MATCH($B256,$B$206:$B$229,FALSE))=0,NA(),INDEX(BG$14:BG$37,MATCH($B256,$B$14:$B$37,FALSE))/INDEX($F$206:$F$229,MATCH($B256,$B$206:$B$229,FALSE))),NA()),NA())</f>
        <v>#N/A</v>
      </c>
      <c r="BI256" s="65" t="e">
        <f>IF(BH64=1,IF(BH$13&lt;=COUNT($C36:$CS36),IF(INDEX($F$206:$F$229,MATCH($B256,$B$206:$B$229,FALSE))=0,NA(),INDEX(BH$14:BH$37,MATCH($B256,$B$14:$B$37,FALSE))/INDEX($F$206:$F$229,MATCH($B256,$B$206:$B$229,FALSE))),NA()),NA())</f>
        <v>#N/A</v>
      </c>
      <c r="BJ256" s="65" t="e">
        <f>IF(BI64=1,IF(BI$13&lt;=COUNT($C36:$CS36),IF(INDEX($F$206:$F$229,MATCH($B256,$B$206:$B$229,FALSE))=0,NA(),INDEX(BI$14:BI$37,MATCH($B256,$B$14:$B$37,FALSE))/INDEX($F$206:$F$229,MATCH($B256,$B$206:$B$229,FALSE))),NA()),NA())</f>
        <v>#N/A</v>
      </c>
      <c r="BK256" s="65" t="e">
        <f>IF(BJ64=1,IF(BJ$13&lt;=COUNT($C36:$CS36),IF(INDEX($F$206:$F$229,MATCH($B256,$B$206:$B$229,FALSE))=0,NA(),INDEX(BJ$14:BJ$37,MATCH($B256,$B$14:$B$37,FALSE))/INDEX($F$206:$F$229,MATCH($B256,$B$206:$B$229,FALSE))),NA()),NA())</f>
        <v>#N/A</v>
      </c>
      <c r="BL256" s="65" t="e">
        <f>IF(BK64=1,IF(BK$13&lt;=COUNT($C36:$CS36),IF(INDEX($F$206:$F$229,MATCH($B256,$B$206:$B$229,FALSE))=0,NA(),INDEX(BK$14:BK$37,MATCH($B256,$B$14:$B$37,FALSE))/INDEX($F$206:$F$229,MATCH($B256,$B$206:$B$229,FALSE))),NA()),NA())</f>
        <v>#N/A</v>
      </c>
      <c r="BM256" s="65" t="e">
        <f>IF(BL64=1,IF(BL$13&lt;=COUNT($C36:$CS36),IF(INDEX($F$206:$F$229,MATCH($B256,$B$206:$B$229,FALSE))=0,NA(),INDEX(BL$14:BL$37,MATCH($B256,$B$14:$B$37,FALSE))/INDEX($F$206:$F$229,MATCH($B256,$B$206:$B$229,FALSE))),NA()),NA())</f>
        <v>#N/A</v>
      </c>
      <c r="BN256" s="65" t="e">
        <f>IF(BM64=1,IF(BM$13&lt;=COUNT($C36:$CS36),IF(INDEX($F$206:$F$229,MATCH($B256,$B$206:$B$229,FALSE))=0,NA(),INDEX(BM$14:BM$37,MATCH($B256,$B$14:$B$37,FALSE))/INDEX($F$206:$F$229,MATCH($B256,$B$206:$B$229,FALSE))),NA()),NA())</f>
        <v>#N/A</v>
      </c>
      <c r="BO256" s="65" t="e">
        <f>IF(BN64=1,IF(BN$13&lt;=COUNT($C36:$CS36),IF(INDEX($F$206:$F$229,MATCH($B256,$B$206:$B$229,FALSE))=0,NA(),INDEX(BN$14:BN$37,MATCH($B256,$B$14:$B$37,FALSE))/INDEX($F$206:$F$229,MATCH($B256,$B$206:$B$229,FALSE))),NA()),NA())</f>
        <v>#N/A</v>
      </c>
      <c r="BP256" s="65" t="e">
        <f>IF(BO64=1,IF(BO$13&lt;=COUNT($C36:$CS36),IF(INDEX($F$206:$F$229,MATCH($B256,$B$206:$B$229,FALSE))=0,NA(),INDEX(BO$14:BO$37,MATCH($B256,$B$14:$B$37,FALSE))/INDEX($F$206:$F$229,MATCH($B256,$B$206:$B$229,FALSE))),NA()),NA())</f>
        <v>#N/A</v>
      </c>
      <c r="BQ256" s="65" t="e">
        <f>IF(BP64=1,IF(BP$13&lt;=COUNT($C36:$CS36),IF(INDEX($F$206:$F$229,MATCH($B256,$B$206:$B$229,FALSE))=0,NA(),INDEX(BP$14:BP$37,MATCH($B256,$B$14:$B$37,FALSE))/INDEX($F$206:$F$229,MATCH($B256,$B$206:$B$229,FALSE))),NA()),NA())</f>
        <v>#N/A</v>
      </c>
      <c r="BR256" s="65" t="e">
        <f>IF(BQ64=1,IF(BQ$13&lt;=COUNT($C36:$CS36),IF(INDEX($F$206:$F$229,MATCH($B256,$B$206:$B$229,FALSE))=0,NA(),INDEX(BQ$14:BQ$37,MATCH($B256,$B$14:$B$37,FALSE))/INDEX($F$206:$F$229,MATCH($B256,$B$206:$B$229,FALSE))),NA()),NA())</f>
        <v>#N/A</v>
      </c>
      <c r="BS256" s="65" t="e">
        <f>IF(BR64=1,IF(BR$13&lt;=COUNT($C36:$CS36),IF(INDEX($F$206:$F$229,MATCH($B256,$B$206:$B$229,FALSE))=0,NA(),INDEX(BR$14:BR$37,MATCH($B256,$B$14:$B$37,FALSE))/INDEX($F$206:$F$229,MATCH($B256,$B$206:$B$229,FALSE))),NA()),NA())</f>
        <v>#N/A</v>
      </c>
      <c r="BT256" s="65" t="e">
        <f>IF(BS64=1,IF(BS$13&lt;=COUNT($C36:$CS36),IF(INDEX($F$206:$F$229,MATCH($B256,$B$206:$B$229,FALSE))=0,NA(),INDEX(BS$14:BS$37,MATCH($B256,$B$14:$B$37,FALSE))/INDEX($F$206:$F$229,MATCH($B256,$B$206:$B$229,FALSE))),NA()),NA())</f>
        <v>#N/A</v>
      </c>
      <c r="BU256" s="65" t="e">
        <f>IF(BT64=1,IF(BT$13&lt;=COUNT($C36:$CS36),IF(INDEX($F$206:$F$229,MATCH($B256,$B$206:$B$229,FALSE))=0,NA(),INDEX(BT$14:BT$37,MATCH($B256,$B$14:$B$37,FALSE))/INDEX($F$206:$F$229,MATCH($B256,$B$206:$B$229,FALSE))),NA()),NA())</f>
        <v>#N/A</v>
      </c>
      <c r="BV256" s="65" t="e">
        <f>IF(BU64=1,IF(BU$13&lt;=COUNT($C36:$CS36),IF(INDEX($F$206:$F$229,MATCH($B256,$B$206:$B$229,FALSE))=0,NA(),INDEX(BU$14:BU$37,MATCH($B256,$B$14:$B$37,FALSE))/INDEX($F$206:$F$229,MATCH($B256,$B$206:$B$229,FALSE))),NA()),NA())</f>
        <v>#N/A</v>
      </c>
      <c r="BW256" s="65" t="e">
        <f>IF(BV64=1,IF(BV$13&lt;=COUNT($C36:$CS36),IF(INDEX($F$206:$F$229,MATCH($B256,$B$206:$B$229,FALSE))=0,NA(),INDEX(BV$14:BV$37,MATCH($B256,$B$14:$B$37,FALSE))/INDEX($F$206:$F$229,MATCH($B256,$B$206:$B$229,FALSE))),NA()),NA())</f>
        <v>#N/A</v>
      </c>
      <c r="BX256" s="65" t="e">
        <f>IF(BW64=1,IF(BW$13&lt;=COUNT($C36:$CS36),IF(INDEX($F$206:$F$229,MATCH($B256,$B$206:$B$229,FALSE))=0,NA(),INDEX(BW$14:BW$37,MATCH($B256,$B$14:$B$37,FALSE))/INDEX($F$206:$F$229,MATCH($B256,$B$206:$B$229,FALSE))),NA()),NA())</f>
        <v>#N/A</v>
      </c>
      <c r="BY256" s="65" t="e">
        <f>IF(BX64=1,IF(BX$13&lt;=COUNT($C36:$CS36),IF(INDEX($F$206:$F$229,MATCH($B256,$B$206:$B$229,FALSE))=0,NA(),INDEX(BX$14:BX$37,MATCH($B256,$B$14:$B$37,FALSE))/INDEX($F$206:$F$229,MATCH($B256,$B$206:$B$229,FALSE))),NA()),NA())</f>
        <v>#N/A</v>
      </c>
      <c r="BZ256" s="65" t="e">
        <f>IF(BY64=1,IF(BY$13&lt;=COUNT($C36:$CS36),IF(INDEX($F$206:$F$229,MATCH($B256,$B$206:$B$229,FALSE))=0,NA(),INDEX(BY$14:BY$37,MATCH($B256,$B$14:$B$37,FALSE))/INDEX($F$206:$F$229,MATCH($B256,$B$206:$B$229,FALSE))),NA()),NA())</f>
        <v>#N/A</v>
      </c>
      <c r="CA256" s="65" t="e">
        <f>IF(BZ64=1,IF(BZ$13&lt;=COUNT($C36:$CS36),IF(INDEX($F$206:$F$229,MATCH($B256,$B$206:$B$229,FALSE))=0,NA(),INDEX(BZ$14:BZ$37,MATCH($B256,$B$14:$B$37,FALSE))/INDEX($F$206:$F$229,MATCH($B256,$B$206:$B$229,FALSE))),NA()),NA())</f>
        <v>#N/A</v>
      </c>
      <c r="CB256" s="65" t="e">
        <f>IF(CA64=1,IF(CA$13&lt;=COUNT($C36:$CS36),IF(INDEX($F$206:$F$229,MATCH($B256,$B$206:$B$229,FALSE))=0,NA(),INDEX(CA$14:CA$37,MATCH($B256,$B$14:$B$37,FALSE))/INDEX($F$206:$F$229,MATCH($B256,$B$206:$B$229,FALSE))),NA()),NA())</f>
        <v>#N/A</v>
      </c>
      <c r="CC256" s="65" t="e">
        <f>IF(CB64=1,IF(CB$13&lt;=COUNT($C36:$CS36),IF(INDEX($F$206:$F$229,MATCH($B256,$B$206:$B$229,FALSE))=0,NA(),INDEX(CB$14:CB$37,MATCH($B256,$B$14:$B$37,FALSE))/INDEX($F$206:$F$229,MATCH($B256,$B$206:$B$229,FALSE))),NA()),NA())</f>
        <v>#N/A</v>
      </c>
      <c r="CD256" s="65" t="e">
        <f>IF(CC64=1,IF(CC$13&lt;=COUNT($C36:$CS36),IF(INDEX($F$206:$F$229,MATCH($B256,$B$206:$B$229,FALSE))=0,NA(),INDEX(CC$14:CC$37,MATCH($B256,$B$14:$B$37,FALSE))/INDEX($F$206:$F$229,MATCH($B256,$B$206:$B$229,FALSE))),NA()),NA())</f>
        <v>#N/A</v>
      </c>
      <c r="CE256" s="65" t="e">
        <f>IF(CD64=1,IF(CD$13&lt;=COUNT($C36:$CS36),IF(INDEX($F$206:$F$229,MATCH($B256,$B$206:$B$229,FALSE))=0,NA(),INDEX(CD$14:CD$37,MATCH($B256,$B$14:$B$37,FALSE))/INDEX($F$206:$F$229,MATCH($B256,$B$206:$B$229,FALSE))),NA()),NA())</f>
        <v>#N/A</v>
      </c>
      <c r="CF256" s="65" t="e">
        <f>IF(CE64=1,IF(CE$13&lt;=COUNT($C36:$CS36),IF(INDEX($F$206:$F$229,MATCH($B256,$B$206:$B$229,FALSE))=0,NA(),INDEX(CE$14:CE$37,MATCH($B256,$B$14:$B$37,FALSE))/INDEX($F$206:$F$229,MATCH($B256,$B$206:$B$229,FALSE))),NA()),NA())</f>
        <v>#N/A</v>
      </c>
      <c r="CG256" s="65" t="e">
        <f>IF(CF64=1,IF(CF$13&lt;=COUNT($C36:$CS36),IF(INDEX($F$206:$F$229,MATCH($B256,$B$206:$B$229,FALSE))=0,NA(),INDEX(CF$14:CF$37,MATCH($B256,$B$14:$B$37,FALSE))/INDEX($F$206:$F$229,MATCH($B256,$B$206:$B$229,FALSE))),NA()),NA())</f>
        <v>#N/A</v>
      </c>
      <c r="CH256" s="65" t="e">
        <f>IF(CG64=1,IF(CG$13&lt;=COUNT($C36:$CS36),IF(INDEX($F$206:$F$229,MATCH($B256,$B$206:$B$229,FALSE))=0,NA(),INDEX(CG$14:CG$37,MATCH($B256,$B$14:$B$37,FALSE))/INDEX($F$206:$F$229,MATCH($B256,$B$206:$B$229,FALSE))),NA()),NA())</f>
        <v>#N/A</v>
      </c>
      <c r="CI256" s="65" t="e">
        <f>IF(CH64=1,IF(CH$13&lt;=COUNT($C36:$CS36),IF(INDEX($F$206:$F$229,MATCH($B256,$B$206:$B$229,FALSE))=0,NA(),INDEX(CH$14:CH$37,MATCH($B256,$B$14:$B$37,FALSE))/INDEX($F$206:$F$229,MATCH($B256,$B$206:$B$229,FALSE))),NA()),NA())</f>
        <v>#N/A</v>
      </c>
      <c r="CJ256" s="65" t="e">
        <f>IF(CI64=1,IF(CI$13&lt;=COUNT($C36:$CS36),IF(INDEX($F$206:$F$229,MATCH($B256,$B$206:$B$229,FALSE))=0,NA(),INDEX(CI$14:CI$37,MATCH($B256,$B$14:$B$37,FALSE))/INDEX($F$206:$F$229,MATCH($B256,$B$206:$B$229,FALSE))),NA()),NA())</f>
        <v>#N/A</v>
      </c>
      <c r="CK256" s="65" t="e">
        <f>IF(CJ64=1,IF(CJ$13&lt;=COUNT($C36:$CS36),IF(INDEX($F$206:$F$229,MATCH($B256,$B$206:$B$229,FALSE))=0,NA(),INDEX(CJ$14:CJ$37,MATCH($B256,$B$14:$B$37,FALSE))/INDEX($F$206:$F$229,MATCH($B256,$B$206:$B$229,FALSE))),NA()),NA())</f>
        <v>#N/A</v>
      </c>
      <c r="CL256" s="65" t="e">
        <f>IF(CK64=1,IF(CK$13&lt;=COUNT($C36:$CS36),IF(INDEX($F$206:$F$229,MATCH($B256,$B$206:$B$229,FALSE))=0,NA(),INDEX(CK$14:CK$37,MATCH($B256,$B$14:$B$37,FALSE))/INDEX($F$206:$F$229,MATCH($B256,$B$206:$B$229,FALSE))),NA()),NA())</f>
        <v>#N/A</v>
      </c>
      <c r="CM256" s="65" t="e">
        <f>IF(CL64=1,IF(CL$13&lt;=COUNT($C36:$CS36),IF(INDEX($F$206:$F$229,MATCH($B256,$B$206:$B$229,FALSE))=0,NA(),INDEX(CL$14:CL$37,MATCH($B256,$B$14:$B$37,FALSE))/INDEX($F$206:$F$229,MATCH($B256,$B$206:$B$229,FALSE))),NA()),NA())</f>
        <v>#N/A</v>
      </c>
      <c r="CN256" s="65" t="e">
        <f>IF(CM64=1,IF(CM$13&lt;=COUNT($C36:$CS36),IF(INDEX($F$206:$F$229,MATCH($B256,$B$206:$B$229,FALSE))=0,NA(),INDEX(CM$14:CM$37,MATCH($B256,$B$14:$B$37,FALSE))/INDEX($F$206:$F$229,MATCH($B256,$B$206:$B$229,FALSE))),NA()),NA())</f>
        <v>#N/A</v>
      </c>
      <c r="CO256" s="65" t="e">
        <f>IF(CN64=1,IF(CN$13&lt;=COUNT($C36:$CS36),IF(INDEX($F$206:$F$229,MATCH($B256,$B$206:$B$229,FALSE))=0,NA(),INDEX(CN$14:CN$37,MATCH($B256,$B$14:$B$37,FALSE))/INDEX($F$206:$F$229,MATCH($B256,$B$206:$B$229,FALSE))),NA()),NA())</f>
        <v>#N/A</v>
      </c>
      <c r="CP256" s="65" t="e">
        <f>IF(CO64=1,IF(CO$13&lt;=COUNT($C36:$CS36),IF(INDEX($F$206:$F$229,MATCH($B256,$B$206:$B$229,FALSE))=0,NA(),INDEX(CO$14:CO$37,MATCH($B256,$B$14:$B$37,FALSE))/INDEX($F$206:$F$229,MATCH($B256,$B$206:$B$229,FALSE))),NA()),NA())</f>
        <v>#N/A</v>
      </c>
      <c r="CQ256" s="65" t="e">
        <f>IF(CP64=1,IF(CP$13&lt;=COUNT($C36:$CS36),IF(INDEX($F$206:$F$229,MATCH($B256,$B$206:$B$229,FALSE))=0,NA(),INDEX(CP$14:CP$37,MATCH($B256,$B$14:$B$37,FALSE))/INDEX($F$206:$F$229,MATCH($B256,$B$206:$B$229,FALSE))),NA()),NA())</f>
        <v>#N/A</v>
      </c>
      <c r="CR256" s="65" t="e">
        <f>IF(CQ64=1,IF(CQ$13&lt;=COUNT($C36:$CS36),IF(INDEX($F$206:$F$229,MATCH($B256,$B$206:$B$229,FALSE))=0,NA(),INDEX(CQ$14:CQ$37,MATCH($B256,$B$14:$B$37,FALSE))/INDEX($F$206:$F$229,MATCH($B256,$B$206:$B$229,FALSE))),NA()),NA())</f>
        <v>#N/A</v>
      </c>
      <c r="CS256" s="65" t="e">
        <f>IF(CR64=1,IF(CR$13&lt;=COUNT($C36:$CS36),IF(INDEX($F$206:$F$229,MATCH($B256,$B$206:$B$229,FALSE))=0,NA(),INDEX(CR$14:CR$37,MATCH($B256,$B$14:$B$37,FALSE))/INDEX($F$206:$F$229,MATCH($B256,$B$206:$B$229,FALSE))),NA()),NA())</f>
        <v>#N/A</v>
      </c>
      <c r="CT256" s="49"/>
      <c r="CU256" s="49"/>
      <c r="CV256" s="49"/>
      <c r="CW256" s="49"/>
    </row>
    <row r="257" spans="1:101" x14ac:dyDescent="0.25">
      <c r="A257" s="97">
        <f t="shared" si="105"/>
        <v>1</v>
      </c>
      <c r="B257" s="29">
        <v>2019</v>
      </c>
      <c r="C257" s="154" t="str">
        <f t="shared" si="106"/>
        <v/>
      </c>
      <c r="D257" s="55" t="e">
        <f ca="1">IF(C65=1,IF(C$13&lt;=COUNT($C37:$CS37),IF(INDEX($F$206:$F$229,MATCH($B257,$B$206:$B$229,FALSE))=0,NA(),INDEX(C$14:C$37,MATCH($B257,$B$14:$B$37,FALSE))/INDEX($F$206:$F$229,MATCH($B257,$B$206:$B$229,FALSE))),NA()),NA())</f>
        <v>#N/A</v>
      </c>
      <c r="E257" s="56" t="e">
        <f>IF(D65=1,IF(D$13&lt;=COUNT($C37:$CS37),IF(INDEX($F$206:$F$229,MATCH($B257,$B$206:$B$229,FALSE))=0,NA(),INDEX(D$14:D$37,MATCH($B257,$B$14:$B$37,FALSE))/INDEX($F$206:$F$229,MATCH($B257,$B$206:$B$229,FALSE))),NA()),NA())</f>
        <v>#N/A</v>
      </c>
      <c r="F257" s="56" t="e">
        <f>IF(E65=1,IF(E$13&lt;=COUNT($C37:$CS37),IF(INDEX($F$206:$F$229,MATCH($B257,$B$206:$B$229,FALSE))=0,NA(),INDEX(E$14:E$37,MATCH($B257,$B$14:$B$37,FALSE))/INDEX($F$206:$F$229,MATCH($B257,$B$206:$B$229,FALSE))),NA()),NA())</f>
        <v>#N/A</v>
      </c>
      <c r="G257" s="56" t="e">
        <f>IF(F65=1,IF(F$13&lt;=COUNT($C37:$CS37),IF(INDEX($F$206:$F$229,MATCH($B257,$B$206:$B$229,FALSE))=0,NA(),INDEX(F$14:F$37,MATCH($B257,$B$14:$B$37,FALSE))/INDEX($F$206:$F$229,MATCH($B257,$B$206:$B$229,FALSE))),NA()),NA())</f>
        <v>#N/A</v>
      </c>
      <c r="H257" s="56" t="e">
        <f>IF(G65=1,IF(G$13&lt;=COUNT($C37:$CS37),IF(INDEX($F$206:$F$229,MATCH($B257,$B$206:$B$229,FALSE))=0,NA(),INDEX(G$14:G$37,MATCH($B257,$B$14:$B$37,FALSE))/INDEX($F$206:$F$229,MATCH($B257,$B$206:$B$229,FALSE))),NA()),NA())</f>
        <v>#N/A</v>
      </c>
      <c r="I257" s="56" t="e">
        <f>IF(H65=1,IF(H$13&lt;=COUNT($C37:$CS37),IF(INDEX($F$206:$F$229,MATCH($B257,$B$206:$B$229,FALSE))=0,NA(),INDEX(H$14:H$37,MATCH($B257,$B$14:$B$37,FALSE))/INDEX($F$206:$F$229,MATCH($B257,$B$206:$B$229,FALSE))),NA()),NA())</f>
        <v>#N/A</v>
      </c>
      <c r="J257" s="56" t="e">
        <f>IF(I65=1,IF(I$13&lt;=COUNT($C37:$CS37),IF(INDEX($F$206:$F$229,MATCH($B257,$B$206:$B$229,FALSE))=0,NA(),INDEX(I$14:I$37,MATCH($B257,$B$14:$B$37,FALSE))/INDEX($F$206:$F$229,MATCH($B257,$B$206:$B$229,FALSE))),NA()),NA())</f>
        <v>#N/A</v>
      </c>
      <c r="K257" s="56" t="e">
        <f>IF(J65=1,IF(J$13&lt;=COUNT($C37:$CS37),IF(INDEX($F$206:$F$229,MATCH($B257,$B$206:$B$229,FALSE))=0,NA(),INDEX(J$14:J$37,MATCH($B257,$B$14:$B$37,FALSE))/INDEX($F$206:$F$229,MATCH($B257,$B$206:$B$229,FALSE))),NA()),NA())</f>
        <v>#N/A</v>
      </c>
      <c r="L257" s="56" t="e">
        <f>IF(K65=1,IF(K$13&lt;=COUNT($C37:$CS37),IF(INDEX($F$206:$F$229,MATCH($B257,$B$206:$B$229,FALSE))=0,NA(),INDEX(K$14:K$37,MATCH($B257,$B$14:$B$37,FALSE))/INDEX($F$206:$F$229,MATCH($B257,$B$206:$B$229,FALSE))),NA()),NA())</f>
        <v>#N/A</v>
      </c>
      <c r="M257" s="56" t="e">
        <f>IF(L65=1,IF(L$13&lt;=COUNT($C37:$CS37),IF(INDEX($F$206:$F$229,MATCH($B257,$B$206:$B$229,FALSE))=0,NA(),INDEX(L$14:L$37,MATCH($B257,$B$14:$B$37,FALSE))/INDEX($F$206:$F$229,MATCH($B257,$B$206:$B$229,FALSE))),NA()),NA())</f>
        <v>#N/A</v>
      </c>
      <c r="N257" s="56" t="e">
        <f>IF(M65=1,IF(M$13&lt;=COUNT($C37:$CS37),IF(INDEX($F$206:$F$229,MATCH($B257,$B$206:$B$229,FALSE))=0,NA(),INDEX(M$14:M$37,MATCH($B257,$B$14:$B$37,FALSE))/INDEX($F$206:$F$229,MATCH($B257,$B$206:$B$229,FALSE))),NA()),NA())</f>
        <v>#N/A</v>
      </c>
      <c r="O257" s="56" t="e">
        <f>IF(N65=1,IF(N$13&lt;=COUNT($C37:$CS37),IF(INDEX($F$206:$F$229,MATCH($B257,$B$206:$B$229,FALSE))=0,NA(),INDEX(N$14:N$37,MATCH($B257,$B$14:$B$37,FALSE))/INDEX($F$206:$F$229,MATCH($B257,$B$206:$B$229,FALSE))),NA()),NA())</f>
        <v>#N/A</v>
      </c>
      <c r="P257" s="56" t="e">
        <f>IF(O65=1,IF(O$13&lt;=COUNT($C37:$CS37),IF(INDEX($F$206:$F$229,MATCH($B257,$B$206:$B$229,FALSE))=0,NA(),INDEX(O$14:O$37,MATCH($B257,$B$14:$B$37,FALSE))/INDEX($F$206:$F$229,MATCH($B257,$B$206:$B$229,FALSE))),NA()),NA())</f>
        <v>#N/A</v>
      </c>
      <c r="Q257" s="56" t="e">
        <f>IF(P65=1,IF(P$13&lt;=COUNT($C37:$CS37),IF(INDEX($F$206:$F$229,MATCH($B257,$B$206:$B$229,FALSE))=0,NA(),INDEX(P$14:P$37,MATCH($B257,$B$14:$B$37,FALSE))/INDEX($F$206:$F$229,MATCH($B257,$B$206:$B$229,FALSE))),NA()),NA())</f>
        <v>#N/A</v>
      </c>
      <c r="R257" s="56" t="e">
        <f>IF(Q65=1,IF(Q$13&lt;=COUNT($C37:$CS37),IF(INDEX($F$206:$F$229,MATCH($B257,$B$206:$B$229,FALSE))=0,NA(),INDEX(Q$14:Q$37,MATCH($B257,$B$14:$B$37,FALSE))/INDEX($F$206:$F$229,MATCH($B257,$B$206:$B$229,FALSE))),NA()),NA())</f>
        <v>#N/A</v>
      </c>
      <c r="S257" s="56" t="e">
        <f>IF(R65=1,IF(R$13&lt;=COUNT($C37:$CS37),IF(INDEX($F$206:$F$229,MATCH($B257,$B$206:$B$229,FALSE))=0,NA(),INDEX(R$14:R$37,MATCH($B257,$B$14:$B$37,FALSE))/INDEX($F$206:$F$229,MATCH($B257,$B$206:$B$229,FALSE))),NA()),NA())</f>
        <v>#N/A</v>
      </c>
      <c r="T257" s="56" t="e">
        <f>IF(S65=1,IF(S$13&lt;=COUNT($C37:$CS37),IF(INDEX($F$206:$F$229,MATCH($B257,$B$206:$B$229,FALSE))=0,NA(),INDEX(S$14:S$37,MATCH($B257,$B$14:$B$37,FALSE))/INDEX($F$206:$F$229,MATCH($B257,$B$206:$B$229,FALSE))),NA()),NA())</f>
        <v>#N/A</v>
      </c>
      <c r="U257" s="56" t="e">
        <f>IF(T65=1,IF(T$13&lt;=COUNT($C37:$CS37),IF(INDEX($F$206:$F$229,MATCH($B257,$B$206:$B$229,FALSE))=0,NA(),INDEX(T$14:T$37,MATCH($B257,$B$14:$B$37,FALSE))/INDEX($F$206:$F$229,MATCH($B257,$B$206:$B$229,FALSE))),NA()),NA())</f>
        <v>#N/A</v>
      </c>
      <c r="V257" s="56" t="e">
        <f>IF(U65=1,IF(U$13&lt;=COUNT($C37:$CS37),IF(INDEX($F$206:$F$229,MATCH($B257,$B$206:$B$229,FALSE))=0,NA(),INDEX(U$14:U$37,MATCH($B257,$B$14:$B$37,FALSE))/INDEX($F$206:$F$229,MATCH($B257,$B$206:$B$229,FALSE))),NA()),NA())</f>
        <v>#N/A</v>
      </c>
      <c r="W257" s="56" t="e">
        <f>IF(V65=1,IF(V$13&lt;=COUNT($C37:$CS37),IF(INDEX($F$206:$F$229,MATCH($B257,$B$206:$B$229,FALSE))=0,NA(),INDEX(V$14:V$37,MATCH($B257,$B$14:$B$37,FALSE))/INDEX($F$206:$F$229,MATCH($B257,$B$206:$B$229,FALSE))),NA()),NA())</f>
        <v>#N/A</v>
      </c>
      <c r="X257" s="56" t="e">
        <f>IF(W65=1,IF(W$13&lt;=COUNT($C37:$CS37),IF(INDEX($F$206:$F$229,MATCH($B257,$B$206:$B$229,FALSE))=0,NA(),INDEX(W$14:W$37,MATCH($B257,$B$14:$B$37,FALSE))/INDEX($F$206:$F$229,MATCH($B257,$B$206:$B$229,FALSE))),NA()),NA())</f>
        <v>#N/A</v>
      </c>
      <c r="Y257" s="56" t="e">
        <f>IF(X65=1,IF(X$13&lt;=COUNT($C37:$CS37),IF(INDEX($F$206:$F$229,MATCH($B257,$B$206:$B$229,FALSE))=0,NA(),INDEX(X$14:X$37,MATCH($B257,$B$14:$B$37,FALSE))/INDEX($F$206:$F$229,MATCH($B257,$B$206:$B$229,FALSE))),NA()),NA())</f>
        <v>#N/A</v>
      </c>
      <c r="Z257" s="56" t="e">
        <f>IF(Y65=1,IF(Y$13&lt;=COUNT($C37:$CS37),IF(INDEX($F$206:$F$229,MATCH($B257,$B$206:$B$229,FALSE))=0,NA(),INDEX(Y$14:Y$37,MATCH($B257,$B$14:$B$37,FALSE))/INDEX($F$206:$F$229,MATCH($B257,$B$206:$B$229,FALSE))),NA()),NA())</f>
        <v>#N/A</v>
      </c>
      <c r="AA257" s="56" t="e">
        <f>IF(Z65=1,IF(Z$13&lt;=COUNT($C37:$CS37),IF(INDEX($F$206:$F$229,MATCH($B257,$B$206:$B$229,FALSE))=0,NA(),INDEX(Z$14:Z$37,MATCH($B257,$B$14:$B$37,FALSE))/INDEX($F$206:$F$229,MATCH($B257,$B$206:$B$229,FALSE))),NA()),NA())</f>
        <v>#N/A</v>
      </c>
      <c r="AB257" s="56" t="e">
        <f>IF(AA65=1,IF(AA$13&lt;=COUNT($C37:$CS37),IF(INDEX($F$206:$F$229,MATCH($B257,$B$206:$B$229,FALSE))=0,NA(),INDEX(AA$14:AA$37,MATCH($B257,$B$14:$B$37,FALSE))/INDEX($F$206:$F$229,MATCH($B257,$B$206:$B$229,FALSE))),NA()),NA())</f>
        <v>#N/A</v>
      </c>
      <c r="AC257" s="56" t="e">
        <f>IF(AB65=1,IF(AB$13&lt;=COUNT($C37:$CS37),IF(INDEX($F$206:$F$229,MATCH($B257,$B$206:$B$229,FALSE))=0,NA(),INDEX(AB$14:AB$37,MATCH($B257,$B$14:$B$37,FALSE))/INDEX($F$206:$F$229,MATCH($B257,$B$206:$B$229,FALSE))),NA()),NA())</f>
        <v>#N/A</v>
      </c>
      <c r="AD257" s="56" t="e">
        <f>IF(AC65=1,IF(AC$13&lt;=COUNT($C37:$CS37),IF(INDEX($F$206:$F$229,MATCH($B257,$B$206:$B$229,FALSE))=0,NA(),INDEX(AC$14:AC$37,MATCH($B257,$B$14:$B$37,FALSE))/INDEX($F$206:$F$229,MATCH($B257,$B$206:$B$229,FALSE))),NA()),NA())</f>
        <v>#N/A</v>
      </c>
      <c r="AE257" s="56" t="e">
        <f>IF(AD65=1,IF(AD$13&lt;=COUNT($C37:$CS37),IF(INDEX($F$206:$F$229,MATCH($B257,$B$206:$B$229,FALSE))=0,NA(),INDEX(AD$14:AD$37,MATCH($B257,$B$14:$B$37,FALSE))/INDEX($F$206:$F$229,MATCH($B257,$B$206:$B$229,FALSE))),NA()),NA())</f>
        <v>#N/A</v>
      </c>
      <c r="AF257" s="56" t="e">
        <f>IF(AE65=1,IF(AE$13&lt;=COUNT($C37:$CS37),IF(INDEX($F$206:$F$229,MATCH($B257,$B$206:$B$229,FALSE))=0,NA(),INDEX(AE$14:AE$37,MATCH($B257,$B$14:$B$37,FALSE))/INDEX($F$206:$F$229,MATCH($B257,$B$206:$B$229,FALSE))),NA()),NA())</f>
        <v>#N/A</v>
      </c>
      <c r="AG257" s="56" t="e">
        <f>IF(AF65=1,IF(AF$13&lt;=COUNT($C37:$CS37),IF(INDEX($F$206:$F$229,MATCH($B257,$B$206:$B$229,FALSE))=0,NA(),INDEX(AF$14:AF$37,MATCH($B257,$B$14:$B$37,FALSE))/INDEX($F$206:$F$229,MATCH($B257,$B$206:$B$229,FALSE))),NA()),NA())</f>
        <v>#N/A</v>
      </c>
      <c r="AH257" s="56" t="e">
        <f>IF(AG65=1,IF(AG$13&lt;=COUNT($C37:$CS37),IF(INDEX($F$206:$F$229,MATCH($B257,$B$206:$B$229,FALSE))=0,NA(),INDEX(AG$14:AG$37,MATCH($B257,$B$14:$B$37,FALSE))/INDEX($F$206:$F$229,MATCH($B257,$B$206:$B$229,FALSE))),NA()),NA())</f>
        <v>#N/A</v>
      </c>
      <c r="AI257" s="56" t="e">
        <f>IF(AH65=1,IF(AH$13&lt;=COUNT($C37:$CS37),IF(INDEX($F$206:$F$229,MATCH($B257,$B$206:$B$229,FALSE))=0,NA(),INDEX(AH$14:AH$37,MATCH($B257,$B$14:$B$37,FALSE))/INDEX($F$206:$F$229,MATCH($B257,$B$206:$B$229,FALSE))),NA()),NA())</f>
        <v>#N/A</v>
      </c>
      <c r="AJ257" s="56" t="e">
        <f>IF(AI65=1,IF(AI$13&lt;=COUNT($C37:$CS37),IF(INDEX($F$206:$F$229,MATCH($B257,$B$206:$B$229,FALSE))=0,NA(),INDEX(AI$14:AI$37,MATCH($B257,$B$14:$B$37,FALSE))/INDEX($F$206:$F$229,MATCH($B257,$B$206:$B$229,FALSE))),NA()),NA())</f>
        <v>#N/A</v>
      </c>
      <c r="AK257" s="56" t="e">
        <f>IF(AJ65=1,IF(AJ$13&lt;=COUNT($C37:$CS37),IF(INDEX($F$206:$F$229,MATCH($B257,$B$206:$B$229,FALSE))=0,NA(),INDEX(AJ$14:AJ$37,MATCH($B257,$B$14:$B$37,FALSE))/INDEX($F$206:$F$229,MATCH($B257,$B$206:$B$229,FALSE))),NA()),NA())</f>
        <v>#N/A</v>
      </c>
      <c r="AL257" s="56" t="e">
        <f>IF(AK65=1,IF(AK$13&lt;=COUNT($C37:$CS37),IF(INDEX($F$206:$F$229,MATCH($B257,$B$206:$B$229,FALSE))=0,NA(),INDEX(AK$14:AK$37,MATCH($B257,$B$14:$B$37,FALSE))/INDEX($F$206:$F$229,MATCH($B257,$B$206:$B$229,FALSE))),NA()),NA())</f>
        <v>#N/A</v>
      </c>
      <c r="AM257" s="56" t="e">
        <f>IF(AL65=1,IF(AL$13&lt;=COUNT($C37:$CS37),IF(INDEX($F$206:$F$229,MATCH($B257,$B$206:$B$229,FALSE))=0,NA(),INDEX(AL$14:AL$37,MATCH($B257,$B$14:$B$37,FALSE))/INDEX($F$206:$F$229,MATCH($B257,$B$206:$B$229,FALSE))),NA()),NA())</f>
        <v>#N/A</v>
      </c>
      <c r="AN257" s="56" t="e">
        <f>IF(AM65=1,IF(AM$13&lt;=COUNT($C37:$CS37),IF(INDEX($F$206:$F$229,MATCH($B257,$B$206:$B$229,FALSE))=0,NA(),INDEX(AM$14:AM$37,MATCH($B257,$B$14:$B$37,FALSE))/INDEX($F$206:$F$229,MATCH($B257,$B$206:$B$229,FALSE))),NA()),NA())</f>
        <v>#N/A</v>
      </c>
      <c r="AO257" s="56" t="e">
        <f>IF(AN65=1,IF(AN$13&lt;=COUNT($C37:$CS37),IF(INDEX($F$206:$F$229,MATCH($B257,$B$206:$B$229,FALSE))=0,NA(),INDEX(AN$14:AN$37,MATCH($B257,$B$14:$B$37,FALSE))/INDEX($F$206:$F$229,MATCH($B257,$B$206:$B$229,FALSE))),NA()),NA())</f>
        <v>#N/A</v>
      </c>
      <c r="AP257" s="56" t="e">
        <f>IF(AO65=1,IF(AO$13&lt;=COUNT($C37:$CS37),IF(INDEX($F$206:$F$229,MATCH($B257,$B$206:$B$229,FALSE))=0,NA(),INDEX(AO$14:AO$37,MATCH($B257,$B$14:$B$37,FALSE))/INDEX($F$206:$F$229,MATCH($B257,$B$206:$B$229,FALSE))),NA()),NA())</f>
        <v>#N/A</v>
      </c>
      <c r="AQ257" s="56" t="e">
        <f>IF(AP65=1,IF(AP$13&lt;=COUNT($C37:$CS37),IF(INDEX($F$206:$F$229,MATCH($B257,$B$206:$B$229,FALSE))=0,NA(),INDEX(AP$14:AP$37,MATCH($B257,$B$14:$B$37,FALSE))/INDEX($F$206:$F$229,MATCH($B257,$B$206:$B$229,FALSE))),NA()),NA())</f>
        <v>#N/A</v>
      </c>
      <c r="AR257" s="56" t="e">
        <f>IF(AQ65=1,IF(AQ$13&lt;=COUNT($C37:$CS37),IF(INDEX($F$206:$F$229,MATCH($B257,$B$206:$B$229,FALSE))=0,NA(),INDEX(AQ$14:AQ$37,MATCH($B257,$B$14:$B$37,FALSE))/INDEX($F$206:$F$229,MATCH($B257,$B$206:$B$229,FALSE))),NA()),NA())</f>
        <v>#N/A</v>
      </c>
      <c r="AS257" s="56" t="e">
        <f>IF(AR65=1,IF(AR$13&lt;=COUNT($C37:$CS37),IF(INDEX($F$206:$F$229,MATCH($B257,$B$206:$B$229,FALSE))=0,NA(),INDEX(AR$14:AR$37,MATCH($B257,$B$14:$B$37,FALSE))/INDEX($F$206:$F$229,MATCH($B257,$B$206:$B$229,FALSE))),NA()),NA())</f>
        <v>#N/A</v>
      </c>
      <c r="AT257" s="56" t="e">
        <f>IF(AS65=1,IF(AS$13&lt;=COUNT($C37:$CS37),IF(INDEX($F$206:$F$229,MATCH($B257,$B$206:$B$229,FALSE))=0,NA(),INDEX(AS$14:AS$37,MATCH($B257,$B$14:$B$37,FALSE))/INDEX($F$206:$F$229,MATCH($B257,$B$206:$B$229,FALSE))),NA()),NA())</f>
        <v>#N/A</v>
      </c>
      <c r="AU257" s="56" t="e">
        <f>IF(AT65=1,IF(AT$13&lt;=COUNT($C37:$CS37),IF(INDEX($F$206:$F$229,MATCH($B257,$B$206:$B$229,FALSE))=0,NA(),INDEX(AT$14:AT$37,MATCH($B257,$B$14:$B$37,FALSE))/INDEX($F$206:$F$229,MATCH($B257,$B$206:$B$229,FALSE))),NA()),NA())</f>
        <v>#N/A</v>
      </c>
      <c r="AV257" s="56" t="e">
        <f>IF(AU65=1,IF(AU$13&lt;=COUNT($C37:$CS37),IF(INDEX($F$206:$F$229,MATCH($B257,$B$206:$B$229,FALSE))=0,NA(),INDEX(AU$14:AU$37,MATCH($B257,$B$14:$B$37,FALSE))/INDEX($F$206:$F$229,MATCH($B257,$B$206:$B$229,FALSE))),NA()),NA())</f>
        <v>#N/A</v>
      </c>
      <c r="AW257" s="56" t="e">
        <f>IF(AV65=1,IF(AV$13&lt;=COUNT($C37:$CS37),IF(INDEX($F$206:$F$229,MATCH($B257,$B$206:$B$229,FALSE))=0,NA(),INDEX(AV$14:AV$37,MATCH($B257,$B$14:$B$37,FALSE))/INDEX($F$206:$F$229,MATCH($B257,$B$206:$B$229,FALSE))),NA()),NA())</f>
        <v>#N/A</v>
      </c>
      <c r="AX257" s="56" t="e">
        <f>IF(AW65=1,IF(AW$13&lt;=COUNT($C37:$CS37),IF(INDEX($F$206:$F$229,MATCH($B257,$B$206:$B$229,FALSE))=0,NA(),INDEX(AW$14:AW$37,MATCH($B257,$B$14:$B$37,FALSE))/INDEX($F$206:$F$229,MATCH($B257,$B$206:$B$229,FALSE))),NA()),NA())</f>
        <v>#N/A</v>
      </c>
      <c r="AY257" s="56" t="e">
        <f>IF(AX65=1,IF(AX$13&lt;=COUNT($C37:$CS37),IF(INDEX($F$206:$F$229,MATCH($B257,$B$206:$B$229,FALSE))=0,NA(),INDEX(AX$14:AX$37,MATCH($B257,$B$14:$B$37,FALSE))/INDEX($F$206:$F$229,MATCH($B257,$B$206:$B$229,FALSE))),NA()),NA())</f>
        <v>#N/A</v>
      </c>
      <c r="AZ257" s="56" t="e">
        <f>IF(AY65=1,IF(AY$13&lt;=COUNT($C37:$CS37),IF(INDEX($F$206:$F$229,MATCH($B257,$B$206:$B$229,FALSE))=0,NA(),INDEX(AY$14:AY$37,MATCH($B257,$B$14:$B$37,FALSE))/INDEX($F$206:$F$229,MATCH($B257,$B$206:$B$229,FALSE))),NA()),NA())</f>
        <v>#N/A</v>
      </c>
      <c r="BA257" s="56" t="e">
        <f>IF(AZ65=1,IF(AZ$13&lt;=COUNT($C37:$CS37),IF(INDEX($F$206:$F$229,MATCH($B257,$B$206:$B$229,FALSE))=0,NA(),INDEX(AZ$14:AZ$37,MATCH($B257,$B$14:$B$37,FALSE))/INDEX($F$206:$F$229,MATCH($B257,$B$206:$B$229,FALSE))),NA()),NA())</f>
        <v>#N/A</v>
      </c>
      <c r="BB257" s="56" t="e">
        <f>IF(BA65=1,IF(BA$13&lt;=COUNT($C37:$CS37),IF(INDEX($F$206:$F$229,MATCH($B257,$B$206:$B$229,FALSE))=0,NA(),INDEX(BA$14:BA$37,MATCH($B257,$B$14:$B$37,FALSE))/INDEX($F$206:$F$229,MATCH($B257,$B$206:$B$229,FALSE))),NA()),NA())</f>
        <v>#N/A</v>
      </c>
      <c r="BC257" s="56" t="e">
        <f>IF(BB65=1,IF(BB$13&lt;=COUNT($C37:$CS37),IF(INDEX($F$206:$F$229,MATCH($B257,$B$206:$B$229,FALSE))=0,NA(),INDEX(BB$14:BB$37,MATCH($B257,$B$14:$B$37,FALSE))/INDEX($F$206:$F$229,MATCH($B257,$B$206:$B$229,FALSE))),NA()),NA())</f>
        <v>#N/A</v>
      </c>
      <c r="BD257" s="56" t="e">
        <f>IF(BC65=1,IF(BC$13&lt;=COUNT($C37:$CS37),IF(INDEX($F$206:$F$229,MATCH($B257,$B$206:$B$229,FALSE))=0,NA(),INDEX(BC$14:BC$37,MATCH($B257,$B$14:$B$37,FALSE))/INDEX($F$206:$F$229,MATCH($B257,$B$206:$B$229,FALSE))),NA()),NA())</f>
        <v>#N/A</v>
      </c>
      <c r="BE257" s="56" t="e">
        <f>IF(BD65=1,IF(BD$13&lt;=COUNT($C37:$CS37),IF(INDEX($F$206:$F$229,MATCH($B257,$B$206:$B$229,FALSE))=0,NA(),INDEX(BD$14:BD$37,MATCH($B257,$B$14:$B$37,FALSE))/INDEX($F$206:$F$229,MATCH($B257,$B$206:$B$229,FALSE))),NA()),NA())</f>
        <v>#N/A</v>
      </c>
      <c r="BF257" s="56" t="e">
        <f>IF(BE65=1,IF(BE$13&lt;=COUNT($C37:$CS37),IF(INDEX($F$206:$F$229,MATCH($B257,$B$206:$B$229,FALSE))=0,NA(),INDEX(BE$14:BE$37,MATCH($B257,$B$14:$B$37,FALSE))/INDEX($F$206:$F$229,MATCH($B257,$B$206:$B$229,FALSE))),NA()),NA())</f>
        <v>#N/A</v>
      </c>
      <c r="BG257" s="56" t="e">
        <f>IF(BF65=1,IF(BF$13&lt;=COUNT($C37:$CS37),IF(INDEX($F$206:$F$229,MATCH($B257,$B$206:$B$229,FALSE))=0,NA(),INDEX(BF$14:BF$37,MATCH($B257,$B$14:$B$37,FALSE))/INDEX($F$206:$F$229,MATCH($B257,$B$206:$B$229,FALSE))),NA()),NA())</f>
        <v>#N/A</v>
      </c>
      <c r="BH257" s="56" t="e">
        <f>IF(BG65=1,IF(BG$13&lt;=COUNT($C37:$CS37),IF(INDEX($F$206:$F$229,MATCH($B257,$B$206:$B$229,FALSE))=0,NA(),INDEX(BG$14:BG$37,MATCH($B257,$B$14:$B$37,FALSE))/INDEX($F$206:$F$229,MATCH($B257,$B$206:$B$229,FALSE))),NA()),NA())</f>
        <v>#N/A</v>
      </c>
      <c r="BI257" s="56" t="e">
        <f>IF(BH65=1,IF(BH$13&lt;=COUNT($C37:$CS37),IF(INDEX($F$206:$F$229,MATCH($B257,$B$206:$B$229,FALSE))=0,NA(),INDEX(BH$14:BH$37,MATCH($B257,$B$14:$B$37,FALSE))/INDEX($F$206:$F$229,MATCH($B257,$B$206:$B$229,FALSE))),NA()),NA())</f>
        <v>#N/A</v>
      </c>
      <c r="BJ257" s="56" t="e">
        <f>IF(BI65=1,IF(BI$13&lt;=COUNT($C37:$CS37),IF(INDEX($F$206:$F$229,MATCH($B257,$B$206:$B$229,FALSE))=0,NA(),INDEX(BI$14:BI$37,MATCH($B257,$B$14:$B$37,FALSE))/INDEX($F$206:$F$229,MATCH($B257,$B$206:$B$229,FALSE))),NA()),NA())</f>
        <v>#N/A</v>
      </c>
      <c r="BK257" s="56" t="e">
        <f>IF(BJ65=1,IF(BJ$13&lt;=COUNT($C37:$CS37),IF(INDEX($F$206:$F$229,MATCH($B257,$B$206:$B$229,FALSE))=0,NA(),INDEX(BJ$14:BJ$37,MATCH($B257,$B$14:$B$37,FALSE))/INDEX($F$206:$F$229,MATCH($B257,$B$206:$B$229,FALSE))),NA()),NA())</f>
        <v>#N/A</v>
      </c>
      <c r="BL257" s="56" t="e">
        <f>IF(BK65=1,IF(BK$13&lt;=COUNT($C37:$CS37),IF(INDEX($F$206:$F$229,MATCH($B257,$B$206:$B$229,FALSE))=0,NA(),INDEX(BK$14:BK$37,MATCH($B257,$B$14:$B$37,FALSE))/INDEX($F$206:$F$229,MATCH($B257,$B$206:$B$229,FALSE))),NA()),NA())</f>
        <v>#N/A</v>
      </c>
      <c r="BM257" s="56" t="e">
        <f>IF(BL65=1,IF(BL$13&lt;=COUNT($C37:$CS37),IF(INDEX($F$206:$F$229,MATCH($B257,$B$206:$B$229,FALSE))=0,NA(),INDEX(BL$14:BL$37,MATCH($B257,$B$14:$B$37,FALSE))/INDEX($F$206:$F$229,MATCH($B257,$B$206:$B$229,FALSE))),NA()),NA())</f>
        <v>#N/A</v>
      </c>
      <c r="BN257" s="56" t="e">
        <f>IF(BM65=1,IF(BM$13&lt;=COUNT($C37:$CS37),IF(INDEX($F$206:$F$229,MATCH($B257,$B$206:$B$229,FALSE))=0,NA(),INDEX(BM$14:BM$37,MATCH($B257,$B$14:$B$37,FALSE))/INDEX($F$206:$F$229,MATCH($B257,$B$206:$B$229,FALSE))),NA()),NA())</f>
        <v>#N/A</v>
      </c>
      <c r="BO257" s="56" t="e">
        <f>IF(BN65=1,IF(BN$13&lt;=COUNT($C37:$CS37),IF(INDEX($F$206:$F$229,MATCH($B257,$B$206:$B$229,FALSE))=0,NA(),INDEX(BN$14:BN$37,MATCH($B257,$B$14:$B$37,FALSE))/INDEX($F$206:$F$229,MATCH($B257,$B$206:$B$229,FALSE))),NA()),NA())</f>
        <v>#N/A</v>
      </c>
      <c r="BP257" s="56" t="e">
        <f>IF(BO65=1,IF(BO$13&lt;=COUNT($C37:$CS37),IF(INDEX($F$206:$F$229,MATCH($B257,$B$206:$B$229,FALSE))=0,NA(),INDEX(BO$14:BO$37,MATCH($B257,$B$14:$B$37,FALSE))/INDEX($F$206:$F$229,MATCH($B257,$B$206:$B$229,FALSE))),NA()),NA())</f>
        <v>#N/A</v>
      </c>
      <c r="BQ257" s="56" t="e">
        <f>IF(BP65=1,IF(BP$13&lt;=COUNT($C37:$CS37),IF(INDEX($F$206:$F$229,MATCH($B257,$B$206:$B$229,FALSE))=0,NA(),INDEX(BP$14:BP$37,MATCH($B257,$B$14:$B$37,FALSE))/INDEX($F$206:$F$229,MATCH($B257,$B$206:$B$229,FALSE))),NA()),NA())</f>
        <v>#N/A</v>
      </c>
      <c r="BR257" s="56" t="e">
        <f>IF(BQ65=1,IF(BQ$13&lt;=COUNT($C37:$CS37),IF(INDEX($F$206:$F$229,MATCH($B257,$B$206:$B$229,FALSE))=0,NA(),INDEX(BQ$14:BQ$37,MATCH($B257,$B$14:$B$37,FALSE))/INDEX($F$206:$F$229,MATCH($B257,$B$206:$B$229,FALSE))),NA()),NA())</f>
        <v>#N/A</v>
      </c>
      <c r="BS257" s="56" t="e">
        <f>IF(BR65=1,IF(BR$13&lt;=COUNT($C37:$CS37),IF(INDEX($F$206:$F$229,MATCH($B257,$B$206:$B$229,FALSE))=0,NA(),INDEX(BR$14:BR$37,MATCH($B257,$B$14:$B$37,FALSE))/INDEX($F$206:$F$229,MATCH($B257,$B$206:$B$229,FALSE))),NA()),NA())</f>
        <v>#N/A</v>
      </c>
      <c r="BT257" s="56" t="e">
        <f>IF(BS65=1,IF(BS$13&lt;=COUNT($C37:$CS37),IF(INDEX($F$206:$F$229,MATCH($B257,$B$206:$B$229,FALSE))=0,NA(),INDEX(BS$14:BS$37,MATCH($B257,$B$14:$B$37,FALSE))/INDEX($F$206:$F$229,MATCH($B257,$B$206:$B$229,FALSE))),NA()),NA())</f>
        <v>#N/A</v>
      </c>
      <c r="BU257" s="56" t="e">
        <f>IF(BT65=1,IF(BT$13&lt;=COUNT($C37:$CS37),IF(INDEX($F$206:$F$229,MATCH($B257,$B$206:$B$229,FALSE))=0,NA(),INDEX(BT$14:BT$37,MATCH($B257,$B$14:$B$37,FALSE))/INDEX($F$206:$F$229,MATCH($B257,$B$206:$B$229,FALSE))),NA()),NA())</f>
        <v>#N/A</v>
      </c>
      <c r="BV257" s="56" t="e">
        <f>IF(BU65=1,IF(BU$13&lt;=COUNT($C37:$CS37),IF(INDEX($F$206:$F$229,MATCH($B257,$B$206:$B$229,FALSE))=0,NA(),INDEX(BU$14:BU$37,MATCH($B257,$B$14:$B$37,FALSE))/INDEX($F$206:$F$229,MATCH($B257,$B$206:$B$229,FALSE))),NA()),NA())</f>
        <v>#N/A</v>
      </c>
      <c r="BW257" s="56" t="e">
        <f>IF(BV65=1,IF(BV$13&lt;=COUNT($C37:$CS37),IF(INDEX($F$206:$F$229,MATCH($B257,$B$206:$B$229,FALSE))=0,NA(),INDEX(BV$14:BV$37,MATCH($B257,$B$14:$B$37,FALSE))/INDEX($F$206:$F$229,MATCH($B257,$B$206:$B$229,FALSE))),NA()),NA())</f>
        <v>#N/A</v>
      </c>
      <c r="BX257" s="56" t="e">
        <f>IF(BW65=1,IF(BW$13&lt;=COUNT($C37:$CS37),IF(INDEX($F$206:$F$229,MATCH($B257,$B$206:$B$229,FALSE))=0,NA(),INDEX(BW$14:BW$37,MATCH($B257,$B$14:$B$37,FALSE))/INDEX($F$206:$F$229,MATCH($B257,$B$206:$B$229,FALSE))),NA()),NA())</f>
        <v>#N/A</v>
      </c>
      <c r="BY257" s="56" t="e">
        <f>IF(BX65=1,IF(BX$13&lt;=COUNT($C37:$CS37),IF(INDEX($F$206:$F$229,MATCH($B257,$B$206:$B$229,FALSE))=0,NA(),INDEX(BX$14:BX$37,MATCH($B257,$B$14:$B$37,FALSE))/INDEX($F$206:$F$229,MATCH($B257,$B$206:$B$229,FALSE))),NA()),NA())</f>
        <v>#N/A</v>
      </c>
      <c r="BZ257" s="56" t="e">
        <f>IF(BY65=1,IF(BY$13&lt;=COUNT($C37:$CS37),IF(INDEX($F$206:$F$229,MATCH($B257,$B$206:$B$229,FALSE))=0,NA(),INDEX(BY$14:BY$37,MATCH($B257,$B$14:$B$37,FALSE))/INDEX($F$206:$F$229,MATCH($B257,$B$206:$B$229,FALSE))),NA()),NA())</f>
        <v>#N/A</v>
      </c>
      <c r="CA257" s="56" t="e">
        <f>IF(BZ65=1,IF(BZ$13&lt;=COUNT($C37:$CS37),IF(INDEX($F$206:$F$229,MATCH($B257,$B$206:$B$229,FALSE))=0,NA(),INDEX(BZ$14:BZ$37,MATCH($B257,$B$14:$B$37,FALSE))/INDEX($F$206:$F$229,MATCH($B257,$B$206:$B$229,FALSE))),NA()),NA())</f>
        <v>#N/A</v>
      </c>
      <c r="CB257" s="56" t="e">
        <f>IF(CA65=1,IF(CA$13&lt;=COUNT($C37:$CS37),IF(INDEX($F$206:$F$229,MATCH($B257,$B$206:$B$229,FALSE))=0,NA(),INDEX(CA$14:CA$37,MATCH($B257,$B$14:$B$37,FALSE))/INDEX($F$206:$F$229,MATCH($B257,$B$206:$B$229,FALSE))),NA()),NA())</f>
        <v>#N/A</v>
      </c>
      <c r="CC257" s="56" t="e">
        <f>IF(CB65=1,IF(CB$13&lt;=COUNT($C37:$CS37),IF(INDEX($F$206:$F$229,MATCH($B257,$B$206:$B$229,FALSE))=0,NA(),INDEX(CB$14:CB$37,MATCH($B257,$B$14:$B$37,FALSE))/INDEX($F$206:$F$229,MATCH($B257,$B$206:$B$229,FALSE))),NA()),NA())</f>
        <v>#N/A</v>
      </c>
      <c r="CD257" s="56" t="e">
        <f>IF(CC65=1,IF(CC$13&lt;=COUNT($C37:$CS37),IF(INDEX($F$206:$F$229,MATCH($B257,$B$206:$B$229,FALSE))=0,NA(),INDEX(CC$14:CC$37,MATCH($B257,$B$14:$B$37,FALSE))/INDEX($F$206:$F$229,MATCH($B257,$B$206:$B$229,FALSE))),NA()),NA())</f>
        <v>#N/A</v>
      </c>
      <c r="CE257" s="56" t="e">
        <f>IF(CD65=1,IF(CD$13&lt;=COUNT($C37:$CS37),IF(INDEX($F$206:$F$229,MATCH($B257,$B$206:$B$229,FALSE))=0,NA(),INDEX(CD$14:CD$37,MATCH($B257,$B$14:$B$37,FALSE))/INDEX($F$206:$F$229,MATCH($B257,$B$206:$B$229,FALSE))),NA()),NA())</f>
        <v>#N/A</v>
      </c>
      <c r="CF257" s="56" t="e">
        <f>IF(CE65=1,IF(CE$13&lt;=COUNT($C37:$CS37),IF(INDEX($F$206:$F$229,MATCH($B257,$B$206:$B$229,FALSE))=0,NA(),INDEX(CE$14:CE$37,MATCH($B257,$B$14:$B$37,FALSE))/INDEX($F$206:$F$229,MATCH($B257,$B$206:$B$229,FALSE))),NA()),NA())</f>
        <v>#N/A</v>
      </c>
      <c r="CG257" s="56" t="e">
        <f>IF(CF65=1,IF(CF$13&lt;=COUNT($C37:$CS37),IF(INDEX($F$206:$F$229,MATCH($B257,$B$206:$B$229,FALSE))=0,NA(),INDEX(CF$14:CF$37,MATCH($B257,$B$14:$B$37,FALSE))/INDEX($F$206:$F$229,MATCH($B257,$B$206:$B$229,FALSE))),NA()),NA())</f>
        <v>#N/A</v>
      </c>
      <c r="CH257" s="56" t="e">
        <f>IF(CG65=1,IF(CG$13&lt;=COUNT($C37:$CS37),IF(INDEX($F$206:$F$229,MATCH($B257,$B$206:$B$229,FALSE))=0,NA(),INDEX(CG$14:CG$37,MATCH($B257,$B$14:$B$37,FALSE))/INDEX($F$206:$F$229,MATCH($B257,$B$206:$B$229,FALSE))),NA()),NA())</f>
        <v>#N/A</v>
      </c>
      <c r="CI257" s="56" t="e">
        <f>IF(CH65=1,IF(CH$13&lt;=COUNT($C37:$CS37),IF(INDEX($F$206:$F$229,MATCH($B257,$B$206:$B$229,FALSE))=0,NA(),INDEX(CH$14:CH$37,MATCH($B257,$B$14:$B$37,FALSE))/INDEX($F$206:$F$229,MATCH($B257,$B$206:$B$229,FALSE))),NA()),NA())</f>
        <v>#N/A</v>
      </c>
      <c r="CJ257" s="56" t="e">
        <f>IF(CI65=1,IF(CI$13&lt;=COUNT($C37:$CS37),IF(INDEX($F$206:$F$229,MATCH($B257,$B$206:$B$229,FALSE))=0,NA(),INDEX(CI$14:CI$37,MATCH($B257,$B$14:$B$37,FALSE))/INDEX($F$206:$F$229,MATCH($B257,$B$206:$B$229,FALSE))),NA()),NA())</f>
        <v>#N/A</v>
      </c>
      <c r="CK257" s="56" t="e">
        <f>IF(CJ65=1,IF(CJ$13&lt;=COUNT($C37:$CS37),IF(INDEX($F$206:$F$229,MATCH($B257,$B$206:$B$229,FALSE))=0,NA(),INDEX(CJ$14:CJ$37,MATCH($B257,$B$14:$B$37,FALSE))/INDEX($F$206:$F$229,MATCH($B257,$B$206:$B$229,FALSE))),NA()),NA())</f>
        <v>#N/A</v>
      </c>
      <c r="CL257" s="56" t="e">
        <f>IF(CK65=1,IF(CK$13&lt;=COUNT($C37:$CS37),IF(INDEX($F$206:$F$229,MATCH($B257,$B$206:$B$229,FALSE))=0,NA(),INDEX(CK$14:CK$37,MATCH($B257,$B$14:$B$37,FALSE))/INDEX($F$206:$F$229,MATCH($B257,$B$206:$B$229,FALSE))),NA()),NA())</f>
        <v>#N/A</v>
      </c>
      <c r="CM257" s="56" t="e">
        <f>IF(CL65=1,IF(CL$13&lt;=COUNT($C37:$CS37),IF(INDEX($F$206:$F$229,MATCH($B257,$B$206:$B$229,FALSE))=0,NA(),INDEX(CL$14:CL$37,MATCH($B257,$B$14:$B$37,FALSE))/INDEX($F$206:$F$229,MATCH($B257,$B$206:$B$229,FALSE))),NA()),NA())</f>
        <v>#N/A</v>
      </c>
      <c r="CN257" s="56" t="e">
        <f>IF(CM65=1,IF(CM$13&lt;=COUNT($C37:$CS37),IF(INDEX($F$206:$F$229,MATCH($B257,$B$206:$B$229,FALSE))=0,NA(),INDEX(CM$14:CM$37,MATCH($B257,$B$14:$B$37,FALSE))/INDEX($F$206:$F$229,MATCH($B257,$B$206:$B$229,FALSE))),NA()),NA())</f>
        <v>#N/A</v>
      </c>
      <c r="CO257" s="56" t="e">
        <f>IF(CN65=1,IF(CN$13&lt;=COUNT($C37:$CS37),IF(INDEX($F$206:$F$229,MATCH($B257,$B$206:$B$229,FALSE))=0,NA(),INDEX(CN$14:CN$37,MATCH($B257,$B$14:$B$37,FALSE))/INDEX($F$206:$F$229,MATCH($B257,$B$206:$B$229,FALSE))),NA()),NA())</f>
        <v>#N/A</v>
      </c>
      <c r="CP257" s="56" t="e">
        <f>IF(CO65=1,IF(CO$13&lt;=COUNT($C37:$CS37),IF(INDEX($F$206:$F$229,MATCH($B257,$B$206:$B$229,FALSE))=0,NA(),INDEX(CO$14:CO$37,MATCH($B257,$B$14:$B$37,FALSE))/INDEX($F$206:$F$229,MATCH($B257,$B$206:$B$229,FALSE))),NA()),NA())</f>
        <v>#N/A</v>
      </c>
      <c r="CQ257" s="56" t="e">
        <f>IF(CP65=1,IF(CP$13&lt;=COUNT($C37:$CS37),IF(INDEX($F$206:$F$229,MATCH($B257,$B$206:$B$229,FALSE))=0,NA(),INDEX(CP$14:CP$37,MATCH($B257,$B$14:$B$37,FALSE))/INDEX($F$206:$F$229,MATCH($B257,$B$206:$B$229,FALSE))),NA()),NA())</f>
        <v>#N/A</v>
      </c>
      <c r="CR257" s="56" t="e">
        <f>IF(CQ65=1,IF(CQ$13&lt;=COUNT($C37:$CS37),IF(INDEX($F$206:$F$229,MATCH($B257,$B$206:$B$229,FALSE))=0,NA(),INDEX(CQ$14:CQ$37,MATCH($B257,$B$14:$B$37,FALSE))/INDEX($F$206:$F$229,MATCH($B257,$B$206:$B$229,FALSE))),NA()),NA())</f>
        <v>#N/A</v>
      </c>
      <c r="CS257" s="56" t="e">
        <f>IF(CR65=1,IF(CR$13&lt;=COUNT($C37:$CS37),IF(INDEX($F$206:$F$229,MATCH($B257,$B$206:$B$229,FALSE))=0,NA(),INDEX(CR$14:CR$37,MATCH($B257,$B$14:$B$37,FALSE))/INDEX($F$206:$F$229,MATCH($B257,$B$206:$B$229,FALSE))),NA()),NA())</f>
        <v>#N/A</v>
      </c>
      <c r="CT257" s="49"/>
      <c r="CU257" s="49"/>
      <c r="CV257" s="49"/>
      <c r="CW257" s="49"/>
    </row>
    <row r="258" spans="1:101" x14ac:dyDescent="0.25">
      <c r="A258" s="97">
        <f t="shared" si="105"/>
        <v>1</v>
      </c>
      <c r="B258" s="153" t="s">
        <v>13</v>
      </c>
      <c r="C258" s="155">
        <v>0</v>
      </c>
      <c r="D258" s="57">
        <f t="shared" ref="D258:BO259" ca="1" si="110">C200</f>
        <v>0.44117647058823528</v>
      </c>
      <c r="E258" s="57">
        <f t="shared" ca="1" si="110"/>
        <v>0.88235294117647056</v>
      </c>
      <c r="F258" s="57">
        <f t="shared" ca="1" si="110"/>
        <v>1</v>
      </c>
      <c r="G258" s="57">
        <f t="shared" ca="1" si="110"/>
        <v>1</v>
      </c>
      <c r="H258" s="57">
        <f t="shared" ca="1" si="110"/>
        <v>1</v>
      </c>
      <c r="I258" s="57">
        <f t="shared" ca="1" si="110"/>
        <v>1</v>
      </c>
      <c r="J258" s="57">
        <f t="shared" ca="1" si="110"/>
        <v>1</v>
      </c>
      <c r="K258" s="57">
        <f t="shared" ca="1" si="110"/>
        <v>1</v>
      </c>
      <c r="L258" s="57">
        <f t="shared" ca="1" si="110"/>
        <v>1</v>
      </c>
      <c r="M258" s="57">
        <f t="shared" ca="1" si="110"/>
        <v>1</v>
      </c>
      <c r="N258" s="57">
        <f t="shared" ca="1" si="110"/>
        <v>1</v>
      </c>
      <c r="O258" s="57">
        <f t="shared" ca="1" si="110"/>
        <v>1</v>
      </c>
      <c r="P258" s="57">
        <f t="shared" ca="1" si="110"/>
        <v>1</v>
      </c>
      <c r="Q258" s="57">
        <f t="shared" ca="1" si="110"/>
        <v>1</v>
      </c>
      <c r="R258" s="57">
        <f t="shared" ca="1" si="110"/>
        <v>1</v>
      </c>
      <c r="S258" s="57">
        <f t="shared" ca="1" si="110"/>
        <v>1</v>
      </c>
      <c r="T258" s="57">
        <f t="shared" ca="1" si="110"/>
        <v>1</v>
      </c>
      <c r="U258" s="57">
        <f t="shared" ca="1" si="110"/>
        <v>1</v>
      </c>
      <c r="V258" s="57">
        <f t="shared" ca="1" si="110"/>
        <v>1</v>
      </c>
      <c r="W258" s="57">
        <f t="shared" ca="1" si="110"/>
        <v>1</v>
      </c>
      <c r="X258" s="57">
        <f t="shared" ca="1" si="110"/>
        <v>1</v>
      </c>
      <c r="Y258" s="57">
        <f t="shared" ca="1" si="110"/>
        <v>1</v>
      </c>
      <c r="Z258" s="57">
        <f t="shared" ca="1" si="110"/>
        <v>1</v>
      </c>
      <c r="AA258" s="57">
        <f t="shared" ca="1" si="110"/>
        <v>1</v>
      </c>
      <c r="AB258" s="57">
        <f t="shared" ca="1" si="110"/>
        <v>1</v>
      </c>
      <c r="AC258" s="57">
        <f t="shared" ca="1" si="110"/>
        <v>1</v>
      </c>
      <c r="AD258" s="57">
        <f t="shared" ca="1" si="110"/>
        <v>1</v>
      </c>
      <c r="AE258" s="57">
        <f t="shared" ca="1" si="110"/>
        <v>1</v>
      </c>
      <c r="AF258" s="57">
        <f t="shared" ca="1" si="110"/>
        <v>1</v>
      </c>
      <c r="AG258" s="57">
        <f t="shared" ca="1" si="110"/>
        <v>1</v>
      </c>
      <c r="AH258" s="57">
        <f t="shared" ca="1" si="110"/>
        <v>1</v>
      </c>
      <c r="AI258" s="57">
        <f t="shared" ca="1" si="110"/>
        <v>1</v>
      </c>
      <c r="AJ258" s="57">
        <f t="shared" ca="1" si="110"/>
        <v>1</v>
      </c>
      <c r="AK258" s="57">
        <f t="shared" ca="1" si="110"/>
        <v>1</v>
      </c>
      <c r="AL258" s="57">
        <f t="shared" ca="1" si="110"/>
        <v>1</v>
      </c>
      <c r="AM258" s="57">
        <f t="shared" ca="1" si="110"/>
        <v>1</v>
      </c>
      <c r="AN258" s="57">
        <f t="shared" ca="1" si="110"/>
        <v>1</v>
      </c>
      <c r="AO258" s="57">
        <f t="shared" ca="1" si="110"/>
        <v>1</v>
      </c>
      <c r="AP258" s="57">
        <f t="shared" ca="1" si="110"/>
        <v>1</v>
      </c>
      <c r="AQ258" s="57">
        <f t="shared" ca="1" si="110"/>
        <v>1</v>
      </c>
      <c r="AR258" s="57">
        <f t="shared" ca="1" si="110"/>
        <v>1</v>
      </c>
      <c r="AS258" s="57">
        <f t="shared" ca="1" si="110"/>
        <v>1</v>
      </c>
      <c r="AT258" s="57">
        <f t="shared" ca="1" si="110"/>
        <v>1</v>
      </c>
      <c r="AU258" s="57">
        <f t="shared" ca="1" si="110"/>
        <v>1</v>
      </c>
      <c r="AV258" s="57">
        <f t="shared" ca="1" si="110"/>
        <v>1</v>
      </c>
      <c r="AW258" s="57">
        <f t="shared" ca="1" si="110"/>
        <v>1</v>
      </c>
      <c r="AX258" s="57">
        <f t="shared" ca="1" si="110"/>
        <v>1</v>
      </c>
      <c r="AY258" s="57">
        <f t="shared" ca="1" si="110"/>
        <v>1</v>
      </c>
      <c r="AZ258" s="57">
        <f t="shared" ca="1" si="110"/>
        <v>1</v>
      </c>
      <c r="BA258" s="57">
        <f t="shared" ca="1" si="110"/>
        <v>1</v>
      </c>
      <c r="BB258" s="57">
        <f t="shared" ca="1" si="110"/>
        <v>1</v>
      </c>
      <c r="BC258" s="57">
        <f t="shared" ca="1" si="110"/>
        <v>1</v>
      </c>
      <c r="BD258" s="57">
        <f t="shared" ca="1" si="110"/>
        <v>1</v>
      </c>
      <c r="BE258" s="57">
        <f t="shared" ca="1" si="110"/>
        <v>1</v>
      </c>
      <c r="BF258" s="57">
        <f t="shared" ca="1" si="110"/>
        <v>1</v>
      </c>
      <c r="BG258" s="57">
        <f t="shared" ca="1" si="110"/>
        <v>1</v>
      </c>
      <c r="BH258" s="57">
        <f t="shared" ca="1" si="110"/>
        <v>1</v>
      </c>
      <c r="BI258" s="57">
        <f t="shared" ca="1" si="110"/>
        <v>1</v>
      </c>
      <c r="BJ258" s="57">
        <f t="shared" ca="1" si="110"/>
        <v>1</v>
      </c>
      <c r="BK258" s="57">
        <f t="shared" ca="1" si="110"/>
        <v>1</v>
      </c>
      <c r="BL258" s="57">
        <f t="shared" ca="1" si="110"/>
        <v>1</v>
      </c>
      <c r="BM258" s="57">
        <f t="shared" ca="1" si="110"/>
        <v>1</v>
      </c>
      <c r="BN258" s="57">
        <f t="shared" ca="1" si="110"/>
        <v>1</v>
      </c>
      <c r="BO258" s="57">
        <f t="shared" ca="1" si="110"/>
        <v>1</v>
      </c>
      <c r="BP258" s="57">
        <f t="shared" ref="BP258:CS259" ca="1" si="111">BO200</f>
        <v>1</v>
      </c>
      <c r="BQ258" s="57">
        <f t="shared" ca="1" si="111"/>
        <v>1</v>
      </c>
      <c r="BR258" s="57">
        <f t="shared" ca="1" si="111"/>
        <v>1</v>
      </c>
      <c r="BS258" s="57">
        <f t="shared" ca="1" si="111"/>
        <v>1</v>
      </c>
      <c r="BT258" s="57">
        <f t="shared" ca="1" si="111"/>
        <v>1</v>
      </c>
      <c r="BU258" s="57">
        <f t="shared" ca="1" si="111"/>
        <v>1</v>
      </c>
      <c r="BV258" s="57">
        <f t="shared" ca="1" si="111"/>
        <v>1</v>
      </c>
      <c r="BW258" s="57">
        <f t="shared" ca="1" si="111"/>
        <v>1</v>
      </c>
      <c r="BX258" s="57">
        <f t="shared" ca="1" si="111"/>
        <v>1</v>
      </c>
      <c r="BY258" s="57">
        <f t="shared" ca="1" si="111"/>
        <v>1</v>
      </c>
      <c r="BZ258" s="57">
        <f t="shared" ca="1" si="111"/>
        <v>1</v>
      </c>
      <c r="CA258" s="57">
        <f t="shared" ca="1" si="111"/>
        <v>1</v>
      </c>
      <c r="CB258" s="57">
        <f t="shared" ca="1" si="111"/>
        <v>1</v>
      </c>
      <c r="CC258" s="57">
        <f t="shared" ca="1" si="111"/>
        <v>1</v>
      </c>
      <c r="CD258" s="57">
        <f t="shared" ca="1" si="111"/>
        <v>1</v>
      </c>
      <c r="CE258" s="57">
        <f t="shared" ca="1" si="111"/>
        <v>1</v>
      </c>
      <c r="CF258" s="57">
        <f t="shared" ca="1" si="111"/>
        <v>1</v>
      </c>
      <c r="CG258" s="57">
        <f t="shared" ca="1" si="111"/>
        <v>1</v>
      </c>
      <c r="CH258" s="57">
        <f t="shared" ca="1" si="111"/>
        <v>1</v>
      </c>
      <c r="CI258" s="57">
        <f t="shared" ca="1" si="111"/>
        <v>1</v>
      </c>
      <c r="CJ258" s="57">
        <f t="shared" ca="1" si="111"/>
        <v>1</v>
      </c>
      <c r="CK258" s="57">
        <f t="shared" ca="1" si="111"/>
        <v>1</v>
      </c>
      <c r="CL258" s="57">
        <f t="shared" ca="1" si="111"/>
        <v>1</v>
      </c>
      <c r="CM258" s="57">
        <f t="shared" ca="1" si="111"/>
        <v>1</v>
      </c>
      <c r="CN258" s="57">
        <f t="shared" ca="1" si="111"/>
        <v>1</v>
      </c>
      <c r="CO258" s="57">
        <f t="shared" ca="1" si="111"/>
        <v>1</v>
      </c>
      <c r="CP258" s="57">
        <f t="shared" ca="1" si="111"/>
        <v>1</v>
      </c>
      <c r="CQ258" s="57">
        <f t="shared" ca="1" si="111"/>
        <v>1</v>
      </c>
      <c r="CR258" s="57">
        <f t="shared" ca="1" si="111"/>
        <v>1</v>
      </c>
      <c r="CS258" s="57">
        <f t="shared" ca="1" si="111"/>
        <v>1</v>
      </c>
      <c r="CT258" s="58"/>
      <c r="CU258" s="58"/>
      <c r="CV258" s="58"/>
    </row>
    <row r="259" spans="1:101" x14ac:dyDescent="0.25">
      <c r="A259" s="97">
        <v>1</v>
      </c>
      <c r="B259" s="153" t="s">
        <v>57</v>
      </c>
      <c r="C259" s="155">
        <v>0</v>
      </c>
      <c r="D259" s="152">
        <f t="shared" ca="1" si="110"/>
        <v>0.44117647058823528</v>
      </c>
      <c r="E259" s="152">
        <f t="shared" ca="1" si="110"/>
        <v>0.88235294117647056</v>
      </c>
      <c r="F259" s="152">
        <f t="shared" ca="1" si="110"/>
        <v>1</v>
      </c>
      <c r="G259" s="152">
        <f t="shared" ca="1" si="110"/>
        <v>1</v>
      </c>
      <c r="H259" s="152">
        <f t="shared" ca="1" si="110"/>
        <v>1</v>
      </c>
      <c r="I259" s="152">
        <f t="shared" ca="1" si="110"/>
        <v>1</v>
      </c>
      <c r="J259" s="152">
        <f t="shared" ca="1" si="110"/>
        <v>1</v>
      </c>
      <c r="K259" s="152">
        <f t="shared" ca="1" si="110"/>
        <v>1</v>
      </c>
      <c r="L259" s="152">
        <f t="shared" ca="1" si="110"/>
        <v>1</v>
      </c>
      <c r="M259" s="152">
        <f t="shared" ca="1" si="110"/>
        <v>1</v>
      </c>
      <c r="N259" s="152">
        <f t="shared" ca="1" si="110"/>
        <v>1</v>
      </c>
      <c r="O259" s="152">
        <f t="shared" ca="1" si="110"/>
        <v>1</v>
      </c>
      <c r="P259" s="152">
        <f t="shared" ca="1" si="110"/>
        <v>1</v>
      </c>
      <c r="Q259" s="152">
        <f t="shared" ca="1" si="110"/>
        <v>1</v>
      </c>
      <c r="R259" s="152">
        <f t="shared" ca="1" si="110"/>
        <v>1</v>
      </c>
      <c r="S259" s="152">
        <f t="shared" ca="1" si="110"/>
        <v>1</v>
      </c>
      <c r="T259" s="152">
        <f t="shared" ca="1" si="110"/>
        <v>1</v>
      </c>
      <c r="U259" s="152">
        <f t="shared" ca="1" si="110"/>
        <v>1</v>
      </c>
      <c r="V259" s="152">
        <f t="shared" ca="1" si="110"/>
        <v>1</v>
      </c>
      <c r="W259" s="152">
        <f t="shared" ca="1" si="110"/>
        <v>1</v>
      </c>
      <c r="X259" s="152">
        <f t="shared" ca="1" si="110"/>
        <v>1</v>
      </c>
      <c r="Y259" s="152">
        <f t="shared" ca="1" si="110"/>
        <v>1</v>
      </c>
      <c r="Z259" s="152">
        <f t="shared" ca="1" si="110"/>
        <v>1</v>
      </c>
      <c r="AA259" s="152">
        <f t="shared" ca="1" si="110"/>
        <v>1</v>
      </c>
      <c r="AB259" s="152">
        <f t="shared" ca="1" si="110"/>
        <v>1</v>
      </c>
      <c r="AC259" s="152">
        <f t="shared" ca="1" si="110"/>
        <v>1</v>
      </c>
      <c r="AD259" s="152">
        <f t="shared" ca="1" si="110"/>
        <v>1</v>
      </c>
      <c r="AE259" s="152">
        <f t="shared" ca="1" si="110"/>
        <v>1</v>
      </c>
      <c r="AF259" s="152">
        <f t="shared" ca="1" si="110"/>
        <v>1</v>
      </c>
      <c r="AG259" s="152">
        <f t="shared" ca="1" si="110"/>
        <v>1</v>
      </c>
      <c r="AH259" s="152">
        <f t="shared" ca="1" si="110"/>
        <v>1</v>
      </c>
      <c r="AI259" s="152">
        <f t="shared" ca="1" si="110"/>
        <v>1</v>
      </c>
      <c r="AJ259" s="152">
        <f t="shared" ca="1" si="110"/>
        <v>1</v>
      </c>
      <c r="AK259" s="152">
        <f t="shared" ca="1" si="110"/>
        <v>1</v>
      </c>
      <c r="AL259" s="152">
        <f t="shared" ca="1" si="110"/>
        <v>1</v>
      </c>
      <c r="AM259" s="152">
        <f t="shared" ca="1" si="110"/>
        <v>1</v>
      </c>
      <c r="AN259" s="152">
        <f t="shared" ca="1" si="110"/>
        <v>1</v>
      </c>
      <c r="AO259" s="152">
        <f t="shared" ca="1" si="110"/>
        <v>1</v>
      </c>
      <c r="AP259" s="152">
        <f t="shared" ca="1" si="110"/>
        <v>1</v>
      </c>
      <c r="AQ259" s="152">
        <f t="shared" ca="1" si="110"/>
        <v>1</v>
      </c>
      <c r="AR259" s="152">
        <f t="shared" ca="1" si="110"/>
        <v>1</v>
      </c>
      <c r="AS259" s="152">
        <f t="shared" ca="1" si="110"/>
        <v>1</v>
      </c>
      <c r="AT259" s="152">
        <f t="shared" ca="1" si="110"/>
        <v>1</v>
      </c>
      <c r="AU259" s="152">
        <f t="shared" ca="1" si="110"/>
        <v>1</v>
      </c>
      <c r="AV259" s="152">
        <f t="shared" ca="1" si="110"/>
        <v>1</v>
      </c>
      <c r="AW259" s="152">
        <f t="shared" ca="1" si="110"/>
        <v>1</v>
      </c>
      <c r="AX259" s="152">
        <f t="shared" ca="1" si="110"/>
        <v>1</v>
      </c>
      <c r="AY259" s="152">
        <f t="shared" ca="1" si="110"/>
        <v>1</v>
      </c>
      <c r="AZ259" s="152">
        <f t="shared" ca="1" si="110"/>
        <v>1</v>
      </c>
      <c r="BA259" s="152">
        <f t="shared" ca="1" si="110"/>
        <v>1</v>
      </c>
      <c r="BB259" s="152">
        <f t="shared" ca="1" si="110"/>
        <v>1</v>
      </c>
      <c r="BC259" s="152">
        <f t="shared" ca="1" si="110"/>
        <v>1</v>
      </c>
      <c r="BD259" s="152">
        <f t="shared" ca="1" si="110"/>
        <v>1</v>
      </c>
      <c r="BE259" s="152">
        <f t="shared" ca="1" si="110"/>
        <v>1</v>
      </c>
      <c r="BF259" s="152">
        <f t="shared" ca="1" si="110"/>
        <v>1</v>
      </c>
      <c r="BG259" s="152">
        <f t="shared" ca="1" si="110"/>
        <v>1</v>
      </c>
      <c r="BH259" s="152">
        <f t="shared" ca="1" si="110"/>
        <v>1</v>
      </c>
      <c r="BI259" s="152">
        <f t="shared" ca="1" si="110"/>
        <v>1</v>
      </c>
      <c r="BJ259" s="152">
        <f t="shared" ca="1" si="110"/>
        <v>1</v>
      </c>
      <c r="BK259" s="152">
        <f t="shared" ca="1" si="110"/>
        <v>1</v>
      </c>
      <c r="BL259" s="152">
        <f t="shared" ca="1" si="110"/>
        <v>1</v>
      </c>
      <c r="BM259" s="152">
        <f t="shared" ca="1" si="110"/>
        <v>1</v>
      </c>
      <c r="BN259" s="152">
        <f t="shared" ca="1" si="110"/>
        <v>1</v>
      </c>
      <c r="BO259" s="152">
        <f t="shared" ca="1" si="110"/>
        <v>1</v>
      </c>
      <c r="BP259" s="152">
        <f t="shared" ca="1" si="111"/>
        <v>1</v>
      </c>
      <c r="BQ259" s="152">
        <f t="shared" ca="1" si="111"/>
        <v>1</v>
      </c>
      <c r="BR259" s="152">
        <f t="shared" ca="1" si="111"/>
        <v>1</v>
      </c>
      <c r="BS259" s="152">
        <f t="shared" ca="1" si="111"/>
        <v>1</v>
      </c>
      <c r="BT259" s="152">
        <f t="shared" ca="1" si="111"/>
        <v>1</v>
      </c>
      <c r="BU259" s="152">
        <f t="shared" ca="1" si="111"/>
        <v>1</v>
      </c>
      <c r="BV259" s="152">
        <f t="shared" ca="1" si="111"/>
        <v>1</v>
      </c>
      <c r="BW259" s="152">
        <f t="shared" ca="1" si="111"/>
        <v>1</v>
      </c>
      <c r="BX259" s="152">
        <f t="shared" ca="1" si="111"/>
        <v>1</v>
      </c>
      <c r="BY259" s="152">
        <f t="shared" ca="1" si="111"/>
        <v>1</v>
      </c>
      <c r="BZ259" s="152">
        <f t="shared" ca="1" si="111"/>
        <v>1</v>
      </c>
      <c r="CA259" s="152">
        <f t="shared" ca="1" si="111"/>
        <v>1</v>
      </c>
      <c r="CB259" s="152">
        <f t="shared" ca="1" si="111"/>
        <v>1</v>
      </c>
      <c r="CC259" s="152">
        <f t="shared" ca="1" si="111"/>
        <v>1</v>
      </c>
      <c r="CD259" s="152">
        <f t="shared" ca="1" si="111"/>
        <v>1</v>
      </c>
      <c r="CE259" s="152">
        <f t="shared" ca="1" si="111"/>
        <v>1</v>
      </c>
      <c r="CF259" s="152">
        <f t="shared" ca="1" si="111"/>
        <v>1</v>
      </c>
      <c r="CG259" s="152">
        <f t="shared" ca="1" si="111"/>
        <v>1</v>
      </c>
      <c r="CH259" s="152">
        <f t="shared" ca="1" si="111"/>
        <v>1</v>
      </c>
      <c r="CI259" s="152">
        <f t="shared" ca="1" si="111"/>
        <v>1</v>
      </c>
      <c r="CJ259" s="152">
        <f t="shared" ca="1" si="111"/>
        <v>1</v>
      </c>
      <c r="CK259" s="152">
        <f t="shared" ca="1" si="111"/>
        <v>1</v>
      </c>
      <c r="CL259" s="152">
        <f t="shared" ca="1" si="111"/>
        <v>1</v>
      </c>
      <c r="CM259" s="152">
        <f t="shared" ca="1" si="111"/>
        <v>1</v>
      </c>
      <c r="CN259" s="152">
        <f t="shared" ca="1" si="111"/>
        <v>1</v>
      </c>
      <c r="CO259" s="152">
        <f t="shared" ca="1" si="111"/>
        <v>1</v>
      </c>
      <c r="CP259" s="152">
        <f t="shared" ca="1" si="111"/>
        <v>1</v>
      </c>
      <c r="CQ259" s="152">
        <f t="shared" ca="1" si="111"/>
        <v>1</v>
      </c>
      <c r="CR259" s="152">
        <f t="shared" ca="1" si="111"/>
        <v>1</v>
      </c>
      <c r="CS259" s="152">
        <f t="shared" ca="1" si="111"/>
        <v>1</v>
      </c>
      <c r="CT259" s="58"/>
      <c r="CU259" s="58"/>
      <c r="CV259" s="58"/>
    </row>
    <row r="261" spans="1:101" x14ac:dyDescent="0.25">
      <c r="A261" s="98"/>
      <c r="B261" s="59" t="s">
        <v>63</v>
      </c>
      <c r="C261" s="144">
        <v>0</v>
      </c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</row>
    <row r="262" spans="1:101" x14ac:dyDescent="0.25">
      <c r="A262" s="98"/>
      <c r="B262" s="59" t="s">
        <v>64</v>
      </c>
      <c r="C262" s="144">
        <v>20</v>
      </c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X262" s="191"/>
      <c r="Y262" s="191"/>
      <c r="Z262" s="191"/>
      <c r="AA262" s="191"/>
    </row>
    <row r="263" spans="1:101" x14ac:dyDescent="0.25">
      <c r="A263" s="98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Y263" s="191"/>
      <c r="Z263" s="191"/>
      <c r="AA263" s="191"/>
      <c r="CT263" s="12"/>
    </row>
    <row r="264" spans="1:101" x14ac:dyDescent="0.25">
      <c r="A264" s="98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Y264" s="191"/>
      <c r="Z264" s="191"/>
      <c r="AA264" s="191"/>
    </row>
    <row r="265" spans="1:101" x14ac:dyDescent="0.25">
      <c r="A265" s="98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Y265" s="191"/>
      <c r="Z265" s="191"/>
      <c r="AA265" s="191"/>
    </row>
    <row r="266" spans="1:101" x14ac:dyDescent="0.25">
      <c r="A266" s="98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Y266" s="191"/>
      <c r="Z266" s="191"/>
      <c r="AA266" s="191"/>
    </row>
    <row r="267" spans="1:101" x14ac:dyDescent="0.25">
      <c r="A267" s="98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Y267" s="191"/>
      <c r="Z267" s="191"/>
      <c r="AA267" s="191"/>
    </row>
    <row r="268" spans="1:101" x14ac:dyDescent="0.25">
      <c r="A268" s="98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Y268" s="191"/>
      <c r="Z268" s="191"/>
      <c r="AA268" s="191"/>
    </row>
    <row r="269" spans="1:101" x14ac:dyDescent="0.25">
      <c r="A269" s="98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Y269" s="191"/>
      <c r="Z269" s="191"/>
      <c r="AA269" s="191"/>
    </row>
    <row r="270" spans="1:101" x14ac:dyDescent="0.25">
      <c r="A270" s="98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Y270" s="191"/>
      <c r="Z270" s="191"/>
      <c r="AA270" s="191"/>
    </row>
    <row r="271" spans="1:101" x14ac:dyDescent="0.25">
      <c r="A271" s="98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Y271" s="191"/>
      <c r="Z271" s="191"/>
      <c r="AA271" s="191"/>
    </row>
    <row r="272" spans="1:101" x14ac:dyDescent="0.25">
      <c r="A272" s="98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Y272" s="191"/>
      <c r="Z272" s="191"/>
      <c r="AA272" s="191"/>
    </row>
    <row r="273" spans="1:27" x14ac:dyDescent="0.25">
      <c r="A273" s="98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Y273" s="191"/>
      <c r="Z273" s="191"/>
      <c r="AA273" s="191"/>
    </row>
    <row r="274" spans="1:27" x14ac:dyDescent="0.25">
      <c r="A274" s="98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Y274" s="191"/>
      <c r="Z274" s="191"/>
      <c r="AA274" s="191"/>
    </row>
    <row r="275" spans="1:27" x14ac:dyDescent="0.25">
      <c r="A275" s="98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Y275" s="191"/>
      <c r="Z275" s="191"/>
      <c r="AA275" s="191"/>
    </row>
    <row r="276" spans="1:27" x14ac:dyDescent="0.25">
      <c r="Y276" s="191"/>
      <c r="Z276" s="191"/>
      <c r="AA276" s="191"/>
    </row>
    <row r="277" spans="1:27" x14ac:dyDescent="0.25">
      <c r="Y277" s="191"/>
      <c r="Z277" s="191"/>
      <c r="AA277" s="191"/>
    </row>
    <row r="278" spans="1:27" x14ac:dyDescent="0.25">
      <c r="Y278" s="191"/>
      <c r="Z278" s="191"/>
      <c r="AA278" s="191"/>
    </row>
    <row r="279" spans="1:27" x14ac:dyDescent="0.25">
      <c r="Y279" s="191"/>
      <c r="Z279" s="191"/>
      <c r="AA279" s="191"/>
    </row>
    <row r="280" spans="1:27" x14ac:dyDescent="0.25">
      <c r="Y280" s="191"/>
      <c r="Z280" s="191"/>
      <c r="AA280" s="191"/>
    </row>
    <row r="281" spans="1:27" x14ac:dyDescent="0.25">
      <c r="Y281" s="191"/>
      <c r="Z281" s="191"/>
      <c r="AA281" s="191"/>
    </row>
    <row r="282" spans="1:27" x14ac:dyDescent="0.25">
      <c r="Y282" s="191"/>
      <c r="Z282" s="191"/>
      <c r="AA282" s="191"/>
    </row>
    <row r="283" spans="1:27" x14ac:dyDescent="0.25">
      <c r="Y283" s="191"/>
      <c r="Z283" s="191"/>
      <c r="AA283" s="191"/>
    </row>
    <row r="284" spans="1:27" x14ac:dyDescent="0.25">
      <c r="Y284" s="191"/>
      <c r="Z284" s="191"/>
      <c r="AA284" s="191"/>
    </row>
    <row r="285" spans="1:27" x14ac:dyDescent="0.25">
      <c r="Y285" s="191"/>
      <c r="Z285" s="191"/>
      <c r="AA285" s="191"/>
    </row>
    <row r="286" spans="1:27" x14ac:dyDescent="0.25">
      <c r="Y286" s="191"/>
      <c r="Z286" s="191"/>
      <c r="AA286" s="191"/>
    </row>
    <row r="287" spans="1:27" x14ac:dyDescent="0.25">
      <c r="Y287" s="191"/>
      <c r="Z287" s="191"/>
      <c r="AA287" s="191"/>
    </row>
    <row r="304" spans="2:8" ht="15.75" thickBot="1" x14ac:dyDescent="0.3">
      <c r="B304" s="229" t="s">
        <v>75</v>
      </c>
      <c r="D304" s="191"/>
      <c r="F304" s="230" t="s">
        <v>79</v>
      </c>
      <c r="G304" s="137"/>
      <c r="H304" s="137"/>
    </row>
    <row r="305" spans="2:8" x14ac:dyDescent="0.25">
      <c r="D305" s="191"/>
    </row>
    <row r="306" spans="2:8" x14ac:dyDescent="0.25">
      <c r="B306" s="209" t="s">
        <v>42</v>
      </c>
      <c r="C306" s="207" t="s">
        <v>76</v>
      </c>
      <c r="D306" s="208" t="s">
        <v>77</v>
      </c>
      <c r="F306" s="209" t="s">
        <v>36</v>
      </c>
      <c r="G306" s="209" t="s">
        <v>76</v>
      </c>
      <c r="H306" s="209" t="s">
        <v>77</v>
      </c>
    </row>
    <row r="307" spans="2:8" x14ac:dyDescent="0.25">
      <c r="B307" s="210">
        <f t="shared" ref="B307:B330" si="112">B234</f>
        <v>1996</v>
      </c>
      <c r="C307" s="215">
        <f t="shared" ref="C307:C330" ca="1" si="113">OFFSET($C$258,0,CT42)</f>
        <v>1</v>
      </c>
      <c r="D307" s="218">
        <f t="shared" ref="D307:D329" ca="1" si="114">1/C307</f>
        <v>1</v>
      </c>
      <c r="F307" s="205">
        <v>0</v>
      </c>
      <c r="G307" s="233">
        <v>0</v>
      </c>
      <c r="H307" s="231">
        <v>1</v>
      </c>
    </row>
    <row r="308" spans="2:8" x14ac:dyDescent="0.25">
      <c r="B308" s="205">
        <f t="shared" si="112"/>
        <v>1997</v>
      </c>
      <c r="C308" s="216">
        <f t="shared" ca="1" si="113"/>
        <v>1</v>
      </c>
      <c r="D308" s="219">
        <f t="shared" ca="1" si="114"/>
        <v>1</v>
      </c>
      <c r="F308" s="205">
        <v>1</v>
      </c>
      <c r="G308" s="234">
        <f ca="1">INDEX($D$259:$CS$259,1,F308)</f>
        <v>0.44117647058823528</v>
      </c>
      <c r="H308" s="231">
        <f ca="1">1/G308</f>
        <v>2.2666666666666666</v>
      </c>
    </row>
    <row r="309" spans="2:8" x14ac:dyDescent="0.25">
      <c r="B309" s="205">
        <f t="shared" si="112"/>
        <v>1998</v>
      </c>
      <c r="C309" s="216">
        <f t="shared" ca="1" si="113"/>
        <v>1</v>
      </c>
      <c r="D309" s="219">
        <f t="shared" ca="1" si="114"/>
        <v>1</v>
      </c>
      <c r="F309" s="205">
        <f>F308+1</f>
        <v>2</v>
      </c>
      <c r="G309" s="234">
        <f t="shared" ref="G309:G372" ca="1" si="115">INDEX($D$259:$CS$259,1,F309)</f>
        <v>0.88235294117647056</v>
      </c>
      <c r="H309" s="231">
        <f t="shared" ref="H309:H372" ca="1" si="116">1/G309</f>
        <v>1.1333333333333333</v>
      </c>
    </row>
    <row r="310" spans="2:8" x14ac:dyDescent="0.25">
      <c r="B310" s="205">
        <f t="shared" si="112"/>
        <v>1999</v>
      </c>
      <c r="C310" s="216">
        <f t="shared" ca="1" si="113"/>
        <v>1</v>
      </c>
      <c r="D310" s="219">
        <f t="shared" ca="1" si="114"/>
        <v>1</v>
      </c>
      <c r="F310" s="205">
        <f t="shared" ref="F310:F325" si="117">F309+1</f>
        <v>3</v>
      </c>
      <c r="G310" s="234">
        <f t="shared" ca="1" si="115"/>
        <v>1</v>
      </c>
      <c r="H310" s="231">
        <f t="shared" ca="1" si="116"/>
        <v>1</v>
      </c>
    </row>
    <row r="311" spans="2:8" x14ac:dyDescent="0.25">
      <c r="B311" s="205">
        <f t="shared" si="112"/>
        <v>2000</v>
      </c>
      <c r="C311" s="216">
        <f t="shared" ca="1" si="113"/>
        <v>1</v>
      </c>
      <c r="D311" s="219">
        <f t="shared" ca="1" si="114"/>
        <v>1</v>
      </c>
      <c r="F311" s="205">
        <f t="shared" si="117"/>
        <v>4</v>
      </c>
      <c r="G311" s="234">
        <f t="shared" ca="1" si="115"/>
        <v>1</v>
      </c>
      <c r="H311" s="231">
        <f t="shared" ca="1" si="116"/>
        <v>1</v>
      </c>
    </row>
    <row r="312" spans="2:8" x14ac:dyDescent="0.25">
      <c r="B312" s="205">
        <f t="shared" si="112"/>
        <v>2001</v>
      </c>
      <c r="C312" s="216">
        <f t="shared" ca="1" si="113"/>
        <v>1</v>
      </c>
      <c r="D312" s="219">
        <f t="shared" ca="1" si="114"/>
        <v>1</v>
      </c>
      <c r="F312" s="205">
        <f t="shared" si="117"/>
        <v>5</v>
      </c>
      <c r="G312" s="234">
        <f t="shared" ca="1" si="115"/>
        <v>1</v>
      </c>
      <c r="H312" s="231">
        <f t="shared" ca="1" si="116"/>
        <v>1</v>
      </c>
    </row>
    <row r="313" spans="2:8" x14ac:dyDescent="0.25">
      <c r="B313" s="205">
        <f t="shared" si="112"/>
        <v>2002</v>
      </c>
      <c r="C313" s="216">
        <f t="shared" ca="1" si="113"/>
        <v>1</v>
      </c>
      <c r="D313" s="219">
        <f t="shared" ca="1" si="114"/>
        <v>1</v>
      </c>
      <c r="F313" s="205">
        <f t="shared" si="117"/>
        <v>6</v>
      </c>
      <c r="G313" s="234">
        <f t="shared" ca="1" si="115"/>
        <v>1</v>
      </c>
      <c r="H313" s="231">
        <f t="shared" ca="1" si="116"/>
        <v>1</v>
      </c>
    </row>
    <row r="314" spans="2:8" x14ac:dyDescent="0.25">
      <c r="B314" s="205">
        <f t="shared" si="112"/>
        <v>2003</v>
      </c>
      <c r="C314" s="216">
        <f t="shared" ca="1" si="113"/>
        <v>1</v>
      </c>
      <c r="D314" s="219">
        <f t="shared" ca="1" si="114"/>
        <v>1</v>
      </c>
      <c r="F314" s="205">
        <f t="shared" si="117"/>
        <v>7</v>
      </c>
      <c r="G314" s="234">
        <f t="shared" ca="1" si="115"/>
        <v>1</v>
      </c>
      <c r="H314" s="231">
        <f t="shared" ca="1" si="116"/>
        <v>1</v>
      </c>
    </row>
    <row r="315" spans="2:8" x14ac:dyDescent="0.25">
      <c r="B315" s="205">
        <f t="shared" si="112"/>
        <v>2004</v>
      </c>
      <c r="C315" s="216">
        <f t="shared" ca="1" si="113"/>
        <v>1</v>
      </c>
      <c r="D315" s="219">
        <f t="shared" ca="1" si="114"/>
        <v>1</v>
      </c>
      <c r="F315" s="205">
        <f t="shared" si="117"/>
        <v>8</v>
      </c>
      <c r="G315" s="234">
        <f t="shared" ca="1" si="115"/>
        <v>1</v>
      </c>
      <c r="H315" s="231">
        <f t="shared" ca="1" si="116"/>
        <v>1</v>
      </c>
    </row>
    <row r="316" spans="2:8" x14ac:dyDescent="0.25">
      <c r="B316" s="205">
        <f t="shared" si="112"/>
        <v>2005</v>
      </c>
      <c r="C316" s="216">
        <f t="shared" ca="1" si="113"/>
        <v>1</v>
      </c>
      <c r="D316" s="219">
        <f t="shared" ca="1" si="114"/>
        <v>1</v>
      </c>
      <c r="F316" s="205">
        <f t="shared" si="117"/>
        <v>9</v>
      </c>
      <c r="G316" s="234">
        <f t="shared" ca="1" si="115"/>
        <v>1</v>
      </c>
      <c r="H316" s="231">
        <f t="shared" ca="1" si="116"/>
        <v>1</v>
      </c>
    </row>
    <row r="317" spans="2:8" x14ac:dyDescent="0.25">
      <c r="B317" s="205">
        <f t="shared" si="112"/>
        <v>2006</v>
      </c>
      <c r="C317" s="216">
        <f t="shared" ca="1" si="113"/>
        <v>1</v>
      </c>
      <c r="D317" s="219">
        <f t="shared" ca="1" si="114"/>
        <v>1</v>
      </c>
      <c r="F317" s="205">
        <f t="shared" si="117"/>
        <v>10</v>
      </c>
      <c r="G317" s="234">
        <f t="shared" ca="1" si="115"/>
        <v>1</v>
      </c>
      <c r="H317" s="231">
        <f t="shared" ca="1" si="116"/>
        <v>1</v>
      </c>
    </row>
    <row r="318" spans="2:8" x14ac:dyDescent="0.25">
      <c r="B318" s="205">
        <f t="shared" si="112"/>
        <v>2007</v>
      </c>
      <c r="C318" s="216">
        <f t="shared" ca="1" si="113"/>
        <v>1</v>
      </c>
      <c r="D318" s="219">
        <f t="shared" ca="1" si="114"/>
        <v>1</v>
      </c>
      <c r="F318" s="205">
        <f t="shared" si="117"/>
        <v>11</v>
      </c>
      <c r="G318" s="234">
        <f t="shared" ca="1" si="115"/>
        <v>1</v>
      </c>
      <c r="H318" s="231">
        <f t="shared" ca="1" si="116"/>
        <v>1</v>
      </c>
    </row>
    <row r="319" spans="2:8" x14ac:dyDescent="0.25">
      <c r="B319" s="205">
        <f t="shared" si="112"/>
        <v>2008</v>
      </c>
      <c r="C319" s="216">
        <f t="shared" ca="1" si="113"/>
        <v>1</v>
      </c>
      <c r="D319" s="219">
        <f t="shared" ca="1" si="114"/>
        <v>1</v>
      </c>
      <c r="F319" s="205">
        <f t="shared" si="117"/>
        <v>12</v>
      </c>
      <c r="G319" s="234">
        <f t="shared" ca="1" si="115"/>
        <v>1</v>
      </c>
      <c r="H319" s="231">
        <f t="shared" ca="1" si="116"/>
        <v>1</v>
      </c>
    </row>
    <row r="320" spans="2:8" x14ac:dyDescent="0.25">
      <c r="B320" s="205">
        <f t="shared" si="112"/>
        <v>2009</v>
      </c>
      <c r="C320" s="216">
        <f t="shared" ca="1" si="113"/>
        <v>1</v>
      </c>
      <c r="D320" s="219">
        <f t="shared" ca="1" si="114"/>
        <v>1</v>
      </c>
      <c r="F320" s="205">
        <f t="shared" si="117"/>
        <v>13</v>
      </c>
      <c r="G320" s="234">
        <f t="shared" ca="1" si="115"/>
        <v>1</v>
      </c>
      <c r="H320" s="231">
        <f t="shared" ca="1" si="116"/>
        <v>1</v>
      </c>
    </row>
    <row r="321" spans="2:8" x14ac:dyDescent="0.25">
      <c r="B321" s="205">
        <f t="shared" si="112"/>
        <v>2010</v>
      </c>
      <c r="C321" s="216">
        <f t="shared" ca="1" si="113"/>
        <v>1</v>
      </c>
      <c r="D321" s="219">
        <f t="shared" ca="1" si="114"/>
        <v>1</v>
      </c>
      <c r="F321" s="205">
        <f t="shared" si="117"/>
        <v>14</v>
      </c>
      <c r="G321" s="234">
        <f t="shared" ca="1" si="115"/>
        <v>1</v>
      </c>
      <c r="H321" s="231">
        <f t="shared" ca="1" si="116"/>
        <v>1</v>
      </c>
    </row>
    <row r="322" spans="2:8" x14ac:dyDescent="0.25">
      <c r="B322" s="205">
        <f t="shared" si="112"/>
        <v>2011</v>
      </c>
      <c r="C322" s="216">
        <f t="shared" ca="1" si="113"/>
        <v>1</v>
      </c>
      <c r="D322" s="219">
        <f t="shared" ca="1" si="114"/>
        <v>1</v>
      </c>
      <c r="F322" s="205">
        <f t="shared" si="117"/>
        <v>15</v>
      </c>
      <c r="G322" s="234">
        <f t="shared" ca="1" si="115"/>
        <v>1</v>
      </c>
      <c r="H322" s="231">
        <f t="shared" ca="1" si="116"/>
        <v>1</v>
      </c>
    </row>
    <row r="323" spans="2:8" x14ac:dyDescent="0.25">
      <c r="B323" s="205">
        <f t="shared" si="112"/>
        <v>2012</v>
      </c>
      <c r="C323" s="216">
        <f t="shared" ca="1" si="113"/>
        <v>1</v>
      </c>
      <c r="D323" s="219">
        <f t="shared" ca="1" si="114"/>
        <v>1</v>
      </c>
      <c r="F323" s="205">
        <f t="shared" si="117"/>
        <v>16</v>
      </c>
      <c r="G323" s="234">
        <f t="shared" ca="1" si="115"/>
        <v>1</v>
      </c>
      <c r="H323" s="231">
        <f t="shared" ca="1" si="116"/>
        <v>1</v>
      </c>
    </row>
    <row r="324" spans="2:8" x14ac:dyDescent="0.25">
      <c r="B324" s="205">
        <f t="shared" si="112"/>
        <v>2013</v>
      </c>
      <c r="C324" s="216">
        <f t="shared" ca="1" si="113"/>
        <v>1</v>
      </c>
      <c r="D324" s="219">
        <f t="shared" ca="1" si="114"/>
        <v>1</v>
      </c>
      <c r="F324" s="205">
        <f t="shared" si="117"/>
        <v>17</v>
      </c>
      <c r="G324" s="234">
        <f t="shared" ca="1" si="115"/>
        <v>1</v>
      </c>
      <c r="H324" s="231">
        <f t="shared" ca="1" si="116"/>
        <v>1</v>
      </c>
    </row>
    <row r="325" spans="2:8" x14ac:dyDescent="0.25">
      <c r="B325" s="205">
        <f t="shared" si="112"/>
        <v>2014</v>
      </c>
      <c r="C325" s="216">
        <f t="shared" ca="1" si="113"/>
        <v>1</v>
      </c>
      <c r="D325" s="219">
        <f t="shared" ca="1" si="114"/>
        <v>1</v>
      </c>
      <c r="F325" s="205">
        <f t="shared" si="117"/>
        <v>18</v>
      </c>
      <c r="G325" s="234">
        <f t="shared" ca="1" si="115"/>
        <v>1</v>
      </c>
      <c r="H325" s="231">
        <f t="shared" ca="1" si="116"/>
        <v>1</v>
      </c>
    </row>
    <row r="326" spans="2:8" x14ac:dyDescent="0.25">
      <c r="B326" s="205">
        <f t="shared" si="112"/>
        <v>2015</v>
      </c>
      <c r="C326" s="216">
        <f t="shared" ca="1" si="113"/>
        <v>1</v>
      </c>
      <c r="D326" s="219">
        <f t="shared" ca="1" si="114"/>
        <v>1</v>
      </c>
      <c r="F326" s="205">
        <f>F325+1</f>
        <v>19</v>
      </c>
      <c r="G326" s="234">
        <f t="shared" ca="1" si="115"/>
        <v>1</v>
      </c>
      <c r="H326" s="231">
        <f t="shared" ca="1" si="116"/>
        <v>1</v>
      </c>
    </row>
    <row r="327" spans="2:8" x14ac:dyDescent="0.25">
      <c r="B327" s="205">
        <f t="shared" si="112"/>
        <v>2016</v>
      </c>
      <c r="C327" s="216">
        <f t="shared" ca="1" si="113"/>
        <v>1</v>
      </c>
      <c r="D327" s="219">
        <f t="shared" ca="1" si="114"/>
        <v>1</v>
      </c>
      <c r="F327" s="205">
        <f t="shared" ref="F327:F386" si="118">F326+1</f>
        <v>20</v>
      </c>
      <c r="G327" s="234">
        <f t="shared" ca="1" si="115"/>
        <v>1</v>
      </c>
      <c r="H327" s="231">
        <f t="shared" ca="1" si="116"/>
        <v>1</v>
      </c>
    </row>
    <row r="328" spans="2:8" x14ac:dyDescent="0.25">
      <c r="B328" s="205">
        <f t="shared" si="112"/>
        <v>2017</v>
      </c>
      <c r="C328" s="216">
        <f t="shared" ca="1" si="113"/>
        <v>1</v>
      </c>
      <c r="D328" s="219">
        <f t="shared" ca="1" si="114"/>
        <v>1</v>
      </c>
      <c r="F328" s="205">
        <f t="shared" si="118"/>
        <v>21</v>
      </c>
      <c r="G328" s="234">
        <f t="shared" ca="1" si="115"/>
        <v>1</v>
      </c>
      <c r="H328" s="231">
        <f t="shared" ca="1" si="116"/>
        <v>1</v>
      </c>
    </row>
    <row r="329" spans="2:8" x14ac:dyDescent="0.25">
      <c r="B329" s="205">
        <f t="shared" si="112"/>
        <v>2018</v>
      </c>
      <c r="C329" s="216">
        <f t="shared" ca="1" si="113"/>
        <v>0.88235294117647056</v>
      </c>
      <c r="D329" s="220">
        <f t="shared" ca="1" si="114"/>
        <v>1.1333333333333333</v>
      </c>
      <c r="F329" s="205">
        <f t="shared" si="118"/>
        <v>22</v>
      </c>
      <c r="G329" s="234">
        <f t="shared" ca="1" si="115"/>
        <v>1</v>
      </c>
      <c r="H329" s="231">
        <f t="shared" ca="1" si="116"/>
        <v>1</v>
      </c>
    </row>
    <row r="330" spans="2:8" x14ac:dyDescent="0.25">
      <c r="B330" s="206">
        <f t="shared" si="112"/>
        <v>2019</v>
      </c>
      <c r="C330" s="217">
        <f t="shared" ca="1" si="113"/>
        <v>0.44117647058823528</v>
      </c>
      <c r="D330" s="221">
        <f ca="1">1/C330</f>
        <v>2.2666666666666666</v>
      </c>
      <c r="F330" s="205">
        <f t="shared" si="118"/>
        <v>23</v>
      </c>
      <c r="G330" s="234">
        <f t="shared" ca="1" si="115"/>
        <v>1</v>
      </c>
      <c r="H330" s="231">
        <f t="shared" ca="1" si="116"/>
        <v>1</v>
      </c>
    </row>
    <row r="331" spans="2:8" x14ac:dyDescent="0.25">
      <c r="F331" s="205">
        <f t="shared" si="118"/>
        <v>24</v>
      </c>
      <c r="G331" s="234">
        <f t="shared" ca="1" si="115"/>
        <v>1</v>
      </c>
      <c r="H331" s="231">
        <f t="shared" ca="1" si="116"/>
        <v>1</v>
      </c>
    </row>
    <row r="332" spans="2:8" x14ac:dyDescent="0.25">
      <c r="F332" s="205">
        <f t="shared" si="118"/>
        <v>25</v>
      </c>
      <c r="G332" s="234">
        <f t="shared" ca="1" si="115"/>
        <v>1</v>
      </c>
      <c r="H332" s="231">
        <f t="shared" ca="1" si="116"/>
        <v>1</v>
      </c>
    </row>
    <row r="333" spans="2:8" x14ac:dyDescent="0.25">
      <c r="F333" s="205">
        <f t="shared" si="118"/>
        <v>26</v>
      </c>
      <c r="G333" s="234">
        <f t="shared" ca="1" si="115"/>
        <v>1</v>
      </c>
      <c r="H333" s="231">
        <f t="shared" ca="1" si="116"/>
        <v>1</v>
      </c>
    </row>
    <row r="334" spans="2:8" x14ac:dyDescent="0.25">
      <c r="F334" s="205">
        <f t="shared" si="118"/>
        <v>27</v>
      </c>
      <c r="G334" s="234">
        <f t="shared" ca="1" si="115"/>
        <v>1</v>
      </c>
      <c r="H334" s="231">
        <f t="shared" ca="1" si="116"/>
        <v>1</v>
      </c>
    </row>
    <row r="335" spans="2:8" x14ac:dyDescent="0.25">
      <c r="F335" s="205">
        <f t="shared" si="118"/>
        <v>28</v>
      </c>
      <c r="G335" s="234">
        <f t="shared" ca="1" si="115"/>
        <v>1</v>
      </c>
      <c r="H335" s="231">
        <f t="shared" ca="1" si="116"/>
        <v>1</v>
      </c>
    </row>
    <row r="336" spans="2:8" x14ac:dyDescent="0.25">
      <c r="F336" s="205">
        <f t="shared" si="118"/>
        <v>29</v>
      </c>
      <c r="G336" s="234">
        <f t="shared" ca="1" si="115"/>
        <v>1</v>
      </c>
      <c r="H336" s="231">
        <f t="shared" ca="1" si="116"/>
        <v>1</v>
      </c>
    </row>
    <row r="337" spans="6:8" x14ac:dyDescent="0.25">
      <c r="F337" s="205">
        <f t="shared" si="118"/>
        <v>30</v>
      </c>
      <c r="G337" s="234">
        <f t="shared" ca="1" si="115"/>
        <v>1</v>
      </c>
      <c r="H337" s="231">
        <f t="shared" ca="1" si="116"/>
        <v>1</v>
      </c>
    </row>
    <row r="338" spans="6:8" x14ac:dyDescent="0.25">
      <c r="F338" s="205">
        <f t="shared" si="118"/>
        <v>31</v>
      </c>
      <c r="G338" s="234">
        <f t="shared" ca="1" si="115"/>
        <v>1</v>
      </c>
      <c r="H338" s="231">
        <f t="shared" ca="1" si="116"/>
        <v>1</v>
      </c>
    </row>
    <row r="339" spans="6:8" x14ac:dyDescent="0.25">
      <c r="F339" s="205">
        <f t="shared" si="118"/>
        <v>32</v>
      </c>
      <c r="G339" s="234">
        <f t="shared" ca="1" si="115"/>
        <v>1</v>
      </c>
      <c r="H339" s="231">
        <f t="shared" ca="1" si="116"/>
        <v>1</v>
      </c>
    </row>
    <row r="340" spans="6:8" x14ac:dyDescent="0.25">
      <c r="F340" s="205">
        <f t="shared" si="118"/>
        <v>33</v>
      </c>
      <c r="G340" s="234">
        <f t="shared" ca="1" si="115"/>
        <v>1</v>
      </c>
      <c r="H340" s="231">
        <f t="shared" ca="1" si="116"/>
        <v>1</v>
      </c>
    </row>
    <row r="341" spans="6:8" x14ac:dyDescent="0.25">
      <c r="F341" s="205">
        <f t="shared" si="118"/>
        <v>34</v>
      </c>
      <c r="G341" s="234">
        <f t="shared" ca="1" si="115"/>
        <v>1</v>
      </c>
      <c r="H341" s="231">
        <f t="shared" ca="1" si="116"/>
        <v>1</v>
      </c>
    </row>
    <row r="342" spans="6:8" x14ac:dyDescent="0.25">
      <c r="F342" s="205">
        <f t="shared" si="118"/>
        <v>35</v>
      </c>
      <c r="G342" s="234">
        <f t="shared" ca="1" si="115"/>
        <v>1</v>
      </c>
      <c r="H342" s="231">
        <f t="shared" ca="1" si="116"/>
        <v>1</v>
      </c>
    </row>
    <row r="343" spans="6:8" x14ac:dyDescent="0.25">
      <c r="F343" s="205">
        <f t="shared" si="118"/>
        <v>36</v>
      </c>
      <c r="G343" s="234">
        <f t="shared" ca="1" si="115"/>
        <v>1</v>
      </c>
      <c r="H343" s="231">
        <f t="shared" ca="1" si="116"/>
        <v>1</v>
      </c>
    </row>
    <row r="344" spans="6:8" x14ac:dyDescent="0.25">
      <c r="F344" s="205">
        <f t="shared" si="118"/>
        <v>37</v>
      </c>
      <c r="G344" s="234">
        <f t="shared" ca="1" si="115"/>
        <v>1</v>
      </c>
      <c r="H344" s="231">
        <f t="shared" ca="1" si="116"/>
        <v>1</v>
      </c>
    </row>
    <row r="345" spans="6:8" x14ac:dyDescent="0.25">
      <c r="F345" s="205">
        <f t="shared" si="118"/>
        <v>38</v>
      </c>
      <c r="G345" s="234">
        <f t="shared" ca="1" si="115"/>
        <v>1</v>
      </c>
      <c r="H345" s="231">
        <f t="shared" ca="1" si="116"/>
        <v>1</v>
      </c>
    </row>
    <row r="346" spans="6:8" x14ac:dyDescent="0.25">
      <c r="F346" s="205">
        <f t="shared" si="118"/>
        <v>39</v>
      </c>
      <c r="G346" s="234">
        <f t="shared" ca="1" si="115"/>
        <v>1</v>
      </c>
      <c r="H346" s="231">
        <f t="shared" ca="1" si="116"/>
        <v>1</v>
      </c>
    </row>
    <row r="347" spans="6:8" x14ac:dyDescent="0.25">
      <c r="F347" s="205">
        <f t="shared" si="118"/>
        <v>40</v>
      </c>
      <c r="G347" s="234">
        <f t="shared" ca="1" si="115"/>
        <v>1</v>
      </c>
      <c r="H347" s="231">
        <f t="shared" ca="1" si="116"/>
        <v>1</v>
      </c>
    </row>
    <row r="348" spans="6:8" x14ac:dyDescent="0.25">
      <c r="F348" s="205">
        <f t="shared" si="118"/>
        <v>41</v>
      </c>
      <c r="G348" s="234">
        <f t="shared" ca="1" si="115"/>
        <v>1</v>
      </c>
      <c r="H348" s="231">
        <f t="shared" ca="1" si="116"/>
        <v>1</v>
      </c>
    </row>
    <row r="349" spans="6:8" x14ac:dyDescent="0.25">
      <c r="F349" s="205">
        <f t="shared" si="118"/>
        <v>42</v>
      </c>
      <c r="G349" s="234">
        <f t="shared" ca="1" si="115"/>
        <v>1</v>
      </c>
      <c r="H349" s="231">
        <f t="shared" ca="1" si="116"/>
        <v>1</v>
      </c>
    </row>
    <row r="350" spans="6:8" x14ac:dyDescent="0.25">
      <c r="F350" s="205">
        <f t="shared" si="118"/>
        <v>43</v>
      </c>
      <c r="G350" s="234">
        <f t="shared" ca="1" si="115"/>
        <v>1</v>
      </c>
      <c r="H350" s="231">
        <f t="shared" ca="1" si="116"/>
        <v>1</v>
      </c>
    </row>
    <row r="351" spans="6:8" x14ac:dyDescent="0.25">
      <c r="F351" s="205">
        <f t="shared" si="118"/>
        <v>44</v>
      </c>
      <c r="G351" s="234">
        <f t="shared" ca="1" si="115"/>
        <v>1</v>
      </c>
      <c r="H351" s="231">
        <f t="shared" ca="1" si="116"/>
        <v>1</v>
      </c>
    </row>
    <row r="352" spans="6:8" x14ac:dyDescent="0.25">
      <c r="F352" s="205">
        <f t="shared" si="118"/>
        <v>45</v>
      </c>
      <c r="G352" s="234">
        <f t="shared" ca="1" si="115"/>
        <v>1</v>
      </c>
      <c r="H352" s="231">
        <f t="shared" ca="1" si="116"/>
        <v>1</v>
      </c>
    </row>
    <row r="353" spans="6:8" x14ac:dyDescent="0.25">
      <c r="F353" s="205">
        <f t="shared" si="118"/>
        <v>46</v>
      </c>
      <c r="G353" s="234">
        <f t="shared" ca="1" si="115"/>
        <v>1</v>
      </c>
      <c r="H353" s="231">
        <f t="shared" ca="1" si="116"/>
        <v>1</v>
      </c>
    </row>
    <row r="354" spans="6:8" x14ac:dyDescent="0.25">
      <c r="F354" s="205">
        <f t="shared" si="118"/>
        <v>47</v>
      </c>
      <c r="G354" s="234">
        <f t="shared" ca="1" si="115"/>
        <v>1</v>
      </c>
      <c r="H354" s="231">
        <f t="shared" ca="1" si="116"/>
        <v>1</v>
      </c>
    </row>
    <row r="355" spans="6:8" x14ac:dyDescent="0.25">
      <c r="F355" s="205">
        <f t="shared" si="118"/>
        <v>48</v>
      </c>
      <c r="G355" s="234">
        <f t="shared" ca="1" si="115"/>
        <v>1</v>
      </c>
      <c r="H355" s="231">
        <f t="shared" ca="1" si="116"/>
        <v>1</v>
      </c>
    </row>
    <row r="356" spans="6:8" x14ac:dyDescent="0.25">
      <c r="F356" s="205">
        <f t="shared" si="118"/>
        <v>49</v>
      </c>
      <c r="G356" s="234">
        <f t="shared" ca="1" si="115"/>
        <v>1</v>
      </c>
      <c r="H356" s="231">
        <f t="shared" ca="1" si="116"/>
        <v>1</v>
      </c>
    </row>
    <row r="357" spans="6:8" x14ac:dyDescent="0.25">
      <c r="F357" s="205">
        <f t="shared" si="118"/>
        <v>50</v>
      </c>
      <c r="G357" s="234">
        <f t="shared" ca="1" si="115"/>
        <v>1</v>
      </c>
      <c r="H357" s="231">
        <f t="shared" ca="1" si="116"/>
        <v>1</v>
      </c>
    </row>
    <row r="358" spans="6:8" x14ac:dyDescent="0.25">
      <c r="F358" s="205">
        <f t="shared" si="118"/>
        <v>51</v>
      </c>
      <c r="G358" s="234">
        <f t="shared" ca="1" si="115"/>
        <v>1</v>
      </c>
      <c r="H358" s="231">
        <f t="shared" ca="1" si="116"/>
        <v>1</v>
      </c>
    </row>
    <row r="359" spans="6:8" x14ac:dyDescent="0.25">
      <c r="F359" s="205">
        <f t="shared" si="118"/>
        <v>52</v>
      </c>
      <c r="G359" s="234">
        <f t="shared" ca="1" si="115"/>
        <v>1</v>
      </c>
      <c r="H359" s="231">
        <f t="shared" ca="1" si="116"/>
        <v>1</v>
      </c>
    </row>
    <row r="360" spans="6:8" x14ac:dyDescent="0.25">
      <c r="F360" s="205">
        <f t="shared" si="118"/>
        <v>53</v>
      </c>
      <c r="G360" s="234">
        <f t="shared" ca="1" si="115"/>
        <v>1</v>
      </c>
      <c r="H360" s="231">
        <f t="shared" ca="1" si="116"/>
        <v>1</v>
      </c>
    </row>
    <row r="361" spans="6:8" x14ac:dyDescent="0.25">
      <c r="F361" s="205">
        <f t="shared" si="118"/>
        <v>54</v>
      </c>
      <c r="G361" s="234">
        <f t="shared" ca="1" si="115"/>
        <v>1</v>
      </c>
      <c r="H361" s="231">
        <f t="shared" ca="1" si="116"/>
        <v>1</v>
      </c>
    </row>
    <row r="362" spans="6:8" x14ac:dyDescent="0.25">
      <c r="F362" s="205">
        <f t="shared" si="118"/>
        <v>55</v>
      </c>
      <c r="G362" s="234">
        <f t="shared" ca="1" si="115"/>
        <v>1</v>
      </c>
      <c r="H362" s="231">
        <f t="shared" ca="1" si="116"/>
        <v>1</v>
      </c>
    </row>
    <row r="363" spans="6:8" x14ac:dyDescent="0.25">
      <c r="F363" s="205">
        <f t="shared" si="118"/>
        <v>56</v>
      </c>
      <c r="G363" s="234">
        <f t="shared" ca="1" si="115"/>
        <v>1</v>
      </c>
      <c r="H363" s="231">
        <f t="shared" ca="1" si="116"/>
        <v>1</v>
      </c>
    </row>
    <row r="364" spans="6:8" x14ac:dyDescent="0.25">
      <c r="F364" s="205">
        <f t="shared" si="118"/>
        <v>57</v>
      </c>
      <c r="G364" s="234">
        <f t="shared" ca="1" si="115"/>
        <v>1</v>
      </c>
      <c r="H364" s="231">
        <f t="shared" ca="1" si="116"/>
        <v>1</v>
      </c>
    </row>
    <row r="365" spans="6:8" x14ac:dyDescent="0.25">
      <c r="F365" s="205">
        <f t="shared" si="118"/>
        <v>58</v>
      </c>
      <c r="G365" s="234">
        <f t="shared" ca="1" si="115"/>
        <v>1</v>
      </c>
      <c r="H365" s="231">
        <f t="shared" ca="1" si="116"/>
        <v>1</v>
      </c>
    </row>
    <row r="366" spans="6:8" x14ac:dyDescent="0.25">
      <c r="F366" s="205">
        <f t="shared" si="118"/>
        <v>59</v>
      </c>
      <c r="G366" s="234">
        <f t="shared" ca="1" si="115"/>
        <v>1</v>
      </c>
      <c r="H366" s="231">
        <f t="shared" ca="1" si="116"/>
        <v>1</v>
      </c>
    </row>
    <row r="367" spans="6:8" x14ac:dyDescent="0.25">
      <c r="F367" s="205">
        <f t="shared" si="118"/>
        <v>60</v>
      </c>
      <c r="G367" s="234">
        <f t="shared" ca="1" si="115"/>
        <v>1</v>
      </c>
      <c r="H367" s="231">
        <f t="shared" ca="1" si="116"/>
        <v>1</v>
      </c>
    </row>
    <row r="368" spans="6:8" x14ac:dyDescent="0.25">
      <c r="F368" s="205">
        <f t="shared" si="118"/>
        <v>61</v>
      </c>
      <c r="G368" s="234">
        <f t="shared" ca="1" si="115"/>
        <v>1</v>
      </c>
      <c r="H368" s="231">
        <f t="shared" ca="1" si="116"/>
        <v>1</v>
      </c>
    </row>
    <row r="369" spans="6:8" x14ac:dyDescent="0.25">
      <c r="F369" s="205">
        <f t="shared" si="118"/>
        <v>62</v>
      </c>
      <c r="G369" s="234">
        <f t="shared" ca="1" si="115"/>
        <v>1</v>
      </c>
      <c r="H369" s="231">
        <f t="shared" ca="1" si="116"/>
        <v>1</v>
      </c>
    </row>
    <row r="370" spans="6:8" x14ac:dyDescent="0.25">
      <c r="F370" s="205">
        <f t="shared" si="118"/>
        <v>63</v>
      </c>
      <c r="G370" s="234">
        <f t="shared" ca="1" si="115"/>
        <v>1</v>
      </c>
      <c r="H370" s="231">
        <f t="shared" ca="1" si="116"/>
        <v>1</v>
      </c>
    </row>
    <row r="371" spans="6:8" x14ac:dyDescent="0.25">
      <c r="F371" s="205">
        <f t="shared" si="118"/>
        <v>64</v>
      </c>
      <c r="G371" s="234">
        <f t="shared" ca="1" si="115"/>
        <v>1</v>
      </c>
      <c r="H371" s="231">
        <f t="shared" ca="1" si="116"/>
        <v>1</v>
      </c>
    </row>
    <row r="372" spans="6:8" x14ac:dyDescent="0.25">
      <c r="F372" s="205">
        <f t="shared" si="118"/>
        <v>65</v>
      </c>
      <c r="G372" s="234">
        <f t="shared" ca="1" si="115"/>
        <v>1</v>
      </c>
      <c r="H372" s="231">
        <f t="shared" ca="1" si="116"/>
        <v>1</v>
      </c>
    </row>
    <row r="373" spans="6:8" x14ac:dyDescent="0.25">
      <c r="F373" s="205">
        <f t="shared" si="118"/>
        <v>66</v>
      </c>
      <c r="G373" s="234">
        <f t="shared" ref="G373:G387" ca="1" si="119">INDEX($D$259:$CS$259,1,F373)</f>
        <v>1</v>
      </c>
      <c r="H373" s="231">
        <f t="shared" ref="H373:H387" ca="1" si="120">1/G373</f>
        <v>1</v>
      </c>
    </row>
    <row r="374" spans="6:8" x14ac:dyDescent="0.25">
      <c r="F374" s="205">
        <f t="shared" si="118"/>
        <v>67</v>
      </c>
      <c r="G374" s="234">
        <f t="shared" ca="1" si="119"/>
        <v>1</v>
      </c>
      <c r="H374" s="231">
        <f t="shared" ca="1" si="120"/>
        <v>1</v>
      </c>
    </row>
    <row r="375" spans="6:8" x14ac:dyDescent="0.25">
      <c r="F375" s="205">
        <f t="shared" si="118"/>
        <v>68</v>
      </c>
      <c r="G375" s="234">
        <f t="shared" ca="1" si="119"/>
        <v>1</v>
      </c>
      <c r="H375" s="231">
        <f t="shared" ca="1" si="120"/>
        <v>1</v>
      </c>
    </row>
    <row r="376" spans="6:8" x14ac:dyDescent="0.25">
      <c r="F376" s="205">
        <f t="shared" si="118"/>
        <v>69</v>
      </c>
      <c r="G376" s="234">
        <f t="shared" ca="1" si="119"/>
        <v>1</v>
      </c>
      <c r="H376" s="231">
        <f t="shared" ca="1" si="120"/>
        <v>1</v>
      </c>
    </row>
    <row r="377" spans="6:8" x14ac:dyDescent="0.25">
      <c r="F377" s="205">
        <f>F376+1</f>
        <v>70</v>
      </c>
      <c r="G377" s="234">
        <f t="shared" ca="1" si="119"/>
        <v>1</v>
      </c>
      <c r="H377" s="231">
        <f t="shared" ca="1" si="120"/>
        <v>1</v>
      </c>
    </row>
    <row r="378" spans="6:8" x14ac:dyDescent="0.25">
      <c r="F378" s="205">
        <f t="shared" si="118"/>
        <v>71</v>
      </c>
      <c r="G378" s="234">
        <f t="shared" ca="1" si="119"/>
        <v>1</v>
      </c>
      <c r="H378" s="231">
        <f t="shared" ca="1" si="120"/>
        <v>1</v>
      </c>
    </row>
    <row r="379" spans="6:8" x14ac:dyDescent="0.25">
      <c r="F379" s="205">
        <f t="shared" si="118"/>
        <v>72</v>
      </c>
      <c r="G379" s="234">
        <f t="shared" ca="1" si="119"/>
        <v>1</v>
      </c>
      <c r="H379" s="231">
        <f t="shared" ca="1" si="120"/>
        <v>1</v>
      </c>
    </row>
    <row r="380" spans="6:8" x14ac:dyDescent="0.25">
      <c r="F380" s="205">
        <f t="shared" si="118"/>
        <v>73</v>
      </c>
      <c r="G380" s="234">
        <f t="shared" ca="1" si="119"/>
        <v>1</v>
      </c>
      <c r="H380" s="231">
        <f t="shared" ca="1" si="120"/>
        <v>1</v>
      </c>
    </row>
    <row r="381" spans="6:8" x14ac:dyDescent="0.25">
      <c r="F381" s="205">
        <f t="shared" si="118"/>
        <v>74</v>
      </c>
      <c r="G381" s="234">
        <f t="shared" ca="1" si="119"/>
        <v>1</v>
      </c>
      <c r="H381" s="231">
        <f t="shared" ca="1" si="120"/>
        <v>1</v>
      </c>
    </row>
    <row r="382" spans="6:8" x14ac:dyDescent="0.25">
      <c r="F382" s="205">
        <f t="shared" si="118"/>
        <v>75</v>
      </c>
      <c r="G382" s="234">
        <f t="shared" ca="1" si="119"/>
        <v>1</v>
      </c>
      <c r="H382" s="231">
        <f t="shared" ca="1" si="120"/>
        <v>1</v>
      </c>
    </row>
    <row r="383" spans="6:8" x14ac:dyDescent="0.25">
      <c r="F383" s="205">
        <f t="shared" si="118"/>
        <v>76</v>
      </c>
      <c r="G383" s="234">
        <f t="shared" ca="1" si="119"/>
        <v>1</v>
      </c>
      <c r="H383" s="231">
        <f t="shared" ca="1" si="120"/>
        <v>1</v>
      </c>
    </row>
    <row r="384" spans="6:8" x14ac:dyDescent="0.25">
      <c r="F384" s="205">
        <f t="shared" si="118"/>
        <v>77</v>
      </c>
      <c r="G384" s="234">
        <f t="shared" ca="1" si="119"/>
        <v>1</v>
      </c>
      <c r="H384" s="231">
        <f t="shared" ca="1" si="120"/>
        <v>1</v>
      </c>
    </row>
    <row r="385" spans="6:8" x14ac:dyDescent="0.25">
      <c r="F385" s="205">
        <f t="shared" si="118"/>
        <v>78</v>
      </c>
      <c r="G385" s="234">
        <f t="shared" ca="1" si="119"/>
        <v>1</v>
      </c>
      <c r="H385" s="231">
        <f t="shared" ca="1" si="120"/>
        <v>1</v>
      </c>
    </row>
    <row r="386" spans="6:8" x14ac:dyDescent="0.25">
      <c r="F386" s="205">
        <f t="shared" si="118"/>
        <v>79</v>
      </c>
      <c r="G386" s="234">
        <f t="shared" ca="1" si="119"/>
        <v>1</v>
      </c>
      <c r="H386" s="231">
        <f t="shared" ca="1" si="120"/>
        <v>1</v>
      </c>
    </row>
    <row r="387" spans="6:8" x14ac:dyDescent="0.25">
      <c r="F387" s="206">
        <f>F386+1</f>
        <v>80</v>
      </c>
      <c r="G387" s="235">
        <f t="shared" ca="1" si="119"/>
        <v>1</v>
      </c>
      <c r="H387" s="232">
        <f t="shared" ca="1" si="120"/>
        <v>1</v>
      </c>
    </row>
  </sheetData>
  <mergeCells count="2">
    <mergeCell ref="B8:C8"/>
    <mergeCell ref="B9:C9"/>
  </mergeCells>
  <conditionalFormatting sqref="H206:H229">
    <cfRule type="expression" dxfId="117" priority="8" stopIfTrue="1">
      <formula>$I206="Other"</formula>
    </cfRule>
  </conditionalFormatting>
  <conditionalFormatting sqref="F206:F229">
    <cfRule type="expression" dxfId="116" priority="9" stopIfTrue="1">
      <formula>$I206="CL"</formula>
    </cfRule>
  </conditionalFormatting>
  <conditionalFormatting sqref="J206:J229 G206:G229">
    <cfRule type="expression" dxfId="115" priority="10" stopIfTrue="1">
      <formula>$I206="BF"</formula>
    </cfRule>
  </conditionalFormatting>
  <conditionalFormatting sqref="C263:M273 D234:CV257">
    <cfRule type="expression" dxfId="114" priority="11" stopIfTrue="1">
      <formula>ISNA(C234)</formula>
    </cfRule>
  </conditionalFormatting>
  <conditionalFormatting sqref="D150:CS173">
    <cfRule type="expression" dxfId="113" priority="12" stopIfTrue="1">
      <formula>AND(D150&lt;&gt;"",D150=0)</formula>
    </cfRule>
  </conditionalFormatting>
  <conditionalFormatting sqref="G10:G11">
    <cfRule type="cellIs" dxfId="112" priority="7" operator="equal">
      <formula>"CHECK DATA!"</formula>
    </cfRule>
  </conditionalFormatting>
  <conditionalFormatting sqref="C14:CS37">
    <cfRule type="expression" dxfId="111" priority="13">
      <formula>IF(C42=0,TRUE,FALSE)</formula>
    </cfRule>
  </conditionalFormatting>
  <conditionalFormatting sqref="D96:CS119">
    <cfRule type="expression" dxfId="110" priority="6">
      <formula>IF(D42=0,TRUE,FALSE)</formula>
    </cfRule>
  </conditionalFormatting>
  <conditionalFormatting sqref="D177:CS180 D182:CS184">
    <cfRule type="expression" dxfId="109" priority="14" stopIfTrue="1">
      <formula>D177=#REF!</formula>
    </cfRule>
    <cfRule type="expression" dxfId="108" priority="15" stopIfTrue="1">
      <formula>IF(ISERROR(D177),1,FALSE)</formula>
    </cfRule>
  </conditionalFormatting>
  <conditionalFormatting sqref="D181:D184 E181:BJ181 E182:O182">
    <cfRule type="expression" dxfId="107" priority="16" stopIfTrue="1">
      <formula>D181=#REF!</formula>
    </cfRule>
    <cfRule type="expression" dxfId="106" priority="17" stopIfTrue="1">
      <formula>IF(ISERROR(D181),1,FALSE)</formula>
    </cfRule>
  </conditionalFormatting>
  <conditionalFormatting sqref="AF183:AF184">
    <cfRule type="expression" dxfId="105" priority="18" stopIfTrue="1">
      <formula>AF183=#REF!</formula>
    </cfRule>
    <cfRule type="expression" dxfId="104" priority="19" stopIfTrue="1">
      <formula>IF(ISERROR(AF183),1,FALSE)</formula>
    </cfRule>
  </conditionalFormatting>
  <conditionalFormatting sqref="X183:X184">
    <cfRule type="expression" dxfId="103" priority="20" stopIfTrue="1">
      <formula>X183=#REF!</formula>
    </cfRule>
    <cfRule type="expression" dxfId="102" priority="21" stopIfTrue="1">
      <formula>IF(ISERROR(X183),1,FALSE)</formula>
    </cfRule>
  </conditionalFormatting>
  <conditionalFormatting sqref="E182:CR184 BK181:CR181 CS181:CS184">
    <cfRule type="expression" dxfId="101" priority="22" stopIfTrue="1">
      <formula>E181=#REF!</formula>
    </cfRule>
    <cfRule type="expression" dxfId="100" priority="23" stopIfTrue="1">
      <formula>IF(ISERROR(E181),1,FALSE)</formula>
    </cfRule>
  </conditionalFormatting>
  <conditionalFormatting sqref="BK181:CS181">
    <cfRule type="expression" dxfId="99" priority="24" stopIfTrue="1">
      <formula>BK181=#REF!</formula>
    </cfRule>
    <cfRule type="expression" dxfId="98" priority="25" stopIfTrue="1">
      <formula>IF(ISERROR(BK181),1,FALSE)</formula>
    </cfRule>
  </conditionalFormatting>
  <conditionalFormatting sqref="AC183:AD184">
    <cfRule type="expression" dxfId="97" priority="26" stopIfTrue="1">
      <formula>AC183=#REF!</formula>
    </cfRule>
    <cfRule type="expression" dxfId="96" priority="27" stopIfTrue="1">
      <formula>IF(ISERROR(AC183),1,FALSE)</formula>
    </cfRule>
  </conditionalFormatting>
  <conditionalFormatting sqref="AB183:AB184">
    <cfRule type="expression" dxfId="95" priority="28" stopIfTrue="1">
      <formula>AB183=#REF!</formula>
    </cfRule>
    <cfRule type="expression" dxfId="94" priority="29" stopIfTrue="1">
      <formula>IF(ISERROR(AB183),1,FALSE)</formula>
    </cfRule>
  </conditionalFormatting>
  <conditionalFormatting sqref="AA183:AA184">
    <cfRule type="expression" dxfId="93" priority="30" stopIfTrue="1">
      <formula>AA183=#REF!</formula>
    </cfRule>
    <cfRule type="expression" dxfId="92" priority="31" stopIfTrue="1">
      <formula>IF(ISERROR(AA183),1,FALSE)</formula>
    </cfRule>
  </conditionalFormatting>
  <conditionalFormatting sqref="Z183:Z184">
    <cfRule type="expression" dxfId="91" priority="32" stopIfTrue="1">
      <formula>Z183=#REF!</formula>
    </cfRule>
    <cfRule type="expression" dxfId="90" priority="33" stopIfTrue="1">
      <formula>IF(ISERROR(Z183),1,FALSE)</formula>
    </cfRule>
  </conditionalFormatting>
  <conditionalFormatting sqref="Y183:Y184">
    <cfRule type="expression" dxfId="89" priority="34" stopIfTrue="1">
      <formula>Y183=#REF!</formula>
    </cfRule>
    <cfRule type="expression" dxfId="88" priority="35" stopIfTrue="1">
      <formula>IF(ISERROR(Y183),1,FALSE)</formula>
    </cfRule>
  </conditionalFormatting>
  <conditionalFormatting sqref="AK183:AK184">
    <cfRule type="expression" dxfId="87" priority="36" stopIfTrue="1">
      <formula>AK183=#REF!</formula>
    </cfRule>
    <cfRule type="expression" dxfId="86" priority="37" stopIfTrue="1">
      <formula>IF(ISERROR(AK183),1,FALSE)</formula>
    </cfRule>
  </conditionalFormatting>
  <conditionalFormatting sqref="AI183:CS184 BK181:CS181">
    <cfRule type="expression" dxfId="85" priority="38" stopIfTrue="1">
      <formula>AI181=#REF!</formula>
    </cfRule>
    <cfRule type="expression" dxfId="84" priority="39" stopIfTrue="1">
      <formula>IF(ISERROR(AI181),1,FALSE)</formula>
    </cfRule>
  </conditionalFormatting>
  <conditionalFormatting sqref="AH183:AH184">
    <cfRule type="expression" dxfId="83" priority="40" stopIfTrue="1">
      <formula>AH183=#REF!</formula>
    </cfRule>
    <cfRule type="expression" dxfId="82" priority="41" stopIfTrue="1">
      <formula>IF(ISERROR(AH183),1,FALSE)</formula>
    </cfRule>
  </conditionalFormatting>
  <conditionalFormatting sqref="AG183:CS184 BK181:CS181">
    <cfRule type="expression" dxfId="81" priority="42" stopIfTrue="1">
      <formula>AG181=#REF!</formula>
    </cfRule>
    <cfRule type="expression" dxfId="80" priority="43" stopIfTrue="1">
      <formula>IF(ISERROR(AG181),1,FALSE)</formula>
    </cfRule>
  </conditionalFormatting>
  <conditionalFormatting sqref="BK181:CS181">
    <cfRule type="expression" dxfId="79" priority="44" stopIfTrue="1">
      <formula>BK181=#REF!</formula>
    </cfRule>
    <cfRule type="expression" dxfId="78" priority="45" stopIfTrue="1">
      <formula>IF(ISERROR(BK181),1,FALSE)</formula>
    </cfRule>
  </conditionalFormatting>
  <conditionalFormatting sqref="AE183:AE184">
    <cfRule type="expression" dxfId="77" priority="46" stopIfTrue="1">
      <formula>AE183=#REF!</formula>
    </cfRule>
    <cfRule type="expression" dxfId="76" priority="47" stopIfTrue="1">
      <formula>IF(ISERROR(AE183),1,FALSE)</formula>
    </cfRule>
  </conditionalFormatting>
  <conditionalFormatting sqref="CU187:CV194">
    <cfRule type="expression" dxfId="75" priority="48" stopIfTrue="1">
      <formula>AND(ISERROR(#REF!),$A187=CU$197)</formula>
    </cfRule>
    <cfRule type="expression" dxfId="74" priority="49" stopIfTrue="1">
      <formula>$A187=CU$197</formula>
    </cfRule>
    <cfRule type="expression" dxfId="73" priority="50" stopIfTrue="1">
      <formula>ISERROR(#REF!)</formula>
    </cfRule>
  </conditionalFormatting>
  <conditionalFormatting sqref="D69:CS92">
    <cfRule type="expression" dxfId="72" priority="4">
      <formula>IF(D96=1,TRUE,FALSE)</formula>
    </cfRule>
  </conditionalFormatting>
  <conditionalFormatting sqref="CU69:CV92">
    <cfRule type="expression" dxfId="71" priority="52">
      <formula>AND(CU69&lt;&gt;"",#REF!=0)</formula>
    </cfRule>
  </conditionalFormatting>
  <conditionalFormatting sqref="D123:CS146">
    <cfRule type="expression" dxfId="70" priority="5">
      <formula>IF(D42=0,TRUE,FALSE)</formula>
    </cfRule>
  </conditionalFormatting>
  <conditionalFormatting sqref="D69:CS92">
    <cfRule type="expression" dxfId="69" priority="51">
      <formula>IF(D42=0,TRUE,FALSE)</formula>
    </cfRule>
  </conditionalFormatting>
  <conditionalFormatting sqref="D187:CS194">
    <cfRule type="expression" dxfId="68" priority="53" stopIfTrue="1">
      <formula>AND(ISERROR(D177),$A187=D$197)</formula>
    </cfRule>
    <cfRule type="expression" dxfId="67" priority="54" stopIfTrue="1">
      <formula>$A187=D$197</formula>
    </cfRule>
    <cfRule type="expression" dxfId="66" priority="55" stopIfTrue="1">
      <formula>ISERROR(D177)</formula>
    </cfRule>
  </conditionalFormatting>
  <conditionalFormatting sqref="CS187:CS194">
    <cfRule type="expression" dxfId="65" priority="56" stopIfTrue="1">
      <formula>AND(ISERROR(CR177),$A187=CS$197)</formula>
    </cfRule>
    <cfRule type="expression" dxfId="64" priority="57" stopIfTrue="1">
      <formula>$A187=CS$197</formula>
    </cfRule>
    <cfRule type="expression" dxfId="63" priority="58" stopIfTrue="1">
      <formula>ISERROR(CR177)</formula>
    </cfRule>
  </conditionalFormatting>
  <conditionalFormatting sqref="D234:CS257">
    <cfRule type="expression" dxfId="62" priority="3">
      <formula>IF(C42=0,TRUE,FALSE)</formula>
    </cfRule>
  </conditionalFormatting>
  <conditionalFormatting sqref="D5">
    <cfRule type="expression" dxfId="61" priority="59">
      <formula>IF($X$5="Bespoke",TRUE,FALSE)</formula>
    </cfRule>
  </conditionalFormatting>
  <conditionalFormatting sqref="CV14:CV37">
    <cfRule type="expression" dxfId="60" priority="2">
      <formula>IF(CV14&gt;0,TRUE,FALSE)</formula>
    </cfRule>
  </conditionalFormatting>
  <conditionalFormatting sqref="CV14:CV37">
    <cfRule type="expression" dxfId="59" priority="1">
      <formula>IF(CV14&lt;0,TRUE,FALSE)</formula>
    </cfRule>
  </conditionalFormatting>
  <dataValidations count="4">
    <dataValidation type="list" allowBlank="1" showInputMessage="1" showErrorMessage="1" sqref="D6" xr:uid="{B66770D9-EAEC-475E-A441-EB4341F5C151}">
      <formula1>List_Period</formula1>
    </dataValidation>
    <dataValidation type="list" allowBlank="1" showInputMessage="1" showErrorMessage="1" sqref="D4" xr:uid="{FCE83A96-517E-4097-87EA-461E12DB988C}">
      <formula1>List_DevPeriod</formula1>
    </dataValidation>
    <dataValidation type="list" allowBlank="1" showInputMessage="1" showErrorMessage="1" sqref="D197:CV197" xr:uid="{9B59642E-1E68-4B1C-B4B1-F943ABF79370}">
      <formula1>"1,2,3,4,5,6,7,8,9"</formula1>
    </dataValidation>
    <dataValidation type="list" allowBlank="1" showInputMessage="1" showErrorMessage="1" sqref="I206:I229" xr:uid="{F6F62588-127F-476F-B0DA-476F4F4965DC}">
      <formula1>"CL,BF,Other"</formula1>
    </dataValidation>
  </dataValidations>
  <hyperlinks>
    <hyperlink ref="CW38" r:id="rId1" xr:uid="{0385ABDD-055D-4198-84FD-91E69D7A45E0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81E53-2876-498D-B083-89F967D1D2FA}">
  <sheetPr codeName="Sheet5"/>
  <dimension ref="A1:CY387"/>
  <sheetViews>
    <sheetView showGridLines="0" topLeftCell="A283" zoomScale="70" zoomScaleNormal="70" workbookViewId="0">
      <selection activeCell="G308" sqref="G308:G327"/>
    </sheetView>
  </sheetViews>
  <sheetFormatPr defaultColWidth="9.140625" defaultRowHeight="15" x14ac:dyDescent="0.25"/>
  <cols>
    <col min="1" max="1" width="6.28515625" style="97" customWidth="1"/>
    <col min="2" max="2" width="12.140625" style="11" customWidth="1"/>
    <col min="3" max="97" width="12.28515625" style="11" customWidth="1"/>
    <col min="98" max="101" width="15.5703125" style="11" customWidth="1"/>
    <col min="102" max="102" width="7.85546875" style="11" customWidth="1"/>
    <col min="103" max="103" width="10.28515625" style="11" customWidth="1"/>
    <col min="104" max="16384" width="9.140625" style="11"/>
  </cols>
  <sheetData>
    <row r="1" spans="1:102" ht="23.25" x14ac:dyDescent="0.35">
      <c r="A1" s="180" t="s">
        <v>78</v>
      </c>
    </row>
    <row r="2" spans="1:102" ht="15" customHeight="1" x14ac:dyDescent="0.25">
      <c r="A2" s="92"/>
      <c r="B2" s="194" t="s">
        <v>58</v>
      </c>
      <c r="C2" s="5"/>
      <c r="D2" s="5"/>
      <c r="E2" s="5"/>
      <c r="M2" s="176" t="s">
        <v>52</v>
      </c>
      <c r="N2"/>
    </row>
    <row r="3" spans="1:102" ht="15" customHeight="1" x14ac:dyDescent="0.25">
      <c r="A3" s="93"/>
      <c r="B3" s="5"/>
      <c r="C3" s="5"/>
      <c r="D3" s="5"/>
      <c r="E3" s="5"/>
      <c r="F3" s="13"/>
      <c r="G3" s="15"/>
      <c r="H3" s="13"/>
      <c r="I3" s="13"/>
      <c r="J3" s="13"/>
      <c r="K3" s="13"/>
      <c r="L3" s="13"/>
      <c r="M3" t="s">
        <v>47</v>
      </c>
      <c r="N3" s="177">
        <f>(D9-D8)*InputTrianglesACPC!$E$4+D6</f>
        <v>10</v>
      </c>
      <c r="S3" s="13"/>
      <c r="V3" s="13"/>
      <c r="W3" s="192"/>
      <c r="X3" s="8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</row>
    <row r="4" spans="1:102" ht="15" customHeight="1" x14ac:dyDescent="0.25">
      <c r="A4" s="93"/>
      <c r="B4" s="5"/>
      <c r="C4" s="228" t="s">
        <v>38</v>
      </c>
      <c r="D4" s="195" t="s">
        <v>34</v>
      </c>
      <c r="E4" s="196">
        <f>INDEX(Mappings!$E$4:$E$7,MATCH(D4,List_DevPeriod,0))</f>
        <v>1</v>
      </c>
      <c r="F4" s="13"/>
      <c r="G4" s="13"/>
      <c r="H4" s="13"/>
      <c r="I4" s="13"/>
      <c r="J4" s="13"/>
      <c r="K4" s="13"/>
      <c r="L4" s="13"/>
      <c r="M4" t="s">
        <v>49</v>
      </c>
      <c r="N4" t="str">
        <f>IF(AND(D4&lt;&gt;"",D6&lt;&gt;"",D8&lt;&gt;"",D9&lt;&gt;""), "Format","Wait for Inputs")</f>
        <v>Format</v>
      </c>
      <c r="S4" s="13"/>
      <c r="T4" s="13"/>
      <c r="U4" s="13"/>
      <c r="V4" s="13"/>
      <c r="W4" s="193"/>
      <c r="X4" s="8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</row>
    <row r="5" spans="1:102" ht="15" customHeight="1" x14ac:dyDescent="0.25">
      <c r="A5" s="93"/>
      <c r="B5" s="5"/>
      <c r="C5" s="179" t="s">
        <v>39</v>
      </c>
      <c r="D5" s="5"/>
      <c r="E5" s="5"/>
      <c r="F5" s="13"/>
      <c r="G5" s="13"/>
      <c r="H5" s="13"/>
      <c r="I5" s="13"/>
      <c r="J5" s="13"/>
      <c r="K5" s="13"/>
      <c r="L5" s="13"/>
      <c r="S5" s="13"/>
      <c r="T5" s="13"/>
      <c r="U5" s="13"/>
      <c r="V5" s="9"/>
      <c r="W5" s="101"/>
      <c r="X5" s="8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CS5" s="18"/>
      <c r="CT5" s="18"/>
      <c r="CU5" s="18"/>
      <c r="CV5" s="18"/>
    </row>
    <row r="6" spans="1:102" ht="15" customHeight="1" x14ac:dyDescent="0.25">
      <c r="A6" s="93"/>
      <c r="B6" s="5"/>
      <c r="C6" s="228" t="s">
        <v>40</v>
      </c>
      <c r="D6" s="195">
        <v>1</v>
      </c>
      <c r="E6" s="5"/>
      <c r="F6" s="13"/>
      <c r="G6" s="13"/>
      <c r="H6" s="13"/>
      <c r="I6" s="13"/>
      <c r="J6" s="13"/>
      <c r="K6" s="13"/>
      <c r="L6" s="13"/>
      <c r="S6" s="13"/>
      <c r="T6" s="13"/>
      <c r="U6" s="13"/>
      <c r="V6" s="9"/>
      <c r="W6" s="33"/>
      <c r="X6" s="3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CS6" s="18"/>
      <c r="CT6" s="18"/>
      <c r="CU6" s="18"/>
      <c r="CV6" s="18"/>
    </row>
    <row r="7" spans="1:102" ht="15" customHeight="1" x14ac:dyDescent="0.25">
      <c r="A7" s="93"/>
      <c r="B7" s="5"/>
      <c r="C7" s="228"/>
      <c r="D7" s="5"/>
      <c r="E7" s="5"/>
      <c r="F7" s="13"/>
      <c r="G7" s="13"/>
      <c r="H7" s="19" t="s">
        <v>62</v>
      </c>
      <c r="I7" s="13"/>
      <c r="J7" s="13"/>
      <c r="K7" s="13"/>
      <c r="L7" s="13"/>
      <c r="S7" s="13"/>
      <c r="T7" s="13"/>
      <c r="U7" s="13"/>
      <c r="V7" s="9"/>
      <c r="W7" s="33"/>
      <c r="X7" s="3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CS7" s="18"/>
      <c r="CT7" s="18"/>
      <c r="CU7" s="18"/>
      <c r="CV7" s="18"/>
    </row>
    <row r="8" spans="1:102" ht="15" customHeight="1" x14ac:dyDescent="0.25">
      <c r="A8" s="93"/>
      <c r="B8" s="236" t="s">
        <v>48</v>
      </c>
      <c r="C8" s="236"/>
      <c r="D8" s="197">
        <v>2010</v>
      </c>
      <c r="E8" s="5"/>
      <c r="F8" s="13"/>
      <c r="G8" s="13"/>
      <c r="H8" s="13"/>
      <c r="I8" s="13"/>
      <c r="J8" s="13"/>
      <c r="K8" s="13"/>
      <c r="L8" s="13"/>
      <c r="S8" s="13"/>
      <c r="T8" s="13"/>
      <c r="U8" s="13"/>
      <c r="V8" s="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CS8" s="18"/>
      <c r="CT8" s="18"/>
      <c r="CU8" s="18"/>
      <c r="CV8" s="18"/>
    </row>
    <row r="9" spans="1:102" ht="15" customHeight="1" x14ac:dyDescent="0.25">
      <c r="A9" s="93"/>
      <c r="B9" s="236" t="s">
        <v>41</v>
      </c>
      <c r="C9" s="236"/>
      <c r="D9" s="197">
        <v>2019</v>
      </c>
      <c r="E9" s="5"/>
      <c r="F9" s="13"/>
      <c r="G9" s="13"/>
      <c r="H9" s="13"/>
      <c r="I9" s="13"/>
      <c r="J9" s="13"/>
      <c r="K9" s="13"/>
      <c r="L9" s="13"/>
      <c r="S9" s="13"/>
      <c r="T9" s="13"/>
      <c r="U9" s="13"/>
      <c r="V9" s="9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CS9" s="18"/>
      <c r="CT9" s="18"/>
      <c r="CU9" s="18"/>
      <c r="CV9" s="18"/>
    </row>
    <row r="10" spans="1:102" ht="15" customHeight="1" x14ac:dyDescent="0.25">
      <c r="A10" s="93"/>
      <c r="B10" s="5"/>
      <c r="C10" s="5"/>
      <c r="D10" s="5"/>
      <c r="E10" s="5"/>
      <c r="G10" s="17"/>
      <c r="H10" s="14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9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CS10" s="18"/>
      <c r="CT10" s="18"/>
      <c r="CU10" s="18"/>
      <c r="CV10" s="18"/>
    </row>
    <row r="11" spans="1:102" ht="18.75" x14ac:dyDescent="0.3">
      <c r="A11" s="73"/>
      <c r="B11" s="181" t="s">
        <v>0</v>
      </c>
      <c r="C11" s="72"/>
      <c r="D11" s="73"/>
      <c r="E11" s="74"/>
      <c r="F11" s="72"/>
      <c r="G11" s="75"/>
      <c r="H11" s="76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7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8"/>
      <c r="CT11" s="78"/>
      <c r="CU11" s="78"/>
      <c r="CV11" s="78"/>
      <c r="CW11" s="72"/>
    </row>
    <row r="12" spans="1:102" ht="12.75" customHeight="1" x14ac:dyDescent="0.25">
      <c r="A12" s="94"/>
      <c r="C12" s="99">
        <f>IF(InputTrianglesACPC!C13&lt;=InputTrianglesACPC!$N$3,1,0)</f>
        <v>1</v>
      </c>
      <c r="D12" s="99">
        <f>IF(InputTrianglesACPC!D13&lt;=InputTrianglesACPC!$N$3,1,0)</f>
        <v>1</v>
      </c>
      <c r="E12" s="99">
        <f>IF(InputTrianglesACPC!E13&lt;=InputTrianglesACPC!$N$3,1,0)</f>
        <v>1</v>
      </c>
      <c r="F12" s="99">
        <f>IF(InputTrianglesACPC!F13&lt;=InputTrianglesACPC!$N$3,1,0)</f>
        <v>1</v>
      </c>
      <c r="G12" s="99">
        <f>IF(InputTrianglesACPC!G13&lt;=InputTrianglesACPC!$N$3,1,0)</f>
        <v>1</v>
      </c>
      <c r="H12" s="99">
        <f>IF(InputTrianglesACPC!H13&lt;=InputTrianglesACPC!$N$3,1,0)</f>
        <v>1</v>
      </c>
      <c r="I12" s="99">
        <f>IF(InputTrianglesACPC!I13&lt;=InputTrianglesACPC!$N$3,1,0)</f>
        <v>1</v>
      </c>
      <c r="J12" s="99">
        <f>IF(InputTrianglesACPC!J13&lt;=InputTrianglesACPC!$N$3,1,0)</f>
        <v>1</v>
      </c>
      <c r="K12" s="99">
        <f>IF(InputTrianglesACPC!K13&lt;=InputTrianglesACPC!$N$3,1,0)</f>
        <v>1</v>
      </c>
      <c r="L12" s="99">
        <f>IF(InputTrianglesACPC!L13&lt;=InputTrianglesACPC!$N$3,1,0)</f>
        <v>1</v>
      </c>
      <c r="M12" s="99">
        <f>IF(InputTrianglesACPC!M13&lt;=InputTrianglesACPC!$N$3,1,0)</f>
        <v>0</v>
      </c>
      <c r="N12" s="99">
        <f>IF(InputTrianglesACPC!N13&lt;=InputTrianglesACPC!$N$3,1,0)</f>
        <v>0</v>
      </c>
      <c r="O12" s="99">
        <f>IF(InputTrianglesACPC!O13&lt;=InputTrianglesACPC!$N$3,1,0)</f>
        <v>0</v>
      </c>
      <c r="P12" s="99">
        <f>IF(InputTrianglesACPC!P13&lt;=InputTrianglesACPC!$N$3,1,0)</f>
        <v>0</v>
      </c>
      <c r="Q12" s="99">
        <f>IF(InputTrianglesACPC!Q13&lt;=InputTrianglesACPC!$N$3,1,0)</f>
        <v>0</v>
      </c>
      <c r="R12" s="99">
        <f>IF(InputTrianglesACPC!R13&lt;=InputTrianglesACPC!$N$3,1,0)</f>
        <v>0</v>
      </c>
      <c r="S12" s="99">
        <f>IF(InputTrianglesACPC!S13&lt;=InputTrianglesACPC!$N$3,1,0)</f>
        <v>0</v>
      </c>
      <c r="T12" s="99">
        <f>IF(InputTrianglesACPC!T13&lt;=InputTrianglesACPC!$N$3,1,0)</f>
        <v>0</v>
      </c>
      <c r="U12" s="99">
        <f>IF(InputTrianglesACPC!U13&lt;=InputTrianglesACPC!$N$3,1,0)</f>
        <v>0</v>
      </c>
      <c r="V12" s="99">
        <f>IF(InputTrianglesACPC!V13&lt;=InputTrianglesACPC!$N$3,1,0)</f>
        <v>0</v>
      </c>
      <c r="W12" s="99">
        <f>IF(InputTrianglesACPC!W13&lt;=InputTrianglesACPC!$N$3,1,0)</f>
        <v>0</v>
      </c>
      <c r="X12" s="99">
        <f>IF(InputTrianglesACPC!X13&lt;=InputTrianglesACPC!$N$3,1,0)</f>
        <v>0</v>
      </c>
      <c r="Y12" s="99">
        <f>IF(InputTrianglesACPC!Y13&lt;=InputTrianglesACPC!$N$3,1,0)</f>
        <v>0</v>
      </c>
      <c r="Z12" s="99">
        <f>IF(InputTrianglesACPC!Z13&lt;=InputTrianglesACPC!$N$3,1,0)</f>
        <v>0</v>
      </c>
      <c r="AA12" s="99">
        <f>IF(InputTrianglesACPC!AA13&lt;=InputTrianglesACPC!$N$3,1,0)</f>
        <v>0</v>
      </c>
      <c r="AB12" s="99">
        <f>IF(InputTrianglesACPC!AB13&lt;=InputTrianglesACPC!$N$3,1,0)</f>
        <v>0</v>
      </c>
      <c r="AC12" s="99">
        <f>IF(InputTrianglesACPC!AC13&lt;=InputTrianglesACPC!$N$3,1,0)</f>
        <v>0</v>
      </c>
      <c r="AD12" s="99">
        <f>IF(InputTrianglesACPC!AD13&lt;=InputTrianglesACPC!$N$3,1,0)</f>
        <v>0</v>
      </c>
      <c r="AE12" s="99">
        <f>IF(InputTrianglesACPC!AE13&lt;=InputTrianglesACPC!$N$3,1,0)</f>
        <v>0</v>
      </c>
      <c r="AF12" s="99">
        <f>IF(InputTrianglesACPC!AF13&lt;=InputTrianglesACPC!$N$3,1,0)</f>
        <v>0</v>
      </c>
      <c r="AG12" s="99">
        <f>IF(InputTrianglesACPC!AG13&lt;=InputTrianglesACPC!$N$3,1,0)</f>
        <v>0</v>
      </c>
      <c r="AH12" s="99">
        <f>IF(InputTrianglesACPC!AH13&lt;=InputTrianglesACPC!$N$3,1,0)</f>
        <v>0</v>
      </c>
      <c r="AI12" s="99">
        <f>IF(InputTrianglesACPC!AI13&lt;=InputTrianglesACPC!$N$3,1,0)</f>
        <v>0</v>
      </c>
      <c r="AJ12" s="99">
        <f>IF(InputTrianglesACPC!AJ13&lt;=InputTrianglesACPC!$N$3,1,0)</f>
        <v>0</v>
      </c>
      <c r="AK12" s="99">
        <f>IF(InputTrianglesACPC!AK13&lt;=InputTrianglesACPC!$N$3,1,0)</f>
        <v>0</v>
      </c>
      <c r="AL12" s="99">
        <f>IF(InputTrianglesACPC!AL13&lt;=InputTrianglesACPC!$N$3,1,0)</f>
        <v>0</v>
      </c>
      <c r="AM12" s="99">
        <f>IF(InputTrianglesACPC!AM13&lt;=InputTrianglesACPC!$N$3,1,0)</f>
        <v>0</v>
      </c>
      <c r="AN12" s="99">
        <f>IF(InputTrianglesACPC!AN13&lt;=InputTrianglesACPC!$N$3,1,0)</f>
        <v>0</v>
      </c>
      <c r="AO12" s="99">
        <f>IF(InputTrianglesACPC!AO13&lt;=InputTrianglesACPC!$N$3,1,0)</f>
        <v>0</v>
      </c>
      <c r="AP12" s="13">
        <f>IF(InputTrianglesACPC!AP13&lt;=InputTrianglesACPC!$N$3,1,0)</f>
        <v>0</v>
      </c>
      <c r="AQ12" s="13">
        <f>IF(InputTrianglesACPC!AQ13&lt;=InputTrianglesACPC!$N$3,1,0)</f>
        <v>0</v>
      </c>
      <c r="AR12" s="13">
        <f>IF(InputTrianglesACPC!AR13&lt;=InputTrianglesACPC!$N$3,1,0)</f>
        <v>0</v>
      </c>
      <c r="AS12" s="13">
        <f>IF(InputTrianglesACPC!AS13&lt;=InputTrianglesACPC!$N$3,1,0)</f>
        <v>0</v>
      </c>
      <c r="AT12" s="13">
        <f>IF(InputTrianglesACPC!AT13&lt;=InputTrianglesACPC!$N$3,1,0)</f>
        <v>0</v>
      </c>
      <c r="AU12" s="13">
        <f>IF(InputTrianglesACPC!AU13&lt;=InputTrianglesACPC!$N$3,1,0)</f>
        <v>0</v>
      </c>
      <c r="AV12" s="13">
        <f>IF(InputTrianglesACPC!AV13&lt;=InputTrianglesACPC!$N$3,1,0)</f>
        <v>0</v>
      </c>
      <c r="AW12" s="13">
        <f>IF(InputTrianglesACPC!AW13&lt;=InputTrianglesACPC!$N$3,1,0)</f>
        <v>0</v>
      </c>
      <c r="AX12" s="13">
        <f>IF(InputTrianglesACPC!AX13&lt;=InputTrianglesACPC!$N$3,1,0)</f>
        <v>0</v>
      </c>
      <c r="AY12" s="13">
        <f>IF(InputTrianglesACPC!AY13&lt;=InputTrianglesACPC!$N$3,1,0)</f>
        <v>0</v>
      </c>
      <c r="AZ12" s="13">
        <f>IF(InputTrianglesACPC!AZ13&lt;=InputTrianglesACPC!$N$3,1,0)</f>
        <v>0</v>
      </c>
      <c r="BA12" s="13">
        <f>IF(InputTrianglesACPC!BA13&lt;=InputTrianglesACPC!$N$3,1,0)</f>
        <v>0</v>
      </c>
      <c r="BB12" s="13">
        <f>IF(InputTrianglesACPC!BB13&lt;=InputTrianglesACPC!$N$3,1,0)</f>
        <v>0</v>
      </c>
      <c r="BC12" s="13">
        <f>IF(InputTrianglesACPC!BC13&lt;=InputTrianglesACPC!$N$3,1,0)</f>
        <v>0</v>
      </c>
      <c r="BD12" s="13">
        <f>IF(InputTrianglesACPC!BD13&lt;=InputTrianglesACPC!$N$3,1,0)</f>
        <v>0</v>
      </c>
      <c r="BE12" s="13">
        <f>IF(InputTrianglesACPC!BE13&lt;=InputTrianglesACPC!$N$3,1,0)</f>
        <v>0</v>
      </c>
      <c r="BF12" s="13">
        <f>IF(InputTrianglesACPC!BF13&lt;=InputTrianglesACPC!$N$3,1,0)</f>
        <v>0</v>
      </c>
      <c r="BG12" s="13">
        <f>IF(InputTrianglesACPC!BG13&lt;=InputTrianglesACPC!$N$3,1,0)</f>
        <v>0</v>
      </c>
      <c r="BH12" s="13">
        <f>IF(InputTrianglesACPC!BH13&lt;=InputTrianglesACPC!$N$3,1,0)</f>
        <v>0</v>
      </c>
      <c r="BI12" s="13">
        <f>IF(InputTrianglesACPC!BI13&lt;=InputTrianglesACPC!$N$3,1,0)</f>
        <v>0</v>
      </c>
      <c r="BJ12" s="13">
        <f>IF(InputTrianglesACPC!BJ13&lt;=InputTrianglesACPC!$N$3,1,0)</f>
        <v>0</v>
      </c>
      <c r="BK12" s="13">
        <f>IF(InputTrianglesACPC!BK13&lt;=InputTrianglesACPC!$N$3,1,0)</f>
        <v>0</v>
      </c>
      <c r="BL12" s="13">
        <f>IF(InputTrianglesACPC!BL13&lt;=InputTrianglesACPC!$N$3,1,0)</f>
        <v>0</v>
      </c>
      <c r="BM12" s="13">
        <f>IF(InputTrianglesACPC!BM13&lt;=InputTrianglesACPC!$N$3,1,0)</f>
        <v>0</v>
      </c>
      <c r="BN12" s="13">
        <f>IF(InputTrianglesACPC!BN13&lt;=InputTrianglesACPC!$N$3,1,0)</f>
        <v>0</v>
      </c>
      <c r="BO12" s="13">
        <f>IF(InputTrianglesACPC!BO13&lt;=InputTrianglesACPC!$N$3,1,0)</f>
        <v>0</v>
      </c>
      <c r="BP12" s="13">
        <f>IF(InputTrianglesACPC!BP13&lt;=InputTrianglesACPC!$N$3,1,0)</f>
        <v>0</v>
      </c>
      <c r="BQ12" s="13">
        <f>IF(InputTrianglesACPC!BQ13&lt;=InputTrianglesACPC!$N$3,1,0)</f>
        <v>0</v>
      </c>
      <c r="BR12" s="13">
        <f>IF(InputTrianglesACPC!BR13&lt;=InputTrianglesACPC!$N$3,1,0)</f>
        <v>0</v>
      </c>
      <c r="BS12" s="13">
        <f>IF(InputTrianglesACPC!BS13&lt;=InputTrianglesACPC!$N$3,1,0)</f>
        <v>0</v>
      </c>
      <c r="BT12" s="13">
        <f>IF(InputTrianglesACPC!BT13&lt;=InputTrianglesACPC!$N$3,1,0)</f>
        <v>0</v>
      </c>
      <c r="BU12" s="13">
        <f>IF(InputTrianglesACPC!BU13&lt;=InputTrianglesACPC!$N$3,1,0)</f>
        <v>0</v>
      </c>
      <c r="BV12" s="13">
        <f>IF(InputTrianglesACPC!BV13&lt;=InputTrianglesACPC!$N$3,1,0)</f>
        <v>0</v>
      </c>
      <c r="BW12" s="13">
        <f>IF(InputTrianglesACPC!BW13&lt;=InputTrianglesACPC!$N$3,1,0)</f>
        <v>0</v>
      </c>
      <c r="BX12" s="13">
        <f>IF(InputTrianglesACPC!BX13&lt;=InputTrianglesACPC!$N$3,1,0)</f>
        <v>0</v>
      </c>
      <c r="BY12" s="13">
        <f>IF(InputTrianglesACPC!BY13&lt;=InputTrianglesACPC!$N$3,1,0)</f>
        <v>0</v>
      </c>
      <c r="BZ12" s="13">
        <f>IF(InputTrianglesACPC!BZ13&lt;=InputTrianglesACPC!$N$3,1,0)</f>
        <v>0</v>
      </c>
      <c r="CA12" s="13">
        <f>IF(InputTrianglesACPC!CA13&lt;=InputTrianglesACPC!$N$3,1,0)</f>
        <v>0</v>
      </c>
      <c r="CB12" s="13">
        <f>IF(InputTrianglesACPC!CB13&lt;=InputTrianglesACPC!$N$3,1,0)</f>
        <v>0</v>
      </c>
      <c r="CC12" s="13">
        <f>IF(InputTrianglesACPC!CC13&lt;=InputTrianglesACPC!$N$3,1,0)</f>
        <v>0</v>
      </c>
      <c r="CD12" s="13">
        <f>IF(InputTrianglesACPC!CD13&lt;=InputTrianglesACPC!$N$3,1,0)</f>
        <v>0</v>
      </c>
      <c r="CE12" s="13">
        <f>IF(InputTrianglesACPC!CE13&lt;=InputTrianglesACPC!$N$3,1,0)</f>
        <v>0</v>
      </c>
      <c r="CF12" s="13">
        <f>IF(InputTrianglesACPC!CF13&lt;=InputTrianglesACPC!$N$3,1,0)</f>
        <v>0</v>
      </c>
      <c r="CG12" s="13">
        <f>IF(InputTrianglesACPC!CG13&lt;=InputTrianglesACPC!$N$3,1,0)</f>
        <v>0</v>
      </c>
      <c r="CH12" s="13">
        <f>IF(InputTrianglesACPC!CH13&lt;=InputTrianglesACPC!$N$3,1,0)</f>
        <v>0</v>
      </c>
      <c r="CI12" s="13">
        <f>IF(InputTrianglesACPC!CI13&lt;=InputTrianglesACPC!$N$3,1,0)</f>
        <v>0</v>
      </c>
      <c r="CJ12" s="13">
        <f>IF(InputTrianglesACPC!CJ13&lt;=InputTrianglesACPC!$N$3,1,0)</f>
        <v>0</v>
      </c>
      <c r="CK12" s="13">
        <f>IF(InputTrianglesACPC!CK13&lt;=InputTrianglesACPC!$N$3,1,0)</f>
        <v>0</v>
      </c>
      <c r="CL12" s="13">
        <f>IF(InputTrianglesACPC!CL13&lt;=InputTrianglesACPC!$N$3,1,0)</f>
        <v>0</v>
      </c>
      <c r="CM12" s="13">
        <f>IF(InputTrianglesACPC!CM13&lt;=InputTrianglesACPC!$N$3,1,0)</f>
        <v>0</v>
      </c>
      <c r="CN12" s="13">
        <f>IF(InputTrianglesACPC!CN13&lt;=InputTrianglesACPC!$N$3,1,0)</f>
        <v>0</v>
      </c>
      <c r="CO12" s="13">
        <f>IF(InputTrianglesACPC!CO13&lt;=InputTrianglesACPC!$N$3,1,0)</f>
        <v>0</v>
      </c>
      <c r="CP12" s="13">
        <f>IF(InputTrianglesACPC!CP13&lt;=InputTrianglesACPC!$N$3,1,0)</f>
        <v>0</v>
      </c>
      <c r="CQ12" s="13">
        <f>IF(InputTrianglesACPC!CQ13&lt;=InputTrianglesACPC!$N$3,1,0)</f>
        <v>0</v>
      </c>
      <c r="CR12" s="13">
        <f>IF(InputTrianglesACPC!CR13&lt;=InputTrianglesACPC!$N$3,1,0)</f>
        <v>0</v>
      </c>
      <c r="CS12" s="13">
        <f>IF(InputTrianglesACPC!CS13&lt;=InputTrianglesACPC!$N$3,1,0)</f>
        <v>0</v>
      </c>
      <c r="CU12" s="20">
        <v>1</v>
      </c>
      <c r="CV12" s="12"/>
    </row>
    <row r="13" spans="1:102" ht="45" x14ac:dyDescent="0.25">
      <c r="A13" s="95"/>
      <c r="B13" s="21" t="s">
        <v>42</v>
      </c>
      <c r="C13" s="22">
        <v>1</v>
      </c>
      <c r="D13" s="23">
        <f t="shared" ref="D13:AN13" si="0">C13+1</f>
        <v>2</v>
      </c>
      <c r="E13" s="23">
        <f t="shared" si="0"/>
        <v>3</v>
      </c>
      <c r="F13" s="23">
        <f t="shared" si="0"/>
        <v>4</v>
      </c>
      <c r="G13" s="23">
        <f t="shared" si="0"/>
        <v>5</v>
      </c>
      <c r="H13" s="23">
        <f t="shared" si="0"/>
        <v>6</v>
      </c>
      <c r="I13" s="23">
        <f t="shared" si="0"/>
        <v>7</v>
      </c>
      <c r="J13" s="23">
        <f t="shared" si="0"/>
        <v>8</v>
      </c>
      <c r="K13" s="23">
        <f t="shared" si="0"/>
        <v>9</v>
      </c>
      <c r="L13" s="23">
        <f t="shared" si="0"/>
        <v>10</v>
      </c>
      <c r="M13" s="23">
        <f t="shared" si="0"/>
        <v>11</v>
      </c>
      <c r="N13" s="23">
        <f t="shared" si="0"/>
        <v>12</v>
      </c>
      <c r="O13" s="23">
        <f t="shared" si="0"/>
        <v>13</v>
      </c>
      <c r="P13" s="23">
        <f t="shared" si="0"/>
        <v>14</v>
      </c>
      <c r="Q13" s="23">
        <f t="shared" si="0"/>
        <v>15</v>
      </c>
      <c r="R13" s="23">
        <f t="shared" si="0"/>
        <v>16</v>
      </c>
      <c r="S13" s="23">
        <f t="shared" si="0"/>
        <v>17</v>
      </c>
      <c r="T13" s="23">
        <f t="shared" si="0"/>
        <v>18</v>
      </c>
      <c r="U13" s="23">
        <f t="shared" si="0"/>
        <v>19</v>
      </c>
      <c r="V13" s="23">
        <f t="shared" si="0"/>
        <v>20</v>
      </c>
      <c r="W13" s="23">
        <f t="shared" si="0"/>
        <v>21</v>
      </c>
      <c r="X13" s="23">
        <f t="shared" si="0"/>
        <v>22</v>
      </c>
      <c r="Y13" s="23">
        <f t="shared" si="0"/>
        <v>23</v>
      </c>
      <c r="Z13" s="23">
        <f t="shared" si="0"/>
        <v>24</v>
      </c>
      <c r="AA13" s="23">
        <f t="shared" si="0"/>
        <v>25</v>
      </c>
      <c r="AB13" s="23">
        <f t="shared" si="0"/>
        <v>26</v>
      </c>
      <c r="AC13" s="23">
        <f t="shared" si="0"/>
        <v>27</v>
      </c>
      <c r="AD13" s="23">
        <f t="shared" si="0"/>
        <v>28</v>
      </c>
      <c r="AE13" s="23">
        <f t="shared" si="0"/>
        <v>29</v>
      </c>
      <c r="AF13" s="23">
        <f t="shared" si="0"/>
        <v>30</v>
      </c>
      <c r="AG13" s="23">
        <f t="shared" si="0"/>
        <v>31</v>
      </c>
      <c r="AH13" s="23">
        <f t="shared" si="0"/>
        <v>32</v>
      </c>
      <c r="AI13" s="23">
        <f t="shared" si="0"/>
        <v>33</v>
      </c>
      <c r="AJ13" s="23">
        <f t="shared" si="0"/>
        <v>34</v>
      </c>
      <c r="AK13" s="23">
        <f t="shared" si="0"/>
        <v>35</v>
      </c>
      <c r="AL13" s="23">
        <f t="shared" si="0"/>
        <v>36</v>
      </c>
      <c r="AM13" s="23">
        <f t="shared" si="0"/>
        <v>37</v>
      </c>
      <c r="AN13" s="23">
        <f t="shared" si="0"/>
        <v>38</v>
      </c>
      <c r="AO13" s="23">
        <v>39</v>
      </c>
      <c r="AP13" s="23">
        <v>40</v>
      </c>
      <c r="AQ13" s="23">
        <v>41</v>
      </c>
      <c r="AR13" s="23">
        <v>42</v>
      </c>
      <c r="AS13" s="23">
        <v>43</v>
      </c>
      <c r="AT13" s="23">
        <v>44</v>
      </c>
      <c r="AU13" s="23">
        <v>45</v>
      </c>
      <c r="AV13" s="23">
        <v>46</v>
      </c>
      <c r="AW13" s="23">
        <v>47</v>
      </c>
      <c r="AX13" s="23">
        <v>48</v>
      </c>
      <c r="AY13" s="23">
        <v>49</v>
      </c>
      <c r="AZ13" s="23">
        <v>50</v>
      </c>
      <c r="BA13" s="23">
        <v>51</v>
      </c>
      <c r="BB13" s="23">
        <v>52</v>
      </c>
      <c r="BC13" s="23">
        <v>53</v>
      </c>
      <c r="BD13" s="23">
        <v>54</v>
      </c>
      <c r="BE13" s="23">
        <v>55</v>
      </c>
      <c r="BF13" s="23">
        <v>56</v>
      </c>
      <c r="BG13" s="23">
        <v>57</v>
      </c>
      <c r="BH13" s="23">
        <v>58</v>
      </c>
      <c r="BI13" s="23">
        <v>59</v>
      </c>
      <c r="BJ13" s="23">
        <v>60</v>
      </c>
      <c r="BK13" s="23">
        <v>61</v>
      </c>
      <c r="BL13" s="23">
        <v>62</v>
      </c>
      <c r="BM13" s="23">
        <v>63</v>
      </c>
      <c r="BN13" s="23">
        <v>64</v>
      </c>
      <c r="BO13" s="23">
        <v>65</v>
      </c>
      <c r="BP13" s="23">
        <v>66</v>
      </c>
      <c r="BQ13" s="23">
        <v>67</v>
      </c>
      <c r="BR13" s="23">
        <v>68</v>
      </c>
      <c r="BS13" s="23">
        <v>69</v>
      </c>
      <c r="BT13" s="23">
        <v>70</v>
      </c>
      <c r="BU13" s="23">
        <v>71</v>
      </c>
      <c r="BV13" s="23">
        <v>72</v>
      </c>
      <c r="BW13" s="23">
        <v>73</v>
      </c>
      <c r="BX13" s="23">
        <v>74</v>
      </c>
      <c r="BY13" s="23">
        <v>75</v>
      </c>
      <c r="BZ13" s="23">
        <v>76</v>
      </c>
      <c r="CA13" s="23">
        <v>77</v>
      </c>
      <c r="CB13" s="23">
        <v>78</v>
      </c>
      <c r="CC13" s="23">
        <v>79</v>
      </c>
      <c r="CD13" s="23">
        <v>80</v>
      </c>
      <c r="CE13" s="23">
        <v>81</v>
      </c>
      <c r="CF13" s="23">
        <v>82</v>
      </c>
      <c r="CG13" s="23">
        <v>83</v>
      </c>
      <c r="CH13" s="23">
        <v>84</v>
      </c>
      <c r="CI13" s="23">
        <v>85</v>
      </c>
      <c r="CJ13" s="23">
        <v>86</v>
      </c>
      <c r="CK13" s="23">
        <v>87</v>
      </c>
      <c r="CL13" s="23">
        <v>88</v>
      </c>
      <c r="CM13" s="23">
        <v>89</v>
      </c>
      <c r="CN13" s="23">
        <v>90</v>
      </c>
      <c r="CO13" s="23">
        <v>91</v>
      </c>
      <c r="CP13" s="23">
        <v>92</v>
      </c>
      <c r="CQ13" s="23">
        <f>CP13+1</f>
        <v>93</v>
      </c>
      <c r="CR13" s="23">
        <f t="shared" ref="CR13:CS13" si="1">CQ13+1</f>
        <v>94</v>
      </c>
      <c r="CS13" s="60">
        <f t="shared" si="1"/>
        <v>95</v>
      </c>
      <c r="CT13" s="222" t="s">
        <v>44</v>
      </c>
      <c r="CU13" s="223" t="str">
        <f>"Current Position Triangle less " &amp; CU12</f>
        <v>Current Position Triangle less 1</v>
      </c>
      <c r="CV13" s="223" t="s">
        <v>60</v>
      </c>
      <c r="CW13" s="21" t="s">
        <v>59</v>
      </c>
      <c r="CX13" s="64" t="s">
        <v>45</v>
      </c>
    </row>
    <row r="14" spans="1:102" hidden="1" x14ac:dyDescent="0.25">
      <c r="A14" s="96">
        <f>IF(InputTrianglesACPC!B14&gt;=$D$8,1,0)</f>
        <v>0</v>
      </c>
      <c r="B14" s="7">
        <f t="shared" ref="B14:B34" si="2">B15-1</f>
        <v>1996</v>
      </c>
      <c r="C14" s="66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2" t="str">
        <f ca="1">IF(CX14=0,"",OFFSET(B14,0,$D$6+ ($D$9-B14)*InputTrianglesACPC!$E$4))</f>
        <v/>
      </c>
      <c r="CU14" s="30" t="str">
        <f ca="1">IF(CX14=0,"",OFFSET(B14,0,$D$6+ ($D$9-B14)*InputTrianglesACPC!$E$4-CU$12))</f>
        <v/>
      </c>
      <c r="CV14" s="185" t="str">
        <f t="shared" ref="CV14:CV29" ca="1" si="3">IF(CT14="","",CT14-CU14)</f>
        <v/>
      </c>
      <c r="CW14" s="32" t="str" cm="1">
        <f t="array" ref="CW14">IF(CX14=0,"",LOOKUP(2,1/(ISNUMBER(C14:CS14)),C14:CS14))</f>
        <v/>
      </c>
      <c r="CX14" s="64">
        <f>IF(COUNTBLANK(C14:CS14)=CS$13,0,1)</f>
        <v>0</v>
      </c>
    </row>
    <row r="15" spans="1:102" hidden="1" x14ac:dyDescent="0.25">
      <c r="A15" s="96">
        <f>IF(InputTrianglesACPC!B15&gt;=$D$8,1,0)</f>
        <v>0</v>
      </c>
      <c r="B15" s="29">
        <f t="shared" si="2"/>
        <v>1997</v>
      </c>
      <c r="C15" s="68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69"/>
      <c r="BZ15" s="69"/>
      <c r="CA15" s="69"/>
      <c r="CB15" s="69"/>
      <c r="CC15" s="69"/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2" t="str">
        <f ca="1">IF(CX15=0,"",OFFSET(B15,0,$D$6+ ($D$9-B15)*InputTrianglesACPC!$E$4))</f>
        <v/>
      </c>
      <c r="CU15" s="30" t="str">
        <f ca="1">IF(CX15=0,"",OFFSET(B15,0,$D$6+ ($D$9-B15)*InputTrianglesACPC!$E$4-CU$12))</f>
        <v/>
      </c>
      <c r="CV15" s="185" t="str">
        <f t="shared" ca="1" si="3"/>
        <v/>
      </c>
      <c r="CW15" s="32" t="str" cm="1">
        <f t="array" ref="CW15">IF(CX15=0,"",LOOKUP(2,1/(ISNUMBER(C15:CS15)),C15:CS15))</f>
        <v/>
      </c>
      <c r="CX15" s="64">
        <f t="shared" ref="CX15:CX37" si="4">IF(COUNTBLANK(C15:CS15)=CS$13,0,1)</f>
        <v>0</v>
      </c>
    </row>
    <row r="16" spans="1:102" hidden="1" x14ac:dyDescent="0.25">
      <c r="A16" s="96">
        <f>IF(InputTrianglesACPC!B16&gt;=$D$8,1,0)</f>
        <v>0</v>
      </c>
      <c r="B16" s="29">
        <f t="shared" si="2"/>
        <v>1998</v>
      </c>
      <c r="C16" s="68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69"/>
      <c r="BZ16" s="69"/>
      <c r="CA16" s="69"/>
      <c r="CB16" s="69"/>
      <c r="CC16" s="69"/>
      <c r="CD16" s="69"/>
      <c r="CE16" s="69"/>
      <c r="CF16" s="69"/>
      <c r="CG16" s="69"/>
      <c r="CH16" s="69"/>
      <c r="CI16" s="69"/>
      <c r="CJ16" s="69"/>
      <c r="CK16" s="69"/>
      <c r="CL16" s="69"/>
      <c r="CM16" s="69"/>
      <c r="CN16" s="69"/>
      <c r="CO16" s="69"/>
      <c r="CP16" s="69"/>
      <c r="CQ16" s="69"/>
      <c r="CR16" s="69"/>
      <c r="CS16" s="69"/>
      <c r="CT16" s="62" t="str">
        <f ca="1">IF(CX16=0,"",OFFSET(B16,0,$D$6+ ($D$9-B16)*InputTrianglesACPC!$E$4))</f>
        <v/>
      </c>
      <c r="CU16" s="30" t="str">
        <f ca="1">IF(CX16=0,"",OFFSET(B16,0,$D$6+ ($D$9-B16)*InputTrianglesACPC!$E$4-CU$12))</f>
        <v/>
      </c>
      <c r="CV16" s="185" t="str">
        <f t="shared" ca="1" si="3"/>
        <v/>
      </c>
      <c r="CW16" s="32" t="str" cm="1">
        <f t="array" ref="CW16">IF(CX16=0,"",LOOKUP(2,1/(ISNUMBER(C16:CS16)),C16:CS16))</f>
        <v/>
      </c>
      <c r="CX16" s="64">
        <f t="shared" si="4"/>
        <v>0</v>
      </c>
    </row>
    <row r="17" spans="1:102" hidden="1" x14ac:dyDescent="0.25">
      <c r="A17" s="96">
        <f>IF(InputTrianglesACPC!B17&gt;=$D$8,1,0)</f>
        <v>0</v>
      </c>
      <c r="B17" s="29">
        <f t="shared" si="2"/>
        <v>1999</v>
      </c>
      <c r="C17" s="68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  <c r="BO17" s="69"/>
      <c r="BP17" s="69"/>
      <c r="BQ17" s="69"/>
      <c r="BR17" s="69"/>
      <c r="BS17" s="69"/>
      <c r="BT17" s="69"/>
      <c r="BU17" s="69"/>
      <c r="BV17" s="69"/>
      <c r="BW17" s="69"/>
      <c r="BX17" s="69"/>
      <c r="BY17" s="69"/>
      <c r="BZ17" s="69"/>
      <c r="CA17" s="69"/>
      <c r="CB17" s="69"/>
      <c r="CC17" s="69"/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2" t="str">
        <f ca="1">IF(CX17=0,"",OFFSET(B17,0,$D$6+ ($D$9-B17)*InputTrianglesACPC!$E$4))</f>
        <v/>
      </c>
      <c r="CU17" s="30" t="str">
        <f ca="1">IF(CX17=0,"",OFFSET(B17,0,$D$6+ ($D$9-B17)*InputTrianglesACPC!$E$4-CU$12))</f>
        <v/>
      </c>
      <c r="CV17" s="185" t="str">
        <f t="shared" ca="1" si="3"/>
        <v/>
      </c>
      <c r="CW17" s="32" t="str" cm="1">
        <f t="array" ref="CW17">IF(CX17=0,"",LOOKUP(2,1/(ISNUMBER(C17:CS17)),C17:CS17))</f>
        <v/>
      </c>
      <c r="CX17" s="64">
        <f t="shared" si="4"/>
        <v>0</v>
      </c>
    </row>
    <row r="18" spans="1:102" x14ac:dyDescent="0.25">
      <c r="A18" s="96">
        <f>IF(InputTrianglesACPC!B18&gt;=$D$8,1,0)</f>
        <v>0</v>
      </c>
      <c r="B18" s="29">
        <f t="shared" si="2"/>
        <v>2000</v>
      </c>
      <c r="C18" s="68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BN18" s="69"/>
      <c r="BO18" s="69"/>
      <c r="BP18" s="69"/>
      <c r="BQ18" s="69"/>
      <c r="BR18" s="69"/>
      <c r="BS18" s="69"/>
      <c r="BT18" s="69"/>
      <c r="BU18" s="69"/>
      <c r="BV18" s="69"/>
      <c r="BW18" s="69"/>
      <c r="BX18" s="69"/>
      <c r="BY18" s="69"/>
      <c r="BZ18" s="69"/>
      <c r="CA18" s="69"/>
      <c r="CB18" s="69"/>
      <c r="CC18" s="69"/>
      <c r="CD18" s="69"/>
      <c r="CE18" s="69"/>
      <c r="CF18" s="69"/>
      <c r="CG18" s="69"/>
      <c r="CH18" s="69"/>
      <c r="CI18" s="69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2" t="str">
        <f ca="1">IF(CX18=0,"",OFFSET(B18,0,$D$6+ ($D$9-B18)*InputTrianglesACPC!$E$4))</f>
        <v/>
      </c>
      <c r="CU18" s="30" t="str">
        <f ca="1">IF(CX18=0,"",OFFSET(B18,0,$D$6+ ($D$9-B18)*InputTrianglesACPC!$E$4-CU$12))</f>
        <v/>
      </c>
      <c r="CV18" s="185" t="str">
        <f t="shared" ca="1" si="3"/>
        <v/>
      </c>
      <c r="CW18" s="32" t="str" cm="1">
        <f t="array" ref="CW18">IF(CX18=0,"",LOOKUP(2,1/(ISNUMBER(C18:CS18)),C18:CS18))</f>
        <v/>
      </c>
      <c r="CX18" s="64">
        <f t="shared" si="4"/>
        <v>0</v>
      </c>
    </row>
    <row r="19" spans="1:102" x14ac:dyDescent="0.25">
      <c r="A19" s="96">
        <f>IF(InputTrianglesACPC!B19&gt;=$D$8,1,0)</f>
        <v>0</v>
      </c>
      <c r="B19" s="29">
        <f t="shared" si="2"/>
        <v>2001</v>
      </c>
      <c r="C19" s="68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  <c r="BO19" s="69"/>
      <c r="BP19" s="69"/>
      <c r="BQ19" s="69"/>
      <c r="BR19" s="69"/>
      <c r="BS19" s="69"/>
      <c r="BT19" s="69"/>
      <c r="BU19" s="69"/>
      <c r="BV19" s="69"/>
      <c r="BW19" s="69"/>
      <c r="BX19" s="69"/>
      <c r="BY19" s="69"/>
      <c r="BZ19" s="69"/>
      <c r="CA19" s="69"/>
      <c r="CB19" s="69"/>
      <c r="CC19" s="69"/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2" t="str">
        <f ca="1">IF(CX19=0,"",OFFSET(B19,0,$D$6+ ($D$9-B19)*InputTrianglesACPC!$E$4))</f>
        <v/>
      </c>
      <c r="CU19" s="30" t="str">
        <f ca="1">IF(CX19=0,"",OFFSET(B19,0,$D$6+ ($D$9-B19)*InputTrianglesACPC!$E$4-CU$12))</f>
        <v/>
      </c>
      <c r="CV19" s="185" t="str">
        <f t="shared" ca="1" si="3"/>
        <v/>
      </c>
      <c r="CW19" s="32" t="str" cm="1">
        <f t="array" ref="CW19">IF(CX19=0,"",LOOKUP(2,1/(ISNUMBER(C19:CS19)),C19:CS19))</f>
        <v/>
      </c>
      <c r="CX19" s="64">
        <f t="shared" si="4"/>
        <v>0</v>
      </c>
    </row>
    <row r="20" spans="1:102" x14ac:dyDescent="0.25">
      <c r="A20" s="96">
        <f>IF(InputTrianglesACPC!B20&gt;=$D$8,1,0)</f>
        <v>0</v>
      </c>
      <c r="B20" s="29">
        <f t="shared" si="2"/>
        <v>2002</v>
      </c>
      <c r="C20" s="68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BN20" s="69"/>
      <c r="BO20" s="69"/>
      <c r="BP20" s="69"/>
      <c r="BQ20" s="69"/>
      <c r="BR20" s="69"/>
      <c r="BS20" s="69"/>
      <c r="BT20" s="69"/>
      <c r="BU20" s="69"/>
      <c r="BV20" s="69"/>
      <c r="BW20" s="69"/>
      <c r="BX20" s="69"/>
      <c r="BY20" s="69"/>
      <c r="BZ20" s="69"/>
      <c r="CA20" s="69"/>
      <c r="CB20" s="69"/>
      <c r="CC20" s="69"/>
      <c r="CD20" s="69"/>
      <c r="CE20" s="69"/>
      <c r="CF20" s="69"/>
      <c r="CG20" s="69"/>
      <c r="CH20" s="69"/>
      <c r="CI20" s="69"/>
      <c r="CJ20" s="69"/>
      <c r="CK20" s="69"/>
      <c r="CL20" s="69"/>
      <c r="CM20" s="69"/>
      <c r="CN20" s="69"/>
      <c r="CO20" s="69"/>
      <c r="CP20" s="69"/>
      <c r="CQ20" s="69"/>
      <c r="CR20" s="69"/>
      <c r="CS20" s="69"/>
      <c r="CT20" s="62" t="str">
        <f ca="1">IF(CX20=0,"",OFFSET(B20,0,$D$6+ ($D$9-B20)*InputTrianglesACPC!$E$4))</f>
        <v/>
      </c>
      <c r="CU20" s="30" t="str">
        <f ca="1">IF(CX20=0,"",OFFSET(B20,0,$D$6+ ($D$9-B20)*InputTrianglesACPC!$E$4-CU$12))</f>
        <v/>
      </c>
      <c r="CV20" s="185" t="str">
        <f t="shared" ca="1" si="3"/>
        <v/>
      </c>
      <c r="CW20" s="32" t="str" cm="1">
        <f t="array" ref="CW20">IF(CX20=0,"",LOOKUP(2,1/(ISNUMBER(C20:CS20)),C20:CS20))</f>
        <v/>
      </c>
      <c r="CX20" s="64">
        <f t="shared" si="4"/>
        <v>0</v>
      </c>
    </row>
    <row r="21" spans="1:102" x14ac:dyDescent="0.25">
      <c r="A21" s="96">
        <f>IF(InputTrianglesACPC!B21&gt;=$D$8,1,0)</f>
        <v>0</v>
      </c>
      <c r="B21" s="29">
        <f t="shared" si="2"/>
        <v>2003</v>
      </c>
      <c r="C21" s="68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BN21" s="69"/>
      <c r="BO21" s="69"/>
      <c r="BP21" s="69"/>
      <c r="BQ21" s="69"/>
      <c r="BR21" s="69"/>
      <c r="BS21" s="69"/>
      <c r="BT21" s="69"/>
      <c r="BU21" s="69"/>
      <c r="BV21" s="69"/>
      <c r="BW21" s="69"/>
      <c r="BX21" s="69"/>
      <c r="BY21" s="69"/>
      <c r="BZ21" s="69"/>
      <c r="CA21" s="69"/>
      <c r="CB21" s="69"/>
      <c r="CC21" s="69"/>
      <c r="CD21" s="69"/>
      <c r="CE21" s="69"/>
      <c r="CF21" s="69"/>
      <c r="CG21" s="69"/>
      <c r="CH21" s="69"/>
      <c r="CI21" s="69"/>
      <c r="CJ21" s="69"/>
      <c r="CK21" s="69"/>
      <c r="CL21" s="69"/>
      <c r="CM21" s="69"/>
      <c r="CN21" s="69"/>
      <c r="CO21" s="69"/>
      <c r="CP21" s="69"/>
      <c r="CQ21" s="69"/>
      <c r="CR21" s="69"/>
      <c r="CS21" s="69"/>
      <c r="CT21" s="62" t="str">
        <f ca="1">IF(CX21=0,"",OFFSET(B21,0,$D$6+ ($D$9-B21)*InputTrianglesACPC!$E$4))</f>
        <v/>
      </c>
      <c r="CU21" s="30" t="str">
        <f ca="1">IF(CX21=0,"",OFFSET(B21,0,$D$6+ ($D$9-B21)*InputTrianglesACPC!$E$4-CU$12))</f>
        <v/>
      </c>
      <c r="CV21" s="185" t="str">
        <f t="shared" ca="1" si="3"/>
        <v/>
      </c>
      <c r="CW21" s="32" t="str" cm="1">
        <f t="array" ref="CW21">IF(CX21=0,"",LOOKUP(2,1/(ISNUMBER(C21:CS21)),C21:CS21))</f>
        <v/>
      </c>
      <c r="CX21" s="64">
        <f t="shared" si="4"/>
        <v>0</v>
      </c>
    </row>
    <row r="22" spans="1:102" x14ac:dyDescent="0.25">
      <c r="A22" s="96">
        <f>IF(InputTrianglesACPC!B22&gt;=$D$8,1,0)</f>
        <v>0</v>
      </c>
      <c r="B22" s="29">
        <f t="shared" si="2"/>
        <v>2004</v>
      </c>
      <c r="C22" s="68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BN22" s="69"/>
      <c r="BO22" s="69"/>
      <c r="BP22" s="69"/>
      <c r="BQ22" s="69"/>
      <c r="BR22" s="69"/>
      <c r="BS22" s="69"/>
      <c r="BT22" s="69"/>
      <c r="BU22" s="69"/>
      <c r="BV22" s="69"/>
      <c r="BW22" s="69"/>
      <c r="BX22" s="69"/>
      <c r="BY22" s="69"/>
      <c r="BZ22" s="69"/>
      <c r="CA22" s="69"/>
      <c r="CB22" s="69"/>
      <c r="CC22" s="69"/>
      <c r="CD22" s="69"/>
      <c r="CE22" s="69"/>
      <c r="CF22" s="69"/>
      <c r="CG22" s="69"/>
      <c r="CH22" s="69"/>
      <c r="CI22" s="69"/>
      <c r="CJ22" s="69"/>
      <c r="CK22" s="69"/>
      <c r="CL22" s="69"/>
      <c r="CM22" s="69"/>
      <c r="CN22" s="69"/>
      <c r="CO22" s="69"/>
      <c r="CP22" s="69"/>
      <c r="CQ22" s="69"/>
      <c r="CR22" s="69"/>
      <c r="CS22" s="69"/>
      <c r="CT22" s="62" t="str">
        <f ca="1">IF(CX22=0,"",OFFSET(B22,0,$D$6+ ($D$9-B22)*InputTrianglesACPC!$E$4))</f>
        <v/>
      </c>
      <c r="CU22" s="30" t="str">
        <f ca="1">IF(CX22=0,"",OFFSET(B22,0,$D$6+ ($D$9-B22)*InputTrianglesACPC!$E$4-CU$12))</f>
        <v/>
      </c>
      <c r="CV22" s="185" t="str">
        <f t="shared" ca="1" si="3"/>
        <v/>
      </c>
      <c r="CW22" s="32" t="str" cm="1">
        <f t="array" ref="CW22">IF(CX22=0,"",LOOKUP(2,1/(ISNUMBER(C22:CS22)),C22:CS22))</f>
        <v/>
      </c>
      <c r="CX22" s="64">
        <f t="shared" si="4"/>
        <v>0</v>
      </c>
    </row>
    <row r="23" spans="1:102" x14ac:dyDescent="0.25">
      <c r="A23" s="96">
        <f>IF(InputTrianglesACPC!B23&gt;=$D$8,1,0)</f>
        <v>0</v>
      </c>
      <c r="B23" s="29">
        <f t="shared" si="2"/>
        <v>2005</v>
      </c>
      <c r="C23" s="68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BN23" s="69"/>
      <c r="BO23" s="69"/>
      <c r="BP23" s="69"/>
      <c r="BQ23" s="69"/>
      <c r="BR23" s="69"/>
      <c r="BS23" s="69"/>
      <c r="BT23" s="69"/>
      <c r="BU23" s="69"/>
      <c r="BV23" s="69"/>
      <c r="BW23" s="69"/>
      <c r="BX23" s="69"/>
      <c r="BY23" s="69"/>
      <c r="BZ23" s="69"/>
      <c r="CA23" s="69"/>
      <c r="CB23" s="69"/>
      <c r="CC23" s="69"/>
      <c r="CD23" s="69"/>
      <c r="CE23" s="69"/>
      <c r="CF23" s="69"/>
      <c r="CG23" s="69"/>
      <c r="CH23" s="69"/>
      <c r="CI23" s="69"/>
      <c r="CJ23" s="69"/>
      <c r="CK23" s="69"/>
      <c r="CL23" s="69"/>
      <c r="CM23" s="69"/>
      <c r="CN23" s="69"/>
      <c r="CO23" s="69"/>
      <c r="CP23" s="69"/>
      <c r="CQ23" s="69"/>
      <c r="CR23" s="69"/>
      <c r="CS23" s="69"/>
      <c r="CT23" s="62" t="str">
        <f ca="1">IF(CX23=0,"",OFFSET(B23,0,$D$6+ ($D$9-B23)*InputTrianglesACPC!$E$4))</f>
        <v/>
      </c>
      <c r="CU23" s="30" t="str">
        <f ca="1">IF(CX23=0,"",OFFSET(B23,0,$D$6+ ($D$9-B23)*InputTrianglesACPC!$E$4-CU$12))</f>
        <v/>
      </c>
      <c r="CV23" s="185" t="str">
        <f t="shared" ca="1" si="3"/>
        <v/>
      </c>
      <c r="CW23" s="32" t="str" cm="1">
        <f t="array" ref="CW23">IF(CX23=0,"",LOOKUP(2,1/(ISNUMBER(C23:CS23)),C23:CS23))</f>
        <v/>
      </c>
      <c r="CX23" s="64">
        <f t="shared" si="4"/>
        <v>0</v>
      </c>
    </row>
    <row r="24" spans="1:102" x14ac:dyDescent="0.25">
      <c r="A24" s="96">
        <f>IF(InputTrianglesACPC!B24&gt;=$D$8,1,0)</f>
        <v>0</v>
      </c>
      <c r="B24" s="29">
        <f t="shared" si="2"/>
        <v>2006</v>
      </c>
      <c r="C24" s="68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BN24" s="69"/>
      <c r="BO24" s="69"/>
      <c r="BP24" s="69"/>
      <c r="BQ24" s="69"/>
      <c r="BR24" s="69"/>
      <c r="BS24" s="69"/>
      <c r="BT24" s="69"/>
      <c r="BU24" s="69"/>
      <c r="BV24" s="69"/>
      <c r="BW24" s="69"/>
      <c r="BX24" s="69"/>
      <c r="BY24" s="69"/>
      <c r="BZ24" s="69"/>
      <c r="CA24" s="69"/>
      <c r="CB24" s="69"/>
      <c r="CC24" s="69"/>
      <c r="CD24" s="69"/>
      <c r="CE24" s="69"/>
      <c r="CF24" s="69"/>
      <c r="CG24" s="69"/>
      <c r="CH24" s="69"/>
      <c r="CI24" s="69"/>
      <c r="CJ24" s="69"/>
      <c r="CK24" s="69"/>
      <c r="CL24" s="69"/>
      <c r="CM24" s="69"/>
      <c r="CN24" s="69"/>
      <c r="CO24" s="69"/>
      <c r="CP24" s="69"/>
      <c r="CQ24" s="69"/>
      <c r="CR24" s="69"/>
      <c r="CS24" s="69"/>
      <c r="CT24" s="62" t="str">
        <f ca="1">IF(CX24=0,"",OFFSET(B24,0,$D$6+ ($D$9-B24)*InputTrianglesACPC!$E$4))</f>
        <v/>
      </c>
      <c r="CU24" s="30" t="str">
        <f ca="1">IF(CX24=0,"",OFFSET(B24,0,$D$6+ ($D$9-B24)*InputTrianglesACPC!$E$4-CU$12))</f>
        <v/>
      </c>
      <c r="CV24" s="185" t="str">
        <f t="shared" ca="1" si="3"/>
        <v/>
      </c>
      <c r="CW24" s="32" t="str" cm="1">
        <f t="array" ref="CW24">IF(CX24=0,"",LOOKUP(2,1/(ISNUMBER(C24:CS24)),C24:CS24))</f>
        <v/>
      </c>
      <c r="CX24" s="64">
        <f t="shared" si="4"/>
        <v>0</v>
      </c>
    </row>
    <row r="25" spans="1:102" x14ac:dyDescent="0.25">
      <c r="A25" s="96">
        <f>IF(InputTrianglesACPC!B25&gt;=$D$8,1,0)</f>
        <v>0</v>
      </c>
      <c r="B25" s="29">
        <f t="shared" si="2"/>
        <v>2007</v>
      </c>
      <c r="C25" s="68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BN25" s="69"/>
      <c r="BO25" s="69"/>
      <c r="BP25" s="69"/>
      <c r="BQ25" s="69"/>
      <c r="BR25" s="69"/>
      <c r="BS25" s="69"/>
      <c r="BT25" s="69"/>
      <c r="BU25" s="69"/>
      <c r="BV25" s="69"/>
      <c r="BW25" s="69"/>
      <c r="BX25" s="69"/>
      <c r="BY25" s="69"/>
      <c r="BZ25" s="69"/>
      <c r="CA25" s="69"/>
      <c r="CB25" s="69"/>
      <c r="CC25" s="69"/>
      <c r="CD25" s="69"/>
      <c r="CE25" s="69"/>
      <c r="CF25" s="69"/>
      <c r="CG25" s="69"/>
      <c r="CH25" s="69"/>
      <c r="CI25" s="69"/>
      <c r="CJ25" s="69"/>
      <c r="CK25" s="69"/>
      <c r="CL25" s="69"/>
      <c r="CM25" s="69"/>
      <c r="CN25" s="69"/>
      <c r="CO25" s="69"/>
      <c r="CP25" s="69"/>
      <c r="CQ25" s="69"/>
      <c r="CR25" s="69"/>
      <c r="CS25" s="69"/>
      <c r="CT25" s="62" t="str">
        <f ca="1">IF(CX25=0,"",OFFSET(B25,0,$D$6+ ($D$9-B25)*InputTrianglesACPC!$E$4))</f>
        <v/>
      </c>
      <c r="CU25" s="30" t="str">
        <f ca="1">IF(CX25=0,"",OFFSET(B25,0,$D$6+ ($D$9-B25)*InputTrianglesACPC!$E$4-CU$12))</f>
        <v/>
      </c>
      <c r="CV25" s="185" t="str">
        <f t="shared" ca="1" si="3"/>
        <v/>
      </c>
      <c r="CW25" s="32" t="str" cm="1">
        <f t="array" ref="CW25">IF(CX25=0,"",LOOKUP(2,1/(ISNUMBER(C25:CS25)),C25:CS25))</f>
        <v/>
      </c>
      <c r="CX25" s="64">
        <f t="shared" si="4"/>
        <v>0</v>
      </c>
    </row>
    <row r="26" spans="1:102" x14ac:dyDescent="0.25">
      <c r="A26" s="96">
        <f>IF(InputTrianglesACPC!B26&gt;=$D$8,1,0)</f>
        <v>0</v>
      </c>
      <c r="B26" s="29">
        <f t="shared" si="2"/>
        <v>2008</v>
      </c>
      <c r="C26" s="68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BN26" s="69"/>
      <c r="BO26" s="69"/>
      <c r="BP26" s="69"/>
      <c r="BQ26" s="69"/>
      <c r="BR26" s="69"/>
      <c r="BS26" s="69"/>
      <c r="BT26" s="69"/>
      <c r="BU26" s="69"/>
      <c r="BV26" s="69"/>
      <c r="BW26" s="69"/>
      <c r="BX26" s="69"/>
      <c r="BY26" s="69"/>
      <c r="BZ26" s="69"/>
      <c r="CA26" s="69"/>
      <c r="CB26" s="69"/>
      <c r="CC26" s="69"/>
      <c r="CD26" s="69"/>
      <c r="CE26" s="69"/>
      <c r="CF26" s="69"/>
      <c r="CG26" s="69"/>
      <c r="CH26" s="69"/>
      <c r="CI26" s="69"/>
      <c r="CJ26" s="69"/>
      <c r="CK26" s="69"/>
      <c r="CL26" s="69"/>
      <c r="CM26" s="69"/>
      <c r="CN26" s="69"/>
      <c r="CO26" s="69"/>
      <c r="CP26" s="69"/>
      <c r="CQ26" s="69"/>
      <c r="CR26" s="69"/>
      <c r="CS26" s="69"/>
      <c r="CT26" s="62" t="str">
        <f ca="1">IF(CX26=0,"",OFFSET(B26,0,$D$6+ ($D$9-B26)*InputTrianglesACPC!$E$4))</f>
        <v/>
      </c>
      <c r="CU26" s="30" t="str">
        <f ca="1">IF(CX26=0,"",OFFSET(B26,0,$D$6+ ($D$9-B26)*InputTrianglesACPC!$E$4-CU$12))</f>
        <v/>
      </c>
      <c r="CV26" s="185" t="str">
        <f t="shared" ca="1" si="3"/>
        <v/>
      </c>
      <c r="CW26" s="32" t="str" cm="1">
        <f t="array" ref="CW26">IF(CX26=0,"",LOOKUP(2,1/(ISNUMBER(C26:CS26)),C26:CS26))</f>
        <v/>
      </c>
      <c r="CX26" s="64">
        <f t="shared" si="4"/>
        <v>0</v>
      </c>
    </row>
    <row r="27" spans="1:102" x14ac:dyDescent="0.25">
      <c r="A27" s="96">
        <f>IF(InputTrianglesACPC!B27&gt;=$D$8,1,0)</f>
        <v>0</v>
      </c>
      <c r="B27" s="29">
        <f t="shared" si="2"/>
        <v>2009</v>
      </c>
      <c r="C27" s="68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BN27" s="69"/>
      <c r="BO27" s="69"/>
      <c r="BP27" s="69"/>
      <c r="BQ27" s="69"/>
      <c r="BR27" s="69"/>
      <c r="BS27" s="69"/>
      <c r="BT27" s="69"/>
      <c r="BU27" s="69"/>
      <c r="BV27" s="69"/>
      <c r="BW27" s="69"/>
      <c r="BX27" s="69"/>
      <c r="BY27" s="69"/>
      <c r="BZ27" s="69"/>
      <c r="CA27" s="69"/>
      <c r="CB27" s="69"/>
      <c r="CC27" s="69"/>
      <c r="CD27" s="69"/>
      <c r="CE27" s="69"/>
      <c r="CF27" s="69"/>
      <c r="CG27" s="69"/>
      <c r="CH27" s="69"/>
      <c r="CI27" s="69"/>
      <c r="CJ27" s="69"/>
      <c r="CK27" s="69"/>
      <c r="CL27" s="69"/>
      <c r="CM27" s="69"/>
      <c r="CN27" s="69"/>
      <c r="CO27" s="69"/>
      <c r="CP27" s="69"/>
      <c r="CQ27" s="69"/>
      <c r="CR27" s="69"/>
      <c r="CS27" s="69"/>
      <c r="CT27" s="62" t="str">
        <f ca="1">IF(CX27=0,"",OFFSET(B27,0,$D$6+ ($D$9-B27)*InputTrianglesACPC!$E$4))</f>
        <v/>
      </c>
      <c r="CU27" s="30" t="str">
        <f ca="1">IF(CX27=0,"",OFFSET(B27,0,$D$6+ ($D$9-B27)*InputTrianglesACPC!$E$4-CU$12))</f>
        <v/>
      </c>
      <c r="CV27" s="185" t="str">
        <f t="shared" ca="1" si="3"/>
        <v/>
      </c>
      <c r="CW27" s="32" t="str" cm="1">
        <f t="array" ref="CW27">IF(CX27=0,"",LOOKUP(2,1/(ISNUMBER(C27:CS27)),C27:CS27))</f>
        <v/>
      </c>
      <c r="CX27" s="64">
        <f t="shared" si="4"/>
        <v>0</v>
      </c>
    </row>
    <row r="28" spans="1:102" x14ac:dyDescent="0.25">
      <c r="A28" s="96">
        <f>IF(InputTrianglesACPC!B28&gt;=$D$8,1,0)</f>
        <v>1</v>
      </c>
      <c r="B28" s="29">
        <f t="shared" si="2"/>
        <v>2010</v>
      </c>
      <c r="C28" s="68">
        <v>1170000</v>
      </c>
      <c r="D28" s="69">
        <v>485300</v>
      </c>
      <c r="E28" s="69">
        <v>4052337.6283333334</v>
      </c>
      <c r="F28" s="69">
        <v>4858672.2733333325</v>
      </c>
      <c r="G28" s="69">
        <v>4894342.0666666664</v>
      </c>
      <c r="H28" s="69">
        <v>4898440.2166666659</v>
      </c>
      <c r="I28" s="69">
        <v>4873550.8833333328</v>
      </c>
      <c r="J28" s="69">
        <v>4871839.05</v>
      </c>
      <c r="K28" s="69">
        <v>4734001.541666667</v>
      </c>
      <c r="L28" s="69">
        <v>4732200.3166666664</v>
      </c>
      <c r="M28" s="69"/>
      <c r="N28" s="198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BN28" s="69"/>
      <c r="BO28" s="69"/>
      <c r="BP28" s="69"/>
      <c r="BQ28" s="69"/>
      <c r="BR28" s="69"/>
      <c r="BS28" s="69"/>
      <c r="BT28" s="69"/>
      <c r="BU28" s="69"/>
      <c r="BV28" s="69"/>
      <c r="BW28" s="69"/>
      <c r="BX28" s="69"/>
      <c r="BY28" s="69"/>
      <c r="BZ28" s="69"/>
      <c r="CA28" s="69"/>
      <c r="CB28" s="69"/>
      <c r="CC28" s="69"/>
      <c r="CD28" s="69"/>
      <c r="CE28" s="69"/>
      <c r="CF28" s="69"/>
      <c r="CG28" s="69"/>
      <c r="CH28" s="69"/>
      <c r="CI28" s="69"/>
      <c r="CJ28" s="69"/>
      <c r="CK28" s="69"/>
      <c r="CL28" s="69"/>
      <c r="CM28" s="69"/>
      <c r="CN28" s="69"/>
      <c r="CO28" s="69"/>
      <c r="CP28" s="69"/>
      <c r="CQ28" s="69"/>
      <c r="CR28" s="69"/>
      <c r="CS28" s="69"/>
      <c r="CT28" s="62">
        <f ca="1">IF(CX28=0,"",OFFSET(B28,0,$D$6+ ($D$9-B28)*InputTrianglesACPC!$E$4))</f>
        <v>4732200.3166666664</v>
      </c>
      <c r="CU28" s="30">
        <f ca="1">IF(CX28=0,"",OFFSET(B28,0,$D$6+ ($D$9-B28)*InputTrianglesACPC!$E$4-CU$12))</f>
        <v>4734001.541666667</v>
      </c>
      <c r="CV28" s="185">
        <f t="shared" ca="1" si="3"/>
        <v>-1801.2250000005588</v>
      </c>
      <c r="CW28" s="32" cm="1">
        <f t="array" ref="CW28">IF(CX28=0,"",LOOKUP(2,1/(ISNUMBER(C28:CS28)),C28:CS28))</f>
        <v>4732200.3166666664</v>
      </c>
      <c r="CX28" s="64">
        <f t="shared" si="4"/>
        <v>1</v>
      </c>
    </row>
    <row r="29" spans="1:102" x14ac:dyDescent="0.25">
      <c r="A29" s="96">
        <f>IF(InputTrianglesACPC!B29&gt;=$D$8,1,0)</f>
        <v>1</v>
      </c>
      <c r="B29" s="29">
        <f t="shared" si="2"/>
        <v>2011</v>
      </c>
      <c r="C29" s="68">
        <v>0</v>
      </c>
      <c r="D29" s="69">
        <v>1690240.7100000002</v>
      </c>
      <c r="E29" s="69">
        <v>1694925.102</v>
      </c>
      <c r="F29" s="69">
        <v>1402698.682</v>
      </c>
      <c r="G29" s="69">
        <v>767118.46200000006</v>
      </c>
      <c r="H29" s="69">
        <v>706796.08200000005</v>
      </c>
      <c r="I29" s="69">
        <v>651783.57799999998</v>
      </c>
      <c r="J29" s="69">
        <v>651783.57799999998</v>
      </c>
      <c r="K29" s="69">
        <v>651783.57799999998</v>
      </c>
      <c r="L29" s="69" t="s">
        <v>80</v>
      </c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BN29" s="69"/>
      <c r="BO29" s="69"/>
      <c r="BP29" s="69"/>
      <c r="BQ29" s="69"/>
      <c r="BR29" s="69"/>
      <c r="BS29" s="69"/>
      <c r="BT29" s="69"/>
      <c r="BU29" s="69"/>
      <c r="BV29" s="69"/>
      <c r="BW29" s="69"/>
      <c r="BX29" s="69"/>
      <c r="BY29" s="69"/>
      <c r="BZ29" s="69"/>
      <c r="CA29" s="69"/>
      <c r="CB29" s="69"/>
      <c r="CC29" s="69"/>
      <c r="CD29" s="69"/>
      <c r="CE29" s="69"/>
      <c r="CF29" s="69"/>
      <c r="CG29" s="69"/>
      <c r="CH29" s="69"/>
      <c r="CI29" s="69"/>
      <c r="CJ29" s="69"/>
      <c r="CK29" s="69"/>
      <c r="CL29" s="69"/>
      <c r="CM29" s="69"/>
      <c r="CN29" s="69"/>
      <c r="CO29" s="69"/>
      <c r="CP29" s="69"/>
      <c r="CQ29" s="69"/>
      <c r="CR29" s="69"/>
      <c r="CS29" s="69"/>
      <c r="CT29" s="62">
        <f ca="1">IF(CX29=0,"",OFFSET(B29,0,$D$6+ ($D$9-B29)*InputTrianglesACPC!$E$4))</f>
        <v>651783.57799999998</v>
      </c>
      <c r="CU29" s="30">
        <f ca="1">IF(CX29=0,"",OFFSET(B29,0,$D$6+ ($D$9-B29)*InputTrianglesACPC!$E$4-CU$12))</f>
        <v>651783.57799999998</v>
      </c>
      <c r="CV29" s="185">
        <f t="shared" ca="1" si="3"/>
        <v>0</v>
      </c>
      <c r="CW29" s="32" cm="1">
        <f t="array" ref="CW29">IF(CX29=0,"",LOOKUP(2,1/(ISNUMBER(C29:CS29)),C29:CS29))</f>
        <v>651783.57799999998</v>
      </c>
      <c r="CX29" s="64">
        <f t="shared" si="4"/>
        <v>1</v>
      </c>
    </row>
    <row r="30" spans="1:102" x14ac:dyDescent="0.25">
      <c r="A30" s="96">
        <f>IF(InputTrianglesACPC!B30&gt;=$D$8,1,0)</f>
        <v>1</v>
      </c>
      <c r="B30" s="29">
        <f t="shared" si="2"/>
        <v>2012</v>
      </c>
      <c r="C30" s="68">
        <v>2563780.5249999999</v>
      </c>
      <c r="D30" s="69">
        <v>1951148.6900000002</v>
      </c>
      <c r="E30" s="69">
        <v>5241481.78</v>
      </c>
      <c r="F30" s="69">
        <v>6523742.7633333327</v>
      </c>
      <c r="G30" s="69">
        <v>6510367.1499999994</v>
      </c>
      <c r="H30" s="69">
        <v>4594348.66</v>
      </c>
      <c r="I30" s="69">
        <v>3897709.78</v>
      </c>
      <c r="J30" s="69">
        <v>3758895.8366666664</v>
      </c>
      <c r="K30" s="69" t="s">
        <v>80</v>
      </c>
      <c r="L30" s="69" t="s">
        <v>80</v>
      </c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/>
      <c r="CS30" s="69"/>
      <c r="CT30" s="62">
        <f ca="1">IF(CX30=0,"",OFFSET(B30,0,$D$6+ ($D$9-B30)*InputTrianglesACPC!$E$4))</f>
        <v>3758895.8366666664</v>
      </c>
      <c r="CU30" s="30">
        <f ca="1">IF(CX30=0,"",OFFSET(B30,0,$D$6+ ($D$9-B30)*InputTrianglesACPC!$E$4-CU$12))</f>
        <v>3897709.78</v>
      </c>
      <c r="CV30" s="185">
        <f ca="1">IF(CT30="","",CT30-CU30)</f>
        <v>-138813.94333333336</v>
      </c>
      <c r="CW30" s="32" cm="1">
        <f t="array" ref="CW30">IF(CX30=0,"",LOOKUP(2,1/(ISNUMBER(C30:CS30)),C30:CS30))</f>
        <v>3758895.8366666664</v>
      </c>
      <c r="CX30" s="64">
        <f t="shared" si="4"/>
        <v>1</v>
      </c>
    </row>
    <row r="31" spans="1:102" x14ac:dyDescent="0.25">
      <c r="A31" s="96">
        <f>IF(InputTrianglesACPC!B31&gt;=$D$8,1,0)</f>
        <v>1</v>
      </c>
      <c r="B31" s="29">
        <f t="shared" si="2"/>
        <v>2013</v>
      </c>
      <c r="C31" s="68">
        <v>0</v>
      </c>
      <c r="D31" s="69">
        <v>0</v>
      </c>
      <c r="E31" s="69">
        <v>0</v>
      </c>
      <c r="F31" s="69">
        <v>0</v>
      </c>
      <c r="G31" s="69">
        <v>0</v>
      </c>
      <c r="H31" s="69">
        <v>0</v>
      </c>
      <c r="I31" s="69">
        <v>0</v>
      </c>
      <c r="J31" s="69" t="s">
        <v>80</v>
      </c>
      <c r="K31" s="69" t="s">
        <v>80</v>
      </c>
      <c r="L31" s="69" t="s">
        <v>80</v>
      </c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2">
        <f ca="1">IF(CX31=0,"",OFFSET(B31,0,$D$6+ ($D$9-B31)*InputTrianglesACPC!$E$4))</f>
        <v>0</v>
      </c>
      <c r="CU31" s="30">
        <f ca="1">IF(CX31=0,"",OFFSET(B31,0,$D$6+ ($D$9-B31)*InputTrianglesACPC!$E$4-CU$12))</f>
        <v>0</v>
      </c>
      <c r="CV31" s="185">
        <f t="shared" ref="CV31:CV37" ca="1" si="5">IF(CT31="","",CT31-CU31)</f>
        <v>0</v>
      </c>
      <c r="CW31" s="32" cm="1">
        <f t="array" ref="CW31">IF(CX31=0,"",LOOKUP(2,1/(ISNUMBER(C31:CS31)),C31:CS31))</f>
        <v>0</v>
      </c>
      <c r="CX31" s="64">
        <f t="shared" si="4"/>
        <v>1</v>
      </c>
    </row>
    <row r="32" spans="1:102" x14ac:dyDescent="0.25">
      <c r="A32" s="96">
        <f>IF(InputTrianglesACPC!B32&gt;=$D$8,1,0)</f>
        <v>1</v>
      </c>
      <c r="B32" s="29">
        <f t="shared" si="2"/>
        <v>2014</v>
      </c>
      <c r="C32" s="68">
        <v>3082881</v>
      </c>
      <c r="D32" s="69">
        <v>14466226</v>
      </c>
      <c r="E32" s="69">
        <v>14466226</v>
      </c>
      <c r="F32" s="69">
        <v>15214424</v>
      </c>
      <c r="G32" s="69">
        <v>14974468</v>
      </c>
      <c r="H32" s="69">
        <v>13827948.91</v>
      </c>
      <c r="I32" s="69" t="s">
        <v>80</v>
      </c>
      <c r="J32" s="69" t="s">
        <v>80</v>
      </c>
      <c r="K32" s="69" t="s">
        <v>80</v>
      </c>
      <c r="L32" s="69" t="s">
        <v>80</v>
      </c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2">
        <f ca="1">IF(CX32=0,"",OFFSET(B32,0,$D$6+ ($D$9-B32)*InputTrianglesACPC!$E$4))</f>
        <v>13827948.91</v>
      </c>
      <c r="CU32" s="30">
        <f ca="1">IF(CX32=0,"",OFFSET(B32,0,$D$6+ ($D$9-B32)*InputTrianglesACPC!$E$4-CU$12))</f>
        <v>14974468</v>
      </c>
      <c r="CV32" s="185">
        <f t="shared" ca="1" si="5"/>
        <v>-1146519.0899999999</v>
      </c>
      <c r="CW32" s="32" cm="1">
        <f t="array" ref="CW32">IF(CX32=0,"",LOOKUP(2,1/(ISNUMBER(C32:CS32)),C32:CS32))</f>
        <v>13827948.91</v>
      </c>
      <c r="CX32" s="64">
        <f t="shared" si="4"/>
        <v>1</v>
      </c>
    </row>
    <row r="33" spans="1:102" x14ac:dyDescent="0.25">
      <c r="A33" s="96">
        <f>IF(InputTrianglesACPC!B33&gt;=$D$8,1,0)</f>
        <v>1</v>
      </c>
      <c r="B33" s="29">
        <f t="shared" si="2"/>
        <v>2015</v>
      </c>
      <c r="C33" s="68">
        <v>0</v>
      </c>
      <c r="D33" s="69">
        <v>0</v>
      </c>
      <c r="E33" s="69">
        <v>0</v>
      </c>
      <c r="F33" s="69">
        <v>0</v>
      </c>
      <c r="G33" s="69">
        <v>0</v>
      </c>
      <c r="H33" s="69" t="s">
        <v>80</v>
      </c>
      <c r="I33" s="69" t="s">
        <v>80</v>
      </c>
      <c r="J33" s="69" t="s">
        <v>80</v>
      </c>
      <c r="K33" s="69" t="s">
        <v>80</v>
      </c>
      <c r="L33" s="69" t="s">
        <v>80</v>
      </c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2">
        <f ca="1">IF(CX33=0,"",OFFSET(B33,0,$D$6+ ($D$9-B33)*InputTrianglesACPC!$E$4))</f>
        <v>0</v>
      </c>
      <c r="CU33" s="30">
        <f ca="1">IF(CX33=0,"",OFFSET(B33,0,$D$6+ ($D$9-B33)*InputTrianglesACPC!$E$4-CU$12))</f>
        <v>0</v>
      </c>
      <c r="CV33" s="185">
        <f t="shared" ca="1" si="5"/>
        <v>0</v>
      </c>
      <c r="CW33" s="32" cm="1">
        <f t="array" ref="CW33">IF(CX33=0,"",LOOKUP(2,1/(ISNUMBER(C33:CS33)),C33:CS33))</f>
        <v>0</v>
      </c>
      <c r="CX33" s="64">
        <f t="shared" si="4"/>
        <v>1</v>
      </c>
    </row>
    <row r="34" spans="1:102" x14ac:dyDescent="0.25">
      <c r="A34" s="96">
        <f>IF(InputTrianglesACPC!B34&gt;=$D$8,1,0)</f>
        <v>1</v>
      </c>
      <c r="B34" s="29">
        <f t="shared" si="2"/>
        <v>2016</v>
      </c>
      <c r="C34" s="68">
        <v>647909.57999999996</v>
      </c>
      <c r="D34" s="69">
        <v>2168506</v>
      </c>
      <c r="E34" s="69">
        <v>2537752.5</v>
      </c>
      <c r="F34" s="69">
        <v>2249806</v>
      </c>
      <c r="G34" s="69" t="s">
        <v>80</v>
      </c>
      <c r="H34" s="69" t="s">
        <v>80</v>
      </c>
      <c r="I34" s="69" t="s">
        <v>80</v>
      </c>
      <c r="J34" s="69" t="s">
        <v>80</v>
      </c>
      <c r="K34" s="69" t="s">
        <v>80</v>
      </c>
      <c r="L34" s="69" t="s">
        <v>80</v>
      </c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BN34" s="69"/>
      <c r="BO34" s="69"/>
      <c r="BP34" s="69"/>
      <c r="BQ34" s="69"/>
      <c r="BR34" s="69"/>
      <c r="BS34" s="69"/>
      <c r="BT34" s="69"/>
      <c r="BU34" s="69"/>
      <c r="BV34" s="69"/>
      <c r="BW34" s="69"/>
      <c r="BX34" s="69"/>
      <c r="BY34" s="69"/>
      <c r="BZ34" s="69"/>
      <c r="CA34" s="69"/>
      <c r="CB34" s="69"/>
      <c r="CC34" s="69"/>
      <c r="CD34" s="69"/>
      <c r="CE34" s="69"/>
      <c r="CF34" s="69"/>
      <c r="CG34" s="69"/>
      <c r="CH34" s="69"/>
      <c r="CI34" s="69"/>
      <c r="CJ34" s="69"/>
      <c r="CK34" s="69"/>
      <c r="CL34" s="69"/>
      <c r="CM34" s="69"/>
      <c r="CN34" s="69"/>
      <c r="CO34" s="69"/>
      <c r="CP34" s="69"/>
      <c r="CQ34" s="69"/>
      <c r="CR34" s="69"/>
      <c r="CS34" s="69"/>
      <c r="CT34" s="62">
        <f ca="1">IF(CX34=0,"",OFFSET(B34,0,$D$6+ ($D$9-B34)*InputTrianglesACPC!$E$4))</f>
        <v>2249806</v>
      </c>
      <c r="CU34" s="30">
        <f ca="1">IF(CX34=0,"",OFFSET(B34,0,$D$6+ ($D$9-B34)*InputTrianglesACPC!$E$4-CU$12))</f>
        <v>2537752.5</v>
      </c>
      <c r="CV34" s="185">
        <f t="shared" ca="1" si="5"/>
        <v>-287946.5</v>
      </c>
      <c r="CW34" s="32" cm="1">
        <f t="array" ref="CW34">IF(CX34=0,"",LOOKUP(2,1/(ISNUMBER(C34:CS34)),C34:CS34))</f>
        <v>2249806</v>
      </c>
      <c r="CX34" s="64">
        <f t="shared" si="4"/>
        <v>1</v>
      </c>
    </row>
    <row r="35" spans="1:102" x14ac:dyDescent="0.25">
      <c r="A35" s="96">
        <f>IF(InputTrianglesACPC!B35&gt;=$D$8,1,0)</f>
        <v>1</v>
      </c>
      <c r="B35" s="29">
        <f>B36-1</f>
        <v>2017</v>
      </c>
      <c r="C35" s="68">
        <v>0</v>
      </c>
      <c r="D35" s="69">
        <v>164052</v>
      </c>
      <c r="E35" s="69">
        <v>15794218</v>
      </c>
      <c r="F35" s="69" t="s">
        <v>80</v>
      </c>
      <c r="G35" s="69" t="s">
        <v>80</v>
      </c>
      <c r="H35" s="69" t="s">
        <v>80</v>
      </c>
      <c r="I35" s="69" t="s">
        <v>80</v>
      </c>
      <c r="J35" s="69" t="s">
        <v>80</v>
      </c>
      <c r="K35" s="69" t="s">
        <v>80</v>
      </c>
      <c r="L35" s="69" t="s">
        <v>80</v>
      </c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BN35" s="69"/>
      <c r="BO35" s="69"/>
      <c r="BP35" s="69"/>
      <c r="BQ35" s="69"/>
      <c r="BR35" s="69"/>
      <c r="BS35" s="69"/>
      <c r="BT35" s="69"/>
      <c r="BU35" s="69"/>
      <c r="BV35" s="69"/>
      <c r="BW35" s="69"/>
      <c r="BX35" s="69"/>
      <c r="BY35" s="69"/>
      <c r="BZ35" s="69"/>
      <c r="CA35" s="69"/>
      <c r="CB35" s="69"/>
      <c r="CC35" s="69"/>
      <c r="CD35" s="69"/>
      <c r="CE35" s="69"/>
      <c r="CF35" s="69"/>
      <c r="CG35" s="69"/>
      <c r="CH35" s="69"/>
      <c r="CI35" s="69"/>
      <c r="CJ35" s="69"/>
      <c r="CK35" s="69"/>
      <c r="CL35" s="69"/>
      <c r="CM35" s="69"/>
      <c r="CN35" s="69"/>
      <c r="CO35" s="69"/>
      <c r="CP35" s="69"/>
      <c r="CQ35" s="69"/>
      <c r="CR35" s="69"/>
      <c r="CS35" s="69"/>
      <c r="CT35" s="62">
        <f ca="1">IF(CX35=0,"",OFFSET(B35,0,$D$6+ ($D$9-B35)*InputTrianglesACPC!$E$4))</f>
        <v>15794218</v>
      </c>
      <c r="CU35" s="30">
        <f ca="1">IF(CX35=0,"",OFFSET(B35,0,$D$6+ ($D$9-B35)*InputTrianglesACPC!$E$4-CU$12))</f>
        <v>164052</v>
      </c>
      <c r="CV35" s="185">
        <f t="shared" ca="1" si="5"/>
        <v>15630166</v>
      </c>
      <c r="CW35" s="32" cm="1">
        <f t="array" ref="CW35">IF(CX35=0,"",LOOKUP(2,1/(ISNUMBER(C35:CS35)),C35:CS35))</f>
        <v>15794218</v>
      </c>
      <c r="CX35" s="64">
        <f t="shared" si="4"/>
        <v>1</v>
      </c>
    </row>
    <row r="36" spans="1:102" x14ac:dyDescent="0.25">
      <c r="A36" s="96">
        <f>IF(InputTrianglesACPC!B36&gt;=$D$8,1,0)</f>
        <v>1</v>
      </c>
      <c r="B36" s="29">
        <f>B37-1</f>
        <v>2018</v>
      </c>
      <c r="C36" s="68">
        <v>10047405.51</v>
      </c>
      <c r="D36" s="69">
        <v>5770102</v>
      </c>
      <c r="E36" s="69" t="s">
        <v>80</v>
      </c>
      <c r="F36" s="69" t="s">
        <v>80</v>
      </c>
      <c r="G36" s="69" t="s">
        <v>80</v>
      </c>
      <c r="H36" s="69" t="s">
        <v>80</v>
      </c>
      <c r="I36" s="69" t="s">
        <v>80</v>
      </c>
      <c r="J36" s="69" t="s">
        <v>80</v>
      </c>
      <c r="K36" s="69" t="s">
        <v>80</v>
      </c>
      <c r="L36" s="69" t="s">
        <v>80</v>
      </c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BN36" s="69"/>
      <c r="BO36" s="69"/>
      <c r="BP36" s="69"/>
      <c r="BQ36" s="69"/>
      <c r="BR36" s="69"/>
      <c r="BS36" s="69"/>
      <c r="BT36" s="69"/>
      <c r="BU36" s="69"/>
      <c r="BV36" s="69"/>
      <c r="BW36" s="69"/>
      <c r="BX36" s="69"/>
      <c r="BY36" s="69"/>
      <c r="BZ36" s="69"/>
      <c r="CA36" s="69"/>
      <c r="CB36" s="69"/>
      <c r="CC36" s="69"/>
      <c r="CD36" s="69"/>
      <c r="CE36" s="69"/>
      <c r="CF36" s="69"/>
      <c r="CG36" s="69"/>
      <c r="CH36" s="69"/>
      <c r="CI36" s="69"/>
      <c r="CJ36" s="69"/>
      <c r="CK36" s="69"/>
      <c r="CL36" s="69"/>
      <c r="CM36" s="69"/>
      <c r="CN36" s="69"/>
      <c r="CO36" s="69"/>
      <c r="CP36" s="69"/>
      <c r="CQ36" s="69"/>
      <c r="CR36" s="69"/>
      <c r="CS36" s="69"/>
      <c r="CT36" s="62">
        <f ca="1">IF(CX36=0,"",OFFSET(B36,0,$D$6+ ($D$9-B36)*InputTrianglesACPC!$E$4))</f>
        <v>5770102</v>
      </c>
      <c r="CU36" s="30">
        <f ca="1">IF(CX36=0,"",OFFSET(B36,0,$D$6+ ($D$9-B36)*InputTrianglesACPC!$E$4-CU$12))</f>
        <v>10047405.51</v>
      </c>
      <c r="CV36" s="185">
        <f t="shared" ca="1" si="5"/>
        <v>-4277303.51</v>
      </c>
      <c r="CW36" s="32" cm="1">
        <f t="array" ref="CW36">IF(CX36=0,"",LOOKUP(2,1/(ISNUMBER(C36:CS36)),C36:CS36))</f>
        <v>5770102</v>
      </c>
      <c r="CX36" s="64">
        <f t="shared" si="4"/>
        <v>1</v>
      </c>
    </row>
    <row r="37" spans="1:102" x14ac:dyDescent="0.25">
      <c r="A37" s="96">
        <f>IF(InputTrianglesACPC!B37&gt;=$D$8,1,0)</f>
        <v>1</v>
      </c>
      <c r="B37" s="34">
        <f>InputTrianglesACPC!D9</f>
        <v>2019</v>
      </c>
      <c r="C37" s="70">
        <v>0</v>
      </c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/>
      <c r="BI37" s="71"/>
      <c r="BJ37" s="71"/>
      <c r="BK37" s="71"/>
      <c r="BL37" s="71"/>
      <c r="BM37" s="71"/>
      <c r="BN37" s="71"/>
      <c r="BO37" s="71"/>
      <c r="BP37" s="71"/>
      <c r="BQ37" s="71"/>
      <c r="BR37" s="71"/>
      <c r="BS37" s="71"/>
      <c r="BT37" s="71"/>
      <c r="BU37" s="71"/>
      <c r="BV37" s="71"/>
      <c r="BW37" s="71"/>
      <c r="BX37" s="71"/>
      <c r="BY37" s="71"/>
      <c r="BZ37" s="71"/>
      <c r="CA37" s="71"/>
      <c r="CB37" s="71"/>
      <c r="CC37" s="71"/>
      <c r="CD37" s="71"/>
      <c r="CE37" s="71"/>
      <c r="CF37" s="71"/>
      <c r="CG37" s="71"/>
      <c r="CH37" s="71"/>
      <c r="CI37" s="71"/>
      <c r="CJ37" s="71"/>
      <c r="CK37" s="71"/>
      <c r="CL37" s="71"/>
      <c r="CM37" s="71"/>
      <c r="CN37" s="71"/>
      <c r="CO37" s="71"/>
      <c r="CP37" s="71"/>
      <c r="CQ37" s="71"/>
      <c r="CR37" s="71"/>
      <c r="CS37" s="71"/>
      <c r="CT37" s="63">
        <f ca="1">IF(CX37=0,"",OFFSET(B37,0,$D$6+ ($D$9-B37)*InputTrianglesACPC!$E$4))</f>
        <v>0</v>
      </c>
      <c r="CU37" s="35">
        <f ca="1">IF(CX37=0,"",OFFSET(B37,0,$D$6+ ($D$9-B37)*InputTrianglesACPC!$E$4-CU$12))</f>
        <v>2019</v>
      </c>
      <c r="CV37" s="186">
        <f t="shared" ca="1" si="5"/>
        <v>-2019</v>
      </c>
      <c r="CW37" s="37" cm="1">
        <f t="array" ref="CW37">IF(CX37=0,"",LOOKUP(2,1/(ISNUMBER(C37:CS37)),C37:CS37))</f>
        <v>0</v>
      </c>
      <c r="CX37" s="64">
        <f t="shared" si="4"/>
        <v>1</v>
      </c>
    </row>
    <row r="38" spans="1:102" x14ac:dyDescent="0.25">
      <c r="A38" s="97">
        <v>1</v>
      </c>
      <c r="C38" s="13"/>
      <c r="D38" s="13"/>
      <c r="E38" s="28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0" t="s">
        <v>43</v>
      </c>
    </row>
    <row r="39" spans="1:102" hidden="1" x14ac:dyDescent="0.25">
      <c r="A39" s="97">
        <v>0</v>
      </c>
      <c r="B39" s="81" t="s">
        <v>46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81"/>
      <c r="CF39" s="81"/>
      <c r="CG39" s="81"/>
      <c r="CH39" s="81"/>
      <c r="CI39" s="81"/>
      <c r="CJ39" s="81"/>
      <c r="CK39" s="81"/>
      <c r="CL39" s="81"/>
      <c r="CM39" s="81"/>
      <c r="CN39" s="81"/>
      <c r="CO39" s="81"/>
      <c r="CP39" s="81"/>
      <c r="CQ39" s="81"/>
      <c r="CR39" s="81"/>
      <c r="CS39" s="81"/>
      <c r="CT39" s="81"/>
      <c r="CU39" s="13"/>
      <c r="CV39" s="13"/>
    </row>
    <row r="40" spans="1:102" hidden="1" x14ac:dyDescent="0.25">
      <c r="A40" s="97">
        <v>0</v>
      </c>
      <c r="CU40" s="13"/>
      <c r="CV40" s="13"/>
    </row>
    <row r="41" spans="1:102" hidden="1" x14ac:dyDescent="0.25">
      <c r="A41" s="97">
        <v>0</v>
      </c>
      <c r="B41" s="21" t="s">
        <v>42</v>
      </c>
      <c r="C41" s="22">
        <v>1</v>
      </c>
      <c r="D41" s="23">
        <f t="shared" ref="D41:AN41" si="6">C41+1</f>
        <v>2</v>
      </c>
      <c r="E41" s="23">
        <f t="shared" si="6"/>
        <v>3</v>
      </c>
      <c r="F41" s="23">
        <f t="shared" si="6"/>
        <v>4</v>
      </c>
      <c r="G41" s="23">
        <f t="shared" si="6"/>
        <v>5</v>
      </c>
      <c r="H41" s="23">
        <f t="shared" si="6"/>
        <v>6</v>
      </c>
      <c r="I41" s="23">
        <f t="shared" si="6"/>
        <v>7</v>
      </c>
      <c r="J41" s="23">
        <f t="shared" si="6"/>
        <v>8</v>
      </c>
      <c r="K41" s="23">
        <f t="shared" si="6"/>
        <v>9</v>
      </c>
      <c r="L41" s="23">
        <f t="shared" si="6"/>
        <v>10</v>
      </c>
      <c r="M41" s="23">
        <f t="shared" si="6"/>
        <v>11</v>
      </c>
      <c r="N41" s="23">
        <f t="shared" si="6"/>
        <v>12</v>
      </c>
      <c r="O41" s="23">
        <f t="shared" si="6"/>
        <v>13</v>
      </c>
      <c r="P41" s="23">
        <f t="shared" si="6"/>
        <v>14</v>
      </c>
      <c r="Q41" s="23">
        <f t="shared" si="6"/>
        <v>15</v>
      </c>
      <c r="R41" s="23">
        <f t="shared" si="6"/>
        <v>16</v>
      </c>
      <c r="S41" s="23">
        <f t="shared" si="6"/>
        <v>17</v>
      </c>
      <c r="T41" s="23">
        <f t="shared" si="6"/>
        <v>18</v>
      </c>
      <c r="U41" s="23">
        <f t="shared" si="6"/>
        <v>19</v>
      </c>
      <c r="V41" s="23">
        <f t="shared" si="6"/>
        <v>20</v>
      </c>
      <c r="W41" s="23">
        <f t="shared" si="6"/>
        <v>21</v>
      </c>
      <c r="X41" s="23">
        <f t="shared" si="6"/>
        <v>22</v>
      </c>
      <c r="Y41" s="23">
        <f t="shared" si="6"/>
        <v>23</v>
      </c>
      <c r="Z41" s="23">
        <f t="shared" si="6"/>
        <v>24</v>
      </c>
      <c r="AA41" s="23">
        <f t="shared" si="6"/>
        <v>25</v>
      </c>
      <c r="AB41" s="23">
        <f t="shared" si="6"/>
        <v>26</v>
      </c>
      <c r="AC41" s="23">
        <f t="shared" si="6"/>
        <v>27</v>
      </c>
      <c r="AD41" s="23">
        <f t="shared" si="6"/>
        <v>28</v>
      </c>
      <c r="AE41" s="23">
        <f t="shared" si="6"/>
        <v>29</v>
      </c>
      <c r="AF41" s="23">
        <f t="shared" si="6"/>
        <v>30</v>
      </c>
      <c r="AG41" s="23">
        <f t="shared" si="6"/>
        <v>31</v>
      </c>
      <c r="AH41" s="23">
        <f t="shared" si="6"/>
        <v>32</v>
      </c>
      <c r="AI41" s="23">
        <f t="shared" si="6"/>
        <v>33</v>
      </c>
      <c r="AJ41" s="23">
        <f t="shared" si="6"/>
        <v>34</v>
      </c>
      <c r="AK41" s="23">
        <f t="shared" si="6"/>
        <v>35</v>
      </c>
      <c r="AL41" s="23">
        <f t="shared" si="6"/>
        <v>36</v>
      </c>
      <c r="AM41" s="23">
        <f t="shared" si="6"/>
        <v>37</v>
      </c>
      <c r="AN41" s="23">
        <f t="shared" si="6"/>
        <v>38</v>
      </c>
      <c r="AO41" s="23">
        <v>39</v>
      </c>
      <c r="AP41" s="23">
        <v>40</v>
      </c>
      <c r="AQ41" s="23">
        <v>41</v>
      </c>
      <c r="AR41" s="23">
        <v>42</v>
      </c>
      <c r="AS41" s="23">
        <v>43</v>
      </c>
      <c r="AT41" s="23">
        <v>44</v>
      </c>
      <c r="AU41" s="23">
        <v>45</v>
      </c>
      <c r="AV41" s="23">
        <v>46</v>
      </c>
      <c r="AW41" s="23">
        <v>47</v>
      </c>
      <c r="AX41" s="23">
        <v>48</v>
      </c>
      <c r="AY41" s="23">
        <v>49</v>
      </c>
      <c r="AZ41" s="23">
        <v>50</v>
      </c>
      <c r="BA41" s="23">
        <v>51</v>
      </c>
      <c r="BB41" s="23">
        <v>52</v>
      </c>
      <c r="BC41" s="23">
        <v>53</v>
      </c>
      <c r="BD41" s="23">
        <v>54</v>
      </c>
      <c r="BE41" s="23">
        <v>55</v>
      </c>
      <c r="BF41" s="23">
        <v>56</v>
      </c>
      <c r="BG41" s="23">
        <v>57</v>
      </c>
      <c r="BH41" s="23">
        <v>58</v>
      </c>
      <c r="BI41" s="23">
        <v>59</v>
      </c>
      <c r="BJ41" s="23">
        <v>60</v>
      </c>
      <c r="BK41" s="23">
        <v>61</v>
      </c>
      <c r="BL41" s="23">
        <v>62</v>
      </c>
      <c r="BM41" s="23">
        <v>63</v>
      </c>
      <c r="BN41" s="23">
        <v>64</v>
      </c>
      <c r="BO41" s="23">
        <v>65</v>
      </c>
      <c r="BP41" s="23">
        <v>66</v>
      </c>
      <c r="BQ41" s="23">
        <v>67</v>
      </c>
      <c r="BR41" s="23">
        <v>68</v>
      </c>
      <c r="BS41" s="23">
        <v>69</v>
      </c>
      <c r="BT41" s="23">
        <v>70</v>
      </c>
      <c r="BU41" s="23">
        <v>71</v>
      </c>
      <c r="BV41" s="23">
        <v>72</v>
      </c>
      <c r="BW41" s="23">
        <v>73</v>
      </c>
      <c r="BX41" s="23">
        <v>74</v>
      </c>
      <c r="BY41" s="23">
        <v>75</v>
      </c>
      <c r="BZ41" s="23">
        <v>76</v>
      </c>
      <c r="CA41" s="23">
        <v>77</v>
      </c>
      <c r="CB41" s="23">
        <v>78</v>
      </c>
      <c r="CC41" s="23">
        <v>79</v>
      </c>
      <c r="CD41" s="23">
        <v>80</v>
      </c>
      <c r="CE41" s="23">
        <v>81</v>
      </c>
      <c r="CF41" s="23">
        <v>82</v>
      </c>
      <c r="CG41" s="23">
        <v>83</v>
      </c>
      <c r="CH41" s="23">
        <v>84</v>
      </c>
      <c r="CI41" s="23">
        <v>85</v>
      </c>
      <c r="CJ41" s="23">
        <v>86</v>
      </c>
      <c r="CK41" s="23">
        <v>87</v>
      </c>
      <c r="CL41" s="23">
        <v>88</v>
      </c>
      <c r="CM41" s="23">
        <v>89</v>
      </c>
      <c r="CN41" s="23">
        <v>90</v>
      </c>
      <c r="CO41" s="23">
        <v>91</v>
      </c>
      <c r="CP41" s="23">
        <v>92</v>
      </c>
      <c r="CQ41" s="23">
        <f>CP41+1</f>
        <v>93</v>
      </c>
      <c r="CR41" s="23">
        <f>CQ41+1</f>
        <v>94</v>
      </c>
      <c r="CS41" s="23">
        <f>CR41+1</f>
        <v>95</v>
      </c>
      <c r="CT41" s="22" t="s">
        <v>47</v>
      </c>
    </row>
    <row r="42" spans="1:102" hidden="1" x14ac:dyDescent="0.25">
      <c r="A42" s="97">
        <v>0</v>
      </c>
      <c r="B42" s="7">
        <f t="shared" ref="B42:B62" si="7">B43-1</f>
        <v>1996</v>
      </c>
      <c r="C42" s="26">
        <f>IF(AND($B42&gt;=InputTrianglesACPC!$D$8,$CT42&gt;=C$41),1,0)</f>
        <v>0</v>
      </c>
      <c r="D42" s="27">
        <f>IF(AND($B42&gt;=InputTrianglesACPC!$D$8,$CT42&gt;=D$41),1,0)</f>
        <v>0</v>
      </c>
      <c r="E42" s="27">
        <f>IF(AND($B42&gt;=InputTrianglesACPC!$D$8,$CT42&gt;=E$41),1,0)</f>
        <v>0</v>
      </c>
      <c r="F42" s="27">
        <f>IF(AND($B42&gt;=InputTrianglesACPC!$D$8,$CT42&gt;=F$41),1,0)</f>
        <v>0</v>
      </c>
      <c r="G42" s="27">
        <f>IF(AND($B42&gt;=InputTrianglesACPC!$D$8,$CT42&gt;=G$41),1,0)</f>
        <v>0</v>
      </c>
      <c r="H42" s="27">
        <f>IF(AND($B42&gt;=InputTrianglesACPC!$D$8,$CT42&gt;=H$41),1,0)</f>
        <v>0</v>
      </c>
      <c r="I42" s="27">
        <f>IF(AND($B42&gt;=InputTrianglesACPC!$D$8,$CT42&gt;=I$41),1,0)</f>
        <v>0</v>
      </c>
      <c r="J42" s="27">
        <f>IF(AND($B42&gt;=InputTrianglesACPC!$D$8,$CT42&gt;=J$41),1,0)</f>
        <v>0</v>
      </c>
      <c r="K42" s="27">
        <f>IF(AND($B42&gt;=InputTrianglesACPC!$D$8,$CT42&gt;=K$41),1,0)</f>
        <v>0</v>
      </c>
      <c r="L42" s="27">
        <f>IF(AND($B42&gt;=InputTrianglesACPC!$D$8,$CT42&gt;=L$41),1,0)</f>
        <v>0</v>
      </c>
      <c r="M42" s="27">
        <f>IF(AND($B42&gt;=InputTrianglesACPC!$D$8,$CT42&gt;=M$41),1,0)</f>
        <v>0</v>
      </c>
      <c r="N42" s="27">
        <f>IF(AND($B42&gt;=InputTrianglesACPC!$D$8,$CT42&gt;=N$41),1,0)</f>
        <v>0</v>
      </c>
      <c r="O42" s="27">
        <f>IF(AND($B42&gt;=InputTrianglesACPC!$D$8,$CT42&gt;=O$41),1,0)</f>
        <v>0</v>
      </c>
      <c r="P42" s="27">
        <f>IF(AND($B42&gt;=InputTrianglesACPC!$D$8,$CT42&gt;=P$41),1,0)</f>
        <v>0</v>
      </c>
      <c r="Q42" s="27">
        <f>IF(AND($B42&gt;=InputTrianglesACPC!$D$8,$CT42&gt;=Q$41),1,0)</f>
        <v>0</v>
      </c>
      <c r="R42" s="27">
        <f>IF(AND($B42&gt;=InputTrianglesACPC!$D$8,$CT42&gt;=R$41),1,0)</f>
        <v>0</v>
      </c>
      <c r="S42" s="27">
        <f>IF(AND($B42&gt;=InputTrianglesACPC!$D$8,$CT42&gt;=S$41),1,0)</f>
        <v>0</v>
      </c>
      <c r="T42" s="27">
        <f>IF(AND($B42&gt;=InputTrianglesACPC!$D$8,$CT42&gt;=T$41),1,0)</f>
        <v>0</v>
      </c>
      <c r="U42" s="27">
        <f>IF(AND($B42&gt;=InputTrianglesACPC!$D$8,$CT42&gt;=U$41),1,0)</f>
        <v>0</v>
      </c>
      <c r="V42" s="27">
        <f>IF(AND($B42&gt;=InputTrianglesACPC!$D$8,$CT42&gt;=V$41),1,0)</f>
        <v>0</v>
      </c>
      <c r="W42" s="27">
        <f>IF(AND($B42&gt;=InputTrianglesACPC!$D$8,$CT42&gt;=W$41),1,0)</f>
        <v>0</v>
      </c>
      <c r="X42" s="27">
        <f>IF(AND($B42&gt;=InputTrianglesACPC!$D$8,$CT42&gt;=X$41),1,0)</f>
        <v>0</v>
      </c>
      <c r="Y42" s="27">
        <f>IF(AND($B42&gt;=InputTrianglesACPC!$D$8,$CT42&gt;=Y$41),1,0)</f>
        <v>0</v>
      </c>
      <c r="Z42" s="27">
        <f>IF(AND($B42&gt;=InputTrianglesACPC!$D$8,$CT42&gt;=Z$41),1,0)</f>
        <v>0</v>
      </c>
      <c r="AA42" s="27">
        <f>IF(AND($B42&gt;=InputTrianglesACPC!$D$8,$CT42&gt;=AA$41),1,0)</f>
        <v>0</v>
      </c>
      <c r="AB42" s="27">
        <f>IF(AND($B42&gt;=InputTrianglesACPC!$D$8,$CT42&gt;=AB$41),1,0)</f>
        <v>0</v>
      </c>
      <c r="AC42" s="27">
        <f>IF(AND($B42&gt;=InputTrianglesACPC!$D$8,$CT42&gt;=AC$41),1,0)</f>
        <v>0</v>
      </c>
      <c r="AD42" s="27">
        <f>IF(AND($B42&gt;=InputTrianglesACPC!$D$8,$CT42&gt;=AD$41),1,0)</f>
        <v>0</v>
      </c>
      <c r="AE42" s="27">
        <f>IF(AND($B42&gt;=InputTrianglesACPC!$D$8,$CT42&gt;=AE$41),1,0)</f>
        <v>0</v>
      </c>
      <c r="AF42" s="27">
        <f>IF(AND($B42&gt;=InputTrianglesACPC!$D$8,$CT42&gt;=AF$41),1,0)</f>
        <v>0</v>
      </c>
      <c r="AG42" s="27">
        <f>IF(AND($B42&gt;=InputTrianglesACPC!$D$8,$CT42&gt;=AG$41),1,0)</f>
        <v>0</v>
      </c>
      <c r="AH42" s="27">
        <f>IF(AND($B42&gt;=InputTrianglesACPC!$D$8,$CT42&gt;=AH$41),1,0)</f>
        <v>0</v>
      </c>
      <c r="AI42" s="27">
        <f>IF(AND($B42&gt;=InputTrianglesACPC!$D$8,$CT42&gt;=AI$41),1,0)</f>
        <v>0</v>
      </c>
      <c r="AJ42" s="27">
        <f>IF(AND($B42&gt;=InputTrianglesACPC!$D$8,$CT42&gt;=AJ$41),1,0)</f>
        <v>0</v>
      </c>
      <c r="AK42" s="27">
        <f>IF(AND($B42&gt;=InputTrianglesACPC!$D$8,$CT42&gt;=AK$41),1,0)</f>
        <v>0</v>
      </c>
      <c r="AL42" s="27">
        <f>IF(AND($B42&gt;=InputTrianglesACPC!$D$8,$CT42&gt;=AL$41),1,0)</f>
        <v>0</v>
      </c>
      <c r="AM42" s="27">
        <f>IF(AND($B42&gt;=InputTrianglesACPC!$D$8,$CT42&gt;=AM$41),1,0)</f>
        <v>0</v>
      </c>
      <c r="AN42" s="27">
        <f>IF(AND($B42&gt;=InputTrianglesACPC!$D$8,$CT42&gt;=AN$41),1,0)</f>
        <v>0</v>
      </c>
      <c r="AO42" s="27">
        <f>IF(AND($B42&gt;=InputTrianglesACPC!$D$8,$CT42&gt;=AO$41),1,0)</f>
        <v>0</v>
      </c>
      <c r="AP42" s="27">
        <f>IF(AND($B42&gt;=InputTrianglesACPC!$D$8,$CT42&gt;=AP$41),1,0)</f>
        <v>0</v>
      </c>
      <c r="AQ42" s="27">
        <f>IF(AND($B42&gt;=InputTrianglesACPC!$D$8,$CT42&gt;=AQ$41),1,0)</f>
        <v>0</v>
      </c>
      <c r="AR42" s="27">
        <f>IF(AND($B42&gt;=InputTrianglesACPC!$D$8,$CT42&gt;=AR$41),1,0)</f>
        <v>0</v>
      </c>
      <c r="AS42" s="27">
        <f>IF(AND($B42&gt;=InputTrianglesACPC!$D$8,$CT42&gt;=AS$41),1,0)</f>
        <v>0</v>
      </c>
      <c r="AT42" s="27">
        <f>IF(AND($B42&gt;=InputTrianglesACPC!$D$8,$CT42&gt;=AT$41),1,0)</f>
        <v>0</v>
      </c>
      <c r="AU42" s="27">
        <f>IF(AND($B42&gt;=InputTrianglesACPC!$D$8,$CT42&gt;=AU$41),1,0)</f>
        <v>0</v>
      </c>
      <c r="AV42" s="27">
        <f>IF(AND($B42&gt;=InputTrianglesACPC!$D$8,$CT42&gt;=AV$41),1,0)</f>
        <v>0</v>
      </c>
      <c r="AW42" s="27">
        <f>IF(AND($B42&gt;=InputTrianglesACPC!$D$8,$CT42&gt;=AW$41),1,0)</f>
        <v>0</v>
      </c>
      <c r="AX42" s="27">
        <f>IF(AND($B42&gt;=InputTrianglesACPC!$D$8,$CT42&gt;=AX$41),1,0)</f>
        <v>0</v>
      </c>
      <c r="AY42" s="27">
        <f>IF(AND($B42&gt;=InputTrianglesACPC!$D$8,$CT42&gt;=AY$41),1,0)</f>
        <v>0</v>
      </c>
      <c r="AZ42" s="27">
        <f>IF(AND($B42&gt;=InputTrianglesACPC!$D$8,$CT42&gt;=AZ$41),1,0)</f>
        <v>0</v>
      </c>
      <c r="BA42" s="27">
        <f>IF(AND($B42&gt;=InputTrianglesACPC!$D$8,$CT42&gt;=BA$41),1,0)</f>
        <v>0</v>
      </c>
      <c r="BB42" s="27">
        <f>IF(AND($B42&gt;=InputTrianglesACPC!$D$8,$CT42&gt;=BB$41),1,0)</f>
        <v>0</v>
      </c>
      <c r="BC42" s="27">
        <f>IF(AND($B42&gt;=InputTrianglesACPC!$D$8,$CT42&gt;=BC$41),1,0)</f>
        <v>0</v>
      </c>
      <c r="BD42" s="27">
        <f>IF(AND($B42&gt;=InputTrianglesACPC!$D$8,$CT42&gt;=BD$41),1,0)</f>
        <v>0</v>
      </c>
      <c r="BE42" s="27">
        <f>IF(AND($B42&gt;=InputTrianglesACPC!$D$8,$CT42&gt;=BE$41),1,0)</f>
        <v>0</v>
      </c>
      <c r="BF42" s="27">
        <f>IF(AND($B42&gt;=InputTrianglesACPC!$D$8,$CT42&gt;=BF$41),1,0)</f>
        <v>0</v>
      </c>
      <c r="BG42" s="27">
        <f>IF(AND($B42&gt;=InputTrianglesACPC!$D$8,$CT42&gt;=BG$41),1,0)</f>
        <v>0</v>
      </c>
      <c r="BH42" s="27">
        <f>IF(AND($B42&gt;=InputTrianglesACPC!$D$8,$CT42&gt;=BH$41),1,0)</f>
        <v>0</v>
      </c>
      <c r="BI42" s="27">
        <f>IF(AND($B42&gt;=InputTrianglesACPC!$D$8,$CT42&gt;=BI$41),1,0)</f>
        <v>0</v>
      </c>
      <c r="BJ42" s="27">
        <f>IF(AND($B42&gt;=InputTrianglesACPC!$D$8,$CT42&gt;=BJ$41),1,0)</f>
        <v>0</v>
      </c>
      <c r="BK42" s="27">
        <f>IF(AND($B42&gt;=InputTrianglesACPC!$D$8,$CT42&gt;=BK$41),1,0)</f>
        <v>0</v>
      </c>
      <c r="BL42" s="27">
        <f>IF(AND($B42&gt;=InputTrianglesACPC!$D$8,$CT42&gt;=BL$41),1,0)</f>
        <v>0</v>
      </c>
      <c r="BM42" s="27">
        <f>IF(AND($B42&gt;=InputTrianglesACPC!$D$8,$CT42&gt;=BM$41),1,0)</f>
        <v>0</v>
      </c>
      <c r="BN42" s="27">
        <f>IF(AND($B42&gt;=InputTrianglesACPC!$D$8,$CT42&gt;=BN$41),1,0)</f>
        <v>0</v>
      </c>
      <c r="BO42" s="27">
        <f>IF(AND($B42&gt;=InputTrianglesACPC!$D$8,$CT42&gt;=BO$41),1,0)</f>
        <v>0</v>
      </c>
      <c r="BP42" s="27">
        <f>IF(AND($B42&gt;=InputTrianglesACPC!$D$8,$CT42&gt;=BP$41),1,0)</f>
        <v>0</v>
      </c>
      <c r="BQ42" s="27">
        <f>IF(AND($B42&gt;=InputTrianglesACPC!$D$8,$CT42&gt;=BQ$41),1,0)</f>
        <v>0</v>
      </c>
      <c r="BR42" s="27">
        <f>IF(AND($B42&gt;=InputTrianglesACPC!$D$8,$CT42&gt;=BR$41),1,0)</f>
        <v>0</v>
      </c>
      <c r="BS42" s="27">
        <f>IF(AND($B42&gt;=InputTrianglesACPC!$D$8,$CT42&gt;=BS$41),1,0)</f>
        <v>0</v>
      </c>
      <c r="BT42" s="27">
        <f>IF(AND($B42&gt;=InputTrianglesACPC!$D$8,$CT42&gt;=BT$41),1,0)</f>
        <v>0</v>
      </c>
      <c r="BU42" s="27">
        <f>IF(AND($B42&gt;=InputTrianglesACPC!$D$8,$CT42&gt;=BU$41),1,0)</f>
        <v>0</v>
      </c>
      <c r="BV42" s="27">
        <f>IF(AND($B42&gt;=InputTrianglesACPC!$D$8,$CT42&gt;=BV$41),1,0)</f>
        <v>0</v>
      </c>
      <c r="BW42" s="27">
        <f>IF(AND($B42&gt;=InputTrianglesACPC!$D$8,$CT42&gt;=BW$41),1,0)</f>
        <v>0</v>
      </c>
      <c r="BX42" s="27">
        <f>IF(AND($B42&gt;=InputTrianglesACPC!$D$8,$CT42&gt;=BX$41),1,0)</f>
        <v>0</v>
      </c>
      <c r="BY42" s="27">
        <f>IF(AND($B42&gt;=InputTrianglesACPC!$D$8,$CT42&gt;=BY$41),1,0)</f>
        <v>0</v>
      </c>
      <c r="BZ42" s="27">
        <f>IF(AND($B42&gt;=InputTrianglesACPC!$D$8,$CT42&gt;=BZ$41),1,0)</f>
        <v>0</v>
      </c>
      <c r="CA42" s="27">
        <f>IF(AND($B42&gt;=InputTrianglesACPC!$D$8,$CT42&gt;=CA$41),1,0)</f>
        <v>0</v>
      </c>
      <c r="CB42" s="27">
        <f>IF(AND($B42&gt;=InputTrianglesACPC!$D$8,$CT42&gt;=CB$41),1,0)</f>
        <v>0</v>
      </c>
      <c r="CC42" s="27">
        <f>IF(AND($B42&gt;=InputTrianglesACPC!$D$8,$CT42&gt;=CC$41),1,0)</f>
        <v>0</v>
      </c>
      <c r="CD42" s="27">
        <f>IF(AND($B42&gt;=InputTrianglesACPC!$D$8,$CT42&gt;=CD$41),1,0)</f>
        <v>0</v>
      </c>
      <c r="CE42" s="27">
        <f>IF(AND($B42&gt;=InputTrianglesACPC!$D$8,$CT42&gt;=CE$41),1,0)</f>
        <v>0</v>
      </c>
      <c r="CF42" s="27">
        <f>IF(AND($B42&gt;=InputTrianglesACPC!$D$8,$CT42&gt;=CF$41),1,0)</f>
        <v>0</v>
      </c>
      <c r="CG42" s="27">
        <f>IF(AND($B42&gt;=InputTrianglesACPC!$D$8,$CT42&gt;=CG$41),1,0)</f>
        <v>0</v>
      </c>
      <c r="CH42" s="27">
        <f>IF(AND($B42&gt;=InputTrianglesACPC!$D$8,$CT42&gt;=CH$41),1,0)</f>
        <v>0</v>
      </c>
      <c r="CI42" s="27">
        <f>IF(AND($B42&gt;=InputTrianglesACPC!$D$8,$CT42&gt;=CI$41),1,0)</f>
        <v>0</v>
      </c>
      <c r="CJ42" s="27">
        <f>IF(AND($B42&gt;=InputTrianglesACPC!$D$8,$CT42&gt;=CJ$41),1,0)</f>
        <v>0</v>
      </c>
      <c r="CK42" s="27">
        <f>IF(AND($B42&gt;=InputTrianglesACPC!$D$8,$CT42&gt;=CK$41),1,0)</f>
        <v>0</v>
      </c>
      <c r="CL42" s="27">
        <f>IF(AND($B42&gt;=InputTrianglesACPC!$D$8,$CT42&gt;=CL$41),1,0)</f>
        <v>0</v>
      </c>
      <c r="CM42" s="27">
        <f>IF(AND($B42&gt;=InputTrianglesACPC!$D$8,$CT42&gt;=CM$41),1,0)</f>
        <v>0</v>
      </c>
      <c r="CN42" s="27">
        <f>IF(AND($B42&gt;=InputTrianglesACPC!$D$8,$CT42&gt;=CN$41),1,0)</f>
        <v>0</v>
      </c>
      <c r="CO42" s="27">
        <f>IF(AND($B42&gt;=InputTrianglesACPC!$D$8,$CT42&gt;=CO$41),1,0)</f>
        <v>0</v>
      </c>
      <c r="CP42" s="27">
        <f>IF(AND($B42&gt;=InputTrianglesACPC!$D$8,$CT42&gt;=CP$41),1,0)</f>
        <v>0</v>
      </c>
      <c r="CQ42" s="27">
        <f>IF(AND($B42&gt;=InputTrianglesACPC!$D$8,$CT42&gt;=CQ$41),1,0)</f>
        <v>0</v>
      </c>
      <c r="CR42" s="27">
        <f>IF(AND($B42&gt;=InputTrianglesACPC!$D$8,$CT42&gt;=CR$41),1,0)</f>
        <v>0</v>
      </c>
      <c r="CS42" s="61">
        <f>IF(AND($B42&gt;=InputTrianglesACPC!$D$8,$CT42&gt;=CS$41),1,0)</f>
        <v>0</v>
      </c>
      <c r="CT42" s="79">
        <f>($D$9-InputTrianglesACPC!$B42)*InputTrianglesACPC!$E$4+$D$6</f>
        <v>24</v>
      </c>
    </row>
    <row r="43" spans="1:102" hidden="1" x14ac:dyDescent="0.25">
      <c r="A43" s="97">
        <v>0</v>
      </c>
      <c r="B43" s="29">
        <f t="shared" si="7"/>
        <v>1997</v>
      </c>
      <c r="C43" s="30">
        <f>IF(AND($B43&gt;=InputTrianglesACPC!$D$8,$CT43&gt;=C$41),1,0)</f>
        <v>0</v>
      </c>
      <c r="D43" s="33">
        <f>IF(AND($B43&gt;=InputTrianglesACPC!$D$8,$CT43&gt;=D$41),1,0)</f>
        <v>0</v>
      </c>
      <c r="E43" s="33">
        <f>IF(AND($B43&gt;=InputTrianglesACPC!$D$8,$CT43&gt;=E$41),1,0)</f>
        <v>0</v>
      </c>
      <c r="F43" s="33">
        <f>IF(AND($B43&gt;=InputTrianglesACPC!$D$8,$CT43&gt;=F$41),1,0)</f>
        <v>0</v>
      </c>
      <c r="G43" s="33">
        <f>IF(AND($B43&gt;=InputTrianglesACPC!$D$8,$CT43&gt;=G$41),1,0)</f>
        <v>0</v>
      </c>
      <c r="H43" s="33">
        <f>IF(AND($B43&gt;=InputTrianglesACPC!$D$8,$CT43&gt;=H$41),1,0)</f>
        <v>0</v>
      </c>
      <c r="I43" s="33">
        <f>IF(AND($B43&gt;=InputTrianglesACPC!$D$8,$CT43&gt;=I$41),1,0)</f>
        <v>0</v>
      </c>
      <c r="J43" s="33">
        <f>IF(AND($B43&gt;=InputTrianglesACPC!$D$8,$CT43&gt;=J$41),1,0)</f>
        <v>0</v>
      </c>
      <c r="K43" s="33">
        <f>IF(AND($B43&gt;=InputTrianglesACPC!$D$8,$CT43&gt;=K$41),1,0)</f>
        <v>0</v>
      </c>
      <c r="L43" s="33">
        <f>IF(AND($B43&gt;=InputTrianglesACPC!$D$8,$CT43&gt;=L$41),1,0)</f>
        <v>0</v>
      </c>
      <c r="M43" s="33">
        <f>IF(AND($B43&gt;=InputTrianglesACPC!$D$8,$CT43&gt;=M$41),1,0)</f>
        <v>0</v>
      </c>
      <c r="N43" s="33">
        <f>IF(AND($B43&gt;=InputTrianglesACPC!$D$8,$CT43&gt;=N$41),1,0)</f>
        <v>0</v>
      </c>
      <c r="O43" s="33">
        <f>IF(AND($B43&gt;=InputTrianglesACPC!$D$8,$CT43&gt;=O$41),1,0)</f>
        <v>0</v>
      </c>
      <c r="P43" s="33">
        <f>IF(AND($B43&gt;=InputTrianglesACPC!$D$8,$CT43&gt;=P$41),1,0)</f>
        <v>0</v>
      </c>
      <c r="Q43" s="33">
        <f>IF(AND($B43&gt;=InputTrianglesACPC!$D$8,$CT43&gt;=Q$41),1,0)</f>
        <v>0</v>
      </c>
      <c r="R43" s="33">
        <f>IF(AND($B43&gt;=InputTrianglesACPC!$D$8,$CT43&gt;=R$41),1,0)</f>
        <v>0</v>
      </c>
      <c r="S43" s="33">
        <f>IF(AND($B43&gt;=InputTrianglesACPC!$D$8,$CT43&gt;=S$41),1,0)</f>
        <v>0</v>
      </c>
      <c r="T43" s="33">
        <f>IF(AND($B43&gt;=InputTrianglesACPC!$D$8,$CT43&gt;=T$41),1,0)</f>
        <v>0</v>
      </c>
      <c r="U43" s="33">
        <f>IF(AND($B43&gt;=InputTrianglesACPC!$D$8,$CT43&gt;=U$41),1,0)</f>
        <v>0</v>
      </c>
      <c r="V43" s="33">
        <f>IF(AND($B43&gt;=InputTrianglesACPC!$D$8,$CT43&gt;=V$41),1,0)</f>
        <v>0</v>
      </c>
      <c r="W43" s="33">
        <f>IF(AND($B43&gt;=InputTrianglesACPC!$D$8,$CT43&gt;=W$41),1,0)</f>
        <v>0</v>
      </c>
      <c r="X43" s="33">
        <f>IF(AND($B43&gt;=InputTrianglesACPC!$D$8,$CT43&gt;=X$41),1,0)</f>
        <v>0</v>
      </c>
      <c r="Y43" s="33">
        <f>IF(AND($B43&gt;=InputTrianglesACPC!$D$8,$CT43&gt;=Y$41),1,0)</f>
        <v>0</v>
      </c>
      <c r="Z43" s="33">
        <f>IF(AND($B43&gt;=InputTrianglesACPC!$D$8,$CT43&gt;=Z$41),1,0)</f>
        <v>0</v>
      </c>
      <c r="AA43" s="33">
        <f>IF(AND($B43&gt;=InputTrianglesACPC!$D$8,$CT43&gt;=AA$41),1,0)</f>
        <v>0</v>
      </c>
      <c r="AB43" s="33">
        <f>IF(AND($B43&gt;=InputTrianglesACPC!$D$8,$CT43&gt;=AB$41),1,0)</f>
        <v>0</v>
      </c>
      <c r="AC43" s="33">
        <f>IF(AND($B43&gt;=InputTrianglesACPC!$D$8,$CT43&gt;=AC$41),1,0)</f>
        <v>0</v>
      </c>
      <c r="AD43" s="33">
        <f>IF(AND($B43&gt;=InputTrianglesACPC!$D$8,$CT43&gt;=AD$41),1,0)</f>
        <v>0</v>
      </c>
      <c r="AE43" s="33">
        <f>IF(AND($B43&gt;=InputTrianglesACPC!$D$8,$CT43&gt;=AE$41),1,0)</f>
        <v>0</v>
      </c>
      <c r="AF43" s="33">
        <f>IF(AND($B43&gt;=InputTrianglesACPC!$D$8,$CT43&gt;=AF$41),1,0)</f>
        <v>0</v>
      </c>
      <c r="AG43" s="33">
        <f>IF(AND($B43&gt;=InputTrianglesACPC!$D$8,$CT43&gt;=AG$41),1,0)</f>
        <v>0</v>
      </c>
      <c r="AH43" s="33">
        <f>IF(AND($B43&gt;=InputTrianglesACPC!$D$8,$CT43&gt;=AH$41),1,0)</f>
        <v>0</v>
      </c>
      <c r="AI43" s="33">
        <f>IF(AND($B43&gt;=InputTrianglesACPC!$D$8,$CT43&gt;=AI$41),1,0)</f>
        <v>0</v>
      </c>
      <c r="AJ43" s="33">
        <f>IF(AND($B43&gt;=InputTrianglesACPC!$D$8,$CT43&gt;=AJ$41),1,0)</f>
        <v>0</v>
      </c>
      <c r="AK43" s="33">
        <f>IF(AND($B43&gt;=InputTrianglesACPC!$D$8,$CT43&gt;=AK$41),1,0)</f>
        <v>0</v>
      </c>
      <c r="AL43" s="33">
        <f>IF(AND($B43&gt;=InputTrianglesACPC!$D$8,$CT43&gt;=AL$41),1,0)</f>
        <v>0</v>
      </c>
      <c r="AM43" s="33">
        <f>IF(AND($B43&gt;=InputTrianglesACPC!$D$8,$CT43&gt;=AM$41),1,0)</f>
        <v>0</v>
      </c>
      <c r="AN43" s="33">
        <f>IF(AND($B43&gt;=InputTrianglesACPC!$D$8,$CT43&gt;=AN$41),1,0)</f>
        <v>0</v>
      </c>
      <c r="AO43" s="33">
        <f>IF(AND($B43&gt;=InputTrianglesACPC!$D$8,$CT43&gt;=AO$41),1,0)</f>
        <v>0</v>
      </c>
      <c r="AP43" s="33">
        <f>IF(AND($B43&gt;=InputTrianglesACPC!$D$8,$CT43&gt;=AP$41),1,0)</f>
        <v>0</v>
      </c>
      <c r="AQ43" s="33">
        <f>IF(AND($B43&gt;=InputTrianglesACPC!$D$8,$CT43&gt;=AQ$41),1,0)</f>
        <v>0</v>
      </c>
      <c r="AR43" s="33">
        <f>IF(AND($B43&gt;=InputTrianglesACPC!$D$8,$CT43&gt;=AR$41),1,0)</f>
        <v>0</v>
      </c>
      <c r="AS43" s="33">
        <f>IF(AND($B43&gt;=InputTrianglesACPC!$D$8,$CT43&gt;=AS$41),1,0)</f>
        <v>0</v>
      </c>
      <c r="AT43" s="33">
        <f>IF(AND($B43&gt;=InputTrianglesACPC!$D$8,$CT43&gt;=AT$41),1,0)</f>
        <v>0</v>
      </c>
      <c r="AU43" s="33">
        <f>IF(AND($B43&gt;=InputTrianglesACPC!$D$8,$CT43&gt;=AU$41),1,0)</f>
        <v>0</v>
      </c>
      <c r="AV43" s="33">
        <f>IF(AND($B43&gt;=InputTrianglesACPC!$D$8,$CT43&gt;=AV$41),1,0)</f>
        <v>0</v>
      </c>
      <c r="AW43" s="33">
        <f>IF(AND($B43&gt;=InputTrianglesACPC!$D$8,$CT43&gt;=AW$41),1,0)</f>
        <v>0</v>
      </c>
      <c r="AX43" s="33">
        <f>IF(AND($B43&gt;=InputTrianglesACPC!$D$8,$CT43&gt;=AX$41),1,0)</f>
        <v>0</v>
      </c>
      <c r="AY43" s="33">
        <f>IF(AND($B43&gt;=InputTrianglesACPC!$D$8,$CT43&gt;=AY$41),1,0)</f>
        <v>0</v>
      </c>
      <c r="AZ43" s="33">
        <f>IF(AND($B43&gt;=InputTrianglesACPC!$D$8,$CT43&gt;=AZ$41),1,0)</f>
        <v>0</v>
      </c>
      <c r="BA43" s="33">
        <f>IF(AND($B43&gt;=InputTrianglesACPC!$D$8,$CT43&gt;=BA$41),1,0)</f>
        <v>0</v>
      </c>
      <c r="BB43" s="33">
        <f>IF(AND($B43&gt;=InputTrianglesACPC!$D$8,$CT43&gt;=BB$41),1,0)</f>
        <v>0</v>
      </c>
      <c r="BC43" s="33">
        <f>IF(AND($B43&gt;=InputTrianglesACPC!$D$8,$CT43&gt;=BC$41),1,0)</f>
        <v>0</v>
      </c>
      <c r="BD43" s="33">
        <f>IF(AND($B43&gt;=InputTrianglesACPC!$D$8,$CT43&gt;=BD$41),1,0)</f>
        <v>0</v>
      </c>
      <c r="BE43" s="33">
        <f>IF(AND($B43&gt;=InputTrianglesACPC!$D$8,$CT43&gt;=BE$41),1,0)</f>
        <v>0</v>
      </c>
      <c r="BF43" s="33">
        <f>IF(AND($B43&gt;=InputTrianglesACPC!$D$8,$CT43&gt;=BF$41),1,0)</f>
        <v>0</v>
      </c>
      <c r="BG43" s="33">
        <f>IF(AND($B43&gt;=InputTrianglesACPC!$D$8,$CT43&gt;=BG$41),1,0)</f>
        <v>0</v>
      </c>
      <c r="BH43" s="33">
        <f>IF(AND($B43&gt;=InputTrianglesACPC!$D$8,$CT43&gt;=BH$41),1,0)</f>
        <v>0</v>
      </c>
      <c r="BI43" s="33">
        <f>IF(AND($B43&gt;=InputTrianglesACPC!$D$8,$CT43&gt;=BI$41),1,0)</f>
        <v>0</v>
      </c>
      <c r="BJ43" s="33">
        <f>IF(AND($B43&gt;=InputTrianglesACPC!$D$8,$CT43&gt;=BJ$41),1,0)</f>
        <v>0</v>
      </c>
      <c r="BK43" s="33">
        <f>IF(AND($B43&gt;=InputTrianglesACPC!$D$8,$CT43&gt;=BK$41),1,0)</f>
        <v>0</v>
      </c>
      <c r="BL43" s="33">
        <f>IF(AND($B43&gt;=InputTrianglesACPC!$D$8,$CT43&gt;=BL$41),1,0)</f>
        <v>0</v>
      </c>
      <c r="BM43" s="33">
        <f>IF(AND($B43&gt;=InputTrianglesACPC!$D$8,$CT43&gt;=BM$41),1,0)</f>
        <v>0</v>
      </c>
      <c r="BN43" s="33">
        <f>IF(AND($B43&gt;=InputTrianglesACPC!$D$8,$CT43&gt;=BN$41),1,0)</f>
        <v>0</v>
      </c>
      <c r="BO43" s="33">
        <f>IF(AND($B43&gt;=InputTrianglesACPC!$D$8,$CT43&gt;=BO$41),1,0)</f>
        <v>0</v>
      </c>
      <c r="BP43" s="33">
        <f>IF(AND($B43&gt;=InputTrianglesACPC!$D$8,$CT43&gt;=BP$41),1,0)</f>
        <v>0</v>
      </c>
      <c r="BQ43" s="33">
        <f>IF(AND($B43&gt;=InputTrianglesACPC!$D$8,$CT43&gt;=BQ$41),1,0)</f>
        <v>0</v>
      </c>
      <c r="BR43" s="33">
        <f>IF(AND($B43&gt;=InputTrianglesACPC!$D$8,$CT43&gt;=BR$41),1,0)</f>
        <v>0</v>
      </c>
      <c r="BS43" s="33">
        <f>IF(AND($B43&gt;=InputTrianglesACPC!$D$8,$CT43&gt;=BS$41),1,0)</f>
        <v>0</v>
      </c>
      <c r="BT43" s="33">
        <f>IF(AND($B43&gt;=InputTrianglesACPC!$D$8,$CT43&gt;=BT$41),1,0)</f>
        <v>0</v>
      </c>
      <c r="BU43" s="33">
        <f>IF(AND($B43&gt;=InputTrianglesACPC!$D$8,$CT43&gt;=BU$41),1,0)</f>
        <v>0</v>
      </c>
      <c r="BV43" s="33">
        <f>IF(AND($B43&gt;=InputTrianglesACPC!$D$8,$CT43&gt;=BV$41),1,0)</f>
        <v>0</v>
      </c>
      <c r="BW43" s="33">
        <f>IF(AND($B43&gt;=InputTrianglesACPC!$D$8,$CT43&gt;=BW$41),1,0)</f>
        <v>0</v>
      </c>
      <c r="BX43" s="33">
        <f>IF(AND($B43&gt;=InputTrianglesACPC!$D$8,$CT43&gt;=BX$41),1,0)</f>
        <v>0</v>
      </c>
      <c r="BY43" s="33">
        <f>IF(AND($B43&gt;=InputTrianglesACPC!$D$8,$CT43&gt;=BY$41),1,0)</f>
        <v>0</v>
      </c>
      <c r="BZ43" s="33">
        <f>IF(AND($B43&gt;=InputTrianglesACPC!$D$8,$CT43&gt;=BZ$41),1,0)</f>
        <v>0</v>
      </c>
      <c r="CA43" s="33">
        <f>IF(AND($B43&gt;=InputTrianglesACPC!$D$8,$CT43&gt;=CA$41),1,0)</f>
        <v>0</v>
      </c>
      <c r="CB43" s="33">
        <f>IF(AND($B43&gt;=InputTrianglesACPC!$D$8,$CT43&gt;=CB$41),1,0)</f>
        <v>0</v>
      </c>
      <c r="CC43" s="33">
        <f>IF(AND($B43&gt;=InputTrianglesACPC!$D$8,$CT43&gt;=CC$41),1,0)</f>
        <v>0</v>
      </c>
      <c r="CD43" s="33">
        <f>IF(AND($B43&gt;=InputTrianglesACPC!$D$8,$CT43&gt;=CD$41),1,0)</f>
        <v>0</v>
      </c>
      <c r="CE43" s="33">
        <f>IF(AND($B43&gt;=InputTrianglesACPC!$D$8,$CT43&gt;=CE$41),1,0)</f>
        <v>0</v>
      </c>
      <c r="CF43" s="33">
        <f>IF(AND($B43&gt;=InputTrianglesACPC!$D$8,$CT43&gt;=CF$41),1,0)</f>
        <v>0</v>
      </c>
      <c r="CG43" s="33">
        <f>IF(AND($B43&gt;=InputTrianglesACPC!$D$8,$CT43&gt;=CG$41),1,0)</f>
        <v>0</v>
      </c>
      <c r="CH43" s="33">
        <f>IF(AND($B43&gt;=InputTrianglesACPC!$D$8,$CT43&gt;=CH$41),1,0)</f>
        <v>0</v>
      </c>
      <c r="CI43" s="33">
        <f>IF(AND($B43&gt;=InputTrianglesACPC!$D$8,$CT43&gt;=CI$41),1,0)</f>
        <v>0</v>
      </c>
      <c r="CJ43" s="33">
        <f>IF(AND($B43&gt;=InputTrianglesACPC!$D$8,$CT43&gt;=CJ$41),1,0)</f>
        <v>0</v>
      </c>
      <c r="CK43" s="33">
        <f>IF(AND($B43&gt;=InputTrianglesACPC!$D$8,$CT43&gt;=CK$41),1,0)</f>
        <v>0</v>
      </c>
      <c r="CL43" s="33">
        <f>IF(AND($B43&gt;=InputTrianglesACPC!$D$8,$CT43&gt;=CL$41),1,0)</f>
        <v>0</v>
      </c>
      <c r="CM43" s="33">
        <f>IF(AND($B43&gt;=InputTrianglesACPC!$D$8,$CT43&gt;=CM$41),1,0)</f>
        <v>0</v>
      </c>
      <c r="CN43" s="33">
        <f>IF(AND($B43&gt;=InputTrianglesACPC!$D$8,$CT43&gt;=CN$41),1,0)</f>
        <v>0</v>
      </c>
      <c r="CO43" s="33">
        <f>IF(AND($B43&gt;=InputTrianglesACPC!$D$8,$CT43&gt;=CO$41),1,0)</f>
        <v>0</v>
      </c>
      <c r="CP43" s="33">
        <f>IF(AND($B43&gt;=InputTrianglesACPC!$D$8,$CT43&gt;=CP$41),1,0)</f>
        <v>0</v>
      </c>
      <c r="CQ43" s="33">
        <f>IF(AND($B43&gt;=InputTrianglesACPC!$D$8,$CT43&gt;=CQ$41),1,0)</f>
        <v>0</v>
      </c>
      <c r="CR43" s="33">
        <f>IF(AND($B43&gt;=InputTrianglesACPC!$D$8,$CT43&gt;=CR$41),1,0)</f>
        <v>0</v>
      </c>
      <c r="CS43" s="32">
        <f>IF(AND($B43&gt;=InputTrianglesACPC!$D$8,$CT43&gt;=CS$41),1,0)</f>
        <v>0</v>
      </c>
      <c r="CT43" s="31">
        <f>($D$9-InputTrianglesACPC!$B43)*InputTrianglesACPC!$E$4+$D$6</f>
        <v>23</v>
      </c>
    </row>
    <row r="44" spans="1:102" hidden="1" x14ac:dyDescent="0.25">
      <c r="A44" s="97">
        <v>0</v>
      </c>
      <c r="B44" s="29">
        <f t="shared" si="7"/>
        <v>1998</v>
      </c>
      <c r="C44" s="30">
        <f>IF(AND($B44&gt;=InputTrianglesACPC!$D$8,$CT44&gt;=C$41),1,0)</f>
        <v>0</v>
      </c>
      <c r="D44" s="33">
        <f>IF(AND($B44&gt;=InputTrianglesACPC!$D$8,$CT44&gt;=D$41),1,0)</f>
        <v>0</v>
      </c>
      <c r="E44" s="33">
        <f>IF(AND($B44&gt;=InputTrianglesACPC!$D$8,$CT44&gt;=E$41),1,0)</f>
        <v>0</v>
      </c>
      <c r="F44" s="33">
        <f>IF(AND($B44&gt;=InputTrianglesACPC!$D$8,$CT44&gt;=F$41),1,0)</f>
        <v>0</v>
      </c>
      <c r="G44" s="33">
        <f>IF(AND($B44&gt;=InputTrianglesACPC!$D$8,$CT44&gt;=G$41),1,0)</f>
        <v>0</v>
      </c>
      <c r="H44" s="33">
        <f>IF(AND($B44&gt;=InputTrianglesACPC!$D$8,$CT44&gt;=H$41),1,0)</f>
        <v>0</v>
      </c>
      <c r="I44" s="33">
        <f>IF(AND($B44&gt;=InputTrianglesACPC!$D$8,$CT44&gt;=I$41),1,0)</f>
        <v>0</v>
      </c>
      <c r="J44" s="33">
        <f>IF(AND($B44&gt;=InputTrianglesACPC!$D$8,$CT44&gt;=J$41),1,0)</f>
        <v>0</v>
      </c>
      <c r="K44" s="33">
        <f>IF(AND($B44&gt;=InputTrianglesACPC!$D$8,$CT44&gt;=K$41),1,0)</f>
        <v>0</v>
      </c>
      <c r="L44" s="33">
        <f>IF(AND($B44&gt;=InputTrianglesACPC!$D$8,$CT44&gt;=L$41),1,0)</f>
        <v>0</v>
      </c>
      <c r="M44" s="33">
        <f>IF(AND($B44&gt;=InputTrianglesACPC!$D$8,$CT44&gt;=M$41),1,0)</f>
        <v>0</v>
      </c>
      <c r="N44" s="33">
        <f>IF(AND($B44&gt;=InputTrianglesACPC!$D$8,$CT44&gt;=N$41),1,0)</f>
        <v>0</v>
      </c>
      <c r="O44" s="33">
        <f>IF(AND($B44&gt;=InputTrianglesACPC!$D$8,$CT44&gt;=O$41),1,0)</f>
        <v>0</v>
      </c>
      <c r="P44" s="33">
        <f>IF(AND($B44&gt;=InputTrianglesACPC!$D$8,$CT44&gt;=P$41),1,0)</f>
        <v>0</v>
      </c>
      <c r="Q44" s="33">
        <f>IF(AND($B44&gt;=InputTrianglesACPC!$D$8,$CT44&gt;=Q$41),1,0)</f>
        <v>0</v>
      </c>
      <c r="R44" s="33">
        <f>IF(AND($B44&gt;=InputTrianglesACPC!$D$8,$CT44&gt;=R$41),1,0)</f>
        <v>0</v>
      </c>
      <c r="S44" s="33">
        <f>IF(AND($B44&gt;=InputTrianglesACPC!$D$8,$CT44&gt;=S$41),1,0)</f>
        <v>0</v>
      </c>
      <c r="T44" s="33">
        <f>IF(AND($B44&gt;=InputTrianglesACPC!$D$8,$CT44&gt;=T$41),1,0)</f>
        <v>0</v>
      </c>
      <c r="U44" s="33">
        <f>IF(AND($B44&gt;=InputTrianglesACPC!$D$8,$CT44&gt;=U$41),1,0)</f>
        <v>0</v>
      </c>
      <c r="V44" s="33">
        <f>IF(AND($B44&gt;=InputTrianglesACPC!$D$8,$CT44&gt;=V$41),1,0)</f>
        <v>0</v>
      </c>
      <c r="W44" s="33">
        <f>IF(AND($B44&gt;=InputTrianglesACPC!$D$8,$CT44&gt;=W$41),1,0)</f>
        <v>0</v>
      </c>
      <c r="X44" s="33">
        <f>IF(AND($B44&gt;=InputTrianglesACPC!$D$8,$CT44&gt;=X$41),1,0)</f>
        <v>0</v>
      </c>
      <c r="Y44" s="33">
        <f>IF(AND($B44&gt;=InputTrianglesACPC!$D$8,$CT44&gt;=Y$41),1,0)</f>
        <v>0</v>
      </c>
      <c r="Z44" s="33">
        <f>IF(AND($B44&gt;=InputTrianglesACPC!$D$8,$CT44&gt;=Z$41),1,0)</f>
        <v>0</v>
      </c>
      <c r="AA44" s="33">
        <f>IF(AND($B44&gt;=InputTrianglesACPC!$D$8,$CT44&gt;=AA$41),1,0)</f>
        <v>0</v>
      </c>
      <c r="AB44" s="33">
        <f>IF(AND($B44&gt;=InputTrianglesACPC!$D$8,$CT44&gt;=AB$41),1,0)</f>
        <v>0</v>
      </c>
      <c r="AC44" s="33">
        <f>IF(AND($B44&gt;=InputTrianglesACPC!$D$8,$CT44&gt;=AC$41),1,0)</f>
        <v>0</v>
      </c>
      <c r="AD44" s="33">
        <f>IF(AND($B44&gt;=InputTrianglesACPC!$D$8,$CT44&gt;=AD$41),1,0)</f>
        <v>0</v>
      </c>
      <c r="AE44" s="33">
        <f>IF(AND($B44&gt;=InputTrianglesACPC!$D$8,$CT44&gt;=AE$41),1,0)</f>
        <v>0</v>
      </c>
      <c r="AF44" s="33">
        <f>IF(AND($B44&gt;=InputTrianglesACPC!$D$8,$CT44&gt;=AF$41),1,0)</f>
        <v>0</v>
      </c>
      <c r="AG44" s="33">
        <f>IF(AND($B44&gt;=InputTrianglesACPC!$D$8,$CT44&gt;=AG$41),1,0)</f>
        <v>0</v>
      </c>
      <c r="AH44" s="33">
        <f>IF(AND($B44&gt;=InputTrianglesACPC!$D$8,$CT44&gt;=AH$41),1,0)</f>
        <v>0</v>
      </c>
      <c r="AI44" s="33">
        <f>IF(AND($B44&gt;=InputTrianglesACPC!$D$8,$CT44&gt;=AI$41),1,0)</f>
        <v>0</v>
      </c>
      <c r="AJ44" s="33">
        <f>IF(AND($B44&gt;=InputTrianglesACPC!$D$8,$CT44&gt;=AJ$41),1,0)</f>
        <v>0</v>
      </c>
      <c r="AK44" s="33">
        <f>IF(AND($B44&gt;=InputTrianglesACPC!$D$8,$CT44&gt;=AK$41),1,0)</f>
        <v>0</v>
      </c>
      <c r="AL44" s="33">
        <f>IF(AND($B44&gt;=InputTrianglesACPC!$D$8,$CT44&gt;=AL$41),1,0)</f>
        <v>0</v>
      </c>
      <c r="AM44" s="33">
        <f>IF(AND($B44&gt;=InputTrianglesACPC!$D$8,$CT44&gt;=AM$41),1,0)</f>
        <v>0</v>
      </c>
      <c r="AN44" s="33">
        <f>IF(AND($B44&gt;=InputTrianglesACPC!$D$8,$CT44&gt;=AN$41),1,0)</f>
        <v>0</v>
      </c>
      <c r="AO44" s="33">
        <f>IF(AND($B44&gt;=InputTrianglesACPC!$D$8,$CT44&gt;=AO$41),1,0)</f>
        <v>0</v>
      </c>
      <c r="AP44" s="33">
        <f>IF(AND($B44&gt;=InputTrianglesACPC!$D$8,$CT44&gt;=AP$41),1,0)</f>
        <v>0</v>
      </c>
      <c r="AQ44" s="33">
        <f>IF(AND($B44&gt;=InputTrianglesACPC!$D$8,$CT44&gt;=AQ$41),1,0)</f>
        <v>0</v>
      </c>
      <c r="AR44" s="33">
        <f>IF(AND($B44&gt;=InputTrianglesACPC!$D$8,$CT44&gt;=AR$41),1,0)</f>
        <v>0</v>
      </c>
      <c r="AS44" s="33">
        <f>IF(AND($B44&gt;=InputTrianglesACPC!$D$8,$CT44&gt;=AS$41),1,0)</f>
        <v>0</v>
      </c>
      <c r="AT44" s="33">
        <f>IF(AND($B44&gt;=InputTrianglesACPC!$D$8,$CT44&gt;=AT$41),1,0)</f>
        <v>0</v>
      </c>
      <c r="AU44" s="33">
        <f>IF(AND($B44&gt;=InputTrianglesACPC!$D$8,$CT44&gt;=AU$41),1,0)</f>
        <v>0</v>
      </c>
      <c r="AV44" s="33">
        <f>IF(AND($B44&gt;=InputTrianglesACPC!$D$8,$CT44&gt;=AV$41),1,0)</f>
        <v>0</v>
      </c>
      <c r="AW44" s="33">
        <f>IF(AND($B44&gt;=InputTrianglesACPC!$D$8,$CT44&gt;=AW$41),1,0)</f>
        <v>0</v>
      </c>
      <c r="AX44" s="33">
        <f>IF(AND($B44&gt;=InputTrianglesACPC!$D$8,$CT44&gt;=AX$41),1,0)</f>
        <v>0</v>
      </c>
      <c r="AY44" s="33">
        <f>IF(AND($B44&gt;=InputTrianglesACPC!$D$8,$CT44&gt;=AY$41),1,0)</f>
        <v>0</v>
      </c>
      <c r="AZ44" s="33">
        <f>IF(AND($B44&gt;=InputTrianglesACPC!$D$8,$CT44&gt;=AZ$41),1,0)</f>
        <v>0</v>
      </c>
      <c r="BA44" s="33">
        <f>IF(AND($B44&gt;=InputTrianglesACPC!$D$8,$CT44&gt;=BA$41),1,0)</f>
        <v>0</v>
      </c>
      <c r="BB44" s="33">
        <f>IF(AND($B44&gt;=InputTrianglesACPC!$D$8,$CT44&gt;=BB$41),1,0)</f>
        <v>0</v>
      </c>
      <c r="BC44" s="33">
        <f>IF(AND($B44&gt;=InputTrianglesACPC!$D$8,$CT44&gt;=BC$41),1,0)</f>
        <v>0</v>
      </c>
      <c r="BD44" s="33">
        <f>IF(AND($B44&gt;=InputTrianglesACPC!$D$8,$CT44&gt;=BD$41),1,0)</f>
        <v>0</v>
      </c>
      <c r="BE44" s="33">
        <f>IF(AND($B44&gt;=InputTrianglesACPC!$D$8,$CT44&gt;=BE$41),1,0)</f>
        <v>0</v>
      </c>
      <c r="BF44" s="33">
        <f>IF(AND($B44&gt;=InputTrianglesACPC!$D$8,$CT44&gt;=BF$41),1,0)</f>
        <v>0</v>
      </c>
      <c r="BG44" s="33">
        <f>IF(AND($B44&gt;=InputTrianglesACPC!$D$8,$CT44&gt;=BG$41),1,0)</f>
        <v>0</v>
      </c>
      <c r="BH44" s="33">
        <f>IF(AND($B44&gt;=InputTrianglesACPC!$D$8,$CT44&gt;=BH$41),1,0)</f>
        <v>0</v>
      </c>
      <c r="BI44" s="33">
        <f>IF(AND($B44&gt;=InputTrianglesACPC!$D$8,$CT44&gt;=BI$41),1,0)</f>
        <v>0</v>
      </c>
      <c r="BJ44" s="33">
        <f>IF(AND($B44&gt;=InputTrianglesACPC!$D$8,$CT44&gt;=BJ$41),1,0)</f>
        <v>0</v>
      </c>
      <c r="BK44" s="33">
        <f>IF(AND($B44&gt;=InputTrianglesACPC!$D$8,$CT44&gt;=BK$41),1,0)</f>
        <v>0</v>
      </c>
      <c r="BL44" s="33">
        <f>IF(AND($B44&gt;=InputTrianglesACPC!$D$8,$CT44&gt;=BL$41),1,0)</f>
        <v>0</v>
      </c>
      <c r="BM44" s="33">
        <f>IF(AND($B44&gt;=InputTrianglesACPC!$D$8,$CT44&gt;=BM$41),1,0)</f>
        <v>0</v>
      </c>
      <c r="BN44" s="33">
        <f>IF(AND($B44&gt;=InputTrianglesACPC!$D$8,$CT44&gt;=BN$41),1,0)</f>
        <v>0</v>
      </c>
      <c r="BO44" s="33">
        <f>IF(AND($B44&gt;=InputTrianglesACPC!$D$8,$CT44&gt;=BO$41),1,0)</f>
        <v>0</v>
      </c>
      <c r="BP44" s="33">
        <f>IF(AND($B44&gt;=InputTrianglesACPC!$D$8,$CT44&gt;=BP$41),1,0)</f>
        <v>0</v>
      </c>
      <c r="BQ44" s="33">
        <f>IF(AND($B44&gt;=InputTrianglesACPC!$D$8,$CT44&gt;=BQ$41),1,0)</f>
        <v>0</v>
      </c>
      <c r="BR44" s="33">
        <f>IF(AND($B44&gt;=InputTrianglesACPC!$D$8,$CT44&gt;=BR$41),1,0)</f>
        <v>0</v>
      </c>
      <c r="BS44" s="33">
        <f>IF(AND($B44&gt;=InputTrianglesACPC!$D$8,$CT44&gt;=BS$41),1,0)</f>
        <v>0</v>
      </c>
      <c r="BT44" s="33">
        <f>IF(AND($B44&gt;=InputTrianglesACPC!$D$8,$CT44&gt;=BT$41),1,0)</f>
        <v>0</v>
      </c>
      <c r="BU44" s="33">
        <f>IF(AND($B44&gt;=InputTrianglesACPC!$D$8,$CT44&gt;=BU$41),1,0)</f>
        <v>0</v>
      </c>
      <c r="BV44" s="33">
        <f>IF(AND($B44&gt;=InputTrianglesACPC!$D$8,$CT44&gt;=BV$41),1,0)</f>
        <v>0</v>
      </c>
      <c r="BW44" s="33">
        <f>IF(AND($B44&gt;=InputTrianglesACPC!$D$8,$CT44&gt;=BW$41),1,0)</f>
        <v>0</v>
      </c>
      <c r="BX44" s="33">
        <f>IF(AND($B44&gt;=InputTrianglesACPC!$D$8,$CT44&gt;=BX$41),1,0)</f>
        <v>0</v>
      </c>
      <c r="BY44" s="33">
        <f>IF(AND($B44&gt;=InputTrianglesACPC!$D$8,$CT44&gt;=BY$41),1,0)</f>
        <v>0</v>
      </c>
      <c r="BZ44" s="33">
        <f>IF(AND($B44&gt;=InputTrianglesACPC!$D$8,$CT44&gt;=BZ$41),1,0)</f>
        <v>0</v>
      </c>
      <c r="CA44" s="33">
        <f>IF(AND($B44&gt;=InputTrianglesACPC!$D$8,$CT44&gt;=CA$41),1,0)</f>
        <v>0</v>
      </c>
      <c r="CB44" s="33">
        <f>IF(AND($B44&gt;=InputTrianglesACPC!$D$8,$CT44&gt;=CB$41),1,0)</f>
        <v>0</v>
      </c>
      <c r="CC44" s="33">
        <f>IF(AND($B44&gt;=InputTrianglesACPC!$D$8,$CT44&gt;=CC$41),1,0)</f>
        <v>0</v>
      </c>
      <c r="CD44" s="33">
        <f>IF(AND($B44&gt;=InputTrianglesACPC!$D$8,$CT44&gt;=CD$41),1,0)</f>
        <v>0</v>
      </c>
      <c r="CE44" s="33">
        <f>IF(AND($B44&gt;=InputTrianglesACPC!$D$8,$CT44&gt;=CE$41),1,0)</f>
        <v>0</v>
      </c>
      <c r="CF44" s="33">
        <f>IF(AND($B44&gt;=InputTrianglesACPC!$D$8,$CT44&gt;=CF$41),1,0)</f>
        <v>0</v>
      </c>
      <c r="CG44" s="33">
        <f>IF(AND($B44&gt;=InputTrianglesACPC!$D$8,$CT44&gt;=CG$41),1,0)</f>
        <v>0</v>
      </c>
      <c r="CH44" s="33">
        <f>IF(AND($B44&gt;=InputTrianglesACPC!$D$8,$CT44&gt;=CH$41),1,0)</f>
        <v>0</v>
      </c>
      <c r="CI44" s="33">
        <f>IF(AND($B44&gt;=InputTrianglesACPC!$D$8,$CT44&gt;=CI$41),1,0)</f>
        <v>0</v>
      </c>
      <c r="CJ44" s="33">
        <f>IF(AND($B44&gt;=InputTrianglesACPC!$D$8,$CT44&gt;=CJ$41),1,0)</f>
        <v>0</v>
      </c>
      <c r="CK44" s="33">
        <f>IF(AND($B44&gt;=InputTrianglesACPC!$D$8,$CT44&gt;=CK$41),1,0)</f>
        <v>0</v>
      </c>
      <c r="CL44" s="33">
        <f>IF(AND($B44&gt;=InputTrianglesACPC!$D$8,$CT44&gt;=CL$41),1,0)</f>
        <v>0</v>
      </c>
      <c r="CM44" s="33">
        <f>IF(AND($B44&gt;=InputTrianglesACPC!$D$8,$CT44&gt;=CM$41),1,0)</f>
        <v>0</v>
      </c>
      <c r="CN44" s="33">
        <f>IF(AND($B44&gt;=InputTrianglesACPC!$D$8,$CT44&gt;=CN$41),1,0)</f>
        <v>0</v>
      </c>
      <c r="CO44" s="33">
        <f>IF(AND($B44&gt;=InputTrianglesACPC!$D$8,$CT44&gt;=CO$41),1,0)</f>
        <v>0</v>
      </c>
      <c r="CP44" s="33">
        <f>IF(AND($B44&gt;=InputTrianglesACPC!$D$8,$CT44&gt;=CP$41),1,0)</f>
        <v>0</v>
      </c>
      <c r="CQ44" s="33">
        <f>IF(AND($B44&gt;=InputTrianglesACPC!$D$8,$CT44&gt;=CQ$41),1,0)</f>
        <v>0</v>
      </c>
      <c r="CR44" s="33">
        <f>IF(AND($B44&gt;=InputTrianglesACPC!$D$8,$CT44&gt;=CR$41),1,0)</f>
        <v>0</v>
      </c>
      <c r="CS44" s="32">
        <f>IF(AND($B44&gt;=InputTrianglesACPC!$D$8,$CT44&gt;=CS$41),1,0)</f>
        <v>0</v>
      </c>
      <c r="CT44" s="31">
        <f>($D$9-InputTrianglesACPC!$B44)*InputTrianglesACPC!$E$4+$D$6</f>
        <v>22</v>
      </c>
    </row>
    <row r="45" spans="1:102" hidden="1" x14ac:dyDescent="0.25">
      <c r="A45" s="97">
        <v>0</v>
      </c>
      <c r="B45" s="29">
        <f t="shared" si="7"/>
        <v>1999</v>
      </c>
      <c r="C45" s="30">
        <f>IF(AND($B45&gt;=InputTrianglesACPC!$D$8,$CT45&gt;=C$41),1,0)</f>
        <v>0</v>
      </c>
      <c r="D45" s="33">
        <f>IF(AND($B45&gt;=InputTrianglesACPC!$D$8,$CT45&gt;=D$41),1,0)</f>
        <v>0</v>
      </c>
      <c r="E45" s="33">
        <f>IF(AND($B45&gt;=InputTrianglesACPC!$D$8,$CT45&gt;=E$41),1,0)</f>
        <v>0</v>
      </c>
      <c r="F45" s="33">
        <f>IF(AND($B45&gt;=InputTrianglesACPC!$D$8,$CT45&gt;=F$41),1,0)</f>
        <v>0</v>
      </c>
      <c r="G45" s="33">
        <f>IF(AND($B45&gt;=InputTrianglesACPC!$D$8,$CT45&gt;=G$41),1,0)</f>
        <v>0</v>
      </c>
      <c r="H45" s="33">
        <f>IF(AND($B45&gt;=InputTrianglesACPC!$D$8,$CT45&gt;=H$41),1,0)</f>
        <v>0</v>
      </c>
      <c r="I45" s="33">
        <f>IF(AND($B45&gt;=InputTrianglesACPC!$D$8,$CT45&gt;=I$41),1,0)</f>
        <v>0</v>
      </c>
      <c r="J45" s="33">
        <f>IF(AND($B45&gt;=InputTrianglesACPC!$D$8,$CT45&gt;=J$41),1,0)</f>
        <v>0</v>
      </c>
      <c r="K45" s="33">
        <f>IF(AND($B45&gt;=InputTrianglesACPC!$D$8,$CT45&gt;=K$41),1,0)</f>
        <v>0</v>
      </c>
      <c r="L45" s="33">
        <f>IF(AND($B45&gt;=InputTrianglesACPC!$D$8,$CT45&gt;=L$41),1,0)</f>
        <v>0</v>
      </c>
      <c r="M45" s="33">
        <f>IF(AND($B45&gt;=InputTrianglesACPC!$D$8,$CT45&gt;=M$41),1,0)</f>
        <v>0</v>
      </c>
      <c r="N45" s="33">
        <f>IF(AND($B45&gt;=InputTrianglesACPC!$D$8,$CT45&gt;=N$41),1,0)</f>
        <v>0</v>
      </c>
      <c r="O45" s="33">
        <f>IF(AND($B45&gt;=InputTrianglesACPC!$D$8,$CT45&gt;=O$41),1,0)</f>
        <v>0</v>
      </c>
      <c r="P45" s="33">
        <f>IF(AND($B45&gt;=InputTrianglesACPC!$D$8,$CT45&gt;=P$41),1,0)</f>
        <v>0</v>
      </c>
      <c r="Q45" s="33">
        <f>IF(AND($B45&gt;=InputTrianglesACPC!$D$8,$CT45&gt;=Q$41),1,0)</f>
        <v>0</v>
      </c>
      <c r="R45" s="33">
        <f>IF(AND($B45&gt;=InputTrianglesACPC!$D$8,$CT45&gt;=R$41),1,0)</f>
        <v>0</v>
      </c>
      <c r="S45" s="33">
        <f>IF(AND($B45&gt;=InputTrianglesACPC!$D$8,$CT45&gt;=S$41),1,0)</f>
        <v>0</v>
      </c>
      <c r="T45" s="33">
        <f>IF(AND($B45&gt;=InputTrianglesACPC!$D$8,$CT45&gt;=T$41),1,0)</f>
        <v>0</v>
      </c>
      <c r="U45" s="33">
        <f>IF(AND($B45&gt;=InputTrianglesACPC!$D$8,$CT45&gt;=U$41),1,0)</f>
        <v>0</v>
      </c>
      <c r="V45" s="33">
        <f>IF(AND($B45&gt;=InputTrianglesACPC!$D$8,$CT45&gt;=V$41),1,0)</f>
        <v>0</v>
      </c>
      <c r="W45" s="33">
        <f>IF(AND($B45&gt;=InputTrianglesACPC!$D$8,$CT45&gt;=W$41),1,0)</f>
        <v>0</v>
      </c>
      <c r="X45" s="33">
        <f>IF(AND($B45&gt;=InputTrianglesACPC!$D$8,$CT45&gt;=X$41),1,0)</f>
        <v>0</v>
      </c>
      <c r="Y45" s="33">
        <f>IF(AND($B45&gt;=InputTrianglesACPC!$D$8,$CT45&gt;=Y$41),1,0)</f>
        <v>0</v>
      </c>
      <c r="Z45" s="33">
        <f>IF(AND($B45&gt;=InputTrianglesACPC!$D$8,$CT45&gt;=Z$41),1,0)</f>
        <v>0</v>
      </c>
      <c r="AA45" s="33">
        <f>IF(AND($B45&gt;=InputTrianglesACPC!$D$8,$CT45&gt;=AA$41),1,0)</f>
        <v>0</v>
      </c>
      <c r="AB45" s="33">
        <f>IF(AND($B45&gt;=InputTrianglesACPC!$D$8,$CT45&gt;=AB$41),1,0)</f>
        <v>0</v>
      </c>
      <c r="AC45" s="33">
        <f>IF(AND($B45&gt;=InputTrianglesACPC!$D$8,$CT45&gt;=AC$41),1,0)</f>
        <v>0</v>
      </c>
      <c r="AD45" s="33">
        <f>IF(AND($B45&gt;=InputTrianglesACPC!$D$8,$CT45&gt;=AD$41),1,0)</f>
        <v>0</v>
      </c>
      <c r="AE45" s="33">
        <f>IF(AND($B45&gt;=InputTrianglesACPC!$D$8,$CT45&gt;=AE$41),1,0)</f>
        <v>0</v>
      </c>
      <c r="AF45" s="33">
        <f>IF(AND($B45&gt;=InputTrianglesACPC!$D$8,$CT45&gt;=AF$41),1,0)</f>
        <v>0</v>
      </c>
      <c r="AG45" s="33">
        <f>IF(AND($B45&gt;=InputTrianglesACPC!$D$8,$CT45&gt;=AG$41),1,0)</f>
        <v>0</v>
      </c>
      <c r="AH45" s="33">
        <f>IF(AND($B45&gt;=InputTrianglesACPC!$D$8,$CT45&gt;=AH$41),1,0)</f>
        <v>0</v>
      </c>
      <c r="AI45" s="33">
        <f>IF(AND($B45&gt;=InputTrianglesACPC!$D$8,$CT45&gt;=AI$41),1,0)</f>
        <v>0</v>
      </c>
      <c r="AJ45" s="33">
        <f>IF(AND($B45&gt;=InputTrianglesACPC!$D$8,$CT45&gt;=AJ$41),1,0)</f>
        <v>0</v>
      </c>
      <c r="AK45" s="33">
        <f>IF(AND($B45&gt;=InputTrianglesACPC!$D$8,$CT45&gt;=AK$41),1,0)</f>
        <v>0</v>
      </c>
      <c r="AL45" s="33">
        <f>IF(AND($B45&gt;=InputTrianglesACPC!$D$8,$CT45&gt;=AL$41),1,0)</f>
        <v>0</v>
      </c>
      <c r="AM45" s="33">
        <f>IF(AND($B45&gt;=InputTrianglesACPC!$D$8,$CT45&gt;=AM$41),1,0)</f>
        <v>0</v>
      </c>
      <c r="AN45" s="33">
        <f>IF(AND($B45&gt;=InputTrianglesACPC!$D$8,$CT45&gt;=AN$41),1,0)</f>
        <v>0</v>
      </c>
      <c r="AO45" s="33">
        <f>IF(AND($B45&gt;=InputTrianglesACPC!$D$8,$CT45&gt;=AO$41),1,0)</f>
        <v>0</v>
      </c>
      <c r="AP45" s="33">
        <f>IF(AND($B45&gt;=InputTrianglesACPC!$D$8,$CT45&gt;=AP$41),1,0)</f>
        <v>0</v>
      </c>
      <c r="AQ45" s="33">
        <f>IF(AND($B45&gt;=InputTrianglesACPC!$D$8,$CT45&gt;=AQ$41),1,0)</f>
        <v>0</v>
      </c>
      <c r="AR45" s="33">
        <f>IF(AND($B45&gt;=InputTrianglesACPC!$D$8,$CT45&gt;=AR$41),1,0)</f>
        <v>0</v>
      </c>
      <c r="AS45" s="33">
        <f>IF(AND($B45&gt;=InputTrianglesACPC!$D$8,$CT45&gt;=AS$41),1,0)</f>
        <v>0</v>
      </c>
      <c r="AT45" s="33">
        <f>IF(AND($B45&gt;=InputTrianglesACPC!$D$8,$CT45&gt;=AT$41),1,0)</f>
        <v>0</v>
      </c>
      <c r="AU45" s="33">
        <f>IF(AND($B45&gt;=InputTrianglesACPC!$D$8,$CT45&gt;=AU$41),1,0)</f>
        <v>0</v>
      </c>
      <c r="AV45" s="33">
        <f>IF(AND($B45&gt;=InputTrianglesACPC!$D$8,$CT45&gt;=AV$41),1,0)</f>
        <v>0</v>
      </c>
      <c r="AW45" s="33">
        <f>IF(AND($B45&gt;=InputTrianglesACPC!$D$8,$CT45&gt;=AW$41),1,0)</f>
        <v>0</v>
      </c>
      <c r="AX45" s="33">
        <f>IF(AND($B45&gt;=InputTrianglesACPC!$D$8,$CT45&gt;=AX$41),1,0)</f>
        <v>0</v>
      </c>
      <c r="AY45" s="33">
        <f>IF(AND($B45&gt;=InputTrianglesACPC!$D$8,$CT45&gt;=AY$41),1,0)</f>
        <v>0</v>
      </c>
      <c r="AZ45" s="33">
        <f>IF(AND($B45&gt;=InputTrianglesACPC!$D$8,$CT45&gt;=AZ$41),1,0)</f>
        <v>0</v>
      </c>
      <c r="BA45" s="33">
        <f>IF(AND($B45&gt;=InputTrianglesACPC!$D$8,$CT45&gt;=BA$41),1,0)</f>
        <v>0</v>
      </c>
      <c r="BB45" s="33">
        <f>IF(AND($B45&gt;=InputTrianglesACPC!$D$8,$CT45&gt;=BB$41),1,0)</f>
        <v>0</v>
      </c>
      <c r="BC45" s="33">
        <f>IF(AND($B45&gt;=InputTrianglesACPC!$D$8,$CT45&gt;=BC$41),1,0)</f>
        <v>0</v>
      </c>
      <c r="BD45" s="33">
        <f>IF(AND($B45&gt;=InputTrianglesACPC!$D$8,$CT45&gt;=BD$41),1,0)</f>
        <v>0</v>
      </c>
      <c r="BE45" s="33">
        <f>IF(AND($B45&gt;=InputTrianglesACPC!$D$8,$CT45&gt;=BE$41),1,0)</f>
        <v>0</v>
      </c>
      <c r="BF45" s="33">
        <f>IF(AND($B45&gt;=InputTrianglesACPC!$D$8,$CT45&gt;=BF$41),1,0)</f>
        <v>0</v>
      </c>
      <c r="BG45" s="33">
        <f>IF(AND($B45&gt;=InputTrianglesACPC!$D$8,$CT45&gt;=BG$41),1,0)</f>
        <v>0</v>
      </c>
      <c r="BH45" s="33">
        <f>IF(AND($B45&gt;=InputTrianglesACPC!$D$8,$CT45&gt;=BH$41),1,0)</f>
        <v>0</v>
      </c>
      <c r="BI45" s="33">
        <f>IF(AND($B45&gt;=InputTrianglesACPC!$D$8,$CT45&gt;=BI$41),1,0)</f>
        <v>0</v>
      </c>
      <c r="BJ45" s="33">
        <f>IF(AND($B45&gt;=InputTrianglesACPC!$D$8,$CT45&gt;=BJ$41),1,0)</f>
        <v>0</v>
      </c>
      <c r="BK45" s="33">
        <f>IF(AND($B45&gt;=InputTrianglesACPC!$D$8,$CT45&gt;=BK$41),1,0)</f>
        <v>0</v>
      </c>
      <c r="BL45" s="33">
        <f>IF(AND($B45&gt;=InputTrianglesACPC!$D$8,$CT45&gt;=BL$41),1,0)</f>
        <v>0</v>
      </c>
      <c r="BM45" s="33">
        <f>IF(AND($B45&gt;=InputTrianglesACPC!$D$8,$CT45&gt;=BM$41),1,0)</f>
        <v>0</v>
      </c>
      <c r="BN45" s="33">
        <f>IF(AND($B45&gt;=InputTrianglesACPC!$D$8,$CT45&gt;=BN$41),1,0)</f>
        <v>0</v>
      </c>
      <c r="BO45" s="33">
        <f>IF(AND($B45&gt;=InputTrianglesACPC!$D$8,$CT45&gt;=BO$41),1,0)</f>
        <v>0</v>
      </c>
      <c r="BP45" s="33">
        <f>IF(AND($B45&gt;=InputTrianglesACPC!$D$8,$CT45&gt;=BP$41),1,0)</f>
        <v>0</v>
      </c>
      <c r="BQ45" s="33">
        <f>IF(AND($B45&gt;=InputTrianglesACPC!$D$8,$CT45&gt;=BQ$41),1,0)</f>
        <v>0</v>
      </c>
      <c r="BR45" s="33">
        <f>IF(AND($B45&gt;=InputTrianglesACPC!$D$8,$CT45&gt;=BR$41),1,0)</f>
        <v>0</v>
      </c>
      <c r="BS45" s="33">
        <f>IF(AND($B45&gt;=InputTrianglesACPC!$D$8,$CT45&gt;=BS$41),1,0)</f>
        <v>0</v>
      </c>
      <c r="BT45" s="33">
        <f>IF(AND($B45&gt;=InputTrianglesACPC!$D$8,$CT45&gt;=BT$41),1,0)</f>
        <v>0</v>
      </c>
      <c r="BU45" s="33">
        <f>IF(AND($B45&gt;=InputTrianglesACPC!$D$8,$CT45&gt;=BU$41),1,0)</f>
        <v>0</v>
      </c>
      <c r="BV45" s="33">
        <f>IF(AND($B45&gt;=InputTrianglesACPC!$D$8,$CT45&gt;=BV$41),1,0)</f>
        <v>0</v>
      </c>
      <c r="BW45" s="33">
        <f>IF(AND($B45&gt;=InputTrianglesACPC!$D$8,$CT45&gt;=BW$41),1,0)</f>
        <v>0</v>
      </c>
      <c r="BX45" s="33">
        <f>IF(AND($B45&gt;=InputTrianglesACPC!$D$8,$CT45&gt;=BX$41),1,0)</f>
        <v>0</v>
      </c>
      <c r="BY45" s="33">
        <f>IF(AND($B45&gt;=InputTrianglesACPC!$D$8,$CT45&gt;=BY$41),1,0)</f>
        <v>0</v>
      </c>
      <c r="BZ45" s="33">
        <f>IF(AND($B45&gt;=InputTrianglesACPC!$D$8,$CT45&gt;=BZ$41),1,0)</f>
        <v>0</v>
      </c>
      <c r="CA45" s="33">
        <f>IF(AND($B45&gt;=InputTrianglesACPC!$D$8,$CT45&gt;=CA$41),1,0)</f>
        <v>0</v>
      </c>
      <c r="CB45" s="33">
        <f>IF(AND($B45&gt;=InputTrianglesACPC!$D$8,$CT45&gt;=CB$41),1,0)</f>
        <v>0</v>
      </c>
      <c r="CC45" s="33">
        <f>IF(AND($B45&gt;=InputTrianglesACPC!$D$8,$CT45&gt;=CC$41),1,0)</f>
        <v>0</v>
      </c>
      <c r="CD45" s="33">
        <f>IF(AND($B45&gt;=InputTrianglesACPC!$D$8,$CT45&gt;=CD$41),1,0)</f>
        <v>0</v>
      </c>
      <c r="CE45" s="33">
        <f>IF(AND($B45&gt;=InputTrianglesACPC!$D$8,$CT45&gt;=CE$41),1,0)</f>
        <v>0</v>
      </c>
      <c r="CF45" s="33">
        <f>IF(AND($B45&gt;=InputTrianglesACPC!$D$8,$CT45&gt;=CF$41),1,0)</f>
        <v>0</v>
      </c>
      <c r="CG45" s="33">
        <f>IF(AND($B45&gt;=InputTrianglesACPC!$D$8,$CT45&gt;=CG$41),1,0)</f>
        <v>0</v>
      </c>
      <c r="CH45" s="33">
        <f>IF(AND($B45&gt;=InputTrianglesACPC!$D$8,$CT45&gt;=CH$41),1,0)</f>
        <v>0</v>
      </c>
      <c r="CI45" s="33">
        <f>IF(AND($B45&gt;=InputTrianglesACPC!$D$8,$CT45&gt;=CI$41),1,0)</f>
        <v>0</v>
      </c>
      <c r="CJ45" s="33">
        <f>IF(AND($B45&gt;=InputTrianglesACPC!$D$8,$CT45&gt;=CJ$41),1,0)</f>
        <v>0</v>
      </c>
      <c r="CK45" s="33">
        <f>IF(AND($B45&gt;=InputTrianglesACPC!$D$8,$CT45&gt;=CK$41),1,0)</f>
        <v>0</v>
      </c>
      <c r="CL45" s="33">
        <f>IF(AND($B45&gt;=InputTrianglesACPC!$D$8,$CT45&gt;=CL$41),1,0)</f>
        <v>0</v>
      </c>
      <c r="CM45" s="33">
        <f>IF(AND($B45&gt;=InputTrianglesACPC!$D$8,$CT45&gt;=CM$41),1,0)</f>
        <v>0</v>
      </c>
      <c r="CN45" s="33">
        <f>IF(AND($B45&gt;=InputTrianglesACPC!$D$8,$CT45&gt;=CN$41),1,0)</f>
        <v>0</v>
      </c>
      <c r="CO45" s="33">
        <f>IF(AND($B45&gt;=InputTrianglesACPC!$D$8,$CT45&gt;=CO$41),1,0)</f>
        <v>0</v>
      </c>
      <c r="CP45" s="33">
        <f>IF(AND($B45&gt;=InputTrianglesACPC!$D$8,$CT45&gt;=CP$41),1,0)</f>
        <v>0</v>
      </c>
      <c r="CQ45" s="33">
        <f>IF(AND($B45&gt;=InputTrianglesACPC!$D$8,$CT45&gt;=CQ$41),1,0)</f>
        <v>0</v>
      </c>
      <c r="CR45" s="33">
        <f>IF(AND($B45&gt;=InputTrianglesACPC!$D$8,$CT45&gt;=CR$41),1,0)</f>
        <v>0</v>
      </c>
      <c r="CS45" s="32">
        <f>IF(AND($B45&gt;=InputTrianglesACPC!$D$8,$CT45&gt;=CS$41),1,0)</f>
        <v>0</v>
      </c>
      <c r="CT45" s="31">
        <f>($D$9-InputTrianglesACPC!$B45)*InputTrianglesACPC!$E$4+$D$6</f>
        <v>21</v>
      </c>
    </row>
    <row r="46" spans="1:102" hidden="1" x14ac:dyDescent="0.25">
      <c r="A46" s="97">
        <v>0</v>
      </c>
      <c r="B46" s="29">
        <f t="shared" si="7"/>
        <v>2000</v>
      </c>
      <c r="C46" s="30">
        <f>IF(AND($B46&gt;=InputTrianglesACPC!$D$8,$CT46&gt;=C$41),1,0)</f>
        <v>0</v>
      </c>
      <c r="D46" s="33">
        <f>IF(AND($B46&gt;=InputTrianglesACPC!$D$8,$CT46&gt;=D$41),1,0)</f>
        <v>0</v>
      </c>
      <c r="E46" s="33">
        <f>IF(AND($B46&gt;=InputTrianglesACPC!$D$8,$CT46&gt;=E$41),1,0)</f>
        <v>0</v>
      </c>
      <c r="F46" s="33">
        <f>IF(AND($B46&gt;=InputTrianglesACPC!$D$8,$CT46&gt;=F$41),1,0)</f>
        <v>0</v>
      </c>
      <c r="G46" s="33">
        <f>IF(AND($B46&gt;=InputTrianglesACPC!$D$8,$CT46&gt;=G$41),1,0)</f>
        <v>0</v>
      </c>
      <c r="H46" s="33">
        <f>IF(AND($B46&gt;=InputTrianglesACPC!$D$8,$CT46&gt;=H$41),1,0)</f>
        <v>0</v>
      </c>
      <c r="I46" s="33">
        <f>IF(AND($B46&gt;=InputTrianglesACPC!$D$8,$CT46&gt;=I$41),1,0)</f>
        <v>0</v>
      </c>
      <c r="J46" s="33">
        <f>IF(AND($B46&gt;=InputTrianglesACPC!$D$8,$CT46&gt;=J$41),1,0)</f>
        <v>0</v>
      </c>
      <c r="K46" s="33">
        <f>IF(AND($B46&gt;=InputTrianglesACPC!$D$8,$CT46&gt;=K$41),1,0)</f>
        <v>0</v>
      </c>
      <c r="L46" s="33">
        <f>IF(AND($B46&gt;=InputTrianglesACPC!$D$8,$CT46&gt;=L$41),1,0)</f>
        <v>0</v>
      </c>
      <c r="M46" s="33">
        <f>IF(AND($B46&gt;=InputTrianglesACPC!$D$8,$CT46&gt;=M$41),1,0)</f>
        <v>0</v>
      </c>
      <c r="N46" s="33">
        <f>IF(AND($B46&gt;=InputTrianglesACPC!$D$8,$CT46&gt;=N$41),1,0)</f>
        <v>0</v>
      </c>
      <c r="O46" s="33">
        <f>IF(AND($B46&gt;=InputTrianglesACPC!$D$8,$CT46&gt;=O$41),1,0)</f>
        <v>0</v>
      </c>
      <c r="P46" s="33">
        <f>IF(AND($B46&gt;=InputTrianglesACPC!$D$8,$CT46&gt;=P$41),1,0)</f>
        <v>0</v>
      </c>
      <c r="Q46" s="33">
        <f>IF(AND($B46&gt;=InputTrianglesACPC!$D$8,$CT46&gt;=Q$41),1,0)</f>
        <v>0</v>
      </c>
      <c r="R46" s="33">
        <f>IF(AND($B46&gt;=InputTrianglesACPC!$D$8,$CT46&gt;=R$41),1,0)</f>
        <v>0</v>
      </c>
      <c r="S46" s="33">
        <f>IF(AND($B46&gt;=InputTrianglesACPC!$D$8,$CT46&gt;=S$41),1,0)</f>
        <v>0</v>
      </c>
      <c r="T46" s="33">
        <f>IF(AND($B46&gt;=InputTrianglesACPC!$D$8,$CT46&gt;=T$41),1,0)</f>
        <v>0</v>
      </c>
      <c r="U46" s="33">
        <f>IF(AND($B46&gt;=InputTrianglesACPC!$D$8,$CT46&gt;=U$41),1,0)</f>
        <v>0</v>
      </c>
      <c r="V46" s="33">
        <f>IF(AND($B46&gt;=InputTrianglesACPC!$D$8,$CT46&gt;=V$41),1,0)</f>
        <v>0</v>
      </c>
      <c r="W46" s="33">
        <f>IF(AND($B46&gt;=InputTrianglesACPC!$D$8,$CT46&gt;=W$41),1,0)</f>
        <v>0</v>
      </c>
      <c r="X46" s="33">
        <f>IF(AND($B46&gt;=InputTrianglesACPC!$D$8,$CT46&gt;=X$41),1,0)</f>
        <v>0</v>
      </c>
      <c r="Y46" s="33">
        <f>IF(AND($B46&gt;=InputTrianglesACPC!$D$8,$CT46&gt;=Y$41),1,0)</f>
        <v>0</v>
      </c>
      <c r="Z46" s="33">
        <f>IF(AND($B46&gt;=InputTrianglesACPC!$D$8,$CT46&gt;=Z$41),1,0)</f>
        <v>0</v>
      </c>
      <c r="AA46" s="33">
        <f>IF(AND($B46&gt;=InputTrianglesACPC!$D$8,$CT46&gt;=AA$41),1,0)</f>
        <v>0</v>
      </c>
      <c r="AB46" s="33">
        <f>IF(AND($B46&gt;=InputTrianglesACPC!$D$8,$CT46&gt;=AB$41),1,0)</f>
        <v>0</v>
      </c>
      <c r="AC46" s="33">
        <f>IF(AND($B46&gt;=InputTrianglesACPC!$D$8,$CT46&gt;=AC$41),1,0)</f>
        <v>0</v>
      </c>
      <c r="AD46" s="33">
        <f>IF(AND($B46&gt;=InputTrianglesACPC!$D$8,$CT46&gt;=AD$41),1,0)</f>
        <v>0</v>
      </c>
      <c r="AE46" s="33">
        <f>IF(AND($B46&gt;=InputTrianglesACPC!$D$8,$CT46&gt;=AE$41),1,0)</f>
        <v>0</v>
      </c>
      <c r="AF46" s="33">
        <f>IF(AND($B46&gt;=InputTrianglesACPC!$D$8,$CT46&gt;=AF$41),1,0)</f>
        <v>0</v>
      </c>
      <c r="AG46" s="33">
        <f>IF(AND($B46&gt;=InputTrianglesACPC!$D$8,$CT46&gt;=AG$41),1,0)</f>
        <v>0</v>
      </c>
      <c r="AH46" s="33">
        <f>IF(AND($B46&gt;=InputTrianglesACPC!$D$8,$CT46&gt;=AH$41),1,0)</f>
        <v>0</v>
      </c>
      <c r="AI46" s="33">
        <f>IF(AND($B46&gt;=InputTrianglesACPC!$D$8,$CT46&gt;=AI$41),1,0)</f>
        <v>0</v>
      </c>
      <c r="AJ46" s="33">
        <f>IF(AND($B46&gt;=InputTrianglesACPC!$D$8,$CT46&gt;=AJ$41),1,0)</f>
        <v>0</v>
      </c>
      <c r="AK46" s="33">
        <f>IF(AND($B46&gt;=InputTrianglesACPC!$D$8,$CT46&gt;=AK$41),1,0)</f>
        <v>0</v>
      </c>
      <c r="AL46" s="33">
        <f>IF(AND($B46&gt;=InputTrianglesACPC!$D$8,$CT46&gt;=AL$41),1,0)</f>
        <v>0</v>
      </c>
      <c r="AM46" s="33">
        <f>IF(AND($B46&gt;=InputTrianglesACPC!$D$8,$CT46&gt;=AM$41),1,0)</f>
        <v>0</v>
      </c>
      <c r="AN46" s="33">
        <f>IF(AND($B46&gt;=InputTrianglesACPC!$D$8,$CT46&gt;=AN$41),1,0)</f>
        <v>0</v>
      </c>
      <c r="AO46" s="33">
        <f>IF(AND($B46&gt;=InputTrianglesACPC!$D$8,$CT46&gt;=AO$41),1,0)</f>
        <v>0</v>
      </c>
      <c r="AP46" s="33">
        <f>IF(AND($B46&gt;=InputTrianglesACPC!$D$8,$CT46&gt;=AP$41),1,0)</f>
        <v>0</v>
      </c>
      <c r="AQ46" s="33">
        <f>IF(AND($B46&gt;=InputTrianglesACPC!$D$8,$CT46&gt;=AQ$41),1,0)</f>
        <v>0</v>
      </c>
      <c r="AR46" s="33">
        <f>IF(AND($B46&gt;=InputTrianglesACPC!$D$8,$CT46&gt;=AR$41),1,0)</f>
        <v>0</v>
      </c>
      <c r="AS46" s="33">
        <f>IF(AND($B46&gt;=InputTrianglesACPC!$D$8,$CT46&gt;=AS$41),1,0)</f>
        <v>0</v>
      </c>
      <c r="AT46" s="33">
        <f>IF(AND($B46&gt;=InputTrianglesACPC!$D$8,$CT46&gt;=AT$41),1,0)</f>
        <v>0</v>
      </c>
      <c r="AU46" s="33">
        <f>IF(AND($B46&gt;=InputTrianglesACPC!$D$8,$CT46&gt;=AU$41),1,0)</f>
        <v>0</v>
      </c>
      <c r="AV46" s="33">
        <f>IF(AND($B46&gt;=InputTrianglesACPC!$D$8,$CT46&gt;=AV$41),1,0)</f>
        <v>0</v>
      </c>
      <c r="AW46" s="33">
        <f>IF(AND($B46&gt;=InputTrianglesACPC!$D$8,$CT46&gt;=AW$41),1,0)</f>
        <v>0</v>
      </c>
      <c r="AX46" s="33">
        <f>IF(AND($B46&gt;=InputTrianglesACPC!$D$8,$CT46&gt;=AX$41),1,0)</f>
        <v>0</v>
      </c>
      <c r="AY46" s="33">
        <f>IF(AND($B46&gt;=InputTrianglesACPC!$D$8,$CT46&gt;=AY$41),1,0)</f>
        <v>0</v>
      </c>
      <c r="AZ46" s="33">
        <f>IF(AND($B46&gt;=InputTrianglesACPC!$D$8,$CT46&gt;=AZ$41),1,0)</f>
        <v>0</v>
      </c>
      <c r="BA46" s="33">
        <f>IF(AND($B46&gt;=InputTrianglesACPC!$D$8,$CT46&gt;=BA$41),1,0)</f>
        <v>0</v>
      </c>
      <c r="BB46" s="33">
        <f>IF(AND($B46&gt;=InputTrianglesACPC!$D$8,$CT46&gt;=BB$41),1,0)</f>
        <v>0</v>
      </c>
      <c r="BC46" s="33">
        <f>IF(AND($B46&gt;=InputTrianglesACPC!$D$8,$CT46&gt;=BC$41),1,0)</f>
        <v>0</v>
      </c>
      <c r="BD46" s="33">
        <f>IF(AND($B46&gt;=InputTrianglesACPC!$D$8,$CT46&gt;=BD$41),1,0)</f>
        <v>0</v>
      </c>
      <c r="BE46" s="33">
        <f>IF(AND($B46&gt;=InputTrianglesACPC!$D$8,$CT46&gt;=BE$41),1,0)</f>
        <v>0</v>
      </c>
      <c r="BF46" s="33">
        <f>IF(AND($B46&gt;=InputTrianglesACPC!$D$8,$CT46&gt;=BF$41),1,0)</f>
        <v>0</v>
      </c>
      <c r="BG46" s="33">
        <f>IF(AND($B46&gt;=InputTrianglesACPC!$D$8,$CT46&gt;=BG$41),1,0)</f>
        <v>0</v>
      </c>
      <c r="BH46" s="33">
        <f>IF(AND($B46&gt;=InputTrianglesACPC!$D$8,$CT46&gt;=BH$41),1,0)</f>
        <v>0</v>
      </c>
      <c r="BI46" s="33">
        <f>IF(AND($B46&gt;=InputTrianglesACPC!$D$8,$CT46&gt;=BI$41),1,0)</f>
        <v>0</v>
      </c>
      <c r="BJ46" s="33">
        <f>IF(AND($B46&gt;=InputTrianglesACPC!$D$8,$CT46&gt;=BJ$41),1,0)</f>
        <v>0</v>
      </c>
      <c r="BK46" s="33">
        <f>IF(AND($B46&gt;=InputTrianglesACPC!$D$8,$CT46&gt;=BK$41),1,0)</f>
        <v>0</v>
      </c>
      <c r="BL46" s="33">
        <f>IF(AND($B46&gt;=InputTrianglesACPC!$D$8,$CT46&gt;=BL$41),1,0)</f>
        <v>0</v>
      </c>
      <c r="BM46" s="33">
        <f>IF(AND($B46&gt;=InputTrianglesACPC!$D$8,$CT46&gt;=BM$41),1,0)</f>
        <v>0</v>
      </c>
      <c r="BN46" s="33">
        <f>IF(AND($B46&gt;=InputTrianglesACPC!$D$8,$CT46&gt;=BN$41),1,0)</f>
        <v>0</v>
      </c>
      <c r="BO46" s="33">
        <f>IF(AND($B46&gt;=InputTrianglesACPC!$D$8,$CT46&gt;=BO$41),1,0)</f>
        <v>0</v>
      </c>
      <c r="BP46" s="33">
        <f>IF(AND($B46&gt;=InputTrianglesACPC!$D$8,$CT46&gt;=BP$41),1,0)</f>
        <v>0</v>
      </c>
      <c r="BQ46" s="33">
        <f>IF(AND($B46&gt;=InputTrianglesACPC!$D$8,$CT46&gt;=BQ$41),1,0)</f>
        <v>0</v>
      </c>
      <c r="BR46" s="33">
        <f>IF(AND($B46&gt;=InputTrianglesACPC!$D$8,$CT46&gt;=BR$41),1,0)</f>
        <v>0</v>
      </c>
      <c r="BS46" s="33">
        <f>IF(AND($B46&gt;=InputTrianglesACPC!$D$8,$CT46&gt;=BS$41),1,0)</f>
        <v>0</v>
      </c>
      <c r="BT46" s="33">
        <f>IF(AND($B46&gt;=InputTrianglesACPC!$D$8,$CT46&gt;=BT$41),1,0)</f>
        <v>0</v>
      </c>
      <c r="BU46" s="33">
        <f>IF(AND($B46&gt;=InputTrianglesACPC!$D$8,$CT46&gt;=BU$41),1,0)</f>
        <v>0</v>
      </c>
      <c r="BV46" s="33">
        <f>IF(AND($B46&gt;=InputTrianglesACPC!$D$8,$CT46&gt;=BV$41),1,0)</f>
        <v>0</v>
      </c>
      <c r="BW46" s="33">
        <f>IF(AND($B46&gt;=InputTrianglesACPC!$D$8,$CT46&gt;=BW$41),1,0)</f>
        <v>0</v>
      </c>
      <c r="BX46" s="33">
        <f>IF(AND($B46&gt;=InputTrianglesACPC!$D$8,$CT46&gt;=BX$41),1,0)</f>
        <v>0</v>
      </c>
      <c r="BY46" s="33">
        <f>IF(AND($B46&gt;=InputTrianglesACPC!$D$8,$CT46&gt;=BY$41),1,0)</f>
        <v>0</v>
      </c>
      <c r="BZ46" s="33">
        <f>IF(AND($B46&gt;=InputTrianglesACPC!$D$8,$CT46&gt;=BZ$41),1,0)</f>
        <v>0</v>
      </c>
      <c r="CA46" s="33">
        <f>IF(AND($B46&gt;=InputTrianglesACPC!$D$8,$CT46&gt;=CA$41),1,0)</f>
        <v>0</v>
      </c>
      <c r="CB46" s="33">
        <f>IF(AND($B46&gt;=InputTrianglesACPC!$D$8,$CT46&gt;=CB$41),1,0)</f>
        <v>0</v>
      </c>
      <c r="CC46" s="33">
        <f>IF(AND($B46&gt;=InputTrianglesACPC!$D$8,$CT46&gt;=CC$41),1,0)</f>
        <v>0</v>
      </c>
      <c r="CD46" s="33">
        <f>IF(AND($B46&gt;=InputTrianglesACPC!$D$8,$CT46&gt;=CD$41),1,0)</f>
        <v>0</v>
      </c>
      <c r="CE46" s="33">
        <f>IF(AND($B46&gt;=InputTrianglesACPC!$D$8,$CT46&gt;=CE$41),1,0)</f>
        <v>0</v>
      </c>
      <c r="CF46" s="33">
        <f>IF(AND($B46&gt;=InputTrianglesACPC!$D$8,$CT46&gt;=CF$41),1,0)</f>
        <v>0</v>
      </c>
      <c r="CG46" s="33">
        <f>IF(AND($B46&gt;=InputTrianglesACPC!$D$8,$CT46&gt;=CG$41),1,0)</f>
        <v>0</v>
      </c>
      <c r="CH46" s="33">
        <f>IF(AND($B46&gt;=InputTrianglesACPC!$D$8,$CT46&gt;=CH$41),1,0)</f>
        <v>0</v>
      </c>
      <c r="CI46" s="33">
        <f>IF(AND($B46&gt;=InputTrianglesACPC!$D$8,$CT46&gt;=CI$41),1,0)</f>
        <v>0</v>
      </c>
      <c r="CJ46" s="33">
        <f>IF(AND($B46&gt;=InputTrianglesACPC!$D$8,$CT46&gt;=CJ$41),1,0)</f>
        <v>0</v>
      </c>
      <c r="CK46" s="33">
        <f>IF(AND($B46&gt;=InputTrianglesACPC!$D$8,$CT46&gt;=CK$41),1,0)</f>
        <v>0</v>
      </c>
      <c r="CL46" s="33">
        <f>IF(AND($B46&gt;=InputTrianglesACPC!$D$8,$CT46&gt;=CL$41),1,0)</f>
        <v>0</v>
      </c>
      <c r="CM46" s="33">
        <f>IF(AND($B46&gt;=InputTrianglesACPC!$D$8,$CT46&gt;=CM$41),1,0)</f>
        <v>0</v>
      </c>
      <c r="CN46" s="33">
        <f>IF(AND($B46&gt;=InputTrianglesACPC!$D$8,$CT46&gt;=CN$41),1,0)</f>
        <v>0</v>
      </c>
      <c r="CO46" s="33">
        <f>IF(AND($B46&gt;=InputTrianglesACPC!$D$8,$CT46&gt;=CO$41),1,0)</f>
        <v>0</v>
      </c>
      <c r="CP46" s="33">
        <f>IF(AND($B46&gt;=InputTrianglesACPC!$D$8,$CT46&gt;=CP$41),1,0)</f>
        <v>0</v>
      </c>
      <c r="CQ46" s="33">
        <f>IF(AND($B46&gt;=InputTrianglesACPC!$D$8,$CT46&gt;=CQ$41),1,0)</f>
        <v>0</v>
      </c>
      <c r="CR46" s="33">
        <f>IF(AND($B46&gt;=InputTrianglesACPC!$D$8,$CT46&gt;=CR$41),1,0)</f>
        <v>0</v>
      </c>
      <c r="CS46" s="32">
        <f>IF(AND($B46&gt;=InputTrianglesACPC!$D$8,$CT46&gt;=CS$41),1,0)</f>
        <v>0</v>
      </c>
      <c r="CT46" s="31">
        <f>($D$9-InputTrianglesACPC!$B46)*InputTrianglesACPC!$E$4+$D$6</f>
        <v>20</v>
      </c>
    </row>
    <row r="47" spans="1:102" hidden="1" x14ac:dyDescent="0.25">
      <c r="A47" s="97">
        <v>0</v>
      </c>
      <c r="B47" s="29">
        <f t="shared" si="7"/>
        <v>2001</v>
      </c>
      <c r="C47" s="30">
        <f>IF(AND($B47&gt;=InputTrianglesACPC!$D$8,$CT47&gt;=C$41),1,0)</f>
        <v>0</v>
      </c>
      <c r="D47" s="33">
        <f>IF(AND($B47&gt;=InputTrianglesACPC!$D$8,$CT47&gt;=D$41),1,0)</f>
        <v>0</v>
      </c>
      <c r="E47" s="33">
        <f>IF(AND($B47&gt;=InputTrianglesACPC!$D$8,$CT47&gt;=E$41),1,0)</f>
        <v>0</v>
      </c>
      <c r="F47" s="33">
        <f>IF(AND($B47&gt;=InputTrianglesACPC!$D$8,$CT47&gt;=F$41),1,0)</f>
        <v>0</v>
      </c>
      <c r="G47" s="33">
        <f>IF(AND($B47&gt;=InputTrianglesACPC!$D$8,$CT47&gt;=G$41),1,0)</f>
        <v>0</v>
      </c>
      <c r="H47" s="33">
        <f>IF(AND($B47&gt;=InputTrianglesACPC!$D$8,$CT47&gt;=H$41),1,0)</f>
        <v>0</v>
      </c>
      <c r="I47" s="33">
        <f>IF(AND($B47&gt;=InputTrianglesACPC!$D$8,$CT47&gt;=I$41),1,0)</f>
        <v>0</v>
      </c>
      <c r="J47" s="33">
        <f>IF(AND($B47&gt;=InputTrianglesACPC!$D$8,$CT47&gt;=J$41),1,0)</f>
        <v>0</v>
      </c>
      <c r="K47" s="33">
        <f>IF(AND($B47&gt;=InputTrianglesACPC!$D$8,$CT47&gt;=K$41),1,0)</f>
        <v>0</v>
      </c>
      <c r="L47" s="33">
        <f>IF(AND($B47&gt;=InputTrianglesACPC!$D$8,$CT47&gt;=L$41),1,0)</f>
        <v>0</v>
      </c>
      <c r="M47" s="33">
        <f>IF(AND($B47&gt;=InputTrianglesACPC!$D$8,$CT47&gt;=M$41),1,0)</f>
        <v>0</v>
      </c>
      <c r="N47" s="33">
        <f>IF(AND($B47&gt;=InputTrianglesACPC!$D$8,$CT47&gt;=N$41),1,0)</f>
        <v>0</v>
      </c>
      <c r="O47" s="33">
        <f>IF(AND($B47&gt;=InputTrianglesACPC!$D$8,$CT47&gt;=O$41),1,0)</f>
        <v>0</v>
      </c>
      <c r="P47" s="33">
        <f>IF(AND($B47&gt;=InputTrianglesACPC!$D$8,$CT47&gt;=P$41),1,0)</f>
        <v>0</v>
      </c>
      <c r="Q47" s="33">
        <f>IF(AND($B47&gt;=InputTrianglesACPC!$D$8,$CT47&gt;=Q$41),1,0)</f>
        <v>0</v>
      </c>
      <c r="R47" s="33">
        <f>IF(AND($B47&gt;=InputTrianglesACPC!$D$8,$CT47&gt;=R$41),1,0)</f>
        <v>0</v>
      </c>
      <c r="S47" s="33">
        <f>IF(AND($B47&gt;=InputTrianglesACPC!$D$8,$CT47&gt;=S$41),1,0)</f>
        <v>0</v>
      </c>
      <c r="T47" s="33">
        <f>IF(AND($B47&gt;=InputTrianglesACPC!$D$8,$CT47&gt;=T$41),1,0)</f>
        <v>0</v>
      </c>
      <c r="U47" s="33">
        <f>IF(AND($B47&gt;=InputTrianglesACPC!$D$8,$CT47&gt;=U$41),1,0)</f>
        <v>0</v>
      </c>
      <c r="V47" s="33">
        <f>IF(AND($B47&gt;=InputTrianglesACPC!$D$8,$CT47&gt;=V$41),1,0)</f>
        <v>0</v>
      </c>
      <c r="W47" s="33">
        <f>IF(AND($B47&gt;=InputTrianglesACPC!$D$8,$CT47&gt;=W$41),1,0)</f>
        <v>0</v>
      </c>
      <c r="X47" s="33">
        <f>IF(AND($B47&gt;=InputTrianglesACPC!$D$8,$CT47&gt;=X$41),1,0)</f>
        <v>0</v>
      </c>
      <c r="Y47" s="33">
        <f>IF(AND($B47&gt;=InputTrianglesACPC!$D$8,$CT47&gt;=Y$41),1,0)</f>
        <v>0</v>
      </c>
      <c r="Z47" s="33">
        <f>IF(AND($B47&gt;=InputTrianglesACPC!$D$8,$CT47&gt;=Z$41),1,0)</f>
        <v>0</v>
      </c>
      <c r="AA47" s="33">
        <f>IF(AND($B47&gt;=InputTrianglesACPC!$D$8,$CT47&gt;=AA$41),1,0)</f>
        <v>0</v>
      </c>
      <c r="AB47" s="33">
        <f>IF(AND($B47&gt;=InputTrianglesACPC!$D$8,$CT47&gt;=AB$41),1,0)</f>
        <v>0</v>
      </c>
      <c r="AC47" s="33">
        <f>IF(AND($B47&gt;=InputTrianglesACPC!$D$8,$CT47&gt;=AC$41),1,0)</f>
        <v>0</v>
      </c>
      <c r="AD47" s="33">
        <f>IF(AND($B47&gt;=InputTrianglesACPC!$D$8,$CT47&gt;=AD$41),1,0)</f>
        <v>0</v>
      </c>
      <c r="AE47" s="33">
        <f>IF(AND($B47&gt;=InputTrianglesACPC!$D$8,$CT47&gt;=AE$41),1,0)</f>
        <v>0</v>
      </c>
      <c r="AF47" s="33">
        <f>IF(AND($B47&gt;=InputTrianglesACPC!$D$8,$CT47&gt;=AF$41),1,0)</f>
        <v>0</v>
      </c>
      <c r="AG47" s="33">
        <f>IF(AND($B47&gt;=InputTrianglesACPC!$D$8,$CT47&gt;=AG$41),1,0)</f>
        <v>0</v>
      </c>
      <c r="AH47" s="33">
        <f>IF(AND($B47&gt;=InputTrianglesACPC!$D$8,$CT47&gt;=AH$41),1,0)</f>
        <v>0</v>
      </c>
      <c r="AI47" s="33">
        <f>IF(AND($B47&gt;=InputTrianglesACPC!$D$8,$CT47&gt;=AI$41),1,0)</f>
        <v>0</v>
      </c>
      <c r="AJ47" s="33">
        <f>IF(AND($B47&gt;=InputTrianglesACPC!$D$8,$CT47&gt;=AJ$41),1,0)</f>
        <v>0</v>
      </c>
      <c r="AK47" s="33">
        <f>IF(AND($B47&gt;=InputTrianglesACPC!$D$8,$CT47&gt;=AK$41),1,0)</f>
        <v>0</v>
      </c>
      <c r="AL47" s="33">
        <f>IF(AND($B47&gt;=InputTrianglesACPC!$D$8,$CT47&gt;=AL$41),1,0)</f>
        <v>0</v>
      </c>
      <c r="AM47" s="33">
        <f>IF(AND($B47&gt;=InputTrianglesACPC!$D$8,$CT47&gt;=AM$41),1,0)</f>
        <v>0</v>
      </c>
      <c r="AN47" s="33">
        <f>IF(AND($B47&gt;=InputTrianglesACPC!$D$8,$CT47&gt;=AN$41),1,0)</f>
        <v>0</v>
      </c>
      <c r="AO47" s="33">
        <f>IF(AND($B47&gt;=InputTrianglesACPC!$D$8,$CT47&gt;=AO$41),1,0)</f>
        <v>0</v>
      </c>
      <c r="AP47" s="33">
        <f>IF(AND($B47&gt;=InputTrianglesACPC!$D$8,$CT47&gt;=AP$41),1,0)</f>
        <v>0</v>
      </c>
      <c r="AQ47" s="33">
        <f>IF(AND($B47&gt;=InputTrianglesACPC!$D$8,$CT47&gt;=AQ$41),1,0)</f>
        <v>0</v>
      </c>
      <c r="AR47" s="33">
        <f>IF(AND($B47&gt;=InputTrianglesACPC!$D$8,$CT47&gt;=AR$41),1,0)</f>
        <v>0</v>
      </c>
      <c r="AS47" s="33">
        <f>IF(AND($B47&gt;=InputTrianglesACPC!$D$8,$CT47&gt;=AS$41),1,0)</f>
        <v>0</v>
      </c>
      <c r="AT47" s="33">
        <f>IF(AND($B47&gt;=InputTrianglesACPC!$D$8,$CT47&gt;=AT$41),1,0)</f>
        <v>0</v>
      </c>
      <c r="AU47" s="33">
        <f>IF(AND($B47&gt;=InputTrianglesACPC!$D$8,$CT47&gt;=AU$41),1,0)</f>
        <v>0</v>
      </c>
      <c r="AV47" s="33">
        <f>IF(AND($B47&gt;=InputTrianglesACPC!$D$8,$CT47&gt;=AV$41),1,0)</f>
        <v>0</v>
      </c>
      <c r="AW47" s="33">
        <f>IF(AND($B47&gt;=InputTrianglesACPC!$D$8,$CT47&gt;=AW$41),1,0)</f>
        <v>0</v>
      </c>
      <c r="AX47" s="33">
        <f>IF(AND($B47&gt;=InputTrianglesACPC!$D$8,$CT47&gt;=AX$41),1,0)</f>
        <v>0</v>
      </c>
      <c r="AY47" s="33">
        <f>IF(AND($B47&gt;=InputTrianglesACPC!$D$8,$CT47&gt;=AY$41),1,0)</f>
        <v>0</v>
      </c>
      <c r="AZ47" s="33">
        <f>IF(AND($B47&gt;=InputTrianglesACPC!$D$8,$CT47&gt;=AZ$41),1,0)</f>
        <v>0</v>
      </c>
      <c r="BA47" s="33">
        <f>IF(AND($B47&gt;=InputTrianglesACPC!$D$8,$CT47&gt;=BA$41),1,0)</f>
        <v>0</v>
      </c>
      <c r="BB47" s="33">
        <f>IF(AND($B47&gt;=InputTrianglesACPC!$D$8,$CT47&gt;=BB$41),1,0)</f>
        <v>0</v>
      </c>
      <c r="BC47" s="33">
        <f>IF(AND($B47&gt;=InputTrianglesACPC!$D$8,$CT47&gt;=BC$41),1,0)</f>
        <v>0</v>
      </c>
      <c r="BD47" s="33">
        <f>IF(AND($B47&gt;=InputTrianglesACPC!$D$8,$CT47&gt;=BD$41),1,0)</f>
        <v>0</v>
      </c>
      <c r="BE47" s="33">
        <f>IF(AND($B47&gt;=InputTrianglesACPC!$D$8,$CT47&gt;=BE$41),1,0)</f>
        <v>0</v>
      </c>
      <c r="BF47" s="33">
        <f>IF(AND($B47&gt;=InputTrianglesACPC!$D$8,$CT47&gt;=BF$41),1,0)</f>
        <v>0</v>
      </c>
      <c r="BG47" s="33">
        <f>IF(AND($B47&gt;=InputTrianglesACPC!$D$8,$CT47&gt;=BG$41),1,0)</f>
        <v>0</v>
      </c>
      <c r="BH47" s="33">
        <f>IF(AND($B47&gt;=InputTrianglesACPC!$D$8,$CT47&gt;=BH$41),1,0)</f>
        <v>0</v>
      </c>
      <c r="BI47" s="33">
        <f>IF(AND($B47&gt;=InputTrianglesACPC!$D$8,$CT47&gt;=BI$41),1,0)</f>
        <v>0</v>
      </c>
      <c r="BJ47" s="33">
        <f>IF(AND($B47&gt;=InputTrianglesACPC!$D$8,$CT47&gt;=BJ$41),1,0)</f>
        <v>0</v>
      </c>
      <c r="BK47" s="33">
        <f>IF(AND($B47&gt;=InputTrianglesACPC!$D$8,$CT47&gt;=BK$41),1,0)</f>
        <v>0</v>
      </c>
      <c r="BL47" s="33">
        <f>IF(AND($B47&gt;=InputTrianglesACPC!$D$8,$CT47&gt;=BL$41),1,0)</f>
        <v>0</v>
      </c>
      <c r="BM47" s="33">
        <f>IF(AND($B47&gt;=InputTrianglesACPC!$D$8,$CT47&gt;=BM$41),1,0)</f>
        <v>0</v>
      </c>
      <c r="BN47" s="33">
        <f>IF(AND($B47&gt;=InputTrianglesACPC!$D$8,$CT47&gt;=BN$41),1,0)</f>
        <v>0</v>
      </c>
      <c r="BO47" s="33">
        <f>IF(AND($B47&gt;=InputTrianglesACPC!$D$8,$CT47&gt;=BO$41),1,0)</f>
        <v>0</v>
      </c>
      <c r="BP47" s="33">
        <f>IF(AND($B47&gt;=InputTrianglesACPC!$D$8,$CT47&gt;=BP$41),1,0)</f>
        <v>0</v>
      </c>
      <c r="BQ47" s="33">
        <f>IF(AND($B47&gt;=InputTrianglesACPC!$D$8,$CT47&gt;=BQ$41),1,0)</f>
        <v>0</v>
      </c>
      <c r="BR47" s="33">
        <f>IF(AND($B47&gt;=InputTrianglesACPC!$D$8,$CT47&gt;=BR$41),1,0)</f>
        <v>0</v>
      </c>
      <c r="BS47" s="33">
        <f>IF(AND($B47&gt;=InputTrianglesACPC!$D$8,$CT47&gt;=BS$41),1,0)</f>
        <v>0</v>
      </c>
      <c r="BT47" s="33">
        <f>IF(AND($B47&gt;=InputTrianglesACPC!$D$8,$CT47&gt;=BT$41),1,0)</f>
        <v>0</v>
      </c>
      <c r="BU47" s="33">
        <f>IF(AND($B47&gt;=InputTrianglesACPC!$D$8,$CT47&gt;=BU$41),1,0)</f>
        <v>0</v>
      </c>
      <c r="BV47" s="33">
        <f>IF(AND($B47&gt;=InputTrianglesACPC!$D$8,$CT47&gt;=BV$41),1,0)</f>
        <v>0</v>
      </c>
      <c r="BW47" s="33">
        <f>IF(AND($B47&gt;=InputTrianglesACPC!$D$8,$CT47&gt;=BW$41),1,0)</f>
        <v>0</v>
      </c>
      <c r="BX47" s="33">
        <f>IF(AND($B47&gt;=InputTrianglesACPC!$D$8,$CT47&gt;=BX$41),1,0)</f>
        <v>0</v>
      </c>
      <c r="BY47" s="33">
        <f>IF(AND($B47&gt;=InputTrianglesACPC!$D$8,$CT47&gt;=BY$41),1,0)</f>
        <v>0</v>
      </c>
      <c r="BZ47" s="33">
        <f>IF(AND($B47&gt;=InputTrianglesACPC!$D$8,$CT47&gt;=BZ$41),1,0)</f>
        <v>0</v>
      </c>
      <c r="CA47" s="33">
        <f>IF(AND($B47&gt;=InputTrianglesACPC!$D$8,$CT47&gt;=CA$41),1,0)</f>
        <v>0</v>
      </c>
      <c r="CB47" s="33">
        <f>IF(AND($B47&gt;=InputTrianglesACPC!$D$8,$CT47&gt;=CB$41),1,0)</f>
        <v>0</v>
      </c>
      <c r="CC47" s="33">
        <f>IF(AND($B47&gt;=InputTrianglesACPC!$D$8,$CT47&gt;=CC$41),1,0)</f>
        <v>0</v>
      </c>
      <c r="CD47" s="33">
        <f>IF(AND($B47&gt;=InputTrianglesACPC!$D$8,$CT47&gt;=CD$41),1,0)</f>
        <v>0</v>
      </c>
      <c r="CE47" s="33">
        <f>IF(AND($B47&gt;=InputTrianglesACPC!$D$8,$CT47&gt;=CE$41),1,0)</f>
        <v>0</v>
      </c>
      <c r="CF47" s="33">
        <f>IF(AND($B47&gt;=InputTrianglesACPC!$D$8,$CT47&gt;=CF$41),1,0)</f>
        <v>0</v>
      </c>
      <c r="CG47" s="33">
        <f>IF(AND($B47&gt;=InputTrianglesACPC!$D$8,$CT47&gt;=CG$41),1,0)</f>
        <v>0</v>
      </c>
      <c r="CH47" s="33">
        <f>IF(AND($B47&gt;=InputTrianglesACPC!$D$8,$CT47&gt;=CH$41),1,0)</f>
        <v>0</v>
      </c>
      <c r="CI47" s="33">
        <f>IF(AND($B47&gt;=InputTrianglesACPC!$D$8,$CT47&gt;=CI$41),1,0)</f>
        <v>0</v>
      </c>
      <c r="CJ47" s="33">
        <f>IF(AND($B47&gt;=InputTrianglesACPC!$D$8,$CT47&gt;=CJ$41),1,0)</f>
        <v>0</v>
      </c>
      <c r="CK47" s="33">
        <f>IF(AND($B47&gt;=InputTrianglesACPC!$D$8,$CT47&gt;=CK$41),1,0)</f>
        <v>0</v>
      </c>
      <c r="CL47" s="33">
        <f>IF(AND($B47&gt;=InputTrianglesACPC!$D$8,$CT47&gt;=CL$41),1,0)</f>
        <v>0</v>
      </c>
      <c r="CM47" s="33">
        <f>IF(AND($B47&gt;=InputTrianglesACPC!$D$8,$CT47&gt;=CM$41),1,0)</f>
        <v>0</v>
      </c>
      <c r="CN47" s="33">
        <f>IF(AND($B47&gt;=InputTrianglesACPC!$D$8,$CT47&gt;=CN$41),1,0)</f>
        <v>0</v>
      </c>
      <c r="CO47" s="33">
        <f>IF(AND($B47&gt;=InputTrianglesACPC!$D$8,$CT47&gt;=CO$41),1,0)</f>
        <v>0</v>
      </c>
      <c r="CP47" s="33">
        <f>IF(AND($B47&gt;=InputTrianglesACPC!$D$8,$CT47&gt;=CP$41),1,0)</f>
        <v>0</v>
      </c>
      <c r="CQ47" s="33">
        <f>IF(AND($B47&gt;=InputTrianglesACPC!$D$8,$CT47&gt;=CQ$41),1,0)</f>
        <v>0</v>
      </c>
      <c r="CR47" s="33">
        <f>IF(AND($B47&gt;=InputTrianglesACPC!$D$8,$CT47&gt;=CR$41),1,0)</f>
        <v>0</v>
      </c>
      <c r="CS47" s="32">
        <f>IF(AND($B47&gt;=InputTrianglesACPC!$D$8,$CT47&gt;=CS$41),1,0)</f>
        <v>0</v>
      </c>
      <c r="CT47" s="31">
        <f>($D$9-InputTrianglesACPC!$B47)*InputTrianglesACPC!$E$4+$D$6</f>
        <v>19</v>
      </c>
    </row>
    <row r="48" spans="1:102" hidden="1" x14ac:dyDescent="0.25">
      <c r="A48" s="97">
        <v>0</v>
      </c>
      <c r="B48" s="29">
        <f t="shared" si="7"/>
        <v>2002</v>
      </c>
      <c r="C48" s="30">
        <f>IF(AND($B48&gt;=InputTrianglesACPC!$D$8,$CT48&gt;=C$41),1,0)</f>
        <v>0</v>
      </c>
      <c r="D48" s="33">
        <f>IF(AND($B48&gt;=InputTrianglesACPC!$D$8,$CT48&gt;=D$41),1,0)</f>
        <v>0</v>
      </c>
      <c r="E48" s="33">
        <f>IF(AND($B48&gt;=InputTrianglesACPC!$D$8,$CT48&gt;=E$41),1,0)</f>
        <v>0</v>
      </c>
      <c r="F48" s="33">
        <f>IF(AND($B48&gt;=InputTrianglesACPC!$D$8,$CT48&gt;=F$41),1,0)</f>
        <v>0</v>
      </c>
      <c r="G48" s="33">
        <f>IF(AND($B48&gt;=InputTrianglesACPC!$D$8,$CT48&gt;=G$41),1,0)</f>
        <v>0</v>
      </c>
      <c r="H48" s="33">
        <f>IF(AND($B48&gt;=InputTrianglesACPC!$D$8,$CT48&gt;=H$41),1,0)</f>
        <v>0</v>
      </c>
      <c r="I48" s="33">
        <f>IF(AND($B48&gt;=InputTrianglesACPC!$D$8,$CT48&gt;=I$41),1,0)</f>
        <v>0</v>
      </c>
      <c r="J48" s="33">
        <f>IF(AND($B48&gt;=InputTrianglesACPC!$D$8,$CT48&gt;=J$41),1,0)</f>
        <v>0</v>
      </c>
      <c r="K48" s="33">
        <f>IF(AND($B48&gt;=InputTrianglesACPC!$D$8,$CT48&gt;=K$41),1,0)</f>
        <v>0</v>
      </c>
      <c r="L48" s="33">
        <f>IF(AND($B48&gt;=InputTrianglesACPC!$D$8,$CT48&gt;=L$41),1,0)</f>
        <v>0</v>
      </c>
      <c r="M48" s="33">
        <f>IF(AND($B48&gt;=InputTrianglesACPC!$D$8,$CT48&gt;=M$41),1,0)</f>
        <v>0</v>
      </c>
      <c r="N48" s="33">
        <f>IF(AND($B48&gt;=InputTrianglesACPC!$D$8,$CT48&gt;=N$41),1,0)</f>
        <v>0</v>
      </c>
      <c r="O48" s="33">
        <f>IF(AND($B48&gt;=InputTrianglesACPC!$D$8,$CT48&gt;=O$41),1,0)</f>
        <v>0</v>
      </c>
      <c r="P48" s="33">
        <f>IF(AND($B48&gt;=InputTrianglesACPC!$D$8,$CT48&gt;=P$41),1,0)</f>
        <v>0</v>
      </c>
      <c r="Q48" s="33">
        <f>IF(AND($B48&gt;=InputTrianglesACPC!$D$8,$CT48&gt;=Q$41),1,0)</f>
        <v>0</v>
      </c>
      <c r="R48" s="33">
        <f>IF(AND($B48&gt;=InputTrianglesACPC!$D$8,$CT48&gt;=R$41),1,0)</f>
        <v>0</v>
      </c>
      <c r="S48" s="33">
        <f>IF(AND($B48&gt;=InputTrianglesACPC!$D$8,$CT48&gt;=S$41),1,0)</f>
        <v>0</v>
      </c>
      <c r="T48" s="33">
        <f>IF(AND($B48&gt;=InputTrianglesACPC!$D$8,$CT48&gt;=T$41),1,0)</f>
        <v>0</v>
      </c>
      <c r="U48" s="33">
        <f>IF(AND($B48&gt;=InputTrianglesACPC!$D$8,$CT48&gt;=U$41),1,0)</f>
        <v>0</v>
      </c>
      <c r="V48" s="33">
        <f>IF(AND($B48&gt;=InputTrianglesACPC!$D$8,$CT48&gt;=V$41),1,0)</f>
        <v>0</v>
      </c>
      <c r="W48" s="33">
        <f>IF(AND($B48&gt;=InputTrianglesACPC!$D$8,$CT48&gt;=W$41),1,0)</f>
        <v>0</v>
      </c>
      <c r="X48" s="33">
        <f>IF(AND($B48&gt;=InputTrianglesACPC!$D$8,$CT48&gt;=X$41),1,0)</f>
        <v>0</v>
      </c>
      <c r="Y48" s="33">
        <f>IF(AND($B48&gt;=InputTrianglesACPC!$D$8,$CT48&gt;=Y$41),1,0)</f>
        <v>0</v>
      </c>
      <c r="Z48" s="33">
        <f>IF(AND($B48&gt;=InputTrianglesACPC!$D$8,$CT48&gt;=Z$41),1,0)</f>
        <v>0</v>
      </c>
      <c r="AA48" s="33">
        <f>IF(AND($B48&gt;=InputTrianglesACPC!$D$8,$CT48&gt;=AA$41),1,0)</f>
        <v>0</v>
      </c>
      <c r="AB48" s="33">
        <f>IF(AND($B48&gt;=InputTrianglesACPC!$D$8,$CT48&gt;=AB$41),1,0)</f>
        <v>0</v>
      </c>
      <c r="AC48" s="33">
        <f>IF(AND($B48&gt;=InputTrianglesACPC!$D$8,$CT48&gt;=AC$41),1,0)</f>
        <v>0</v>
      </c>
      <c r="AD48" s="33">
        <f>IF(AND($B48&gt;=InputTrianglesACPC!$D$8,$CT48&gt;=AD$41),1,0)</f>
        <v>0</v>
      </c>
      <c r="AE48" s="33">
        <f>IF(AND($B48&gt;=InputTrianglesACPC!$D$8,$CT48&gt;=AE$41),1,0)</f>
        <v>0</v>
      </c>
      <c r="AF48" s="33">
        <f>IF(AND($B48&gt;=InputTrianglesACPC!$D$8,$CT48&gt;=AF$41),1,0)</f>
        <v>0</v>
      </c>
      <c r="AG48" s="33">
        <f>IF(AND($B48&gt;=InputTrianglesACPC!$D$8,$CT48&gt;=AG$41),1,0)</f>
        <v>0</v>
      </c>
      <c r="AH48" s="33">
        <f>IF(AND($B48&gt;=InputTrianglesACPC!$D$8,$CT48&gt;=AH$41),1,0)</f>
        <v>0</v>
      </c>
      <c r="AI48" s="33">
        <f>IF(AND($B48&gt;=InputTrianglesACPC!$D$8,$CT48&gt;=AI$41),1,0)</f>
        <v>0</v>
      </c>
      <c r="AJ48" s="33">
        <f>IF(AND($B48&gt;=InputTrianglesACPC!$D$8,$CT48&gt;=AJ$41),1,0)</f>
        <v>0</v>
      </c>
      <c r="AK48" s="33">
        <f>IF(AND($B48&gt;=InputTrianglesACPC!$D$8,$CT48&gt;=AK$41),1,0)</f>
        <v>0</v>
      </c>
      <c r="AL48" s="33">
        <f>IF(AND($B48&gt;=InputTrianglesACPC!$D$8,$CT48&gt;=AL$41),1,0)</f>
        <v>0</v>
      </c>
      <c r="AM48" s="33">
        <f>IF(AND($B48&gt;=InputTrianglesACPC!$D$8,$CT48&gt;=AM$41),1,0)</f>
        <v>0</v>
      </c>
      <c r="AN48" s="33">
        <f>IF(AND($B48&gt;=InputTrianglesACPC!$D$8,$CT48&gt;=AN$41),1,0)</f>
        <v>0</v>
      </c>
      <c r="AO48" s="33">
        <f>IF(AND($B48&gt;=InputTrianglesACPC!$D$8,$CT48&gt;=AO$41),1,0)</f>
        <v>0</v>
      </c>
      <c r="AP48" s="33">
        <f>IF(AND($B48&gt;=InputTrianglesACPC!$D$8,$CT48&gt;=AP$41),1,0)</f>
        <v>0</v>
      </c>
      <c r="AQ48" s="33">
        <f>IF(AND($B48&gt;=InputTrianglesACPC!$D$8,$CT48&gt;=AQ$41),1,0)</f>
        <v>0</v>
      </c>
      <c r="AR48" s="33">
        <f>IF(AND($B48&gt;=InputTrianglesACPC!$D$8,$CT48&gt;=AR$41),1,0)</f>
        <v>0</v>
      </c>
      <c r="AS48" s="33">
        <f>IF(AND($B48&gt;=InputTrianglesACPC!$D$8,$CT48&gt;=AS$41),1,0)</f>
        <v>0</v>
      </c>
      <c r="AT48" s="33">
        <f>IF(AND($B48&gt;=InputTrianglesACPC!$D$8,$CT48&gt;=AT$41),1,0)</f>
        <v>0</v>
      </c>
      <c r="AU48" s="33">
        <f>IF(AND($B48&gt;=InputTrianglesACPC!$D$8,$CT48&gt;=AU$41),1,0)</f>
        <v>0</v>
      </c>
      <c r="AV48" s="33">
        <f>IF(AND($B48&gt;=InputTrianglesACPC!$D$8,$CT48&gt;=AV$41),1,0)</f>
        <v>0</v>
      </c>
      <c r="AW48" s="33">
        <f>IF(AND($B48&gt;=InputTrianglesACPC!$D$8,$CT48&gt;=AW$41),1,0)</f>
        <v>0</v>
      </c>
      <c r="AX48" s="33">
        <f>IF(AND($B48&gt;=InputTrianglesACPC!$D$8,$CT48&gt;=AX$41),1,0)</f>
        <v>0</v>
      </c>
      <c r="AY48" s="33">
        <f>IF(AND($B48&gt;=InputTrianglesACPC!$D$8,$CT48&gt;=AY$41),1,0)</f>
        <v>0</v>
      </c>
      <c r="AZ48" s="33">
        <f>IF(AND($B48&gt;=InputTrianglesACPC!$D$8,$CT48&gt;=AZ$41),1,0)</f>
        <v>0</v>
      </c>
      <c r="BA48" s="33">
        <f>IF(AND($B48&gt;=InputTrianglesACPC!$D$8,$CT48&gt;=BA$41),1,0)</f>
        <v>0</v>
      </c>
      <c r="BB48" s="33">
        <f>IF(AND($B48&gt;=InputTrianglesACPC!$D$8,$CT48&gt;=BB$41),1,0)</f>
        <v>0</v>
      </c>
      <c r="BC48" s="33">
        <f>IF(AND($B48&gt;=InputTrianglesACPC!$D$8,$CT48&gt;=BC$41),1,0)</f>
        <v>0</v>
      </c>
      <c r="BD48" s="33">
        <f>IF(AND($B48&gt;=InputTrianglesACPC!$D$8,$CT48&gt;=BD$41),1,0)</f>
        <v>0</v>
      </c>
      <c r="BE48" s="33">
        <f>IF(AND($B48&gt;=InputTrianglesACPC!$D$8,$CT48&gt;=BE$41),1,0)</f>
        <v>0</v>
      </c>
      <c r="BF48" s="33">
        <f>IF(AND($B48&gt;=InputTrianglesACPC!$D$8,$CT48&gt;=BF$41),1,0)</f>
        <v>0</v>
      </c>
      <c r="BG48" s="33">
        <f>IF(AND($B48&gt;=InputTrianglesACPC!$D$8,$CT48&gt;=BG$41),1,0)</f>
        <v>0</v>
      </c>
      <c r="BH48" s="33">
        <f>IF(AND($B48&gt;=InputTrianglesACPC!$D$8,$CT48&gt;=BH$41),1,0)</f>
        <v>0</v>
      </c>
      <c r="BI48" s="33">
        <f>IF(AND($B48&gt;=InputTrianglesACPC!$D$8,$CT48&gt;=BI$41),1,0)</f>
        <v>0</v>
      </c>
      <c r="BJ48" s="33">
        <f>IF(AND($B48&gt;=InputTrianglesACPC!$D$8,$CT48&gt;=BJ$41),1,0)</f>
        <v>0</v>
      </c>
      <c r="BK48" s="33">
        <f>IF(AND($B48&gt;=InputTrianglesACPC!$D$8,$CT48&gt;=BK$41),1,0)</f>
        <v>0</v>
      </c>
      <c r="BL48" s="33">
        <f>IF(AND($B48&gt;=InputTrianglesACPC!$D$8,$CT48&gt;=BL$41),1,0)</f>
        <v>0</v>
      </c>
      <c r="BM48" s="33">
        <f>IF(AND($B48&gt;=InputTrianglesACPC!$D$8,$CT48&gt;=BM$41),1,0)</f>
        <v>0</v>
      </c>
      <c r="BN48" s="33">
        <f>IF(AND($B48&gt;=InputTrianglesACPC!$D$8,$CT48&gt;=BN$41),1,0)</f>
        <v>0</v>
      </c>
      <c r="BO48" s="33">
        <f>IF(AND($B48&gt;=InputTrianglesACPC!$D$8,$CT48&gt;=BO$41),1,0)</f>
        <v>0</v>
      </c>
      <c r="BP48" s="33">
        <f>IF(AND($B48&gt;=InputTrianglesACPC!$D$8,$CT48&gt;=BP$41),1,0)</f>
        <v>0</v>
      </c>
      <c r="BQ48" s="33">
        <f>IF(AND($B48&gt;=InputTrianglesACPC!$D$8,$CT48&gt;=BQ$41),1,0)</f>
        <v>0</v>
      </c>
      <c r="BR48" s="33">
        <f>IF(AND($B48&gt;=InputTrianglesACPC!$D$8,$CT48&gt;=BR$41),1,0)</f>
        <v>0</v>
      </c>
      <c r="BS48" s="33">
        <f>IF(AND($B48&gt;=InputTrianglesACPC!$D$8,$CT48&gt;=BS$41),1,0)</f>
        <v>0</v>
      </c>
      <c r="BT48" s="33">
        <f>IF(AND($B48&gt;=InputTrianglesACPC!$D$8,$CT48&gt;=BT$41),1,0)</f>
        <v>0</v>
      </c>
      <c r="BU48" s="33">
        <f>IF(AND($B48&gt;=InputTrianglesACPC!$D$8,$CT48&gt;=BU$41),1,0)</f>
        <v>0</v>
      </c>
      <c r="BV48" s="33">
        <f>IF(AND($B48&gt;=InputTrianglesACPC!$D$8,$CT48&gt;=BV$41),1,0)</f>
        <v>0</v>
      </c>
      <c r="BW48" s="33">
        <f>IF(AND($B48&gt;=InputTrianglesACPC!$D$8,$CT48&gt;=BW$41),1,0)</f>
        <v>0</v>
      </c>
      <c r="BX48" s="33">
        <f>IF(AND($B48&gt;=InputTrianglesACPC!$D$8,$CT48&gt;=BX$41),1,0)</f>
        <v>0</v>
      </c>
      <c r="BY48" s="33">
        <f>IF(AND($B48&gt;=InputTrianglesACPC!$D$8,$CT48&gt;=BY$41),1,0)</f>
        <v>0</v>
      </c>
      <c r="BZ48" s="33">
        <f>IF(AND($B48&gt;=InputTrianglesACPC!$D$8,$CT48&gt;=BZ$41),1,0)</f>
        <v>0</v>
      </c>
      <c r="CA48" s="33">
        <f>IF(AND($B48&gt;=InputTrianglesACPC!$D$8,$CT48&gt;=CA$41),1,0)</f>
        <v>0</v>
      </c>
      <c r="CB48" s="33">
        <f>IF(AND($B48&gt;=InputTrianglesACPC!$D$8,$CT48&gt;=CB$41),1,0)</f>
        <v>0</v>
      </c>
      <c r="CC48" s="33">
        <f>IF(AND($B48&gt;=InputTrianglesACPC!$D$8,$CT48&gt;=CC$41),1,0)</f>
        <v>0</v>
      </c>
      <c r="CD48" s="33">
        <f>IF(AND($B48&gt;=InputTrianglesACPC!$D$8,$CT48&gt;=CD$41),1,0)</f>
        <v>0</v>
      </c>
      <c r="CE48" s="33">
        <f>IF(AND($B48&gt;=InputTrianglesACPC!$D$8,$CT48&gt;=CE$41),1,0)</f>
        <v>0</v>
      </c>
      <c r="CF48" s="33">
        <f>IF(AND($B48&gt;=InputTrianglesACPC!$D$8,$CT48&gt;=CF$41),1,0)</f>
        <v>0</v>
      </c>
      <c r="CG48" s="33">
        <f>IF(AND($B48&gt;=InputTrianglesACPC!$D$8,$CT48&gt;=CG$41),1,0)</f>
        <v>0</v>
      </c>
      <c r="CH48" s="33">
        <f>IF(AND($B48&gt;=InputTrianglesACPC!$D$8,$CT48&gt;=CH$41),1,0)</f>
        <v>0</v>
      </c>
      <c r="CI48" s="33">
        <f>IF(AND($B48&gt;=InputTrianglesACPC!$D$8,$CT48&gt;=CI$41),1,0)</f>
        <v>0</v>
      </c>
      <c r="CJ48" s="33">
        <f>IF(AND($B48&gt;=InputTrianglesACPC!$D$8,$CT48&gt;=CJ$41),1,0)</f>
        <v>0</v>
      </c>
      <c r="CK48" s="33">
        <f>IF(AND($B48&gt;=InputTrianglesACPC!$D$8,$CT48&gt;=CK$41),1,0)</f>
        <v>0</v>
      </c>
      <c r="CL48" s="33">
        <f>IF(AND($B48&gt;=InputTrianglesACPC!$D$8,$CT48&gt;=CL$41),1,0)</f>
        <v>0</v>
      </c>
      <c r="CM48" s="33">
        <f>IF(AND($B48&gt;=InputTrianglesACPC!$D$8,$CT48&gt;=CM$41),1,0)</f>
        <v>0</v>
      </c>
      <c r="CN48" s="33">
        <f>IF(AND($B48&gt;=InputTrianglesACPC!$D$8,$CT48&gt;=CN$41),1,0)</f>
        <v>0</v>
      </c>
      <c r="CO48" s="33">
        <f>IF(AND($B48&gt;=InputTrianglesACPC!$D$8,$CT48&gt;=CO$41),1,0)</f>
        <v>0</v>
      </c>
      <c r="CP48" s="33">
        <f>IF(AND($B48&gt;=InputTrianglesACPC!$D$8,$CT48&gt;=CP$41),1,0)</f>
        <v>0</v>
      </c>
      <c r="CQ48" s="33">
        <f>IF(AND($B48&gt;=InputTrianglesACPC!$D$8,$CT48&gt;=CQ$41),1,0)</f>
        <v>0</v>
      </c>
      <c r="CR48" s="33">
        <f>IF(AND($B48&gt;=InputTrianglesACPC!$D$8,$CT48&gt;=CR$41),1,0)</f>
        <v>0</v>
      </c>
      <c r="CS48" s="32">
        <f>IF(AND($B48&gt;=InputTrianglesACPC!$D$8,$CT48&gt;=CS$41),1,0)</f>
        <v>0</v>
      </c>
      <c r="CT48" s="31">
        <f>($D$9-InputTrianglesACPC!$B48)*InputTrianglesACPC!$E$4+$D$6</f>
        <v>18</v>
      </c>
    </row>
    <row r="49" spans="1:98" hidden="1" x14ac:dyDescent="0.25">
      <c r="A49" s="97">
        <v>0</v>
      </c>
      <c r="B49" s="29">
        <f t="shared" si="7"/>
        <v>2003</v>
      </c>
      <c r="C49" s="30">
        <f>IF(AND($B49&gt;=InputTrianglesACPC!$D$8,$CT49&gt;=C$41),1,0)</f>
        <v>0</v>
      </c>
      <c r="D49" s="33">
        <f>IF(AND($B49&gt;=InputTrianglesACPC!$D$8,$CT49&gt;=D$41),1,0)</f>
        <v>0</v>
      </c>
      <c r="E49" s="33">
        <f>IF(AND($B49&gt;=InputTrianglesACPC!$D$8,$CT49&gt;=E$41),1,0)</f>
        <v>0</v>
      </c>
      <c r="F49" s="33">
        <f>IF(AND($B49&gt;=InputTrianglesACPC!$D$8,$CT49&gt;=F$41),1,0)</f>
        <v>0</v>
      </c>
      <c r="G49" s="33">
        <f>IF(AND($B49&gt;=InputTrianglesACPC!$D$8,$CT49&gt;=G$41),1,0)</f>
        <v>0</v>
      </c>
      <c r="H49" s="33">
        <f>IF(AND($B49&gt;=InputTrianglesACPC!$D$8,$CT49&gt;=H$41),1,0)</f>
        <v>0</v>
      </c>
      <c r="I49" s="33">
        <f>IF(AND($B49&gt;=InputTrianglesACPC!$D$8,$CT49&gt;=I$41),1,0)</f>
        <v>0</v>
      </c>
      <c r="J49" s="33">
        <f>IF(AND($B49&gt;=InputTrianglesACPC!$D$8,$CT49&gt;=J$41),1,0)</f>
        <v>0</v>
      </c>
      <c r="K49" s="33">
        <f>IF(AND($B49&gt;=InputTrianglesACPC!$D$8,$CT49&gt;=K$41),1,0)</f>
        <v>0</v>
      </c>
      <c r="L49" s="33">
        <f>IF(AND($B49&gt;=InputTrianglesACPC!$D$8,$CT49&gt;=L$41),1,0)</f>
        <v>0</v>
      </c>
      <c r="M49" s="33">
        <f>IF(AND($B49&gt;=InputTrianglesACPC!$D$8,$CT49&gt;=M$41),1,0)</f>
        <v>0</v>
      </c>
      <c r="N49" s="33">
        <f>IF(AND($B49&gt;=InputTrianglesACPC!$D$8,$CT49&gt;=N$41),1,0)</f>
        <v>0</v>
      </c>
      <c r="O49" s="33">
        <f>IF(AND($B49&gt;=InputTrianglesACPC!$D$8,$CT49&gt;=O$41),1,0)</f>
        <v>0</v>
      </c>
      <c r="P49" s="33">
        <f>IF(AND($B49&gt;=InputTrianglesACPC!$D$8,$CT49&gt;=P$41),1,0)</f>
        <v>0</v>
      </c>
      <c r="Q49" s="33">
        <f>IF(AND($B49&gt;=InputTrianglesACPC!$D$8,$CT49&gt;=Q$41),1,0)</f>
        <v>0</v>
      </c>
      <c r="R49" s="33">
        <f>IF(AND($B49&gt;=InputTrianglesACPC!$D$8,$CT49&gt;=R$41),1,0)</f>
        <v>0</v>
      </c>
      <c r="S49" s="33">
        <f>IF(AND($B49&gt;=InputTrianglesACPC!$D$8,$CT49&gt;=S$41),1,0)</f>
        <v>0</v>
      </c>
      <c r="T49" s="33">
        <f>IF(AND($B49&gt;=InputTrianglesACPC!$D$8,$CT49&gt;=T$41),1,0)</f>
        <v>0</v>
      </c>
      <c r="U49" s="33">
        <f>IF(AND($B49&gt;=InputTrianglesACPC!$D$8,$CT49&gt;=U$41),1,0)</f>
        <v>0</v>
      </c>
      <c r="V49" s="33">
        <f>IF(AND($B49&gt;=InputTrianglesACPC!$D$8,$CT49&gt;=V$41),1,0)</f>
        <v>0</v>
      </c>
      <c r="W49" s="33">
        <f>IF(AND($B49&gt;=InputTrianglesACPC!$D$8,$CT49&gt;=W$41),1,0)</f>
        <v>0</v>
      </c>
      <c r="X49" s="33">
        <f>IF(AND($B49&gt;=InputTrianglesACPC!$D$8,$CT49&gt;=X$41),1,0)</f>
        <v>0</v>
      </c>
      <c r="Y49" s="33">
        <f>IF(AND($B49&gt;=InputTrianglesACPC!$D$8,$CT49&gt;=Y$41),1,0)</f>
        <v>0</v>
      </c>
      <c r="Z49" s="33">
        <f>IF(AND($B49&gt;=InputTrianglesACPC!$D$8,$CT49&gt;=Z$41),1,0)</f>
        <v>0</v>
      </c>
      <c r="AA49" s="33">
        <f>IF(AND($B49&gt;=InputTrianglesACPC!$D$8,$CT49&gt;=AA$41),1,0)</f>
        <v>0</v>
      </c>
      <c r="AB49" s="33">
        <f>IF(AND($B49&gt;=InputTrianglesACPC!$D$8,$CT49&gt;=AB$41),1,0)</f>
        <v>0</v>
      </c>
      <c r="AC49" s="33">
        <f>IF(AND($B49&gt;=InputTrianglesACPC!$D$8,$CT49&gt;=AC$41),1,0)</f>
        <v>0</v>
      </c>
      <c r="AD49" s="33">
        <f>IF(AND($B49&gt;=InputTrianglesACPC!$D$8,$CT49&gt;=AD$41),1,0)</f>
        <v>0</v>
      </c>
      <c r="AE49" s="33">
        <f>IF(AND($B49&gt;=InputTrianglesACPC!$D$8,$CT49&gt;=AE$41),1,0)</f>
        <v>0</v>
      </c>
      <c r="AF49" s="33">
        <f>IF(AND($B49&gt;=InputTrianglesACPC!$D$8,$CT49&gt;=AF$41),1,0)</f>
        <v>0</v>
      </c>
      <c r="AG49" s="33">
        <f>IF(AND($B49&gt;=InputTrianglesACPC!$D$8,$CT49&gt;=AG$41),1,0)</f>
        <v>0</v>
      </c>
      <c r="AH49" s="33">
        <f>IF(AND($B49&gt;=InputTrianglesACPC!$D$8,$CT49&gt;=AH$41),1,0)</f>
        <v>0</v>
      </c>
      <c r="AI49" s="33">
        <f>IF(AND($B49&gt;=InputTrianglesACPC!$D$8,$CT49&gt;=AI$41),1,0)</f>
        <v>0</v>
      </c>
      <c r="AJ49" s="33">
        <f>IF(AND($B49&gt;=InputTrianglesACPC!$D$8,$CT49&gt;=AJ$41),1,0)</f>
        <v>0</v>
      </c>
      <c r="AK49" s="33">
        <f>IF(AND($B49&gt;=InputTrianglesACPC!$D$8,$CT49&gt;=AK$41),1,0)</f>
        <v>0</v>
      </c>
      <c r="AL49" s="33">
        <f>IF(AND($B49&gt;=InputTrianglesACPC!$D$8,$CT49&gt;=AL$41),1,0)</f>
        <v>0</v>
      </c>
      <c r="AM49" s="33">
        <f>IF(AND($B49&gt;=InputTrianglesACPC!$D$8,$CT49&gt;=AM$41),1,0)</f>
        <v>0</v>
      </c>
      <c r="AN49" s="33">
        <f>IF(AND($B49&gt;=InputTrianglesACPC!$D$8,$CT49&gt;=AN$41),1,0)</f>
        <v>0</v>
      </c>
      <c r="AO49" s="33">
        <f>IF(AND($B49&gt;=InputTrianglesACPC!$D$8,$CT49&gt;=AO$41),1,0)</f>
        <v>0</v>
      </c>
      <c r="AP49" s="33">
        <f>IF(AND($B49&gt;=InputTrianglesACPC!$D$8,$CT49&gt;=AP$41),1,0)</f>
        <v>0</v>
      </c>
      <c r="AQ49" s="33">
        <f>IF(AND($B49&gt;=InputTrianglesACPC!$D$8,$CT49&gt;=AQ$41),1,0)</f>
        <v>0</v>
      </c>
      <c r="AR49" s="33">
        <f>IF(AND($B49&gt;=InputTrianglesACPC!$D$8,$CT49&gt;=AR$41),1,0)</f>
        <v>0</v>
      </c>
      <c r="AS49" s="33">
        <f>IF(AND($B49&gt;=InputTrianglesACPC!$D$8,$CT49&gt;=AS$41),1,0)</f>
        <v>0</v>
      </c>
      <c r="AT49" s="33">
        <f>IF(AND($B49&gt;=InputTrianglesACPC!$D$8,$CT49&gt;=AT$41),1,0)</f>
        <v>0</v>
      </c>
      <c r="AU49" s="33">
        <f>IF(AND($B49&gt;=InputTrianglesACPC!$D$8,$CT49&gt;=AU$41),1,0)</f>
        <v>0</v>
      </c>
      <c r="AV49" s="33">
        <f>IF(AND($B49&gt;=InputTrianglesACPC!$D$8,$CT49&gt;=AV$41),1,0)</f>
        <v>0</v>
      </c>
      <c r="AW49" s="33">
        <f>IF(AND($B49&gt;=InputTrianglesACPC!$D$8,$CT49&gt;=AW$41),1,0)</f>
        <v>0</v>
      </c>
      <c r="AX49" s="33">
        <f>IF(AND($B49&gt;=InputTrianglesACPC!$D$8,$CT49&gt;=AX$41),1,0)</f>
        <v>0</v>
      </c>
      <c r="AY49" s="33">
        <f>IF(AND($B49&gt;=InputTrianglesACPC!$D$8,$CT49&gt;=AY$41),1,0)</f>
        <v>0</v>
      </c>
      <c r="AZ49" s="33">
        <f>IF(AND($B49&gt;=InputTrianglesACPC!$D$8,$CT49&gt;=AZ$41),1,0)</f>
        <v>0</v>
      </c>
      <c r="BA49" s="33">
        <f>IF(AND($B49&gt;=InputTrianglesACPC!$D$8,$CT49&gt;=BA$41),1,0)</f>
        <v>0</v>
      </c>
      <c r="BB49" s="33">
        <f>IF(AND($B49&gt;=InputTrianglesACPC!$D$8,$CT49&gt;=BB$41),1,0)</f>
        <v>0</v>
      </c>
      <c r="BC49" s="33">
        <f>IF(AND($B49&gt;=InputTrianglesACPC!$D$8,$CT49&gt;=BC$41),1,0)</f>
        <v>0</v>
      </c>
      <c r="BD49" s="33">
        <f>IF(AND($B49&gt;=InputTrianglesACPC!$D$8,$CT49&gt;=BD$41),1,0)</f>
        <v>0</v>
      </c>
      <c r="BE49" s="33">
        <f>IF(AND($B49&gt;=InputTrianglesACPC!$D$8,$CT49&gt;=BE$41),1,0)</f>
        <v>0</v>
      </c>
      <c r="BF49" s="33">
        <f>IF(AND($B49&gt;=InputTrianglesACPC!$D$8,$CT49&gt;=BF$41),1,0)</f>
        <v>0</v>
      </c>
      <c r="BG49" s="33">
        <f>IF(AND($B49&gt;=InputTrianglesACPC!$D$8,$CT49&gt;=BG$41),1,0)</f>
        <v>0</v>
      </c>
      <c r="BH49" s="33">
        <f>IF(AND($B49&gt;=InputTrianglesACPC!$D$8,$CT49&gt;=BH$41),1,0)</f>
        <v>0</v>
      </c>
      <c r="BI49" s="33">
        <f>IF(AND($B49&gt;=InputTrianglesACPC!$D$8,$CT49&gt;=BI$41),1,0)</f>
        <v>0</v>
      </c>
      <c r="BJ49" s="33">
        <f>IF(AND($B49&gt;=InputTrianglesACPC!$D$8,$CT49&gt;=BJ$41),1,0)</f>
        <v>0</v>
      </c>
      <c r="BK49" s="33">
        <f>IF(AND($B49&gt;=InputTrianglesACPC!$D$8,$CT49&gt;=BK$41),1,0)</f>
        <v>0</v>
      </c>
      <c r="BL49" s="33">
        <f>IF(AND($B49&gt;=InputTrianglesACPC!$D$8,$CT49&gt;=BL$41),1,0)</f>
        <v>0</v>
      </c>
      <c r="BM49" s="33">
        <f>IF(AND($B49&gt;=InputTrianglesACPC!$D$8,$CT49&gt;=BM$41),1,0)</f>
        <v>0</v>
      </c>
      <c r="BN49" s="33">
        <f>IF(AND($B49&gt;=InputTrianglesACPC!$D$8,$CT49&gt;=BN$41),1,0)</f>
        <v>0</v>
      </c>
      <c r="BO49" s="33">
        <f>IF(AND($B49&gt;=InputTrianglesACPC!$D$8,$CT49&gt;=BO$41),1,0)</f>
        <v>0</v>
      </c>
      <c r="BP49" s="33">
        <f>IF(AND($B49&gt;=InputTrianglesACPC!$D$8,$CT49&gt;=BP$41),1,0)</f>
        <v>0</v>
      </c>
      <c r="BQ49" s="33">
        <f>IF(AND($B49&gt;=InputTrianglesACPC!$D$8,$CT49&gt;=BQ$41),1,0)</f>
        <v>0</v>
      </c>
      <c r="BR49" s="33">
        <f>IF(AND($B49&gt;=InputTrianglesACPC!$D$8,$CT49&gt;=BR$41),1,0)</f>
        <v>0</v>
      </c>
      <c r="BS49" s="33">
        <f>IF(AND($B49&gt;=InputTrianglesACPC!$D$8,$CT49&gt;=BS$41),1,0)</f>
        <v>0</v>
      </c>
      <c r="BT49" s="33">
        <f>IF(AND($B49&gt;=InputTrianglesACPC!$D$8,$CT49&gt;=BT$41),1,0)</f>
        <v>0</v>
      </c>
      <c r="BU49" s="33">
        <f>IF(AND($B49&gt;=InputTrianglesACPC!$D$8,$CT49&gt;=BU$41),1,0)</f>
        <v>0</v>
      </c>
      <c r="BV49" s="33">
        <f>IF(AND($B49&gt;=InputTrianglesACPC!$D$8,$CT49&gt;=BV$41),1,0)</f>
        <v>0</v>
      </c>
      <c r="BW49" s="33">
        <f>IF(AND($B49&gt;=InputTrianglesACPC!$D$8,$CT49&gt;=BW$41),1,0)</f>
        <v>0</v>
      </c>
      <c r="BX49" s="33">
        <f>IF(AND($B49&gt;=InputTrianglesACPC!$D$8,$CT49&gt;=BX$41),1,0)</f>
        <v>0</v>
      </c>
      <c r="BY49" s="33">
        <f>IF(AND($B49&gt;=InputTrianglesACPC!$D$8,$CT49&gt;=BY$41),1,0)</f>
        <v>0</v>
      </c>
      <c r="BZ49" s="33">
        <f>IF(AND($B49&gt;=InputTrianglesACPC!$D$8,$CT49&gt;=BZ$41),1,0)</f>
        <v>0</v>
      </c>
      <c r="CA49" s="33">
        <f>IF(AND($B49&gt;=InputTrianglesACPC!$D$8,$CT49&gt;=CA$41),1,0)</f>
        <v>0</v>
      </c>
      <c r="CB49" s="33">
        <f>IF(AND($B49&gt;=InputTrianglesACPC!$D$8,$CT49&gt;=CB$41),1,0)</f>
        <v>0</v>
      </c>
      <c r="CC49" s="33">
        <f>IF(AND($B49&gt;=InputTrianglesACPC!$D$8,$CT49&gt;=CC$41),1,0)</f>
        <v>0</v>
      </c>
      <c r="CD49" s="33">
        <f>IF(AND($B49&gt;=InputTrianglesACPC!$D$8,$CT49&gt;=CD$41),1,0)</f>
        <v>0</v>
      </c>
      <c r="CE49" s="33">
        <f>IF(AND($B49&gt;=InputTrianglesACPC!$D$8,$CT49&gt;=CE$41),1,0)</f>
        <v>0</v>
      </c>
      <c r="CF49" s="33">
        <f>IF(AND($B49&gt;=InputTrianglesACPC!$D$8,$CT49&gt;=CF$41),1,0)</f>
        <v>0</v>
      </c>
      <c r="CG49" s="33">
        <f>IF(AND($B49&gt;=InputTrianglesACPC!$D$8,$CT49&gt;=CG$41),1,0)</f>
        <v>0</v>
      </c>
      <c r="CH49" s="33">
        <f>IF(AND($B49&gt;=InputTrianglesACPC!$D$8,$CT49&gt;=CH$41),1,0)</f>
        <v>0</v>
      </c>
      <c r="CI49" s="33">
        <f>IF(AND($B49&gt;=InputTrianglesACPC!$D$8,$CT49&gt;=CI$41),1,0)</f>
        <v>0</v>
      </c>
      <c r="CJ49" s="33">
        <f>IF(AND($B49&gt;=InputTrianglesACPC!$D$8,$CT49&gt;=CJ$41),1,0)</f>
        <v>0</v>
      </c>
      <c r="CK49" s="33">
        <f>IF(AND($B49&gt;=InputTrianglesACPC!$D$8,$CT49&gt;=CK$41),1,0)</f>
        <v>0</v>
      </c>
      <c r="CL49" s="33">
        <f>IF(AND($B49&gt;=InputTrianglesACPC!$D$8,$CT49&gt;=CL$41),1,0)</f>
        <v>0</v>
      </c>
      <c r="CM49" s="33">
        <f>IF(AND($B49&gt;=InputTrianglesACPC!$D$8,$CT49&gt;=CM$41),1,0)</f>
        <v>0</v>
      </c>
      <c r="CN49" s="33">
        <f>IF(AND($B49&gt;=InputTrianglesACPC!$D$8,$CT49&gt;=CN$41),1,0)</f>
        <v>0</v>
      </c>
      <c r="CO49" s="33">
        <f>IF(AND($B49&gt;=InputTrianglesACPC!$D$8,$CT49&gt;=CO$41),1,0)</f>
        <v>0</v>
      </c>
      <c r="CP49" s="33">
        <f>IF(AND($B49&gt;=InputTrianglesACPC!$D$8,$CT49&gt;=CP$41),1,0)</f>
        <v>0</v>
      </c>
      <c r="CQ49" s="33">
        <f>IF(AND($B49&gt;=InputTrianglesACPC!$D$8,$CT49&gt;=CQ$41),1,0)</f>
        <v>0</v>
      </c>
      <c r="CR49" s="33">
        <f>IF(AND($B49&gt;=InputTrianglesACPC!$D$8,$CT49&gt;=CR$41),1,0)</f>
        <v>0</v>
      </c>
      <c r="CS49" s="32">
        <f>IF(AND($B49&gt;=InputTrianglesACPC!$D$8,$CT49&gt;=CS$41),1,0)</f>
        <v>0</v>
      </c>
      <c r="CT49" s="31">
        <f>($D$9-InputTrianglesACPC!$B49)*InputTrianglesACPC!$E$4+$D$6</f>
        <v>17</v>
      </c>
    </row>
    <row r="50" spans="1:98" hidden="1" x14ac:dyDescent="0.25">
      <c r="A50" s="97">
        <v>0</v>
      </c>
      <c r="B50" s="29">
        <f t="shared" si="7"/>
        <v>2004</v>
      </c>
      <c r="C50" s="30">
        <f>IF(AND($B50&gt;=InputTrianglesACPC!$D$8,$CT50&gt;=C$41),1,0)</f>
        <v>0</v>
      </c>
      <c r="D50" s="33">
        <f>IF(AND($B50&gt;=InputTrianglesACPC!$D$8,$CT50&gt;=D$41),1,0)</f>
        <v>0</v>
      </c>
      <c r="E50" s="33">
        <f>IF(AND($B50&gt;=InputTrianglesACPC!$D$8,$CT50&gt;=E$41),1,0)</f>
        <v>0</v>
      </c>
      <c r="F50" s="33">
        <f>IF(AND($B50&gt;=InputTrianglesACPC!$D$8,$CT50&gt;=F$41),1,0)</f>
        <v>0</v>
      </c>
      <c r="G50" s="33">
        <f>IF(AND($B50&gt;=InputTrianglesACPC!$D$8,$CT50&gt;=G$41),1,0)</f>
        <v>0</v>
      </c>
      <c r="H50" s="33">
        <f>IF(AND($B50&gt;=InputTrianglesACPC!$D$8,$CT50&gt;=H$41),1,0)</f>
        <v>0</v>
      </c>
      <c r="I50" s="33">
        <f>IF(AND($B50&gt;=InputTrianglesACPC!$D$8,$CT50&gt;=I$41),1,0)</f>
        <v>0</v>
      </c>
      <c r="J50" s="33">
        <f>IF(AND($B50&gt;=InputTrianglesACPC!$D$8,$CT50&gt;=J$41),1,0)</f>
        <v>0</v>
      </c>
      <c r="K50" s="33">
        <f>IF(AND($B50&gt;=InputTrianglesACPC!$D$8,$CT50&gt;=K$41),1,0)</f>
        <v>0</v>
      </c>
      <c r="L50" s="33">
        <f>IF(AND($B50&gt;=InputTrianglesACPC!$D$8,$CT50&gt;=L$41),1,0)</f>
        <v>0</v>
      </c>
      <c r="M50" s="33">
        <f>IF(AND($B50&gt;=InputTrianglesACPC!$D$8,$CT50&gt;=M$41),1,0)</f>
        <v>0</v>
      </c>
      <c r="N50" s="33">
        <f>IF(AND($B50&gt;=InputTrianglesACPC!$D$8,$CT50&gt;=N$41),1,0)</f>
        <v>0</v>
      </c>
      <c r="O50" s="33">
        <f>IF(AND($B50&gt;=InputTrianglesACPC!$D$8,$CT50&gt;=O$41),1,0)</f>
        <v>0</v>
      </c>
      <c r="P50" s="33">
        <f>IF(AND($B50&gt;=InputTrianglesACPC!$D$8,$CT50&gt;=P$41),1,0)</f>
        <v>0</v>
      </c>
      <c r="Q50" s="33">
        <f>IF(AND($B50&gt;=InputTrianglesACPC!$D$8,$CT50&gt;=Q$41),1,0)</f>
        <v>0</v>
      </c>
      <c r="R50" s="33">
        <f>IF(AND($B50&gt;=InputTrianglesACPC!$D$8,$CT50&gt;=R$41),1,0)</f>
        <v>0</v>
      </c>
      <c r="S50" s="33">
        <f>IF(AND($B50&gt;=InputTrianglesACPC!$D$8,$CT50&gt;=S$41),1,0)</f>
        <v>0</v>
      </c>
      <c r="T50" s="33">
        <f>IF(AND($B50&gt;=InputTrianglesACPC!$D$8,$CT50&gt;=T$41),1,0)</f>
        <v>0</v>
      </c>
      <c r="U50" s="33">
        <f>IF(AND($B50&gt;=InputTrianglesACPC!$D$8,$CT50&gt;=U$41),1,0)</f>
        <v>0</v>
      </c>
      <c r="V50" s="33">
        <f>IF(AND($B50&gt;=InputTrianglesACPC!$D$8,$CT50&gt;=V$41),1,0)</f>
        <v>0</v>
      </c>
      <c r="W50" s="33">
        <f>IF(AND($B50&gt;=InputTrianglesACPC!$D$8,$CT50&gt;=W$41),1,0)</f>
        <v>0</v>
      </c>
      <c r="X50" s="33">
        <f>IF(AND($B50&gt;=InputTrianglesACPC!$D$8,$CT50&gt;=X$41),1,0)</f>
        <v>0</v>
      </c>
      <c r="Y50" s="33">
        <f>IF(AND($B50&gt;=InputTrianglesACPC!$D$8,$CT50&gt;=Y$41),1,0)</f>
        <v>0</v>
      </c>
      <c r="Z50" s="33">
        <f>IF(AND($B50&gt;=InputTrianglesACPC!$D$8,$CT50&gt;=Z$41),1,0)</f>
        <v>0</v>
      </c>
      <c r="AA50" s="33">
        <f>IF(AND($B50&gt;=InputTrianglesACPC!$D$8,$CT50&gt;=AA$41),1,0)</f>
        <v>0</v>
      </c>
      <c r="AB50" s="33">
        <f>IF(AND($B50&gt;=InputTrianglesACPC!$D$8,$CT50&gt;=AB$41),1,0)</f>
        <v>0</v>
      </c>
      <c r="AC50" s="33">
        <f>IF(AND($B50&gt;=InputTrianglesACPC!$D$8,$CT50&gt;=AC$41),1,0)</f>
        <v>0</v>
      </c>
      <c r="AD50" s="33">
        <f>IF(AND($B50&gt;=InputTrianglesACPC!$D$8,$CT50&gt;=AD$41),1,0)</f>
        <v>0</v>
      </c>
      <c r="AE50" s="33">
        <f>IF(AND($B50&gt;=InputTrianglesACPC!$D$8,$CT50&gt;=AE$41),1,0)</f>
        <v>0</v>
      </c>
      <c r="AF50" s="33">
        <f>IF(AND($B50&gt;=InputTrianglesACPC!$D$8,$CT50&gt;=AF$41),1,0)</f>
        <v>0</v>
      </c>
      <c r="AG50" s="33">
        <f>IF(AND($B50&gt;=InputTrianglesACPC!$D$8,$CT50&gt;=AG$41),1,0)</f>
        <v>0</v>
      </c>
      <c r="AH50" s="33">
        <f>IF(AND($B50&gt;=InputTrianglesACPC!$D$8,$CT50&gt;=AH$41),1,0)</f>
        <v>0</v>
      </c>
      <c r="AI50" s="33">
        <f>IF(AND($B50&gt;=InputTrianglesACPC!$D$8,$CT50&gt;=AI$41),1,0)</f>
        <v>0</v>
      </c>
      <c r="AJ50" s="33">
        <f>IF(AND($B50&gt;=InputTrianglesACPC!$D$8,$CT50&gt;=AJ$41),1,0)</f>
        <v>0</v>
      </c>
      <c r="AK50" s="33">
        <f>IF(AND($B50&gt;=InputTrianglesACPC!$D$8,$CT50&gt;=AK$41),1,0)</f>
        <v>0</v>
      </c>
      <c r="AL50" s="33">
        <f>IF(AND($B50&gt;=InputTrianglesACPC!$D$8,$CT50&gt;=AL$41),1,0)</f>
        <v>0</v>
      </c>
      <c r="AM50" s="33">
        <f>IF(AND($B50&gt;=InputTrianglesACPC!$D$8,$CT50&gt;=AM$41),1,0)</f>
        <v>0</v>
      </c>
      <c r="AN50" s="33">
        <f>IF(AND($B50&gt;=InputTrianglesACPC!$D$8,$CT50&gt;=AN$41),1,0)</f>
        <v>0</v>
      </c>
      <c r="AO50" s="33">
        <f>IF(AND($B50&gt;=InputTrianglesACPC!$D$8,$CT50&gt;=AO$41),1,0)</f>
        <v>0</v>
      </c>
      <c r="AP50" s="33">
        <f>IF(AND($B50&gt;=InputTrianglesACPC!$D$8,$CT50&gt;=AP$41),1,0)</f>
        <v>0</v>
      </c>
      <c r="AQ50" s="33">
        <f>IF(AND($B50&gt;=InputTrianglesACPC!$D$8,$CT50&gt;=AQ$41),1,0)</f>
        <v>0</v>
      </c>
      <c r="AR50" s="33">
        <f>IF(AND($B50&gt;=InputTrianglesACPC!$D$8,$CT50&gt;=AR$41),1,0)</f>
        <v>0</v>
      </c>
      <c r="AS50" s="33">
        <f>IF(AND($B50&gt;=InputTrianglesACPC!$D$8,$CT50&gt;=AS$41),1,0)</f>
        <v>0</v>
      </c>
      <c r="AT50" s="33">
        <f>IF(AND($B50&gt;=InputTrianglesACPC!$D$8,$CT50&gt;=AT$41),1,0)</f>
        <v>0</v>
      </c>
      <c r="AU50" s="33">
        <f>IF(AND($B50&gt;=InputTrianglesACPC!$D$8,$CT50&gt;=AU$41),1,0)</f>
        <v>0</v>
      </c>
      <c r="AV50" s="33">
        <f>IF(AND($B50&gt;=InputTrianglesACPC!$D$8,$CT50&gt;=AV$41),1,0)</f>
        <v>0</v>
      </c>
      <c r="AW50" s="33">
        <f>IF(AND($B50&gt;=InputTrianglesACPC!$D$8,$CT50&gt;=AW$41),1,0)</f>
        <v>0</v>
      </c>
      <c r="AX50" s="33">
        <f>IF(AND($B50&gt;=InputTrianglesACPC!$D$8,$CT50&gt;=AX$41),1,0)</f>
        <v>0</v>
      </c>
      <c r="AY50" s="33">
        <f>IF(AND($B50&gt;=InputTrianglesACPC!$D$8,$CT50&gt;=AY$41),1,0)</f>
        <v>0</v>
      </c>
      <c r="AZ50" s="33">
        <f>IF(AND($B50&gt;=InputTrianglesACPC!$D$8,$CT50&gt;=AZ$41),1,0)</f>
        <v>0</v>
      </c>
      <c r="BA50" s="33">
        <f>IF(AND($B50&gt;=InputTrianglesACPC!$D$8,$CT50&gt;=BA$41),1,0)</f>
        <v>0</v>
      </c>
      <c r="BB50" s="33">
        <f>IF(AND($B50&gt;=InputTrianglesACPC!$D$8,$CT50&gt;=BB$41),1,0)</f>
        <v>0</v>
      </c>
      <c r="BC50" s="33">
        <f>IF(AND($B50&gt;=InputTrianglesACPC!$D$8,$CT50&gt;=BC$41),1,0)</f>
        <v>0</v>
      </c>
      <c r="BD50" s="33">
        <f>IF(AND($B50&gt;=InputTrianglesACPC!$D$8,$CT50&gt;=BD$41),1,0)</f>
        <v>0</v>
      </c>
      <c r="BE50" s="33">
        <f>IF(AND($B50&gt;=InputTrianglesACPC!$D$8,$CT50&gt;=BE$41),1,0)</f>
        <v>0</v>
      </c>
      <c r="BF50" s="33">
        <f>IF(AND($B50&gt;=InputTrianglesACPC!$D$8,$CT50&gt;=BF$41),1,0)</f>
        <v>0</v>
      </c>
      <c r="BG50" s="33">
        <f>IF(AND($B50&gt;=InputTrianglesACPC!$D$8,$CT50&gt;=BG$41),1,0)</f>
        <v>0</v>
      </c>
      <c r="BH50" s="33">
        <f>IF(AND($B50&gt;=InputTrianglesACPC!$D$8,$CT50&gt;=BH$41),1,0)</f>
        <v>0</v>
      </c>
      <c r="BI50" s="33">
        <f>IF(AND($B50&gt;=InputTrianglesACPC!$D$8,$CT50&gt;=BI$41),1,0)</f>
        <v>0</v>
      </c>
      <c r="BJ50" s="33">
        <f>IF(AND($B50&gt;=InputTrianglesACPC!$D$8,$CT50&gt;=BJ$41),1,0)</f>
        <v>0</v>
      </c>
      <c r="BK50" s="33">
        <f>IF(AND($B50&gt;=InputTrianglesACPC!$D$8,$CT50&gt;=BK$41),1,0)</f>
        <v>0</v>
      </c>
      <c r="BL50" s="33">
        <f>IF(AND($B50&gt;=InputTrianglesACPC!$D$8,$CT50&gt;=BL$41),1,0)</f>
        <v>0</v>
      </c>
      <c r="BM50" s="33">
        <f>IF(AND($B50&gt;=InputTrianglesACPC!$D$8,$CT50&gt;=BM$41),1,0)</f>
        <v>0</v>
      </c>
      <c r="BN50" s="33">
        <f>IF(AND($B50&gt;=InputTrianglesACPC!$D$8,$CT50&gt;=BN$41),1,0)</f>
        <v>0</v>
      </c>
      <c r="BO50" s="33">
        <f>IF(AND($B50&gt;=InputTrianglesACPC!$D$8,$CT50&gt;=BO$41),1,0)</f>
        <v>0</v>
      </c>
      <c r="BP50" s="33">
        <f>IF(AND($B50&gt;=InputTrianglesACPC!$D$8,$CT50&gt;=BP$41),1,0)</f>
        <v>0</v>
      </c>
      <c r="BQ50" s="33">
        <f>IF(AND($B50&gt;=InputTrianglesACPC!$D$8,$CT50&gt;=BQ$41),1,0)</f>
        <v>0</v>
      </c>
      <c r="BR50" s="33">
        <f>IF(AND($B50&gt;=InputTrianglesACPC!$D$8,$CT50&gt;=BR$41),1,0)</f>
        <v>0</v>
      </c>
      <c r="BS50" s="33">
        <f>IF(AND($B50&gt;=InputTrianglesACPC!$D$8,$CT50&gt;=BS$41),1,0)</f>
        <v>0</v>
      </c>
      <c r="BT50" s="33">
        <f>IF(AND($B50&gt;=InputTrianglesACPC!$D$8,$CT50&gt;=BT$41),1,0)</f>
        <v>0</v>
      </c>
      <c r="BU50" s="33">
        <f>IF(AND($B50&gt;=InputTrianglesACPC!$D$8,$CT50&gt;=BU$41),1,0)</f>
        <v>0</v>
      </c>
      <c r="BV50" s="33">
        <f>IF(AND($B50&gt;=InputTrianglesACPC!$D$8,$CT50&gt;=BV$41),1,0)</f>
        <v>0</v>
      </c>
      <c r="BW50" s="33">
        <f>IF(AND($B50&gt;=InputTrianglesACPC!$D$8,$CT50&gt;=BW$41),1,0)</f>
        <v>0</v>
      </c>
      <c r="BX50" s="33">
        <f>IF(AND($B50&gt;=InputTrianglesACPC!$D$8,$CT50&gt;=BX$41),1,0)</f>
        <v>0</v>
      </c>
      <c r="BY50" s="33">
        <f>IF(AND($B50&gt;=InputTrianglesACPC!$D$8,$CT50&gt;=BY$41),1,0)</f>
        <v>0</v>
      </c>
      <c r="BZ50" s="33">
        <f>IF(AND($B50&gt;=InputTrianglesACPC!$D$8,$CT50&gt;=BZ$41),1,0)</f>
        <v>0</v>
      </c>
      <c r="CA50" s="33">
        <f>IF(AND($B50&gt;=InputTrianglesACPC!$D$8,$CT50&gt;=CA$41),1,0)</f>
        <v>0</v>
      </c>
      <c r="CB50" s="33">
        <f>IF(AND($B50&gt;=InputTrianglesACPC!$D$8,$CT50&gt;=CB$41),1,0)</f>
        <v>0</v>
      </c>
      <c r="CC50" s="33">
        <f>IF(AND($B50&gt;=InputTrianglesACPC!$D$8,$CT50&gt;=CC$41),1,0)</f>
        <v>0</v>
      </c>
      <c r="CD50" s="33">
        <f>IF(AND($B50&gt;=InputTrianglesACPC!$D$8,$CT50&gt;=CD$41),1,0)</f>
        <v>0</v>
      </c>
      <c r="CE50" s="33">
        <f>IF(AND($B50&gt;=InputTrianglesACPC!$D$8,$CT50&gt;=CE$41),1,0)</f>
        <v>0</v>
      </c>
      <c r="CF50" s="33">
        <f>IF(AND($B50&gt;=InputTrianglesACPC!$D$8,$CT50&gt;=CF$41),1,0)</f>
        <v>0</v>
      </c>
      <c r="CG50" s="33">
        <f>IF(AND($B50&gt;=InputTrianglesACPC!$D$8,$CT50&gt;=CG$41),1,0)</f>
        <v>0</v>
      </c>
      <c r="CH50" s="33">
        <f>IF(AND($B50&gt;=InputTrianglesACPC!$D$8,$CT50&gt;=CH$41),1,0)</f>
        <v>0</v>
      </c>
      <c r="CI50" s="33">
        <f>IF(AND($B50&gt;=InputTrianglesACPC!$D$8,$CT50&gt;=CI$41),1,0)</f>
        <v>0</v>
      </c>
      <c r="CJ50" s="33">
        <f>IF(AND($B50&gt;=InputTrianglesACPC!$D$8,$CT50&gt;=CJ$41),1,0)</f>
        <v>0</v>
      </c>
      <c r="CK50" s="33">
        <f>IF(AND($B50&gt;=InputTrianglesACPC!$D$8,$CT50&gt;=CK$41),1,0)</f>
        <v>0</v>
      </c>
      <c r="CL50" s="33">
        <f>IF(AND($B50&gt;=InputTrianglesACPC!$D$8,$CT50&gt;=CL$41),1,0)</f>
        <v>0</v>
      </c>
      <c r="CM50" s="33">
        <f>IF(AND($B50&gt;=InputTrianglesACPC!$D$8,$CT50&gt;=CM$41),1,0)</f>
        <v>0</v>
      </c>
      <c r="CN50" s="33">
        <f>IF(AND($B50&gt;=InputTrianglesACPC!$D$8,$CT50&gt;=CN$41),1,0)</f>
        <v>0</v>
      </c>
      <c r="CO50" s="33">
        <f>IF(AND($B50&gt;=InputTrianglesACPC!$D$8,$CT50&gt;=CO$41),1,0)</f>
        <v>0</v>
      </c>
      <c r="CP50" s="33">
        <f>IF(AND($B50&gt;=InputTrianglesACPC!$D$8,$CT50&gt;=CP$41),1,0)</f>
        <v>0</v>
      </c>
      <c r="CQ50" s="33">
        <f>IF(AND($B50&gt;=InputTrianglesACPC!$D$8,$CT50&gt;=CQ$41),1,0)</f>
        <v>0</v>
      </c>
      <c r="CR50" s="33">
        <f>IF(AND($B50&gt;=InputTrianglesACPC!$D$8,$CT50&gt;=CR$41),1,0)</f>
        <v>0</v>
      </c>
      <c r="CS50" s="32">
        <f>IF(AND($B50&gt;=InputTrianglesACPC!$D$8,$CT50&gt;=CS$41),1,0)</f>
        <v>0</v>
      </c>
      <c r="CT50" s="31">
        <f>($D$9-InputTrianglesACPC!$B50)*InputTrianglesACPC!$E$4+$D$6</f>
        <v>16</v>
      </c>
    </row>
    <row r="51" spans="1:98" hidden="1" x14ac:dyDescent="0.25">
      <c r="A51" s="97">
        <v>0</v>
      </c>
      <c r="B51" s="29">
        <f t="shared" si="7"/>
        <v>2005</v>
      </c>
      <c r="C51" s="30">
        <f>IF(AND($B51&gt;=InputTrianglesACPC!$D$8,$CT51&gt;=C$41),1,0)</f>
        <v>0</v>
      </c>
      <c r="D51" s="33">
        <f>IF(AND($B51&gt;=InputTrianglesACPC!$D$8,$CT51&gt;=D$41),1,0)</f>
        <v>0</v>
      </c>
      <c r="E51" s="33">
        <f>IF(AND($B51&gt;=InputTrianglesACPC!$D$8,$CT51&gt;=E$41),1,0)</f>
        <v>0</v>
      </c>
      <c r="F51" s="33">
        <f>IF(AND($B51&gt;=InputTrianglesACPC!$D$8,$CT51&gt;=F$41),1,0)</f>
        <v>0</v>
      </c>
      <c r="G51" s="33">
        <f>IF(AND($B51&gt;=InputTrianglesACPC!$D$8,$CT51&gt;=G$41),1,0)</f>
        <v>0</v>
      </c>
      <c r="H51" s="33">
        <f>IF(AND($B51&gt;=InputTrianglesACPC!$D$8,$CT51&gt;=H$41),1,0)</f>
        <v>0</v>
      </c>
      <c r="I51" s="33">
        <f>IF(AND($B51&gt;=InputTrianglesACPC!$D$8,$CT51&gt;=I$41),1,0)</f>
        <v>0</v>
      </c>
      <c r="J51" s="33">
        <f>IF(AND($B51&gt;=InputTrianglesACPC!$D$8,$CT51&gt;=J$41),1,0)</f>
        <v>0</v>
      </c>
      <c r="K51" s="33">
        <f>IF(AND($B51&gt;=InputTrianglesACPC!$D$8,$CT51&gt;=K$41),1,0)</f>
        <v>0</v>
      </c>
      <c r="L51" s="33">
        <f>IF(AND($B51&gt;=InputTrianglesACPC!$D$8,$CT51&gt;=L$41),1,0)</f>
        <v>0</v>
      </c>
      <c r="M51" s="33">
        <f>IF(AND($B51&gt;=InputTrianglesACPC!$D$8,$CT51&gt;=M$41),1,0)</f>
        <v>0</v>
      </c>
      <c r="N51" s="33">
        <f>IF(AND($B51&gt;=InputTrianglesACPC!$D$8,$CT51&gt;=N$41),1,0)</f>
        <v>0</v>
      </c>
      <c r="O51" s="33">
        <f>IF(AND($B51&gt;=InputTrianglesACPC!$D$8,$CT51&gt;=O$41),1,0)</f>
        <v>0</v>
      </c>
      <c r="P51" s="33">
        <f>IF(AND($B51&gt;=InputTrianglesACPC!$D$8,$CT51&gt;=P$41),1,0)</f>
        <v>0</v>
      </c>
      <c r="Q51" s="33">
        <f>IF(AND($B51&gt;=InputTrianglesACPC!$D$8,$CT51&gt;=Q$41),1,0)</f>
        <v>0</v>
      </c>
      <c r="R51" s="33">
        <f>IF(AND($B51&gt;=InputTrianglesACPC!$D$8,$CT51&gt;=R$41),1,0)</f>
        <v>0</v>
      </c>
      <c r="S51" s="33">
        <f>IF(AND($B51&gt;=InputTrianglesACPC!$D$8,$CT51&gt;=S$41),1,0)</f>
        <v>0</v>
      </c>
      <c r="T51" s="33">
        <f>IF(AND($B51&gt;=InputTrianglesACPC!$D$8,$CT51&gt;=T$41),1,0)</f>
        <v>0</v>
      </c>
      <c r="U51" s="33">
        <f>IF(AND($B51&gt;=InputTrianglesACPC!$D$8,$CT51&gt;=U$41),1,0)</f>
        <v>0</v>
      </c>
      <c r="V51" s="33">
        <f>IF(AND($B51&gt;=InputTrianglesACPC!$D$8,$CT51&gt;=V$41),1,0)</f>
        <v>0</v>
      </c>
      <c r="W51" s="33">
        <f>IF(AND($B51&gt;=InputTrianglesACPC!$D$8,$CT51&gt;=W$41),1,0)</f>
        <v>0</v>
      </c>
      <c r="X51" s="33">
        <f>IF(AND($B51&gt;=InputTrianglesACPC!$D$8,$CT51&gt;=X$41),1,0)</f>
        <v>0</v>
      </c>
      <c r="Y51" s="33">
        <f>IF(AND($B51&gt;=InputTrianglesACPC!$D$8,$CT51&gt;=Y$41),1,0)</f>
        <v>0</v>
      </c>
      <c r="Z51" s="33">
        <f>IF(AND($B51&gt;=InputTrianglesACPC!$D$8,$CT51&gt;=Z$41),1,0)</f>
        <v>0</v>
      </c>
      <c r="AA51" s="33">
        <f>IF(AND($B51&gt;=InputTrianglesACPC!$D$8,$CT51&gt;=AA$41),1,0)</f>
        <v>0</v>
      </c>
      <c r="AB51" s="33">
        <f>IF(AND($B51&gt;=InputTrianglesACPC!$D$8,$CT51&gt;=AB$41),1,0)</f>
        <v>0</v>
      </c>
      <c r="AC51" s="33">
        <f>IF(AND($B51&gt;=InputTrianglesACPC!$D$8,$CT51&gt;=AC$41),1,0)</f>
        <v>0</v>
      </c>
      <c r="AD51" s="33">
        <f>IF(AND($B51&gt;=InputTrianglesACPC!$D$8,$CT51&gt;=AD$41),1,0)</f>
        <v>0</v>
      </c>
      <c r="AE51" s="33">
        <f>IF(AND($B51&gt;=InputTrianglesACPC!$D$8,$CT51&gt;=AE$41),1,0)</f>
        <v>0</v>
      </c>
      <c r="AF51" s="33">
        <f>IF(AND($B51&gt;=InputTrianglesACPC!$D$8,$CT51&gt;=AF$41),1,0)</f>
        <v>0</v>
      </c>
      <c r="AG51" s="33">
        <f>IF(AND($B51&gt;=InputTrianglesACPC!$D$8,$CT51&gt;=AG$41),1,0)</f>
        <v>0</v>
      </c>
      <c r="AH51" s="33">
        <f>IF(AND($B51&gt;=InputTrianglesACPC!$D$8,$CT51&gt;=AH$41),1,0)</f>
        <v>0</v>
      </c>
      <c r="AI51" s="33">
        <f>IF(AND($B51&gt;=InputTrianglesACPC!$D$8,$CT51&gt;=AI$41),1,0)</f>
        <v>0</v>
      </c>
      <c r="AJ51" s="33">
        <f>IF(AND($B51&gt;=InputTrianglesACPC!$D$8,$CT51&gt;=AJ$41),1,0)</f>
        <v>0</v>
      </c>
      <c r="AK51" s="33">
        <f>IF(AND($B51&gt;=InputTrianglesACPC!$D$8,$CT51&gt;=AK$41),1,0)</f>
        <v>0</v>
      </c>
      <c r="AL51" s="33">
        <f>IF(AND($B51&gt;=InputTrianglesACPC!$D$8,$CT51&gt;=AL$41),1,0)</f>
        <v>0</v>
      </c>
      <c r="AM51" s="33">
        <f>IF(AND($B51&gt;=InputTrianglesACPC!$D$8,$CT51&gt;=AM$41),1,0)</f>
        <v>0</v>
      </c>
      <c r="AN51" s="33">
        <f>IF(AND($B51&gt;=InputTrianglesACPC!$D$8,$CT51&gt;=AN$41),1,0)</f>
        <v>0</v>
      </c>
      <c r="AO51" s="33">
        <f>IF(AND($B51&gt;=InputTrianglesACPC!$D$8,$CT51&gt;=AO$41),1,0)</f>
        <v>0</v>
      </c>
      <c r="AP51" s="33">
        <f>IF(AND($B51&gt;=InputTrianglesACPC!$D$8,$CT51&gt;=AP$41),1,0)</f>
        <v>0</v>
      </c>
      <c r="AQ51" s="33">
        <f>IF(AND($B51&gt;=InputTrianglesACPC!$D$8,$CT51&gt;=AQ$41),1,0)</f>
        <v>0</v>
      </c>
      <c r="AR51" s="33">
        <f>IF(AND($B51&gt;=InputTrianglesACPC!$D$8,$CT51&gt;=AR$41),1,0)</f>
        <v>0</v>
      </c>
      <c r="AS51" s="33">
        <f>IF(AND($B51&gt;=InputTrianglesACPC!$D$8,$CT51&gt;=AS$41),1,0)</f>
        <v>0</v>
      </c>
      <c r="AT51" s="33">
        <f>IF(AND($B51&gt;=InputTrianglesACPC!$D$8,$CT51&gt;=AT$41),1,0)</f>
        <v>0</v>
      </c>
      <c r="AU51" s="33">
        <f>IF(AND($B51&gt;=InputTrianglesACPC!$D$8,$CT51&gt;=AU$41),1,0)</f>
        <v>0</v>
      </c>
      <c r="AV51" s="33">
        <f>IF(AND($B51&gt;=InputTrianglesACPC!$D$8,$CT51&gt;=AV$41),1,0)</f>
        <v>0</v>
      </c>
      <c r="AW51" s="33">
        <f>IF(AND($B51&gt;=InputTrianglesACPC!$D$8,$CT51&gt;=AW$41),1,0)</f>
        <v>0</v>
      </c>
      <c r="AX51" s="33">
        <f>IF(AND($B51&gt;=InputTrianglesACPC!$D$8,$CT51&gt;=AX$41),1,0)</f>
        <v>0</v>
      </c>
      <c r="AY51" s="33">
        <f>IF(AND($B51&gt;=InputTrianglesACPC!$D$8,$CT51&gt;=AY$41),1,0)</f>
        <v>0</v>
      </c>
      <c r="AZ51" s="33">
        <f>IF(AND($B51&gt;=InputTrianglesACPC!$D$8,$CT51&gt;=AZ$41),1,0)</f>
        <v>0</v>
      </c>
      <c r="BA51" s="33">
        <f>IF(AND($B51&gt;=InputTrianglesACPC!$D$8,$CT51&gt;=BA$41),1,0)</f>
        <v>0</v>
      </c>
      <c r="BB51" s="33">
        <f>IF(AND($B51&gt;=InputTrianglesACPC!$D$8,$CT51&gt;=BB$41),1,0)</f>
        <v>0</v>
      </c>
      <c r="BC51" s="33">
        <f>IF(AND($B51&gt;=InputTrianglesACPC!$D$8,$CT51&gt;=BC$41),1,0)</f>
        <v>0</v>
      </c>
      <c r="BD51" s="33">
        <f>IF(AND($B51&gt;=InputTrianglesACPC!$D$8,$CT51&gt;=BD$41),1,0)</f>
        <v>0</v>
      </c>
      <c r="BE51" s="33">
        <f>IF(AND($B51&gt;=InputTrianglesACPC!$D$8,$CT51&gt;=BE$41),1,0)</f>
        <v>0</v>
      </c>
      <c r="BF51" s="33">
        <f>IF(AND($B51&gt;=InputTrianglesACPC!$D$8,$CT51&gt;=BF$41),1,0)</f>
        <v>0</v>
      </c>
      <c r="BG51" s="33">
        <f>IF(AND($B51&gt;=InputTrianglesACPC!$D$8,$CT51&gt;=BG$41),1,0)</f>
        <v>0</v>
      </c>
      <c r="BH51" s="33">
        <f>IF(AND($B51&gt;=InputTrianglesACPC!$D$8,$CT51&gt;=BH$41),1,0)</f>
        <v>0</v>
      </c>
      <c r="BI51" s="33">
        <f>IF(AND($B51&gt;=InputTrianglesACPC!$D$8,$CT51&gt;=BI$41),1,0)</f>
        <v>0</v>
      </c>
      <c r="BJ51" s="33">
        <f>IF(AND($B51&gt;=InputTrianglesACPC!$D$8,$CT51&gt;=BJ$41),1,0)</f>
        <v>0</v>
      </c>
      <c r="BK51" s="33">
        <f>IF(AND($B51&gt;=InputTrianglesACPC!$D$8,$CT51&gt;=BK$41),1,0)</f>
        <v>0</v>
      </c>
      <c r="BL51" s="33">
        <f>IF(AND($B51&gt;=InputTrianglesACPC!$D$8,$CT51&gt;=BL$41),1,0)</f>
        <v>0</v>
      </c>
      <c r="BM51" s="33">
        <f>IF(AND($B51&gt;=InputTrianglesACPC!$D$8,$CT51&gt;=BM$41),1,0)</f>
        <v>0</v>
      </c>
      <c r="BN51" s="33">
        <f>IF(AND($B51&gt;=InputTrianglesACPC!$D$8,$CT51&gt;=BN$41),1,0)</f>
        <v>0</v>
      </c>
      <c r="BO51" s="33">
        <f>IF(AND($B51&gt;=InputTrianglesACPC!$D$8,$CT51&gt;=BO$41),1,0)</f>
        <v>0</v>
      </c>
      <c r="BP51" s="33">
        <f>IF(AND($B51&gt;=InputTrianglesACPC!$D$8,$CT51&gt;=BP$41),1,0)</f>
        <v>0</v>
      </c>
      <c r="BQ51" s="33">
        <f>IF(AND($B51&gt;=InputTrianglesACPC!$D$8,$CT51&gt;=BQ$41),1,0)</f>
        <v>0</v>
      </c>
      <c r="BR51" s="33">
        <f>IF(AND($B51&gt;=InputTrianglesACPC!$D$8,$CT51&gt;=BR$41),1,0)</f>
        <v>0</v>
      </c>
      <c r="BS51" s="33">
        <f>IF(AND($B51&gt;=InputTrianglesACPC!$D$8,$CT51&gt;=BS$41),1,0)</f>
        <v>0</v>
      </c>
      <c r="BT51" s="33">
        <f>IF(AND($B51&gt;=InputTrianglesACPC!$D$8,$CT51&gt;=BT$41),1,0)</f>
        <v>0</v>
      </c>
      <c r="BU51" s="33">
        <f>IF(AND($B51&gt;=InputTrianglesACPC!$D$8,$CT51&gt;=BU$41),1,0)</f>
        <v>0</v>
      </c>
      <c r="BV51" s="33">
        <f>IF(AND($B51&gt;=InputTrianglesACPC!$D$8,$CT51&gt;=BV$41),1,0)</f>
        <v>0</v>
      </c>
      <c r="BW51" s="33">
        <f>IF(AND($B51&gt;=InputTrianglesACPC!$D$8,$CT51&gt;=BW$41),1,0)</f>
        <v>0</v>
      </c>
      <c r="BX51" s="33">
        <f>IF(AND($B51&gt;=InputTrianglesACPC!$D$8,$CT51&gt;=BX$41),1,0)</f>
        <v>0</v>
      </c>
      <c r="BY51" s="33">
        <f>IF(AND($B51&gt;=InputTrianglesACPC!$D$8,$CT51&gt;=BY$41),1,0)</f>
        <v>0</v>
      </c>
      <c r="BZ51" s="33">
        <f>IF(AND($B51&gt;=InputTrianglesACPC!$D$8,$CT51&gt;=BZ$41),1,0)</f>
        <v>0</v>
      </c>
      <c r="CA51" s="33">
        <f>IF(AND($B51&gt;=InputTrianglesACPC!$D$8,$CT51&gt;=CA$41),1,0)</f>
        <v>0</v>
      </c>
      <c r="CB51" s="33">
        <f>IF(AND($B51&gt;=InputTrianglesACPC!$D$8,$CT51&gt;=CB$41),1,0)</f>
        <v>0</v>
      </c>
      <c r="CC51" s="33">
        <f>IF(AND($B51&gt;=InputTrianglesACPC!$D$8,$CT51&gt;=CC$41),1,0)</f>
        <v>0</v>
      </c>
      <c r="CD51" s="33">
        <f>IF(AND($B51&gt;=InputTrianglesACPC!$D$8,$CT51&gt;=CD$41),1,0)</f>
        <v>0</v>
      </c>
      <c r="CE51" s="33">
        <f>IF(AND($B51&gt;=InputTrianglesACPC!$D$8,$CT51&gt;=CE$41),1,0)</f>
        <v>0</v>
      </c>
      <c r="CF51" s="33">
        <f>IF(AND($B51&gt;=InputTrianglesACPC!$D$8,$CT51&gt;=CF$41),1,0)</f>
        <v>0</v>
      </c>
      <c r="CG51" s="33">
        <f>IF(AND($B51&gt;=InputTrianglesACPC!$D$8,$CT51&gt;=CG$41),1,0)</f>
        <v>0</v>
      </c>
      <c r="CH51" s="33">
        <f>IF(AND($B51&gt;=InputTrianglesACPC!$D$8,$CT51&gt;=CH$41),1,0)</f>
        <v>0</v>
      </c>
      <c r="CI51" s="33">
        <f>IF(AND($B51&gt;=InputTrianglesACPC!$D$8,$CT51&gt;=CI$41),1,0)</f>
        <v>0</v>
      </c>
      <c r="CJ51" s="33">
        <f>IF(AND($B51&gt;=InputTrianglesACPC!$D$8,$CT51&gt;=CJ$41),1,0)</f>
        <v>0</v>
      </c>
      <c r="CK51" s="33">
        <f>IF(AND($B51&gt;=InputTrianglesACPC!$D$8,$CT51&gt;=CK$41),1,0)</f>
        <v>0</v>
      </c>
      <c r="CL51" s="33">
        <f>IF(AND($B51&gt;=InputTrianglesACPC!$D$8,$CT51&gt;=CL$41),1,0)</f>
        <v>0</v>
      </c>
      <c r="CM51" s="33">
        <f>IF(AND($B51&gt;=InputTrianglesACPC!$D$8,$CT51&gt;=CM$41),1,0)</f>
        <v>0</v>
      </c>
      <c r="CN51" s="33">
        <f>IF(AND($B51&gt;=InputTrianglesACPC!$D$8,$CT51&gt;=CN$41),1,0)</f>
        <v>0</v>
      </c>
      <c r="CO51" s="33">
        <f>IF(AND($B51&gt;=InputTrianglesACPC!$D$8,$CT51&gt;=CO$41),1,0)</f>
        <v>0</v>
      </c>
      <c r="CP51" s="33">
        <f>IF(AND($B51&gt;=InputTrianglesACPC!$D$8,$CT51&gt;=CP$41),1,0)</f>
        <v>0</v>
      </c>
      <c r="CQ51" s="33">
        <f>IF(AND($B51&gt;=InputTrianglesACPC!$D$8,$CT51&gt;=CQ$41),1,0)</f>
        <v>0</v>
      </c>
      <c r="CR51" s="33">
        <f>IF(AND($B51&gt;=InputTrianglesACPC!$D$8,$CT51&gt;=CR$41),1,0)</f>
        <v>0</v>
      </c>
      <c r="CS51" s="32">
        <f>IF(AND($B51&gt;=InputTrianglesACPC!$D$8,$CT51&gt;=CS$41),1,0)</f>
        <v>0</v>
      </c>
      <c r="CT51" s="31">
        <f>($D$9-InputTrianglesACPC!$B51)*InputTrianglesACPC!$E$4+$D$6</f>
        <v>15</v>
      </c>
    </row>
    <row r="52" spans="1:98" hidden="1" x14ac:dyDescent="0.25">
      <c r="A52" s="97">
        <v>0</v>
      </c>
      <c r="B52" s="29">
        <f t="shared" si="7"/>
        <v>2006</v>
      </c>
      <c r="C52" s="30">
        <f>IF(AND($B52&gt;=InputTrianglesACPC!$D$8,$CT52&gt;=C$41),1,0)</f>
        <v>0</v>
      </c>
      <c r="D52" s="33">
        <f>IF(AND($B52&gt;=InputTrianglesACPC!$D$8,$CT52&gt;=D$41),1,0)</f>
        <v>0</v>
      </c>
      <c r="E52" s="33">
        <f>IF(AND($B52&gt;=InputTrianglesACPC!$D$8,$CT52&gt;=E$41),1,0)</f>
        <v>0</v>
      </c>
      <c r="F52" s="33">
        <f>IF(AND($B52&gt;=InputTrianglesACPC!$D$8,$CT52&gt;=F$41),1,0)</f>
        <v>0</v>
      </c>
      <c r="G52" s="33">
        <f>IF(AND($B52&gt;=InputTrianglesACPC!$D$8,$CT52&gt;=G$41),1,0)</f>
        <v>0</v>
      </c>
      <c r="H52" s="33">
        <f>IF(AND($B52&gt;=InputTrianglesACPC!$D$8,$CT52&gt;=H$41),1,0)</f>
        <v>0</v>
      </c>
      <c r="I52" s="33">
        <f>IF(AND($B52&gt;=InputTrianglesACPC!$D$8,$CT52&gt;=I$41),1,0)</f>
        <v>0</v>
      </c>
      <c r="J52" s="33">
        <f>IF(AND($B52&gt;=InputTrianglesACPC!$D$8,$CT52&gt;=J$41),1,0)</f>
        <v>0</v>
      </c>
      <c r="K52" s="33">
        <f>IF(AND($B52&gt;=InputTrianglesACPC!$D$8,$CT52&gt;=K$41),1,0)</f>
        <v>0</v>
      </c>
      <c r="L52" s="33">
        <f>IF(AND($B52&gt;=InputTrianglesACPC!$D$8,$CT52&gt;=L$41),1,0)</f>
        <v>0</v>
      </c>
      <c r="M52" s="33">
        <f>IF(AND($B52&gt;=InputTrianglesACPC!$D$8,$CT52&gt;=M$41),1,0)</f>
        <v>0</v>
      </c>
      <c r="N52" s="33">
        <f>IF(AND($B52&gt;=InputTrianglesACPC!$D$8,$CT52&gt;=N$41),1,0)</f>
        <v>0</v>
      </c>
      <c r="O52" s="33">
        <f>IF(AND($B52&gt;=InputTrianglesACPC!$D$8,$CT52&gt;=O$41),1,0)</f>
        <v>0</v>
      </c>
      <c r="P52" s="33">
        <f>IF(AND($B52&gt;=InputTrianglesACPC!$D$8,$CT52&gt;=P$41),1,0)</f>
        <v>0</v>
      </c>
      <c r="Q52" s="33">
        <f>IF(AND($B52&gt;=InputTrianglesACPC!$D$8,$CT52&gt;=Q$41),1,0)</f>
        <v>0</v>
      </c>
      <c r="R52" s="33">
        <f>IF(AND($B52&gt;=InputTrianglesACPC!$D$8,$CT52&gt;=R$41),1,0)</f>
        <v>0</v>
      </c>
      <c r="S52" s="33">
        <f>IF(AND($B52&gt;=InputTrianglesACPC!$D$8,$CT52&gt;=S$41),1,0)</f>
        <v>0</v>
      </c>
      <c r="T52" s="33">
        <f>IF(AND($B52&gt;=InputTrianglesACPC!$D$8,$CT52&gt;=T$41),1,0)</f>
        <v>0</v>
      </c>
      <c r="U52" s="33">
        <f>IF(AND($B52&gt;=InputTrianglesACPC!$D$8,$CT52&gt;=U$41),1,0)</f>
        <v>0</v>
      </c>
      <c r="V52" s="33">
        <f>IF(AND($B52&gt;=InputTrianglesACPC!$D$8,$CT52&gt;=V$41),1,0)</f>
        <v>0</v>
      </c>
      <c r="W52" s="33">
        <f>IF(AND($B52&gt;=InputTrianglesACPC!$D$8,$CT52&gt;=W$41),1,0)</f>
        <v>0</v>
      </c>
      <c r="X52" s="33">
        <f>IF(AND($B52&gt;=InputTrianglesACPC!$D$8,$CT52&gt;=X$41),1,0)</f>
        <v>0</v>
      </c>
      <c r="Y52" s="33">
        <f>IF(AND($B52&gt;=InputTrianglesACPC!$D$8,$CT52&gt;=Y$41),1,0)</f>
        <v>0</v>
      </c>
      <c r="Z52" s="33">
        <f>IF(AND($B52&gt;=InputTrianglesACPC!$D$8,$CT52&gt;=Z$41),1,0)</f>
        <v>0</v>
      </c>
      <c r="AA52" s="33">
        <f>IF(AND($B52&gt;=InputTrianglesACPC!$D$8,$CT52&gt;=AA$41),1,0)</f>
        <v>0</v>
      </c>
      <c r="AB52" s="33">
        <f>IF(AND($B52&gt;=InputTrianglesACPC!$D$8,$CT52&gt;=AB$41),1,0)</f>
        <v>0</v>
      </c>
      <c r="AC52" s="33">
        <f>IF(AND($B52&gt;=InputTrianglesACPC!$D$8,$CT52&gt;=AC$41),1,0)</f>
        <v>0</v>
      </c>
      <c r="AD52" s="33">
        <f>IF(AND($B52&gt;=InputTrianglesACPC!$D$8,$CT52&gt;=AD$41),1,0)</f>
        <v>0</v>
      </c>
      <c r="AE52" s="33">
        <f>IF(AND($B52&gt;=InputTrianglesACPC!$D$8,$CT52&gt;=AE$41),1,0)</f>
        <v>0</v>
      </c>
      <c r="AF52" s="33">
        <f>IF(AND($B52&gt;=InputTrianglesACPC!$D$8,$CT52&gt;=AF$41),1,0)</f>
        <v>0</v>
      </c>
      <c r="AG52" s="33">
        <f>IF(AND($B52&gt;=InputTrianglesACPC!$D$8,$CT52&gt;=AG$41),1,0)</f>
        <v>0</v>
      </c>
      <c r="AH52" s="33">
        <f>IF(AND($B52&gt;=InputTrianglesACPC!$D$8,$CT52&gt;=AH$41),1,0)</f>
        <v>0</v>
      </c>
      <c r="AI52" s="33">
        <f>IF(AND($B52&gt;=InputTrianglesACPC!$D$8,$CT52&gt;=AI$41),1,0)</f>
        <v>0</v>
      </c>
      <c r="AJ52" s="33">
        <f>IF(AND($B52&gt;=InputTrianglesACPC!$D$8,$CT52&gt;=AJ$41),1,0)</f>
        <v>0</v>
      </c>
      <c r="AK52" s="33">
        <f>IF(AND($B52&gt;=InputTrianglesACPC!$D$8,$CT52&gt;=AK$41),1,0)</f>
        <v>0</v>
      </c>
      <c r="AL52" s="33">
        <f>IF(AND($B52&gt;=InputTrianglesACPC!$D$8,$CT52&gt;=AL$41),1,0)</f>
        <v>0</v>
      </c>
      <c r="AM52" s="33">
        <f>IF(AND($B52&gt;=InputTrianglesACPC!$D$8,$CT52&gt;=AM$41),1,0)</f>
        <v>0</v>
      </c>
      <c r="AN52" s="33">
        <f>IF(AND($B52&gt;=InputTrianglesACPC!$D$8,$CT52&gt;=AN$41),1,0)</f>
        <v>0</v>
      </c>
      <c r="AO52" s="33">
        <f>IF(AND($B52&gt;=InputTrianglesACPC!$D$8,$CT52&gt;=AO$41),1,0)</f>
        <v>0</v>
      </c>
      <c r="AP52" s="33">
        <f>IF(AND($B52&gt;=InputTrianglesACPC!$D$8,$CT52&gt;=AP$41),1,0)</f>
        <v>0</v>
      </c>
      <c r="AQ52" s="33">
        <f>IF(AND($B52&gt;=InputTrianglesACPC!$D$8,$CT52&gt;=AQ$41),1,0)</f>
        <v>0</v>
      </c>
      <c r="AR52" s="33">
        <f>IF(AND($B52&gt;=InputTrianglesACPC!$D$8,$CT52&gt;=AR$41),1,0)</f>
        <v>0</v>
      </c>
      <c r="AS52" s="33">
        <f>IF(AND($B52&gt;=InputTrianglesACPC!$D$8,$CT52&gt;=AS$41),1,0)</f>
        <v>0</v>
      </c>
      <c r="AT52" s="33">
        <f>IF(AND($B52&gt;=InputTrianglesACPC!$D$8,$CT52&gt;=AT$41),1,0)</f>
        <v>0</v>
      </c>
      <c r="AU52" s="33">
        <f>IF(AND($B52&gt;=InputTrianglesACPC!$D$8,$CT52&gt;=AU$41),1,0)</f>
        <v>0</v>
      </c>
      <c r="AV52" s="33">
        <f>IF(AND($B52&gt;=InputTrianglesACPC!$D$8,$CT52&gt;=AV$41),1,0)</f>
        <v>0</v>
      </c>
      <c r="AW52" s="33">
        <f>IF(AND($B52&gt;=InputTrianglesACPC!$D$8,$CT52&gt;=AW$41),1,0)</f>
        <v>0</v>
      </c>
      <c r="AX52" s="33">
        <f>IF(AND($B52&gt;=InputTrianglesACPC!$D$8,$CT52&gt;=AX$41),1,0)</f>
        <v>0</v>
      </c>
      <c r="AY52" s="33">
        <f>IF(AND($B52&gt;=InputTrianglesACPC!$D$8,$CT52&gt;=AY$41),1,0)</f>
        <v>0</v>
      </c>
      <c r="AZ52" s="33">
        <f>IF(AND($B52&gt;=InputTrianglesACPC!$D$8,$CT52&gt;=AZ$41),1,0)</f>
        <v>0</v>
      </c>
      <c r="BA52" s="33">
        <f>IF(AND($B52&gt;=InputTrianglesACPC!$D$8,$CT52&gt;=BA$41),1,0)</f>
        <v>0</v>
      </c>
      <c r="BB52" s="33">
        <f>IF(AND($B52&gt;=InputTrianglesACPC!$D$8,$CT52&gt;=BB$41),1,0)</f>
        <v>0</v>
      </c>
      <c r="BC52" s="33">
        <f>IF(AND($B52&gt;=InputTrianglesACPC!$D$8,$CT52&gt;=BC$41),1,0)</f>
        <v>0</v>
      </c>
      <c r="BD52" s="33">
        <f>IF(AND($B52&gt;=InputTrianglesACPC!$D$8,$CT52&gt;=BD$41),1,0)</f>
        <v>0</v>
      </c>
      <c r="BE52" s="33">
        <f>IF(AND($B52&gt;=InputTrianglesACPC!$D$8,$CT52&gt;=BE$41),1,0)</f>
        <v>0</v>
      </c>
      <c r="BF52" s="33">
        <f>IF(AND($B52&gt;=InputTrianglesACPC!$D$8,$CT52&gt;=BF$41),1,0)</f>
        <v>0</v>
      </c>
      <c r="BG52" s="33">
        <f>IF(AND($B52&gt;=InputTrianglesACPC!$D$8,$CT52&gt;=BG$41),1,0)</f>
        <v>0</v>
      </c>
      <c r="BH52" s="33">
        <f>IF(AND($B52&gt;=InputTrianglesACPC!$D$8,$CT52&gt;=BH$41),1,0)</f>
        <v>0</v>
      </c>
      <c r="BI52" s="33">
        <f>IF(AND($B52&gt;=InputTrianglesACPC!$D$8,$CT52&gt;=BI$41),1,0)</f>
        <v>0</v>
      </c>
      <c r="BJ52" s="33">
        <f>IF(AND($B52&gt;=InputTrianglesACPC!$D$8,$CT52&gt;=BJ$41),1,0)</f>
        <v>0</v>
      </c>
      <c r="BK52" s="33">
        <f>IF(AND($B52&gt;=InputTrianglesACPC!$D$8,$CT52&gt;=BK$41),1,0)</f>
        <v>0</v>
      </c>
      <c r="BL52" s="33">
        <f>IF(AND($B52&gt;=InputTrianglesACPC!$D$8,$CT52&gt;=BL$41),1,0)</f>
        <v>0</v>
      </c>
      <c r="BM52" s="33">
        <f>IF(AND($B52&gt;=InputTrianglesACPC!$D$8,$CT52&gt;=BM$41),1,0)</f>
        <v>0</v>
      </c>
      <c r="BN52" s="33">
        <f>IF(AND($B52&gt;=InputTrianglesACPC!$D$8,$CT52&gt;=BN$41),1,0)</f>
        <v>0</v>
      </c>
      <c r="BO52" s="33">
        <f>IF(AND($B52&gt;=InputTrianglesACPC!$D$8,$CT52&gt;=BO$41),1,0)</f>
        <v>0</v>
      </c>
      <c r="BP52" s="33">
        <f>IF(AND($B52&gt;=InputTrianglesACPC!$D$8,$CT52&gt;=BP$41),1,0)</f>
        <v>0</v>
      </c>
      <c r="BQ52" s="33">
        <f>IF(AND($B52&gt;=InputTrianglesACPC!$D$8,$CT52&gt;=BQ$41),1,0)</f>
        <v>0</v>
      </c>
      <c r="BR52" s="33">
        <f>IF(AND($B52&gt;=InputTrianglesACPC!$D$8,$CT52&gt;=BR$41),1,0)</f>
        <v>0</v>
      </c>
      <c r="BS52" s="33">
        <f>IF(AND($B52&gt;=InputTrianglesACPC!$D$8,$CT52&gt;=BS$41),1,0)</f>
        <v>0</v>
      </c>
      <c r="BT52" s="33">
        <f>IF(AND($B52&gt;=InputTrianglesACPC!$D$8,$CT52&gt;=BT$41),1,0)</f>
        <v>0</v>
      </c>
      <c r="BU52" s="33">
        <f>IF(AND($B52&gt;=InputTrianglesACPC!$D$8,$CT52&gt;=BU$41),1,0)</f>
        <v>0</v>
      </c>
      <c r="BV52" s="33">
        <f>IF(AND($B52&gt;=InputTrianglesACPC!$D$8,$CT52&gt;=BV$41),1,0)</f>
        <v>0</v>
      </c>
      <c r="BW52" s="33">
        <f>IF(AND($B52&gt;=InputTrianglesACPC!$D$8,$CT52&gt;=BW$41),1,0)</f>
        <v>0</v>
      </c>
      <c r="BX52" s="33">
        <f>IF(AND($B52&gt;=InputTrianglesACPC!$D$8,$CT52&gt;=BX$41),1,0)</f>
        <v>0</v>
      </c>
      <c r="BY52" s="33">
        <f>IF(AND($B52&gt;=InputTrianglesACPC!$D$8,$CT52&gt;=BY$41),1,0)</f>
        <v>0</v>
      </c>
      <c r="BZ52" s="33">
        <f>IF(AND($B52&gt;=InputTrianglesACPC!$D$8,$CT52&gt;=BZ$41),1,0)</f>
        <v>0</v>
      </c>
      <c r="CA52" s="33">
        <f>IF(AND($B52&gt;=InputTrianglesACPC!$D$8,$CT52&gt;=CA$41),1,0)</f>
        <v>0</v>
      </c>
      <c r="CB52" s="33">
        <f>IF(AND($B52&gt;=InputTrianglesACPC!$D$8,$CT52&gt;=CB$41),1,0)</f>
        <v>0</v>
      </c>
      <c r="CC52" s="33">
        <f>IF(AND($B52&gt;=InputTrianglesACPC!$D$8,$CT52&gt;=CC$41),1,0)</f>
        <v>0</v>
      </c>
      <c r="CD52" s="33">
        <f>IF(AND($B52&gt;=InputTrianglesACPC!$D$8,$CT52&gt;=CD$41),1,0)</f>
        <v>0</v>
      </c>
      <c r="CE52" s="33">
        <f>IF(AND($B52&gt;=InputTrianglesACPC!$D$8,$CT52&gt;=CE$41),1,0)</f>
        <v>0</v>
      </c>
      <c r="CF52" s="33">
        <f>IF(AND($B52&gt;=InputTrianglesACPC!$D$8,$CT52&gt;=CF$41),1,0)</f>
        <v>0</v>
      </c>
      <c r="CG52" s="33">
        <f>IF(AND($B52&gt;=InputTrianglesACPC!$D$8,$CT52&gt;=CG$41),1,0)</f>
        <v>0</v>
      </c>
      <c r="CH52" s="33">
        <f>IF(AND($B52&gt;=InputTrianglesACPC!$D$8,$CT52&gt;=CH$41),1,0)</f>
        <v>0</v>
      </c>
      <c r="CI52" s="33">
        <f>IF(AND($B52&gt;=InputTrianglesACPC!$D$8,$CT52&gt;=CI$41),1,0)</f>
        <v>0</v>
      </c>
      <c r="CJ52" s="33">
        <f>IF(AND($B52&gt;=InputTrianglesACPC!$D$8,$CT52&gt;=CJ$41),1,0)</f>
        <v>0</v>
      </c>
      <c r="CK52" s="33">
        <f>IF(AND($B52&gt;=InputTrianglesACPC!$D$8,$CT52&gt;=CK$41),1,0)</f>
        <v>0</v>
      </c>
      <c r="CL52" s="33">
        <f>IF(AND($B52&gt;=InputTrianglesACPC!$D$8,$CT52&gt;=CL$41),1,0)</f>
        <v>0</v>
      </c>
      <c r="CM52" s="33">
        <f>IF(AND($B52&gt;=InputTrianglesACPC!$D$8,$CT52&gt;=CM$41),1,0)</f>
        <v>0</v>
      </c>
      <c r="CN52" s="33">
        <f>IF(AND($B52&gt;=InputTrianglesACPC!$D$8,$CT52&gt;=CN$41),1,0)</f>
        <v>0</v>
      </c>
      <c r="CO52" s="33">
        <f>IF(AND($B52&gt;=InputTrianglesACPC!$D$8,$CT52&gt;=CO$41),1,0)</f>
        <v>0</v>
      </c>
      <c r="CP52" s="33">
        <f>IF(AND($B52&gt;=InputTrianglesACPC!$D$8,$CT52&gt;=CP$41),1,0)</f>
        <v>0</v>
      </c>
      <c r="CQ52" s="33">
        <f>IF(AND($B52&gt;=InputTrianglesACPC!$D$8,$CT52&gt;=CQ$41),1,0)</f>
        <v>0</v>
      </c>
      <c r="CR52" s="33">
        <f>IF(AND($B52&gt;=InputTrianglesACPC!$D$8,$CT52&gt;=CR$41),1,0)</f>
        <v>0</v>
      </c>
      <c r="CS52" s="32">
        <f>IF(AND($B52&gt;=InputTrianglesACPC!$D$8,$CT52&gt;=CS$41),1,0)</f>
        <v>0</v>
      </c>
      <c r="CT52" s="31">
        <f>($D$9-InputTrianglesACPC!$B52)*InputTrianglesACPC!$E$4+$D$6</f>
        <v>14</v>
      </c>
    </row>
    <row r="53" spans="1:98" hidden="1" x14ac:dyDescent="0.25">
      <c r="A53" s="97">
        <v>0</v>
      </c>
      <c r="B53" s="29">
        <f t="shared" si="7"/>
        <v>2007</v>
      </c>
      <c r="C53" s="30">
        <f>IF(AND($B53&gt;=InputTrianglesACPC!$D$8,$CT53&gt;=C$41),1,0)</f>
        <v>0</v>
      </c>
      <c r="D53" s="33">
        <f>IF(AND($B53&gt;=InputTrianglesACPC!$D$8,$CT53&gt;=D$41),1,0)</f>
        <v>0</v>
      </c>
      <c r="E53" s="33">
        <f>IF(AND($B53&gt;=InputTrianglesACPC!$D$8,$CT53&gt;=E$41),1,0)</f>
        <v>0</v>
      </c>
      <c r="F53" s="33">
        <f>IF(AND($B53&gt;=InputTrianglesACPC!$D$8,$CT53&gt;=F$41),1,0)</f>
        <v>0</v>
      </c>
      <c r="G53" s="33">
        <f>IF(AND($B53&gt;=InputTrianglesACPC!$D$8,$CT53&gt;=G$41),1,0)</f>
        <v>0</v>
      </c>
      <c r="H53" s="33">
        <f>IF(AND($B53&gt;=InputTrianglesACPC!$D$8,$CT53&gt;=H$41),1,0)</f>
        <v>0</v>
      </c>
      <c r="I53" s="33">
        <f>IF(AND($B53&gt;=InputTrianglesACPC!$D$8,$CT53&gt;=I$41),1,0)</f>
        <v>0</v>
      </c>
      <c r="J53" s="33">
        <f>IF(AND($B53&gt;=InputTrianglesACPC!$D$8,$CT53&gt;=J$41),1,0)</f>
        <v>0</v>
      </c>
      <c r="K53" s="33">
        <f>IF(AND($B53&gt;=InputTrianglesACPC!$D$8,$CT53&gt;=K$41),1,0)</f>
        <v>0</v>
      </c>
      <c r="L53" s="33">
        <f>IF(AND($B53&gt;=InputTrianglesACPC!$D$8,$CT53&gt;=L$41),1,0)</f>
        <v>0</v>
      </c>
      <c r="M53" s="33">
        <f>IF(AND($B53&gt;=InputTrianglesACPC!$D$8,$CT53&gt;=M$41),1,0)</f>
        <v>0</v>
      </c>
      <c r="N53" s="33">
        <f>IF(AND($B53&gt;=InputTrianglesACPC!$D$8,$CT53&gt;=N$41),1,0)</f>
        <v>0</v>
      </c>
      <c r="O53" s="33">
        <f>IF(AND($B53&gt;=InputTrianglesACPC!$D$8,$CT53&gt;=O$41),1,0)</f>
        <v>0</v>
      </c>
      <c r="P53" s="33">
        <f>IF(AND($B53&gt;=InputTrianglesACPC!$D$8,$CT53&gt;=P$41),1,0)</f>
        <v>0</v>
      </c>
      <c r="Q53" s="33">
        <f>IF(AND($B53&gt;=InputTrianglesACPC!$D$8,$CT53&gt;=Q$41),1,0)</f>
        <v>0</v>
      </c>
      <c r="R53" s="33">
        <f>IF(AND($B53&gt;=InputTrianglesACPC!$D$8,$CT53&gt;=R$41),1,0)</f>
        <v>0</v>
      </c>
      <c r="S53" s="33">
        <f>IF(AND($B53&gt;=InputTrianglesACPC!$D$8,$CT53&gt;=S$41),1,0)</f>
        <v>0</v>
      </c>
      <c r="T53" s="33">
        <f>IF(AND($B53&gt;=InputTrianglesACPC!$D$8,$CT53&gt;=T$41),1,0)</f>
        <v>0</v>
      </c>
      <c r="U53" s="33">
        <f>IF(AND($B53&gt;=InputTrianglesACPC!$D$8,$CT53&gt;=U$41),1,0)</f>
        <v>0</v>
      </c>
      <c r="V53" s="33">
        <f>IF(AND($B53&gt;=InputTrianglesACPC!$D$8,$CT53&gt;=V$41),1,0)</f>
        <v>0</v>
      </c>
      <c r="W53" s="33">
        <f>IF(AND($B53&gt;=InputTrianglesACPC!$D$8,$CT53&gt;=W$41),1,0)</f>
        <v>0</v>
      </c>
      <c r="X53" s="33">
        <f>IF(AND($B53&gt;=InputTrianglesACPC!$D$8,$CT53&gt;=X$41),1,0)</f>
        <v>0</v>
      </c>
      <c r="Y53" s="33">
        <f>IF(AND($B53&gt;=InputTrianglesACPC!$D$8,$CT53&gt;=Y$41),1,0)</f>
        <v>0</v>
      </c>
      <c r="Z53" s="33">
        <f>IF(AND($B53&gt;=InputTrianglesACPC!$D$8,$CT53&gt;=Z$41),1,0)</f>
        <v>0</v>
      </c>
      <c r="AA53" s="33">
        <f>IF(AND($B53&gt;=InputTrianglesACPC!$D$8,$CT53&gt;=AA$41),1,0)</f>
        <v>0</v>
      </c>
      <c r="AB53" s="33">
        <f>IF(AND($B53&gt;=InputTrianglesACPC!$D$8,$CT53&gt;=AB$41),1,0)</f>
        <v>0</v>
      </c>
      <c r="AC53" s="33">
        <f>IF(AND($B53&gt;=InputTrianglesACPC!$D$8,$CT53&gt;=AC$41),1,0)</f>
        <v>0</v>
      </c>
      <c r="AD53" s="33">
        <f>IF(AND($B53&gt;=InputTrianglesACPC!$D$8,$CT53&gt;=AD$41),1,0)</f>
        <v>0</v>
      </c>
      <c r="AE53" s="33">
        <f>IF(AND($B53&gt;=InputTrianglesACPC!$D$8,$CT53&gt;=AE$41),1,0)</f>
        <v>0</v>
      </c>
      <c r="AF53" s="33">
        <f>IF(AND($B53&gt;=InputTrianglesACPC!$D$8,$CT53&gt;=AF$41),1,0)</f>
        <v>0</v>
      </c>
      <c r="AG53" s="33">
        <f>IF(AND($B53&gt;=InputTrianglesACPC!$D$8,$CT53&gt;=AG$41),1,0)</f>
        <v>0</v>
      </c>
      <c r="AH53" s="33">
        <f>IF(AND($B53&gt;=InputTrianglesACPC!$D$8,$CT53&gt;=AH$41),1,0)</f>
        <v>0</v>
      </c>
      <c r="AI53" s="33">
        <f>IF(AND($B53&gt;=InputTrianglesACPC!$D$8,$CT53&gt;=AI$41),1,0)</f>
        <v>0</v>
      </c>
      <c r="AJ53" s="33">
        <f>IF(AND($B53&gt;=InputTrianglesACPC!$D$8,$CT53&gt;=AJ$41),1,0)</f>
        <v>0</v>
      </c>
      <c r="AK53" s="33">
        <f>IF(AND($B53&gt;=InputTrianglesACPC!$D$8,$CT53&gt;=AK$41),1,0)</f>
        <v>0</v>
      </c>
      <c r="AL53" s="33">
        <f>IF(AND($B53&gt;=InputTrianglesACPC!$D$8,$CT53&gt;=AL$41),1,0)</f>
        <v>0</v>
      </c>
      <c r="AM53" s="33">
        <f>IF(AND($B53&gt;=InputTrianglesACPC!$D$8,$CT53&gt;=AM$41),1,0)</f>
        <v>0</v>
      </c>
      <c r="AN53" s="33">
        <f>IF(AND($B53&gt;=InputTrianglesACPC!$D$8,$CT53&gt;=AN$41),1,0)</f>
        <v>0</v>
      </c>
      <c r="AO53" s="33">
        <f>IF(AND($B53&gt;=InputTrianglesACPC!$D$8,$CT53&gt;=AO$41),1,0)</f>
        <v>0</v>
      </c>
      <c r="AP53" s="33">
        <f>IF(AND($B53&gt;=InputTrianglesACPC!$D$8,$CT53&gt;=AP$41),1,0)</f>
        <v>0</v>
      </c>
      <c r="AQ53" s="33">
        <f>IF(AND($B53&gt;=InputTrianglesACPC!$D$8,$CT53&gt;=AQ$41),1,0)</f>
        <v>0</v>
      </c>
      <c r="AR53" s="33">
        <f>IF(AND($B53&gt;=InputTrianglesACPC!$D$8,$CT53&gt;=AR$41),1,0)</f>
        <v>0</v>
      </c>
      <c r="AS53" s="33">
        <f>IF(AND($B53&gt;=InputTrianglesACPC!$D$8,$CT53&gt;=AS$41),1,0)</f>
        <v>0</v>
      </c>
      <c r="AT53" s="33">
        <f>IF(AND($B53&gt;=InputTrianglesACPC!$D$8,$CT53&gt;=AT$41),1,0)</f>
        <v>0</v>
      </c>
      <c r="AU53" s="33">
        <f>IF(AND($B53&gt;=InputTrianglesACPC!$D$8,$CT53&gt;=AU$41),1,0)</f>
        <v>0</v>
      </c>
      <c r="AV53" s="33">
        <f>IF(AND($B53&gt;=InputTrianglesACPC!$D$8,$CT53&gt;=AV$41),1,0)</f>
        <v>0</v>
      </c>
      <c r="AW53" s="33">
        <f>IF(AND($B53&gt;=InputTrianglesACPC!$D$8,$CT53&gt;=AW$41),1,0)</f>
        <v>0</v>
      </c>
      <c r="AX53" s="33">
        <f>IF(AND($B53&gt;=InputTrianglesACPC!$D$8,$CT53&gt;=AX$41),1,0)</f>
        <v>0</v>
      </c>
      <c r="AY53" s="33">
        <f>IF(AND($B53&gt;=InputTrianglesACPC!$D$8,$CT53&gt;=AY$41),1,0)</f>
        <v>0</v>
      </c>
      <c r="AZ53" s="33">
        <f>IF(AND($B53&gt;=InputTrianglesACPC!$D$8,$CT53&gt;=AZ$41),1,0)</f>
        <v>0</v>
      </c>
      <c r="BA53" s="33">
        <f>IF(AND($B53&gt;=InputTrianglesACPC!$D$8,$CT53&gt;=BA$41),1,0)</f>
        <v>0</v>
      </c>
      <c r="BB53" s="33">
        <f>IF(AND($B53&gt;=InputTrianglesACPC!$D$8,$CT53&gt;=BB$41),1,0)</f>
        <v>0</v>
      </c>
      <c r="BC53" s="33">
        <f>IF(AND($B53&gt;=InputTrianglesACPC!$D$8,$CT53&gt;=BC$41),1,0)</f>
        <v>0</v>
      </c>
      <c r="BD53" s="33">
        <f>IF(AND($B53&gt;=InputTrianglesACPC!$D$8,$CT53&gt;=BD$41),1,0)</f>
        <v>0</v>
      </c>
      <c r="BE53" s="33">
        <f>IF(AND($B53&gt;=InputTrianglesACPC!$D$8,$CT53&gt;=BE$41),1,0)</f>
        <v>0</v>
      </c>
      <c r="BF53" s="33">
        <f>IF(AND($B53&gt;=InputTrianglesACPC!$D$8,$CT53&gt;=BF$41),1,0)</f>
        <v>0</v>
      </c>
      <c r="BG53" s="33">
        <f>IF(AND($B53&gt;=InputTrianglesACPC!$D$8,$CT53&gt;=BG$41),1,0)</f>
        <v>0</v>
      </c>
      <c r="BH53" s="33">
        <f>IF(AND($B53&gt;=InputTrianglesACPC!$D$8,$CT53&gt;=BH$41),1,0)</f>
        <v>0</v>
      </c>
      <c r="BI53" s="33">
        <f>IF(AND($B53&gt;=InputTrianglesACPC!$D$8,$CT53&gt;=BI$41),1,0)</f>
        <v>0</v>
      </c>
      <c r="BJ53" s="33">
        <f>IF(AND($B53&gt;=InputTrianglesACPC!$D$8,$CT53&gt;=BJ$41),1,0)</f>
        <v>0</v>
      </c>
      <c r="BK53" s="33">
        <f>IF(AND($B53&gt;=InputTrianglesACPC!$D$8,$CT53&gt;=BK$41),1,0)</f>
        <v>0</v>
      </c>
      <c r="BL53" s="33">
        <f>IF(AND($B53&gt;=InputTrianglesACPC!$D$8,$CT53&gt;=BL$41),1,0)</f>
        <v>0</v>
      </c>
      <c r="BM53" s="33">
        <f>IF(AND($B53&gt;=InputTrianglesACPC!$D$8,$CT53&gt;=BM$41),1,0)</f>
        <v>0</v>
      </c>
      <c r="BN53" s="33">
        <f>IF(AND($B53&gt;=InputTrianglesACPC!$D$8,$CT53&gt;=BN$41),1,0)</f>
        <v>0</v>
      </c>
      <c r="BO53" s="33">
        <f>IF(AND($B53&gt;=InputTrianglesACPC!$D$8,$CT53&gt;=BO$41),1,0)</f>
        <v>0</v>
      </c>
      <c r="BP53" s="33">
        <f>IF(AND($B53&gt;=InputTrianglesACPC!$D$8,$CT53&gt;=BP$41),1,0)</f>
        <v>0</v>
      </c>
      <c r="BQ53" s="33">
        <f>IF(AND($B53&gt;=InputTrianglesACPC!$D$8,$CT53&gt;=BQ$41),1,0)</f>
        <v>0</v>
      </c>
      <c r="BR53" s="33">
        <f>IF(AND($B53&gt;=InputTrianglesACPC!$D$8,$CT53&gt;=BR$41),1,0)</f>
        <v>0</v>
      </c>
      <c r="BS53" s="33">
        <f>IF(AND($B53&gt;=InputTrianglesACPC!$D$8,$CT53&gt;=BS$41),1,0)</f>
        <v>0</v>
      </c>
      <c r="BT53" s="33">
        <f>IF(AND($B53&gt;=InputTrianglesACPC!$D$8,$CT53&gt;=BT$41),1,0)</f>
        <v>0</v>
      </c>
      <c r="BU53" s="33">
        <f>IF(AND($B53&gt;=InputTrianglesACPC!$D$8,$CT53&gt;=BU$41),1,0)</f>
        <v>0</v>
      </c>
      <c r="BV53" s="33">
        <f>IF(AND($B53&gt;=InputTrianglesACPC!$D$8,$CT53&gt;=BV$41),1,0)</f>
        <v>0</v>
      </c>
      <c r="BW53" s="33">
        <f>IF(AND($B53&gt;=InputTrianglesACPC!$D$8,$CT53&gt;=BW$41),1,0)</f>
        <v>0</v>
      </c>
      <c r="BX53" s="33">
        <f>IF(AND($B53&gt;=InputTrianglesACPC!$D$8,$CT53&gt;=BX$41),1,0)</f>
        <v>0</v>
      </c>
      <c r="BY53" s="33">
        <f>IF(AND($B53&gt;=InputTrianglesACPC!$D$8,$CT53&gt;=BY$41),1,0)</f>
        <v>0</v>
      </c>
      <c r="BZ53" s="33">
        <f>IF(AND($B53&gt;=InputTrianglesACPC!$D$8,$CT53&gt;=BZ$41),1,0)</f>
        <v>0</v>
      </c>
      <c r="CA53" s="33">
        <f>IF(AND($B53&gt;=InputTrianglesACPC!$D$8,$CT53&gt;=CA$41),1,0)</f>
        <v>0</v>
      </c>
      <c r="CB53" s="33">
        <f>IF(AND($B53&gt;=InputTrianglesACPC!$D$8,$CT53&gt;=CB$41),1,0)</f>
        <v>0</v>
      </c>
      <c r="CC53" s="33">
        <f>IF(AND($B53&gt;=InputTrianglesACPC!$D$8,$CT53&gt;=CC$41),1,0)</f>
        <v>0</v>
      </c>
      <c r="CD53" s="33">
        <f>IF(AND($B53&gt;=InputTrianglesACPC!$D$8,$CT53&gt;=CD$41),1,0)</f>
        <v>0</v>
      </c>
      <c r="CE53" s="33">
        <f>IF(AND($B53&gt;=InputTrianglesACPC!$D$8,$CT53&gt;=CE$41),1,0)</f>
        <v>0</v>
      </c>
      <c r="CF53" s="33">
        <f>IF(AND($B53&gt;=InputTrianglesACPC!$D$8,$CT53&gt;=CF$41),1,0)</f>
        <v>0</v>
      </c>
      <c r="CG53" s="33">
        <f>IF(AND($B53&gt;=InputTrianglesACPC!$D$8,$CT53&gt;=CG$41),1,0)</f>
        <v>0</v>
      </c>
      <c r="CH53" s="33">
        <f>IF(AND($B53&gt;=InputTrianglesACPC!$D$8,$CT53&gt;=CH$41),1,0)</f>
        <v>0</v>
      </c>
      <c r="CI53" s="33">
        <f>IF(AND($B53&gt;=InputTrianglesACPC!$D$8,$CT53&gt;=CI$41),1,0)</f>
        <v>0</v>
      </c>
      <c r="CJ53" s="33">
        <f>IF(AND($B53&gt;=InputTrianglesACPC!$D$8,$CT53&gt;=CJ$41),1,0)</f>
        <v>0</v>
      </c>
      <c r="CK53" s="33">
        <f>IF(AND($B53&gt;=InputTrianglesACPC!$D$8,$CT53&gt;=CK$41),1,0)</f>
        <v>0</v>
      </c>
      <c r="CL53" s="33">
        <f>IF(AND($B53&gt;=InputTrianglesACPC!$D$8,$CT53&gt;=CL$41),1,0)</f>
        <v>0</v>
      </c>
      <c r="CM53" s="33">
        <f>IF(AND($B53&gt;=InputTrianglesACPC!$D$8,$CT53&gt;=CM$41),1,0)</f>
        <v>0</v>
      </c>
      <c r="CN53" s="33">
        <f>IF(AND($B53&gt;=InputTrianglesACPC!$D$8,$CT53&gt;=CN$41),1,0)</f>
        <v>0</v>
      </c>
      <c r="CO53" s="33">
        <f>IF(AND($B53&gt;=InputTrianglesACPC!$D$8,$CT53&gt;=CO$41),1,0)</f>
        <v>0</v>
      </c>
      <c r="CP53" s="33">
        <f>IF(AND($B53&gt;=InputTrianglesACPC!$D$8,$CT53&gt;=CP$41),1,0)</f>
        <v>0</v>
      </c>
      <c r="CQ53" s="33">
        <f>IF(AND($B53&gt;=InputTrianglesACPC!$D$8,$CT53&gt;=CQ$41),1,0)</f>
        <v>0</v>
      </c>
      <c r="CR53" s="33">
        <f>IF(AND($B53&gt;=InputTrianglesACPC!$D$8,$CT53&gt;=CR$41),1,0)</f>
        <v>0</v>
      </c>
      <c r="CS53" s="32">
        <f>IF(AND($B53&gt;=InputTrianglesACPC!$D$8,$CT53&gt;=CS$41),1,0)</f>
        <v>0</v>
      </c>
      <c r="CT53" s="31">
        <f>($D$9-InputTrianglesACPC!$B53)*InputTrianglesACPC!$E$4+$D$6</f>
        <v>13</v>
      </c>
    </row>
    <row r="54" spans="1:98" hidden="1" x14ac:dyDescent="0.25">
      <c r="A54" s="97">
        <v>0</v>
      </c>
      <c r="B54" s="29">
        <f t="shared" si="7"/>
        <v>2008</v>
      </c>
      <c r="C54" s="30">
        <f>IF(AND($B54&gt;=InputTrianglesACPC!$D$8,$CT54&gt;=C$41),1,0)</f>
        <v>0</v>
      </c>
      <c r="D54" s="33">
        <f>IF(AND($B54&gt;=InputTrianglesACPC!$D$8,$CT54&gt;=D$41),1,0)</f>
        <v>0</v>
      </c>
      <c r="E54" s="33">
        <f>IF(AND($B54&gt;=InputTrianglesACPC!$D$8,$CT54&gt;=E$41),1,0)</f>
        <v>0</v>
      </c>
      <c r="F54" s="33">
        <f>IF(AND($B54&gt;=InputTrianglesACPC!$D$8,$CT54&gt;=F$41),1,0)</f>
        <v>0</v>
      </c>
      <c r="G54" s="33">
        <f>IF(AND($B54&gt;=InputTrianglesACPC!$D$8,$CT54&gt;=G$41),1,0)</f>
        <v>0</v>
      </c>
      <c r="H54" s="33">
        <f>IF(AND($B54&gt;=InputTrianglesACPC!$D$8,$CT54&gt;=H$41),1,0)</f>
        <v>0</v>
      </c>
      <c r="I54" s="33">
        <f>IF(AND($B54&gt;=InputTrianglesACPC!$D$8,$CT54&gt;=I$41),1,0)</f>
        <v>0</v>
      </c>
      <c r="J54" s="33">
        <f>IF(AND($B54&gt;=InputTrianglesACPC!$D$8,$CT54&gt;=J$41),1,0)</f>
        <v>0</v>
      </c>
      <c r="K54" s="33">
        <f>IF(AND($B54&gt;=InputTrianglesACPC!$D$8,$CT54&gt;=K$41),1,0)</f>
        <v>0</v>
      </c>
      <c r="L54" s="33">
        <f>IF(AND($B54&gt;=InputTrianglesACPC!$D$8,$CT54&gt;=L$41),1,0)</f>
        <v>0</v>
      </c>
      <c r="M54" s="33">
        <f>IF(AND($B54&gt;=InputTrianglesACPC!$D$8,$CT54&gt;=M$41),1,0)</f>
        <v>0</v>
      </c>
      <c r="N54" s="33">
        <f>IF(AND($B54&gt;=InputTrianglesACPC!$D$8,$CT54&gt;=N$41),1,0)</f>
        <v>0</v>
      </c>
      <c r="O54" s="33">
        <f>IF(AND($B54&gt;=InputTrianglesACPC!$D$8,$CT54&gt;=O$41),1,0)</f>
        <v>0</v>
      </c>
      <c r="P54" s="33">
        <f>IF(AND($B54&gt;=InputTrianglesACPC!$D$8,$CT54&gt;=P$41),1,0)</f>
        <v>0</v>
      </c>
      <c r="Q54" s="33">
        <f>IF(AND($B54&gt;=InputTrianglesACPC!$D$8,$CT54&gt;=Q$41),1,0)</f>
        <v>0</v>
      </c>
      <c r="R54" s="33">
        <f>IF(AND($B54&gt;=InputTrianglesACPC!$D$8,$CT54&gt;=R$41),1,0)</f>
        <v>0</v>
      </c>
      <c r="S54" s="33">
        <f>IF(AND($B54&gt;=InputTrianglesACPC!$D$8,$CT54&gt;=S$41),1,0)</f>
        <v>0</v>
      </c>
      <c r="T54" s="33">
        <f>IF(AND($B54&gt;=InputTrianglesACPC!$D$8,$CT54&gt;=T$41),1,0)</f>
        <v>0</v>
      </c>
      <c r="U54" s="33">
        <f>IF(AND($B54&gt;=InputTrianglesACPC!$D$8,$CT54&gt;=U$41),1,0)</f>
        <v>0</v>
      </c>
      <c r="V54" s="33">
        <f>IF(AND($B54&gt;=InputTrianglesACPC!$D$8,$CT54&gt;=V$41),1,0)</f>
        <v>0</v>
      </c>
      <c r="W54" s="33">
        <f>IF(AND($B54&gt;=InputTrianglesACPC!$D$8,$CT54&gt;=W$41),1,0)</f>
        <v>0</v>
      </c>
      <c r="X54" s="33">
        <f>IF(AND($B54&gt;=InputTrianglesACPC!$D$8,$CT54&gt;=X$41),1,0)</f>
        <v>0</v>
      </c>
      <c r="Y54" s="33">
        <f>IF(AND($B54&gt;=InputTrianglesACPC!$D$8,$CT54&gt;=Y$41),1,0)</f>
        <v>0</v>
      </c>
      <c r="Z54" s="33">
        <f>IF(AND($B54&gt;=InputTrianglesACPC!$D$8,$CT54&gt;=Z$41),1,0)</f>
        <v>0</v>
      </c>
      <c r="AA54" s="33">
        <f>IF(AND($B54&gt;=InputTrianglesACPC!$D$8,$CT54&gt;=AA$41),1,0)</f>
        <v>0</v>
      </c>
      <c r="AB54" s="33">
        <f>IF(AND($B54&gt;=InputTrianglesACPC!$D$8,$CT54&gt;=AB$41),1,0)</f>
        <v>0</v>
      </c>
      <c r="AC54" s="33">
        <f>IF(AND($B54&gt;=InputTrianglesACPC!$D$8,$CT54&gt;=AC$41),1,0)</f>
        <v>0</v>
      </c>
      <c r="AD54" s="33">
        <f>IF(AND($B54&gt;=InputTrianglesACPC!$D$8,$CT54&gt;=AD$41),1,0)</f>
        <v>0</v>
      </c>
      <c r="AE54" s="33">
        <f>IF(AND($B54&gt;=InputTrianglesACPC!$D$8,$CT54&gt;=AE$41),1,0)</f>
        <v>0</v>
      </c>
      <c r="AF54" s="33">
        <f>IF(AND($B54&gt;=InputTrianglesACPC!$D$8,$CT54&gt;=AF$41),1,0)</f>
        <v>0</v>
      </c>
      <c r="AG54" s="33">
        <f>IF(AND($B54&gt;=InputTrianglesACPC!$D$8,$CT54&gt;=AG$41),1,0)</f>
        <v>0</v>
      </c>
      <c r="AH54" s="33">
        <f>IF(AND($B54&gt;=InputTrianglesACPC!$D$8,$CT54&gt;=AH$41),1,0)</f>
        <v>0</v>
      </c>
      <c r="AI54" s="33">
        <f>IF(AND($B54&gt;=InputTrianglesACPC!$D$8,$CT54&gt;=AI$41),1,0)</f>
        <v>0</v>
      </c>
      <c r="AJ54" s="33">
        <f>IF(AND($B54&gt;=InputTrianglesACPC!$D$8,$CT54&gt;=AJ$41),1,0)</f>
        <v>0</v>
      </c>
      <c r="AK54" s="33">
        <f>IF(AND($B54&gt;=InputTrianglesACPC!$D$8,$CT54&gt;=AK$41),1,0)</f>
        <v>0</v>
      </c>
      <c r="AL54" s="33">
        <f>IF(AND($B54&gt;=InputTrianglesACPC!$D$8,$CT54&gt;=AL$41),1,0)</f>
        <v>0</v>
      </c>
      <c r="AM54" s="33">
        <f>IF(AND($B54&gt;=InputTrianglesACPC!$D$8,$CT54&gt;=AM$41),1,0)</f>
        <v>0</v>
      </c>
      <c r="AN54" s="33">
        <f>IF(AND($B54&gt;=InputTrianglesACPC!$D$8,$CT54&gt;=AN$41),1,0)</f>
        <v>0</v>
      </c>
      <c r="AO54" s="33">
        <f>IF(AND($B54&gt;=InputTrianglesACPC!$D$8,$CT54&gt;=AO$41),1,0)</f>
        <v>0</v>
      </c>
      <c r="AP54" s="33">
        <f>IF(AND($B54&gt;=InputTrianglesACPC!$D$8,$CT54&gt;=AP$41),1,0)</f>
        <v>0</v>
      </c>
      <c r="AQ54" s="33">
        <f>IF(AND($B54&gt;=InputTrianglesACPC!$D$8,$CT54&gt;=AQ$41),1,0)</f>
        <v>0</v>
      </c>
      <c r="AR54" s="33">
        <f>IF(AND($B54&gt;=InputTrianglesACPC!$D$8,$CT54&gt;=AR$41),1,0)</f>
        <v>0</v>
      </c>
      <c r="AS54" s="33">
        <f>IF(AND($B54&gt;=InputTrianglesACPC!$D$8,$CT54&gt;=AS$41),1,0)</f>
        <v>0</v>
      </c>
      <c r="AT54" s="33">
        <f>IF(AND($B54&gt;=InputTrianglesACPC!$D$8,$CT54&gt;=AT$41),1,0)</f>
        <v>0</v>
      </c>
      <c r="AU54" s="33">
        <f>IF(AND($B54&gt;=InputTrianglesACPC!$D$8,$CT54&gt;=AU$41),1,0)</f>
        <v>0</v>
      </c>
      <c r="AV54" s="33">
        <f>IF(AND($B54&gt;=InputTrianglesACPC!$D$8,$CT54&gt;=AV$41),1,0)</f>
        <v>0</v>
      </c>
      <c r="AW54" s="33">
        <f>IF(AND($B54&gt;=InputTrianglesACPC!$D$8,$CT54&gt;=AW$41),1,0)</f>
        <v>0</v>
      </c>
      <c r="AX54" s="33">
        <f>IF(AND($B54&gt;=InputTrianglesACPC!$D$8,$CT54&gt;=AX$41),1,0)</f>
        <v>0</v>
      </c>
      <c r="AY54" s="33">
        <f>IF(AND($B54&gt;=InputTrianglesACPC!$D$8,$CT54&gt;=AY$41),1,0)</f>
        <v>0</v>
      </c>
      <c r="AZ54" s="33">
        <f>IF(AND($B54&gt;=InputTrianglesACPC!$D$8,$CT54&gt;=AZ$41),1,0)</f>
        <v>0</v>
      </c>
      <c r="BA54" s="33">
        <f>IF(AND($B54&gt;=InputTrianglesACPC!$D$8,$CT54&gt;=BA$41),1,0)</f>
        <v>0</v>
      </c>
      <c r="BB54" s="33">
        <f>IF(AND($B54&gt;=InputTrianglesACPC!$D$8,$CT54&gt;=BB$41),1,0)</f>
        <v>0</v>
      </c>
      <c r="BC54" s="33">
        <f>IF(AND($B54&gt;=InputTrianglesACPC!$D$8,$CT54&gt;=BC$41),1,0)</f>
        <v>0</v>
      </c>
      <c r="BD54" s="33">
        <f>IF(AND($B54&gt;=InputTrianglesACPC!$D$8,$CT54&gt;=BD$41),1,0)</f>
        <v>0</v>
      </c>
      <c r="BE54" s="33">
        <f>IF(AND($B54&gt;=InputTrianglesACPC!$D$8,$CT54&gt;=BE$41),1,0)</f>
        <v>0</v>
      </c>
      <c r="BF54" s="33">
        <f>IF(AND($B54&gt;=InputTrianglesACPC!$D$8,$CT54&gt;=BF$41),1,0)</f>
        <v>0</v>
      </c>
      <c r="BG54" s="33">
        <f>IF(AND($B54&gt;=InputTrianglesACPC!$D$8,$CT54&gt;=BG$41),1,0)</f>
        <v>0</v>
      </c>
      <c r="BH54" s="33">
        <f>IF(AND($B54&gt;=InputTrianglesACPC!$D$8,$CT54&gt;=BH$41),1,0)</f>
        <v>0</v>
      </c>
      <c r="BI54" s="33">
        <f>IF(AND($B54&gt;=InputTrianglesACPC!$D$8,$CT54&gt;=BI$41),1,0)</f>
        <v>0</v>
      </c>
      <c r="BJ54" s="33">
        <f>IF(AND($B54&gt;=InputTrianglesACPC!$D$8,$CT54&gt;=BJ$41),1,0)</f>
        <v>0</v>
      </c>
      <c r="BK54" s="33">
        <f>IF(AND($B54&gt;=InputTrianglesACPC!$D$8,$CT54&gt;=BK$41),1,0)</f>
        <v>0</v>
      </c>
      <c r="BL54" s="33">
        <f>IF(AND($B54&gt;=InputTrianglesACPC!$D$8,$CT54&gt;=BL$41),1,0)</f>
        <v>0</v>
      </c>
      <c r="BM54" s="33">
        <f>IF(AND($B54&gt;=InputTrianglesACPC!$D$8,$CT54&gt;=BM$41),1,0)</f>
        <v>0</v>
      </c>
      <c r="BN54" s="33">
        <f>IF(AND($B54&gt;=InputTrianglesACPC!$D$8,$CT54&gt;=BN$41),1,0)</f>
        <v>0</v>
      </c>
      <c r="BO54" s="33">
        <f>IF(AND($B54&gt;=InputTrianglesACPC!$D$8,$CT54&gt;=BO$41),1,0)</f>
        <v>0</v>
      </c>
      <c r="BP54" s="33">
        <f>IF(AND($B54&gt;=InputTrianglesACPC!$D$8,$CT54&gt;=BP$41),1,0)</f>
        <v>0</v>
      </c>
      <c r="BQ54" s="33">
        <f>IF(AND($B54&gt;=InputTrianglesACPC!$D$8,$CT54&gt;=BQ$41),1,0)</f>
        <v>0</v>
      </c>
      <c r="BR54" s="33">
        <f>IF(AND($B54&gt;=InputTrianglesACPC!$D$8,$CT54&gt;=BR$41),1,0)</f>
        <v>0</v>
      </c>
      <c r="BS54" s="33">
        <f>IF(AND($B54&gt;=InputTrianglesACPC!$D$8,$CT54&gt;=BS$41),1,0)</f>
        <v>0</v>
      </c>
      <c r="BT54" s="33">
        <f>IF(AND($B54&gt;=InputTrianglesACPC!$D$8,$CT54&gt;=BT$41),1,0)</f>
        <v>0</v>
      </c>
      <c r="BU54" s="33">
        <f>IF(AND($B54&gt;=InputTrianglesACPC!$D$8,$CT54&gt;=BU$41),1,0)</f>
        <v>0</v>
      </c>
      <c r="BV54" s="33">
        <f>IF(AND($B54&gt;=InputTrianglesACPC!$D$8,$CT54&gt;=BV$41),1,0)</f>
        <v>0</v>
      </c>
      <c r="BW54" s="33">
        <f>IF(AND($B54&gt;=InputTrianglesACPC!$D$8,$CT54&gt;=BW$41),1,0)</f>
        <v>0</v>
      </c>
      <c r="BX54" s="33">
        <f>IF(AND($B54&gt;=InputTrianglesACPC!$D$8,$CT54&gt;=BX$41),1,0)</f>
        <v>0</v>
      </c>
      <c r="BY54" s="33">
        <f>IF(AND($B54&gt;=InputTrianglesACPC!$D$8,$CT54&gt;=BY$41),1,0)</f>
        <v>0</v>
      </c>
      <c r="BZ54" s="33">
        <f>IF(AND($B54&gt;=InputTrianglesACPC!$D$8,$CT54&gt;=BZ$41),1,0)</f>
        <v>0</v>
      </c>
      <c r="CA54" s="33">
        <f>IF(AND($B54&gt;=InputTrianglesACPC!$D$8,$CT54&gt;=CA$41),1,0)</f>
        <v>0</v>
      </c>
      <c r="CB54" s="33">
        <f>IF(AND($B54&gt;=InputTrianglesACPC!$D$8,$CT54&gt;=CB$41),1,0)</f>
        <v>0</v>
      </c>
      <c r="CC54" s="33">
        <f>IF(AND($B54&gt;=InputTrianglesACPC!$D$8,$CT54&gt;=CC$41),1,0)</f>
        <v>0</v>
      </c>
      <c r="CD54" s="33">
        <f>IF(AND($B54&gt;=InputTrianglesACPC!$D$8,$CT54&gt;=CD$41),1,0)</f>
        <v>0</v>
      </c>
      <c r="CE54" s="33">
        <f>IF(AND($B54&gt;=InputTrianglesACPC!$D$8,$CT54&gt;=CE$41),1,0)</f>
        <v>0</v>
      </c>
      <c r="CF54" s="33">
        <f>IF(AND($B54&gt;=InputTrianglesACPC!$D$8,$CT54&gt;=CF$41),1,0)</f>
        <v>0</v>
      </c>
      <c r="CG54" s="33">
        <f>IF(AND($B54&gt;=InputTrianglesACPC!$D$8,$CT54&gt;=CG$41),1,0)</f>
        <v>0</v>
      </c>
      <c r="CH54" s="33">
        <f>IF(AND($B54&gt;=InputTrianglesACPC!$D$8,$CT54&gt;=CH$41),1,0)</f>
        <v>0</v>
      </c>
      <c r="CI54" s="33">
        <f>IF(AND($B54&gt;=InputTrianglesACPC!$D$8,$CT54&gt;=CI$41),1,0)</f>
        <v>0</v>
      </c>
      <c r="CJ54" s="33">
        <f>IF(AND($B54&gt;=InputTrianglesACPC!$D$8,$CT54&gt;=CJ$41),1,0)</f>
        <v>0</v>
      </c>
      <c r="CK54" s="33">
        <f>IF(AND($B54&gt;=InputTrianglesACPC!$D$8,$CT54&gt;=CK$41),1,0)</f>
        <v>0</v>
      </c>
      <c r="CL54" s="33">
        <f>IF(AND($B54&gt;=InputTrianglesACPC!$D$8,$CT54&gt;=CL$41),1,0)</f>
        <v>0</v>
      </c>
      <c r="CM54" s="33">
        <f>IF(AND($B54&gt;=InputTrianglesACPC!$D$8,$CT54&gt;=CM$41),1,0)</f>
        <v>0</v>
      </c>
      <c r="CN54" s="33">
        <f>IF(AND($B54&gt;=InputTrianglesACPC!$D$8,$CT54&gt;=CN$41),1,0)</f>
        <v>0</v>
      </c>
      <c r="CO54" s="33">
        <f>IF(AND($B54&gt;=InputTrianglesACPC!$D$8,$CT54&gt;=CO$41),1,0)</f>
        <v>0</v>
      </c>
      <c r="CP54" s="33">
        <f>IF(AND($B54&gt;=InputTrianglesACPC!$D$8,$CT54&gt;=CP$41),1,0)</f>
        <v>0</v>
      </c>
      <c r="CQ54" s="33">
        <f>IF(AND($B54&gt;=InputTrianglesACPC!$D$8,$CT54&gt;=CQ$41),1,0)</f>
        <v>0</v>
      </c>
      <c r="CR54" s="33">
        <f>IF(AND($B54&gt;=InputTrianglesACPC!$D$8,$CT54&gt;=CR$41),1,0)</f>
        <v>0</v>
      </c>
      <c r="CS54" s="32">
        <f>IF(AND($B54&gt;=InputTrianglesACPC!$D$8,$CT54&gt;=CS$41),1,0)</f>
        <v>0</v>
      </c>
      <c r="CT54" s="31">
        <f>($D$9-InputTrianglesACPC!$B54)*InputTrianglesACPC!$E$4+$D$6</f>
        <v>12</v>
      </c>
    </row>
    <row r="55" spans="1:98" hidden="1" x14ac:dyDescent="0.25">
      <c r="A55" s="97">
        <v>0</v>
      </c>
      <c r="B55" s="29">
        <f t="shared" si="7"/>
        <v>2009</v>
      </c>
      <c r="C55" s="30">
        <f>IF(AND($B55&gt;=InputTrianglesACPC!$D$8,$CT55&gt;=C$41),1,0)</f>
        <v>0</v>
      </c>
      <c r="D55" s="33">
        <f>IF(AND($B55&gt;=InputTrianglesACPC!$D$8,$CT55&gt;=D$41),1,0)</f>
        <v>0</v>
      </c>
      <c r="E55" s="33">
        <f>IF(AND($B55&gt;=InputTrianglesACPC!$D$8,$CT55&gt;=E$41),1,0)</f>
        <v>0</v>
      </c>
      <c r="F55" s="33">
        <f>IF(AND($B55&gt;=InputTrianglesACPC!$D$8,$CT55&gt;=F$41),1,0)</f>
        <v>0</v>
      </c>
      <c r="G55" s="33">
        <f>IF(AND($B55&gt;=InputTrianglesACPC!$D$8,$CT55&gt;=G$41),1,0)</f>
        <v>0</v>
      </c>
      <c r="H55" s="33">
        <f>IF(AND($B55&gt;=InputTrianglesACPC!$D$8,$CT55&gt;=H$41),1,0)</f>
        <v>0</v>
      </c>
      <c r="I55" s="33">
        <f>IF(AND($B55&gt;=InputTrianglesACPC!$D$8,$CT55&gt;=I$41),1,0)</f>
        <v>0</v>
      </c>
      <c r="J55" s="33">
        <f>IF(AND($B55&gt;=InputTrianglesACPC!$D$8,$CT55&gt;=J$41),1,0)</f>
        <v>0</v>
      </c>
      <c r="K55" s="33">
        <f>IF(AND($B55&gt;=InputTrianglesACPC!$D$8,$CT55&gt;=K$41),1,0)</f>
        <v>0</v>
      </c>
      <c r="L55" s="33">
        <f>IF(AND($B55&gt;=InputTrianglesACPC!$D$8,$CT55&gt;=L$41),1,0)</f>
        <v>0</v>
      </c>
      <c r="M55" s="33">
        <f>IF(AND($B55&gt;=InputTrianglesACPC!$D$8,$CT55&gt;=M$41),1,0)</f>
        <v>0</v>
      </c>
      <c r="N55" s="33">
        <f>IF(AND($B55&gt;=InputTrianglesACPC!$D$8,$CT55&gt;=N$41),1,0)</f>
        <v>0</v>
      </c>
      <c r="O55" s="33">
        <f>IF(AND($B55&gt;=InputTrianglesACPC!$D$8,$CT55&gt;=O$41),1,0)</f>
        <v>0</v>
      </c>
      <c r="P55" s="33">
        <f>IF(AND($B55&gt;=InputTrianglesACPC!$D$8,$CT55&gt;=P$41),1,0)</f>
        <v>0</v>
      </c>
      <c r="Q55" s="33">
        <f>IF(AND($B55&gt;=InputTrianglesACPC!$D$8,$CT55&gt;=Q$41),1,0)</f>
        <v>0</v>
      </c>
      <c r="R55" s="33">
        <f>IF(AND($B55&gt;=InputTrianglesACPC!$D$8,$CT55&gt;=R$41),1,0)</f>
        <v>0</v>
      </c>
      <c r="S55" s="33">
        <f>IF(AND($B55&gt;=InputTrianglesACPC!$D$8,$CT55&gt;=S$41),1,0)</f>
        <v>0</v>
      </c>
      <c r="T55" s="33">
        <f>IF(AND($B55&gt;=InputTrianglesACPC!$D$8,$CT55&gt;=T$41),1,0)</f>
        <v>0</v>
      </c>
      <c r="U55" s="33">
        <f>IF(AND($B55&gt;=InputTrianglesACPC!$D$8,$CT55&gt;=U$41),1,0)</f>
        <v>0</v>
      </c>
      <c r="V55" s="33">
        <f>IF(AND($B55&gt;=InputTrianglesACPC!$D$8,$CT55&gt;=V$41),1,0)</f>
        <v>0</v>
      </c>
      <c r="W55" s="33">
        <f>IF(AND($B55&gt;=InputTrianglesACPC!$D$8,$CT55&gt;=W$41),1,0)</f>
        <v>0</v>
      </c>
      <c r="X55" s="33">
        <f>IF(AND($B55&gt;=InputTrianglesACPC!$D$8,$CT55&gt;=X$41),1,0)</f>
        <v>0</v>
      </c>
      <c r="Y55" s="33">
        <f>IF(AND($B55&gt;=InputTrianglesACPC!$D$8,$CT55&gt;=Y$41),1,0)</f>
        <v>0</v>
      </c>
      <c r="Z55" s="33">
        <f>IF(AND($B55&gt;=InputTrianglesACPC!$D$8,$CT55&gt;=Z$41),1,0)</f>
        <v>0</v>
      </c>
      <c r="AA55" s="33">
        <f>IF(AND($B55&gt;=InputTrianglesACPC!$D$8,$CT55&gt;=AA$41),1,0)</f>
        <v>0</v>
      </c>
      <c r="AB55" s="33">
        <f>IF(AND($B55&gt;=InputTrianglesACPC!$D$8,$CT55&gt;=AB$41),1,0)</f>
        <v>0</v>
      </c>
      <c r="AC55" s="33">
        <f>IF(AND($B55&gt;=InputTrianglesACPC!$D$8,$CT55&gt;=AC$41),1,0)</f>
        <v>0</v>
      </c>
      <c r="AD55" s="33">
        <f>IF(AND($B55&gt;=InputTrianglesACPC!$D$8,$CT55&gt;=AD$41),1,0)</f>
        <v>0</v>
      </c>
      <c r="AE55" s="33">
        <f>IF(AND($B55&gt;=InputTrianglesACPC!$D$8,$CT55&gt;=AE$41),1,0)</f>
        <v>0</v>
      </c>
      <c r="AF55" s="33">
        <f>IF(AND($B55&gt;=InputTrianglesACPC!$D$8,$CT55&gt;=AF$41),1,0)</f>
        <v>0</v>
      </c>
      <c r="AG55" s="33">
        <f>IF(AND($B55&gt;=InputTrianglesACPC!$D$8,$CT55&gt;=AG$41),1,0)</f>
        <v>0</v>
      </c>
      <c r="AH55" s="33">
        <f>IF(AND($B55&gt;=InputTrianglesACPC!$D$8,$CT55&gt;=AH$41),1,0)</f>
        <v>0</v>
      </c>
      <c r="AI55" s="33">
        <f>IF(AND($B55&gt;=InputTrianglesACPC!$D$8,$CT55&gt;=AI$41),1,0)</f>
        <v>0</v>
      </c>
      <c r="AJ55" s="33">
        <f>IF(AND($B55&gt;=InputTrianglesACPC!$D$8,$CT55&gt;=AJ$41),1,0)</f>
        <v>0</v>
      </c>
      <c r="AK55" s="33">
        <f>IF(AND($B55&gt;=InputTrianglesACPC!$D$8,$CT55&gt;=AK$41),1,0)</f>
        <v>0</v>
      </c>
      <c r="AL55" s="33">
        <f>IF(AND($B55&gt;=InputTrianglesACPC!$D$8,$CT55&gt;=AL$41),1,0)</f>
        <v>0</v>
      </c>
      <c r="AM55" s="33">
        <f>IF(AND($B55&gt;=InputTrianglesACPC!$D$8,$CT55&gt;=AM$41),1,0)</f>
        <v>0</v>
      </c>
      <c r="AN55" s="33">
        <f>IF(AND($B55&gt;=InputTrianglesACPC!$D$8,$CT55&gt;=AN$41),1,0)</f>
        <v>0</v>
      </c>
      <c r="AO55" s="33">
        <f>IF(AND($B55&gt;=InputTrianglesACPC!$D$8,$CT55&gt;=AO$41),1,0)</f>
        <v>0</v>
      </c>
      <c r="AP55" s="33">
        <f>IF(AND($B55&gt;=InputTrianglesACPC!$D$8,$CT55&gt;=AP$41),1,0)</f>
        <v>0</v>
      </c>
      <c r="AQ55" s="33">
        <f>IF(AND($B55&gt;=InputTrianglesACPC!$D$8,$CT55&gt;=AQ$41),1,0)</f>
        <v>0</v>
      </c>
      <c r="AR55" s="33">
        <f>IF(AND($B55&gt;=InputTrianglesACPC!$D$8,$CT55&gt;=AR$41),1,0)</f>
        <v>0</v>
      </c>
      <c r="AS55" s="33">
        <f>IF(AND($B55&gt;=InputTrianglesACPC!$D$8,$CT55&gt;=AS$41),1,0)</f>
        <v>0</v>
      </c>
      <c r="AT55" s="33">
        <f>IF(AND($B55&gt;=InputTrianglesACPC!$D$8,$CT55&gt;=AT$41),1,0)</f>
        <v>0</v>
      </c>
      <c r="AU55" s="33">
        <f>IF(AND($B55&gt;=InputTrianglesACPC!$D$8,$CT55&gt;=AU$41),1,0)</f>
        <v>0</v>
      </c>
      <c r="AV55" s="33">
        <f>IF(AND($B55&gt;=InputTrianglesACPC!$D$8,$CT55&gt;=AV$41),1,0)</f>
        <v>0</v>
      </c>
      <c r="AW55" s="33">
        <f>IF(AND($B55&gt;=InputTrianglesACPC!$D$8,$CT55&gt;=AW$41),1,0)</f>
        <v>0</v>
      </c>
      <c r="AX55" s="33">
        <f>IF(AND($B55&gt;=InputTrianglesACPC!$D$8,$CT55&gt;=AX$41),1,0)</f>
        <v>0</v>
      </c>
      <c r="AY55" s="33">
        <f>IF(AND($B55&gt;=InputTrianglesACPC!$D$8,$CT55&gt;=AY$41),1,0)</f>
        <v>0</v>
      </c>
      <c r="AZ55" s="33">
        <f>IF(AND($B55&gt;=InputTrianglesACPC!$D$8,$CT55&gt;=AZ$41),1,0)</f>
        <v>0</v>
      </c>
      <c r="BA55" s="33">
        <f>IF(AND($B55&gt;=InputTrianglesACPC!$D$8,$CT55&gt;=BA$41),1,0)</f>
        <v>0</v>
      </c>
      <c r="BB55" s="33">
        <f>IF(AND($B55&gt;=InputTrianglesACPC!$D$8,$CT55&gt;=BB$41),1,0)</f>
        <v>0</v>
      </c>
      <c r="BC55" s="33">
        <f>IF(AND($B55&gt;=InputTrianglesACPC!$D$8,$CT55&gt;=BC$41),1,0)</f>
        <v>0</v>
      </c>
      <c r="BD55" s="33">
        <f>IF(AND($B55&gt;=InputTrianglesACPC!$D$8,$CT55&gt;=BD$41),1,0)</f>
        <v>0</v>
      </c>
      <c r="BE55" s="33">
        <f>IF(AND($B55&gt;=InputTrianglesACPC!$D$8,$CT55&gt;=BE$41),1,0)</f>
        <v>0</v>
      </c>
      <c r="BF55" s="33">
        <f>IF(AND($B55&gt;=InputTrianglesACPC!$D$8,$CT55&gt;=BF$41),1,0)</f>
        <v>0</v>
      </c>
      <c r="BG55" s="33">
        <f>IF(AND($B55&gt;=InputTrianglesACPC!$D$8,$CT55&gt;=BG$41),1,0)</f>
        <v>0</v>
      </c>
      <c r="BH55" s="33">
        <f>IF(AND($B55&gt;=InputTrianglesACPC!$D$8,$CT55&gt;=BH$41),1,0)</f>
        <v>0</v>
      </c>
      <c r="BI55" s="33">
        <f>IF(AND($B55&gt;=InputTrianglesACPC!$D$8,$CT55&gt;=BI$41),1,0)</f>
        <v>0</v>
      </c>
      <c r="BJ55" s="33">
        <f>IF(AND($B55&gt;=InputTrianglesACPC!$D$8,$CT55&gt;=BJ$41),1,0)</f>
        <v>0</v>
      </c>
      <c r="BK55" s="33">
        <f>IF(AND($B55&gt;=InputTrianglesACPC!$D$8,$CT55&gt;=BK$41),1,0)</f>
        <v>0</v>
      </c>
      <c r="BL55" s="33">
        <f>IF(AND($B55&gt;=InputTrianglesACPC!$D$8,$CT55&gt;=BL$41),1,0)</f>
        <v>0</v>
      </c>
      <c r="BM55" s="33">
        <f>IF(AND($B55&gt;=InputTrianglesACPC!$D$8,$CT55&gt;=BM$41),1,0)</f>
        <v>0</v>
      </c>
      <c r="BN55" s="33">
        <f>IF(AND($B55&gt;=InputTrianglesACPC!$D$8,$CT55&gt;=BN$41),1,0)</f>
        <v>0</v>
      </c>
      <c r="BO55" s="33">
        <f>IF(AND($B55&gt;=InputTrianglesACPC!$D$8,$CT55&gt;=BO$41),1,0)</f>
        <v>0</v>
      </c>
      <c r="BP55" s="33">
        <f>IF(AND($B55&gt;=InputTrianglesACPC!$D$8,$CT55&gt;=BP$41),1,0)</f>
        <v>0</v>
      </c>
      <c r="BQ55" s="33">
        <f>IF(AND($B55&gt;=InputTrianglesACPC!$D$8,$CT55&gt;=BQ$41),1,0)</f>
        <v>0</v>
      </c>
      <c r="BR55" s="33">
        <f>IF(AND($B55&gt;=InputTrianglesACPC!$D$8,$CT55&gt;=BR$41),1,0)</f>
        <v>0</v>
      </c>
      <c r="BS55" s="33">
        <f>IF(AND($B55&gt;=InputTrianglesACPC!$D$8,$CT55&gt;=BS$41),1,0)</f>
        <v>0</v>
      </c>
      <c r="BT55" s="33">
        <f>IF(AND($B55&gt;=InputTrianglesACPC!$D$8,$CT55&gt;=BT$41),1,0)</f>
        <v>0</v>
      </c>
      <c r="BU55" s="33">
        <f>IF(AND($B55&gt;=InputTrianglesACPC!$D$8,$CT55&gt;=BU$41),1,0)</f>
        <v>0</v>
      </c>
      <c r="BV55" s="33">
        <f>IF(AND($B55&gt;=InputTrianglesACPC!$D$8,$CT55&gt;=BV$41),1,0)</f>
        <v>0</v>
      </c>
      <c r="BW55" s="33">
        <f>IF(AND($B55&gt;=InputTrianglesACPC!$D$8,$CT55&gt;=BW$41),1,0)</f>
        <v>0</v>
      </c>
      <c r="BX55" s="33">
        <f>IF(AND($B55&gt;=InputTrianglesACPC!$D$8,$CT55&gt;=BX$41),1,0)</f>
        <v>0</v>
      </c>
      <c r="BY55" s="33">
        <f>IF(AND($B55&gt;=InputTrianglesACPC!$D$8,$CT55&gt;=BY$41),1,0)</f>
        <v>0</v>
      </c>
      <c r="BZ55" s="33">
        <f>IF(AND($B55&gt;=InputTrianglesACPC!$D$8,$CT55&gt;=BZ$41),1,0)</f>
        <v>0</v>
      </c>
      <c r="CA55" s="33">
        <f>IF(AND($B55&gt;=InputTrianglesACPC!$D$8,$CT55&gt;=CA$41),1,0)</f>
        <v>0</v>
      </c>
      <c r="CB55" s="33">
        <f>IF(AND($B55&gt;=InputTrianglesACPC!$D$8,$CT55&gt;=CB$41),1,0)</f>
        <v>0</v>
      </c>
      <c r="CC55" s="33">
        <f>IF(AND($B55&gt;=InputTrianglesACPC!$D$8,$CT55&gt;=CC$41),1,0)</f>
        <v>0</v>
      </c>
      <c r="CD55" s="33">
        <f>IF(AND($B55&gt;=InputTrianglesACPC!$D$8,$CT55&gt;=CD$41),1,0)</f>
        <v>0</v>
      </c>
      <c r="CE55" s="33">
        <f>IF(AND($B55&gt;=InputTrianglesACPC!$D$8,$CT55&gt;=CE$41),1,0)</f>
        <v>0</v>
      </c>
      <c r="CF55" s="33">
        <f>IF(AND($B55&gt;=InputTrianglesACPC!$D$8,$CT55&gt;=CF$41),1,0)</f>
        <v>0</v>
      </c>
      <c r="CG55" s="33">
        <f>IF(AND($B55&gt;=InputTrianglesACPC!$D$8,$CT55&gt;=CG$41),1,0)</f>
        <v>0</v>
      </c>
      <c r="CH55" s="33">
        <f>IF(AND($B55&gt;=InputTrianglesACPC!$D$8,$CT55&gt;=CH$41),1,0)</f>
        <v>0</v>
      </c>
      <c r="CI55" s="33">
        <f>IF(AND($B55&gt;=InputTrianglesACPC!$D$8,$CT55&gt;=CI$41),1,0)</f>
        <v>0</v>
      </c>
      <c r="CJ55" s="33">
        <f>IF(AND($B55&gt;=InputTrianglesACPC!$D$8,$CT55&gt;=CJ$41),1,0)</f>
        <v>0</v>
      </c>
      <c r="CK55" s="33">
        <f>IF(AND($B55&gt;=InputTrianglesACPC!$D$8,$CT55&gt;=CK$41),1,0)</f>
        <v>0</v>
      </c>
      <c r="CL55" s="33">
        <f>IF(AND($B55&gt;=InputTrianglesACPC!$D$8,$CT55&gt;=CL$41),1,0)</f>
        <v>0</v>
      </c>
      <c r="CM55" s="33">
        <f>IF(AND($B55&gt;=InputTrianglesACPC!$D$8,$CT55&gt;=CM$41),1,0)</f>
        <v>0</v>
      </c>
      <c r="CN55" s="33">
        <f>IF(AND($B55&gt;=InputTrianglesACPC!$D$8,$CT55&gt;=CN$41),1,0)</f>
        <v>0</v>
      </c>
      <c r="CO55" s="33">
        <f>IF(AND($B55&gt;=InputTrianglesACPC!$D$8,$CT55&gt;=CO$41),1,0)</f>
        <v>0</v>
      </c>
      <c r="CP55" s="33">
        <f>IF(AND($B55&gt;=InputTrianglesACPC!$D$8,$CT55&gt;=CP$41),1,0)</f>
        <v>0</v>
      </c>
      <c r="CQ55" s="33">
        <f>IF(AND($B55&gt;=InputTrianglesACPC!$D$8,$CT55&gt;=CQ$41),1,0)</f>
        <v>0</v>
      </c>
      <c r="CR55" s="33">
        <f>IF(AND($B55&gt;=InputTrianglesACPC!$D$8,$CT55&gt;=CR$41),1,0)</f>
        <v>0</v>
      </c>
      <c r="CS55" s="32">
        <f>IF(AND($B55&gt;=InputTrianglesACPC!$D$8,$CT55&gt;=CS$41),1,0)</f>
        <v>0</v>
      </c>
      <c r="CT55" s="31">
        <f>($D$9-InputTrianglesACPC!$B55)*InputTrianglesACPC!$E$4+$D$6</f>
        <v>11</v>
      </c>
    </row>
    <row r="56" spans="1:98" hidden="1" x14ac:dyDescent="0.25">
      <c r="A56" s="97">
        <v>0</v>
      </c>
      <c r="B56" s="29">
        <f t="shared" si="7"/>
        <v>2010</v>
      </c>
      <c r="C56" s="30">
        <f>IF(AND($B56&gt;=InputTrianglesACPC!$D$8,$CT56&gt;=C$41),1,0)</f>
        <v>1</v>
      </c>
      <c r="D56" s="33">
        <f>IF(AND($B56&gt;=InputTrianglesACPC!$D$8,$CT56&gt;=D$41),1,0)</f>
        <v>1</v>
      </c>
      <c r="E56" s="33">
        <f>IF(AND($B56&gt;=InputTrianglesACPC!$D$8,$CT56&gt;=E$41),1,0)</f>
        <v>1</v>
      </c>
      <c r="F56" s="33">
        <f>IF(AND($B56&gt;=InputTrianglesACPC!$D$8,$CT56&gt;=F$41),1,0)</f>
        <v>1</v>
      </c>
      <c r="G56" s="33">
        <f>IF(AND($B56&gt;=InputTrianglesACPC!$D$8,$CT56&gt;=G$41),1,0)</f>
        <v>1</v>
      </c>
      <c r="H56" s="33">
        <f>IF(AND($B56&gt;=InputTrianglesACPC!$D$8,$CT56&gt;=H$41),1,0)</f>
        <v>1</v>
      </c>
      <c r="I56" s="33">
        <f>IF(AND($B56&gt;=InputTrianglesACPC!$D$8,$CT56&gt;=I$41),1,0)</f>
        <v>1</v>
      </c>
      <c r="J56" s="33">
        <f>IF(AND($B56&gt;=InputTrianglesACPC!$D$8,$CT56&gt;=J$41),1,0)</f>
        <v>1</v>
      </c>
      <c r="K56" s="33">
        <f>IF(AND($B56&gt;=InputTrianglesACPC!$D$8,$CT56&gt;=K$41),1,0)</f>
        <v>1</v>
      </c>
      <c r="L56" s="33">
        <f>IF(AND($B56&gt;=InputTrianglesACPC!$D$8,$CT56&gt;=L$41),1,0)</f>
        <v>1</v>
      </c>
      <c r="M56" s="33">
        <f>IF(AND($B56&gt;=InputTrianglesACPC!$D$8,$CT56&gt;=M$41),1,0)</f>
        <v>0</v>
      </c>
      <c r="N56" s="33">
        <f>IF(AND($B56&gt;=InputTrianglesACPC!$D$8,$CT56&gt;=N$41),1,0)</f>
        <v>0</v>
      </c>
      <c r="O56" s="33">
        <f>IF(AND($B56&gt;=InputTrianglesACPC!$D$8,$CT56&gt;=O$41),1,0)</f>
        <v>0</v>
      </c>
      <c r="P56" s="33">
        <f>IF(AND($B56&gt;=InputTrianglesACPC!$D$8,$CT56&gt;=P$41),1,0)</f>
        <v>0</v>
      </c>
      <c r="Q56" s="33">
        <f>IF(AND($B56&gt;=InputTrianglesACPC!$D$8,$CT56&gt;=Q$41),1,0)</f>
        <v>0</v>
      </c>
      <c r="R56" s="33">
        <f>IF(AND($B56&gt;=InputTrianglesACPC!$D$8,$CT56&gt;=R$41),1,0)</f>
        <v>0</v>
      </c>
      <c r="S56" s="33">
        <f>IF(AND($B56&gt;=InputTrianglesACPC!$D$8,$CT56&gt;=S$41),1,0)</f>
        <v>0</v>
      </c>
      <c r="T56" s="33">
        <f>IF(AND($B56&gt;=InputTrianglesACPC!$D$8,$CT56&gt;=T$41),1,0)</f>
        <v>0</v>
      </c>
      <c r="U56" s="33">
        <f>IF(AND($B56&gt;=InputTrianglesACPC!$D$8,$CT56&gt;=U$41),1,0)</f>
        <v>0</v>
      </c>
      <c r="V56" s="33">
        <f>IF(AND($B56&gt;=InputTrianglesACPC!$D$8,$CT56&gt;=V$41),1,0)</f>
        <v>0</v>
      </c>
      <c r="W56" s="33">
        <f>IF(AND($B56&gt;=InputTrianglesACPC!$D$8,$CT56&gt;=W$41),1,0)</f>
        <v>0</v>
      </c>
      <c r="X56" s="33">
        <f>IF(AND($B56&gt;=InputTrianglesACPC!$D$8,$CT56&gt;=X$41),1,0)</f>
        <v>0</v>
      </c>
      <c r="Y56" s="33">
        <f>IF(AND($B56&gt;=InputTrianglesACPC!$D$8,$CT56&gt;=Y$41),1,0)</f>
        <v>0</v>
      </c>
      <c r="Z56" s="33">
        <f>IF(AND($B56&gt;=InputTrianglesACPC!$D$8,$CT56&gt;=Z$41),1,0)</f>
        <v>0</v>
      </c>
      <c r="AA56" s="33">
        <f>IF(AND($B56&gt;=InputTrianglesACPC!$D$8,$CT56&gt;=AA$41),1,0)</f>
        <v>0</v>
      </c>
      <c r="AB56" s="33">
        <f>IF(AND($B56&gt;=InputTrianglesACPC!$D$8,$CT56&gt;=AB$41),1,0)</f>
        <v>0</v>
      </c>
      <c r="AC56" s="33">
        <f>IF(AND($B56&gt;=InputTrianglesACPC!$D$8,$CT56&gt;=AC$41),1,0)</f>
        <v>0</v>
      </c>
      <c r="AD56" s="33">
        <f>IF(AND($B56&gt;=InputTrianglesACPC!$D$8,$CT56&gt;=AD$41),1,0)</f>
        <v>0</v>
      </c>
      <c r="AE56" s="33">
        <f>IF(AND($B56&gt;=InputTrianglesACPC!$D$8,$CT56&gt;=AE$41),1,0)</f>
        <v>0</v>
      </c>
      <c r="AF56" s="33">
        <f>IF(AND($B56&gt;=InputTrianglesACPC!$D$8,$CT56&gt;=AF$41),1,0)</f>
        <v>0</v>
      </c>
      <c r="AG56" s="33">
        <f>IF(AND($B56&gt;=InputTrianglesACPC!$D$8,$CT56&gt;=AG$41),1,0)</f>
        <v>0</v>
      </c>
      <c r="AH56" s="33">
        <f>IF(AND($B56&gt;=InputTrianglesACPC!$D$8,$CT56&gt;=AH$41),1,0)</f>
        <v>0</v>
      </c>
      <c r="AI56" s="33">
        <f>IF(AND($B56&gt;=InputTrianglesACPC!$D$8,$CT56&gt;=AI$41),1,0)</f>
        <v>0</v>
      </c>
      <c r="AJ56" s="33">
        <f>IF(AND($B56&gt;=InputTrianglesACPC!$D$8,$CT56&gt;=AJ$41),1,0)</f>
        <v>0</v>
      </c>
      <c r="AK56" s="33">
        <f>IF(AND($B56&gt;=InputTrianglesACPC!$D$8,$CT56&gt;=AK$41),1,0)</f>
        <v>0</v>
      </c>
      <c r="AL56" s="33">
        <f>IF(AND($B56&gt;=InputTrianglesACPC!$D$8,$CT56&gt;=AL$41),1,0)</f>
        <v>0</v>
      </c>
      <c r="AM56" s="33">
        <f>IF(AND($B56&gt;=InputTrianglesACPC!$D$8,$CT56&gt;=AM$41),1,0)</f>
        <v>0</v>
      </c>
      <c r="AN56" s="33">
        <f>IF(AND($B56&gt;=InputTrianglesACPC!$D$8,$CT56&gt;=AN$41),1,0)</f>
        <v>0</v>
      </c>
      <c r="AO56" s="33">
        <f>IF(AND($B56&gt;=InputTrianglesACPC!$D$8,$CT56&gt;=AO$41),1,0)</f>
        <v>0</v>
      </c>
      <c r="AP56" s="33">
        <f>IF(AND($B56&gt;=InputTrianglesACPC!$D$8,$CT56&gt;=AP$41),1,0)</f>
        <v>0</v>
      </c>
      <c r="AQ56" s="33">
        <f>IF(AND($B56&gt;=InputTrianglesACPC!$D$8,$CT56&gt;=AQ$41),1,0)</f>
        <v>0</v>
      </c>
      <c r="AR56" s="33">
        <f>IF(AND($B56&gt;=InputTrianglesACPC!$D$8,$CT56&gt;=AR$41),1,0)</f>
        <v>0</v>
      </c>
      <c r="AS56" s="33">
        <f>IF(AND($B56&gt;=InputTrianglesACPC!$D$8,$CT56&gt;=AS$41),1,0)</f>
        <v>0</v>
      </c>
      <c r="AT56" s="33">
        <f>IF(AND($B56&gt;=InputTrianglesACPC!$D$8,$CT56&gt;=AT$41),1,0)</f>
        <v>0</v>
      </c>
      <c r="AU56" s="33">
        <f>IF(AND($B56&gt;=InputTrianglesACPC!$D$8,$CT56&gt;=AU$41),1,0)</f>
        <v>0</v>
      </c>
      <c r="AV56" s="33">
        <f>IF(AND($B56&gt;=InputTrianglesACPC!$D$8,$CT56&gt;=AV$41),1,0)</f>
        <v>0</v>
      </c>
      <c r="AW56" s="33">
        <f>IF(AND($B56&gt;=InputTrianglesACPC!$D$8,$CT56&gt;=AW$41),1,0)</f>
        <v>0</v>
      </c>
      <c r="AX56" s="33">
        <f>IF(AND($B56&gt;=InputTrianglesACPC!$D$8,$CT56&gt;=AX$41),1,0)</f>
        <v>0</v>
      </c>
      <c r="AY56" s="33">
        <f>IF(AND($B56&gt;=InputTrianglesACPC!$D$8,$CT56&gt;=AY$41),1,0)</f>
        <v>0</v>
      </c>
      <c r="AZ56" s="33">
        <f>IF(AND($B56&gt;=InputTrianglesACPC!$D$8,$CT56&gt;=AZ$41),1,0)</f>
        <v>0</v>
      </c>
      <c r="BA56" s="33">
        <f>IF(AND($B56&gt;=InputTrianglesACPC!$D$8,$CT56&gt;=BA$41),1,0)</f>
        <v>0</v>
      </c>
      <c r="BB56" s="33">
        <f>IF(AND($B56&gt;=InputTrianglesACPC!$D$8,$CT56&gt;=BB$41),1,0)</f>
        <v>0</v>
      </c>
      <c r="BC56" s="33">
        <f>IF(AND($B56&gt;=InputTrianglesACPC!$D$8,$CT56&gt;=BC$41),1,0)</f>
        <v>0</v>
      </c>
      <c r="BD56" s="33">
        <f>IF(AND($B56&gt;=InputTrianglesACPC!$D$8,$CT56&gt;=BD$41),1,0)</f>
        <v>0</v>
      </c>
      <c r="BE56" s="33">
        <f>IF(AND($B56&gt;=InputTrianglesACPC!$D$8,$CT56&gt;=BE$41),1,0)</f>
        <v>0</v>
      </c>
      <c r="BF56" s="33">
        <f>IF(AND($B56&gt;=InputTrianglesACPC!$D$8,$CT56&gt;=BF$41),1,0)</f>
        <v>0</v>
      </c>
      <c r="BG56" s="33">
        <f>IF(AND($B56&gt;=InputTrianglesACPC!$D$8,$CT56&gt;=BG$41),1,0)</f>
        <v>0</v>
      </c>
      <c r="BH56" s="33">
        <f>IF(AND($B56&gt;=InputTrianglesACPC!$D$8,$CT56&gt;=BH$41),1,0)</f>
        <v>0</v>
      </c>
      <c r="BI56" s="33">
        <f>IF(AND($B56&gt;=InputTrianglesACPC!$D$8,$CT56&gt;=BI$41),1,0)</f>
        <v>0</v>
      </c>
      <c r="BJ56" s="33">
        <f>IF(AND($B56&gt;=InputTrianglesACPC!$D$8,$CT56&gt;=BJ$41),1,0)</f>
        <v>0</v>
      </c>
      <c r="BK56" s="33">
        <f>IF(AND($B56&gt;=InputTrianglesACPC!$D$8,$CT56&gt;=BK$41),1,0)</f>
        <v>0</v>
      </c>
      <c r="BL56" s="33">
        <f>IF(AND($B56&gt;=InputTrianglesACPC!$D$8,$CT56&gt;=BL$41),1,0)</f>
        <v>0</v>
      </c>
      <c r="BM56" s="33">
        <f>IF(AND($B56&gt;=InputTrianglesACPC!$D$8,$CT56&gt;=BM$41),1,0)</f>
        <v>0</v>
      </c>
      <c r="BN56" s="33">
        <f>IF(AND($B56&gt;=InputTrianglesACPC!$D$8,$CT56&gt;=BN$41),1,0)</f>
        <v>0</v>
      </c>
      <c r="BO56" s="33">
        <f>IF(AND($B56&gt;=InputTrianglesACPC!$D$8,$CT56&gt;=BO$41),1,0)</f>
        <v>0</v>
      </c>
      <c r="BP56" s="33">
        <f>IF(AND($B56&gt;=InputTrianglesACPC!$D$8,$CT56&gt;=BP$41),1,0)</f>
        <v>0</v>
      </c>
      <c r="BQ56" s="33">
        <f>IF(AND($B56&gt;=InputTrianglesACPC!$D$8,$CT56&gt;=BQ$41),1,0)</f>
        <v>0</v>
      </c>
      <c r="BR56" s="33">
        <f>IF(AND($B56&gt;=InputTrianglesACPC!$D$8,$CT56&gt;=BR$41),1,0)</f>
        <v>0</v>
      </c>
      <c r="BS56" s="33">
        <f>IF(AND($B56&gt;=InputTrianglesACPC!$D$8,$CT56&gt;=BS$41),1,0)</f>
        <v>0</v>
      </c>
      <c r="BT56" s="33">
        <f>IF(AND($B56&gt;=InputTrianglesACPC!$D$8,$CT56&gt;=BT$41),1,0)</f>
        <v>0</v>
      </c>
      <c r="BU56" s="33">
        <f>IF(AND($B56&gt;=InputTrianglesACPC!$D$8,$CT56&gt;=BU$41),1,0)</f>
        <v>0</v>
      </c>
      <c r="BV56" s="33">
        <f>IF(AND($B56&gt;=InputTrianglesACPC!$D$8,$CT56&gt;=BV$41),1,0)</f>
        <v>0</v>
      </c>
      <c r="BW56" s="33">
        <f>IF(AND($B56&gt;=InputTrianglesACPC!$D$8,$CT56&gt;=BW$41),1,0)</f>
        <v>0</v>
      </c>
      <c r="BX56" s="33">
        <f>IF(AND($B56&gt;=InputTrianglesACPC!$D$8,$CT56&gt;=BX$41),1,0)</f>
        <v>0</v>
      </c>
      <c r="BY56" s="33">
        <f>IF(AND($B56&gt;=InputTrianglesACPC!$D$8,$CT56&gt;=BY$41),1,0)</f>
        <v>0</v>
      </c>
      <c r="BZ56" s="33">
        <f>IF(AND($B56&gt;=InputTrianglesACPC!$D$8,$CT56&gt;=BZ$41),1,0)</f>
        <v>0</v>
      </c>
      <c r="CA56" s="33">
        <f>IF(AND($B56&gt;=InputTrianglesACPC!$D$8,$CT56&gt;=CA$41),1,0)</f>
        <v>0</v>
      </c>
      <c r="CB56" s="33">
        <f>IF(AND($B56&gt;=InputTrianglesACPC!$D$8,$CT56&gt;=CB$41),1,0)</f>
        <v>0</v>
      </c>
      <c r="CC56" s="33">
        <f>IF(AND($B56&gt;=InputTrianglesACPC!$D$8,$CT56&gt;=CC$41),1,0)</f>
        <v>0</v>
      </c>
      <c r="CD56" s="33">
        <f>IF(AND($B56&gt;=InputTrianglesACPC!$D$8,$CT56&gt;=CD$41),1,0)</f>
        <v>0</v>
      </c>
      <c r="CE56" s="33">
        <f>IF(AND($B56&gt;=InputTrianglesACPC!$D$8,$CT56&gt;=CE$41),1,0)</f>
        <v>0</v>
      </c>
      <c r="CF56" s="33">
        <f>IF(AND($B56&gt;=InputTrianglesACPC!$D$8,$CT56&gt;=CF$41),1,0)</f>
        <v>0</v>
      </c>
      <c r="CG56" s="33">
        <f>IF(AND($B56&gt;=InputTrianglesACPC!$D$8,$CT56&gt;=CG$41),1,0)</f>
        <v>0</v>
      </c>
      <c r="CH56" s="33">
        <f>IF(AND($B56&gt;=InputTrianglesACPC!$D$8,$CT56&gt;=CH$41),1,0)</f>
        <v>0</v>
      </c>
      <c r="CI56" s="33">
        <f>IF(AND($B56&gt;=InputTrianglesACPC!$D$8,$CT56&gt;=CI$41),1,0)</f>
        <v>0</v>
      </c>
      <c r="CJ56" s="33">
        <f>IF(AND($B56&gt;=InputTrianglesACPC!$D$8,$CT56&gt;=CJ$41),1,0)</f>
        <v>0</v>
      </c>
      <c r="CK56" s="33">
        <f>IF(AND($B56&gt;=InputTrianglesACPC!$D$8,$CT56&gt;=CK$41),1,0)</f>
        <v>0</v>
      </c>
      <c r="CL56" s="33">
        <f>IF(AND($B56&gt;=InputTrianglesACPC!$D$8,$CT56&gt;=CL$41),1,0)</f>
        <v>0</v>
      </c>
      <c r="CM56" s="33">
        <f>IF(AND($B56&gt;=InputTrianglesACPC!$D$8,$CT56&gt;=CM$41),1,0)</f>
        <v>0</v>
      </c>
      <c r="CN56" s="33">
        <f>IF(AND($B56&gt;=InputTrianglesACPC!$D$8,$CT56&gt;=CN$41),1,0)</f>
        <v>0</v>
      </c>
      <c r="CO56" s="33">
        <f>IF(AND($B56&gt;=InputTrianglesACPC!$D$8,$CT56&gt;=CO$41),1,0)</f>
        <v>0</v>
      </c>
      <c r="CP56" s="33">
        <f>IF(AND($B56&gt;=InputTrianglesACPC!$D$8,$CT56&gt;=CP$41),1,0)</f>
        <v>0</v>
      </c>
      <c r="CQ56" s="33">
        <f>IF(AND($B56&gt;=InputTrianglesACPC!$D$8,$CT56&gt;=CQ$41),1,0)</f>
        <v>0</v>
      </c>
      <c r="CR56" s="33">
        <f>IF(AND($B56&gt;=InputTrianglesACPC!$D$8,$CT56&gt;=CR$41),1,0)</f>
        <v>0</v>
      </c>
      <c r="CS56" s="32">
        <f>IF(AND($B56&gt;=InputTrianglesACPC!$D$8,$CT56&gt;=CS$41),1,0)</f>
        <v>0</v>
      </c>
      <c r="CT56" s="31">
        <f>($D$9-InputTrianglesACPC!$B56)*InputTrianglesACPC!$E$4+$D$6</f>
        <v>10</v>
      </c>
    </row>
    <row r="57" spans="1:98" hidden="1" x14ac:dyDescent="0.25">
      <c r="A57" s="97">
        <v>0</v>
      </c>
      <c r="B57" s="29">
        <f t="shared" si="7"/>
        <v>2011</v>
      </c>
      <c r="C57" s="30">
        <f>IF(AND($B57&gt;=InputTrianglesACPC!$D$8,$CT57&gt;=C$41),1,0)</f>
        <v>1</v>
      </c>
      <c r="D57" s="33">
        <f>IF(AND($B57&gt;=InputTrianglesACPC!$D$8,$CT57&gt;=D$41),1,0)</f>
        <v>1</v>
      </c>
      <c r="E57" s="33">
        <f>IF(AND($B57&gt;=InputTrianglesACPC!$D$8,$CT57&gt;=E$41),1,0)</f>
        <v>1</v>
      </c>
      <c r="F57" s="33">
        <f>IF(AND($B57&gt;=InputTrianglesACPC!$D$8,$CT57&gt;=F$41),1,0)</f>
        <v>1</v>
      </c>
      <c r="G57" s="33">
        <f>IF(AND($B57&gt;=InputTrianglesACPC!$D$8,$CT57&gt;=G$41),1,0)</f>
        <v>1</v>
      </c>
      <c r="H57" s="33">
        <f>IF(AND($B57&gt;=InputTrianglesACPC!$D$8,$CT57&gt;=H$41),1,0)</f>
        <v>1</v>
      </c>
      <c r="I57" s="33">
        <f>IF(AND($B57&gt;=InputTrianglesACPC!$D$8,$CT57&gt;=I$41),1,0)</f>
        <v>1</v>
      </c>
      <c r="J57" s="33">
        <f>IF(AND($B57&gt;=InputTrianglesACPC!$D$8,$CT57&gt;=J$41),1,0)</f>
        <v>1</v>
      </c>
      <c r="K57" s="33">
        <f>IF(AND($B57&gt;=InputTrianglesACPC!$D$8,$CT57&gt;=K$41),1,0)</f>
        <v>1</v>
      </c>
      <c r="L57" s="33">
        <f>IF(AND($B57&gt;=InputTrianglesACPC!$D$8,$CT57&gt;=L$41),1,0)</f>
        <v>0</v>
      </c>
      <c r="M57" s="33">
        <f>IF(AND($B57&gt;=InputTrianglesACPC!$D$8,$CT57&gt;=M$41),1,0)</f>
        <v>0</v>
      </c>
      <c r="N57" s="33">
        <f>IF(AND($B57&gt;=InputTrianglesACPC!$D$8,$CT57&gt;=N$41),1,0)</f>
        <v>0</v>
      </c>
      <c r="O57" s="33">
        <f>IF(AND($B57&gt;=InputTrianglesACPC!$D$8,$CT57&gt;=O$41),1,0)</f>
        <v>0</v>
      </c>
      <c r="P57" s="33">
        <f>IF(AND($B57&gt;=InputTrianglesACPC!$D$8,$CT57&gt;=P$41),1,0)</f>
        <v>0</v>
      </c>
      <c r="Q57" s="33">
        <f>IF(AND($B57&gt;=InputTrianglesACPC!$D$8,$CT57&gt;=Q$41),1,0)</f>
        <v>0</v>
      </c>
      <c r="R57" s="33">
        <f>IF(AND($B57&gt;=InputTrianglesACPC!$D$8,$CT57&gt;=R$41),1,0)</f>
        <v>0</v>
      </c>
      <c r="S57" s="33">
        <f>IF(AND($B57&gt;=InputTrianglesACPC!$D$8,$CT57&gt;=S$41),1,0)</f>
        <v>0</v>
      </c>
      <c r="T57" s="33">
        <f>IF(AND($B57&gt;=InputTrianglesACPC!$D$8,$CT57&gt;=T$41),1,0)</f>
        <v>0</v>
      </c>
      <c r="U57" s="33">
        <f>IF(AND($B57&gt;=InputTrianglesACPC!$D$8,$CT57&gt;=U$41),1,0)</f>
        <v>0</v>
      </c>
      <c r="V57" s="33">
        <f>IF(AND($B57&gt;=InputTrianglesACPC!$D$8,$CT57&gt;=V$41),1,0)</f>
        <v>0</v>
      </c>
      <c r="W57" s="33">
        <f>IF(AND($B57&gt;=InputTrianglesACPC!$D$8,$CT57&gt;=W$41),1,0)</f>
        <v>0</v>
      </c>
      <c r="X57" s="33">
        <f>IF(AND($B57&gt;=InputTrianglesACPC!$D$8,$CT57&gt;=X$41),1,0)</f>
        <v>0</v>
      </c>
      <c r="Y57" s="33">
        <f>IF(AND($B57&gt;=InputTrianglesACPC!$D$8,$CT57&gt;=Y$41),1,0)</f>
        <v>0</v>
      </c>
      <c r="Z57" s="33">
        <f>IF(AND($B57&gt;=InputTrianglesACPC!$D$8,$CT57&gt;=Z$41),1,0)</f>
        <v>0</v>
      </c>
      <c r="AA57" s="33">
        <f>IF(AND($B57&gt;=InputTrianglesACPC!$D$8,$CT57&gt;=AA$41),1,0)</f>
        <v>0</v>
      </c>
      <c r="AB57" s="33">
        <f>IF(AND($B57&gt;=InputTrianglesACPC!$D$8,$CT57&gt;=AB$41),1,0)</f>
        <v>0</v>
      </c>
      <c r="AC57" s="33">
        <f>IF(AND($B57&gt;=InputTrianglesACPC!$D$8,$CT57&gt;=AC$41),1,0)</f>
        <v>0</v>
      </c>
      <c r="AD57" s="33">
        <f>IF(AND($B57&gt;=InputTrianglesACPC!$D$8,$CT57&gt;=AD$41),1,0)</f>
        <v>0</v>
      </c>
      <c r="AE57" s="33">
        <f>IF(AND($B57&gt;=InputTrianglesACPC!$D$8,$CT57&gt;=AE$41),1,0)</f>
        <v>0</v>
      </c>
      <c r="AF57" s="33">
        <f>IF(AND($B57&gt;=InputTrianglesACPC!$D$8,$CT57&gt;=AF$41),1,0)</f>
        <v>0</v>
      </c>
      <c r="AG57" s="33">
        <f>IF(AND($B57&gt;=InputTrianglesACPC!$D$8,$CT57&gt;=AG$41),1,0)</f>
        <v>0</v>
      </c>
      <c r="AH57" s="33">
        <f>IF(AND($B57&gt;=InputTrianglesACPC!$D$8,$CT57&gt;=AH$41),1,0)</f>
        <v>0</v>
      </c>
      <c r="AI57" s="33">
        <f>IF(AND($B57&gt;=InputTrianglesACPC!$D$8,$CT57&gt;=AI$41),1,0)</f>
        <v>0</v>
      </c>
      <c r="AJ57" s="33">
        <f>IF(AND($B57&gt;=InputTrianglesACPC!$D$8,$CT57&gt;=AJ$41),1,0)</f>
        <v>0</v>
      </c>
      <c r="AK57" s="33">
        <f>IF(AND($B57&gt;=InputTrianglesACPC!$D$8,$CT57&gt;=AK$41),1,0)</f>
        <v>0</v>
      </c>
      <c r="AL57" s="33">
        <f>IF(AND($B57&gt;=InputTrianglesACPC!$D$8,$CT57&gt;=AL$41),1,0)</f>
        <v>0</v>
      </c>
      <c r="AM57" s="33">
        <f>IF(AND($B57&gt;=InputTrianglesACPC!$D$8,$CT57&gt;=AM$41),1,0)</f>
        <v>0</v>
      </c>
      <c r="AN57" s="33">
        <f>IF(AND($B57&gt;=InputTrianglesACPC!$D$8,$CT57&gt;=AN$41),1,0)</f>
        <v>0</v>
      </c>
      <c r="AO57" s="33">
        <f>IF(AND($B57&gt;=InputTrianglesACPC!$D$8,$CT57&gt;=AO$41),1,0)</f>
        <v>0</v>
      </c>
      <c r="AP57" s="33">
        <f>IF(AND($B57&gt;=InputTrianglesACPC!$D$8,$CT57&gt;=AP$41),1,0)</f>
        <v>0</v>
      </c>
      <c r="AQ57" s="33">
        <f>IF(AND($B57&gt;=InputTrianglesACPC!$D$8,$CT57&gt;=AQ$41),1,0)</f>
        <v>0</v>
      </c>
      <c r="AR57" s="33">
        <f>IF(AND($B57&gt;=InputTrianglesACPC!$D$8,$CT57&gt;=AR$41),1,0)</f>
        <v>0</v>
      </c>
      <c r="AS57" s="33">
        <f>IF(AND($B57&gt;=InputTrianglesACPC!$D$8,$CT57&gt;=AS$41),1,0)</f>
        <v>0</v>
      </c>
      <c r="AT57" s="33">
        <f>IF(AND($B57&gt;=InputTrianglesACPC!$D$8,$CT57&gt;=AT$41),1,0)</f>
        <v>0</v>
      </c>
      <c r="AU57" s="33">
        <f>IF(AND($B57&gt;=InputTrianglesACPC!$D$8,$CT57&gt;=AU$41),1,0)</f>
        <v>0</v>
      </c>
      <c r="AV57" s="33">
        <f>IF(AND($B57&gt;=InputTrianglesACPC!$D$8,$CT57&gt;=AV$41),1,0)</f>
        <v>0</v>
      </c>
      <c r="AW57" s="33">
        <f>IF(AND($B57&gt;=InputTrianglesACPC!$D$8,$CT57&gt;=AW$41),1,0)</f>
        <v>0</v>
      </c>
      <c r="AX57" s="33">
        <f>IF(AND($B57&gt;=InputTrianglesACPC!$D$8,$CT57&gt;=AX$41),1,0)</f>
        <v>0</v>
      </c>
      <c r="AY57" s="33">
        <f>IF(AND($B57&gt;=InputTrianglesACPC!$D$8,$CT57&gt;=AY$41),1,0)</f>
        <v>0</v>
      </c>
      <c r="AZ57" s="33">
        <f>IF(AND($B57&gt;=InputTrianglesACPC!$D$8,$CT57&gt;=AZ$41),1,0)</f>
        <v>0</v>
      </c>
      <c r="BA57" s="33">
        <f>IF(AND($B57&gt;=InputTrianglesACPC!$D$8,$CT57&gt;=BA$41),1,0)</f>
        <v>0</v>
      </c>
      <c r="BB57" s="33">
        <f>IF(AND($B57&gt;=InputTrianglesACPC!$D$8,$CT57&gt;=BB$41),1,0)</f>
        <v>0</v>
      </c>
      <c r="BC57" s="33">
        <f>IF(AND($B57&gt;=InputTrianglesACPC!$D$8,$CT57&gt;=BC$41),1,0)</f>
        <v>0</v>
      </c>
      <c r="BD57" s="33">
        <f>IF(AND($B57&gt;=InputTrianglesACPC!$D$8,$CT57&gt;=BD$41),1,0)</f>
        <v>0</v>
      </c>
      <c r="BE57" s="33">
        <f>IF(AND($B57&gt;=InputTrianglesACPC!$D$8,$CT57&gt;=BE$41),1,0)</f>
        <v>0</v>
      </c>
      <c r="BF57" s="33">
        <f>IF(AND($B57&gt;=InputTrianglesACPC!$D$8,$CT57&gt;=BF$41),1,0)</f>
        <v>0</v>
      </c>
      <c r="BG57" s="33">
        <f>IF(AND($B57&gt;=InputTrianglesACPC!$D$8,$CT57&gt;=BG$41),1,0)</f>
        <v>0</v>
      </c>
      <c r="BH57" s="33">
        <f>IF(AND($B57&gt;=InputTrianglesACPC!$D$8,$CT57&gt;=BH$41),1,0)</f>
        <v>0</v>
      </c>
      <c r="BI57" s="33">
        <f>IF(AND($B57&gt;=InputTrianglesACPC!$D$8,$CT57&gt;=BI$41),1,0)</f>
        <v>0</v>
      </c>
      <c r="BJ57" s="33">
        <f>IF(AND($B57&gt;=InputTrianglesACPC!$D$8,$CT57&gt;=BJ$41),1,0)</f>
        <v>0</v>
      </c>
      <c r="BK57" s="33">
        <f>IF(AND($B57&gt;=InputTrianglesACPC!$D$8,$CT57&gt;=BK$41),1,0)</f>
        <v>0</v>
      </c>
      <c r="BL57" s="33">
        <f>IF(AND($B57&gt;=InputTrianglesACPC!$D$8,$CT57&gt;=BL$41),1,0)</f>
        <v>0</v>
      </c>
      <c r="BM57" s="33">
        <f>IF(AND($B57&gt;=InputTrianglesACPC!$D$8,$CT57&gt;=BM$41),1,0)</f>
        <v>0</v>
      </c>
      <c r="BN57" s="33">
        <f>IF(AND($B57&gt;=InputTrianglesACPC!$D$8,$CT57&gt;=BN$41),1,0)</f>
        <v>0</v>
      </c>
      <c r="BO57" s="33">
        <f>IF(AND($B57&gt;=InputTrianglesACPC!$D$8,$CT57&gt;=BO$41),1,0)</f>
        <v>0</v>
      </c>
      <c r="BP57" s="33">
        <f>IF(AND($B57&gt;=InputTrianglesACPC!$D$8,$CT57&gt;=BP$41),1,0)</f>
        <v>0</v>
      </c>
      <c r="BQ57" s="33">
        <f>IF(AND($B57&gt;=InputTrianglesACPC!$D$8,$CT57&gt;=BQ$41),1,0)</f>
        <v>0</v>
      </c>
      <c r="BR57" s="33">
        <f>IF(AND($B57&gt;=InputTrianglesACPC!$D$8,$CT57&gt;=BR$41),1,0)</f>
        <v>0</v>
      </c>
      <c r="BS57" s="33">
        <f>IF(AND($B57&gt;=InputTrianglesACPC!$D$8,$CT57&gt;=BS$41),1,0)</f>
        <v>0</v>
      </c>
      <c r="BT57" s="33">
        <f>IF(AND($B57&gt;=InputTrianglesACPC!$D$8,$CT57&gt;=BT$41),1,0)</f>
        <v>0</v>
      </c>
      <c r="BU57" s="33">
        <f>IF(AND($B57&gt;=InputTrianglesACPC!$D$8,$CT57&gt;=BU$41),1,0)</f>
        <v>0</v>
      </c>
      <c r="BV57" s="33">
        <f>IF(AND($B57&gt;=InputTrianglesACPC!$D$8,$CT57&gt;=BV$41),1,0)</f>
        <v>0</v>
      </c>
      <c r="BW57" s="33">
        <f>IF(AND($B57&gt;=InputTrianglesACPC!$D$8,$CT57&gt;=BW$41),1,0)</f>
        <v>0</v>
      </c>
      <c r="BX57" s="33">
        <f>IF(AND($B57&gt;=InputTrianglesACPC!$D$8,$CT57&gt;=BX$41),1,0)</f>
        <v>0</v>
      </c>
      <c r="BY57" s="33">
        <f>IF(AND($B57&gt;=InputTrianglesACPC!$D$8,$CT57&gt;=BY$41),1,0)</f>
        <v>0</v>
      </c>
      <c r="BZ57" s="33">
        <f>IF(AND($B57&gt;=InputTrianglesACPC!$D$8,$CT57&gt;=BZ$41),1,0)</f>
        <v>0</v>
      </c>
      <c r="CA57" s="33">
        <f>IF(AND($B57&gt;=InputTrianglesACPC!$D$8,$CT57&gt;=CA$41),1,0)</f>
        <v>0</v>
      </c>
      <c r="CB57" s="33">
        <f>IF(AND($B57&gt;=InputTrianglesACPC!$D$8,$CT57&gt;=CB$41),1,0)</f>
        <v>0</v>
      </c>
      <c r="CC57" s="33">
        <f>IF(AND($B57&gt;=InputTrianglesACPC!$D$8,$CT57&gt;=CC$41),1,0)</f>
        <v>0</v>
      </c>
      <c r="CD57" s="33">
        <f>IF(AND($B57&gt;=InputTrianglesACPC!$D$8,$CT57&gt;=CD$41),1,0)</f>
        <v>0</v>
      </c>
      <c r="CE57" s="33">
        <f>IF(AND($B57&gt;=InputTrianglesACPC!$D$8,$CT57&gt;=CE$41),1,0)</f>
        <v>0</v>
      </c>
      <c r="CF57" s="33">
        <f>IF(AND($B57&gt;=InputTrianglesACPC!$D$8,$CT57&gt;=CF$41),1,0)</f>
        <v>0</v>
      </c>
      <c r="CG57" s="33">
        <f>IF(AND($B57&gt;=InputTrianglesACPC!$D$8,$CT57&gt;=CG$41),1,0)</f>
        <v>0</v>
      </c>
      <c r="CH57" s="33">
        <f>IF(AND($B57&gt;=InputTrianglesACPC!$D$8,$CT57&gt;=CH$41),1,0)</f>
        <v>0</v>
      </c>
      <c r="CI57" s="33">
        <f>IF(AND($B57&gt;=InputTrianglesACPC!$D$8,$CT57&gt;=CI$41),1,0)</f>
        <v>0</v>
      </c>
      <c r="CJ57" s="33">
        <f>IF(AND($B57&gt;=InputTrianglesACPC!$D$8,$CT57&gt;=CJ$41),1,0)</f>
        <v>0</v>
      </c>
      <c r="CK57" s="33">
        <f>IF(AND($B57&gt;=InputTrianglesACPC!$D$8,$CT57&gt;=CK$41),1,0)</f>
        <v>0</v>
      </c>
      <c r="CL57" s="33">
        <f>IF(AND($B57&gt;=InputTrianglesACPC!$D$8,$CT57&gt;=CL$41),1,0)</f>
        <v>0</v>
      </c>
      <c r="CM57" s="33">
        <f>IF(AND($B57&gt;=InputTrianglesACPC!$D$8,$CT57&gt;=CM$41),1,0)</f>
        <v>0</v>
      </c>
      <c r="CN57" s="33">
        <f>IF(AND($B57&gt;=InputTrianglesACPC!$D$8,$CT57&gt;=CN$41),1,0)</f>
        <v>0</v>
      </c>
      <c r="CO57" s="33">
        <f>IF(AND($B57&gt;=InputTrianglesACPC!$D$8,$CT57&gt;=CO$41),1,0)</f>
        <v>0</v>
      </c>
      <c r="CP57" s="33">
        <f>IF(AND($B57&gt;=InputTrianglesACPC!$D$8,$CT57&gt;=CP$41),1,0)</f>
        <v>0</v>
      </c>
      <c r="CQ57" s="33">
        <f>IF(AND($B57&gt;=InputTrianglesACPC!$D$8,$CT57&gt;=CQ$41),1,0)</f>
        <v>0</v>
      </c>
      <c r="CR57" s="33">
        <f>IF(AND($B57&gt;=InputTrianglesACPC!$D$8,$CT57&gt;=CR$41),1,0)</f>
        <v>0</v>
      </c>
      <c r="CS57" s="32">
        <f>IF(AND($B57&gt;=InputTrianglesACPC!$D$8,$CT57&gt;=CS$41),1,0)</f>
        <v>0</v>
      </c>
      <c r="CT57" s="31">
        <f>($D$9-InputTrianglesACPC!$B57)*InputTrianglesACPC!$E$4+$D$6</f>
        <v>9</v>
      </c>
    </row>
    <row r="58" spans="1:98" hidden="1" x14ac:dyDescent="0.25">
      <c r="A58" s="97">
        <v>0</v>
      </c>
      <c r="B58" s="29">
        <f t="shared" si="7"/>
        <v>2012</v>
      </c>
      <c r="C58" s="30">
        <f>IF(AND($B58&gt;=InputTrianglesACPC!$D$8,$CT58&gt;=C$41),1,0)</f>
        <v>1</v>
      </c>
      <c r="D58" s="33">
        <f>IF(AND($B58&gt;=InputTrianglesACPC!$D$8,$CT58&gt;=D$41),1,0)</f>
        <v>1</v>
      </c>
      <c r="E58" s="33">
        <f>IF(AND($B58&gt;=InputTrianglesACPC!$D$8,$CT58&gt;=E$41),1,0)</f>
        <v>1</v>
      </c>
      <c r="F58" s="33">
        <f>IF(AND($B58&gt;=InputTrianglesACPC!$D$8,$CT58&gt;=F$41),1,0)</f>
        <v>1</v>
      </c>
      <c r="G58" s="33">
        <f>IF(AND($B58&gt;=InputTrianglesACPC!$D$8,$CT58&gt;=G$41),1,0)</f>
        <v>1</v>
      </c>
      <c r="H58" s="33">
        <f>IF(AND($B58&gt;=InputTrianglesACPC!$D$8,$CT58&gt;=H$41),1,0)</f>
        <v>1</v>
      </c>
      <c r="I58" s="33">
        <f>IF(AND($B58&gt;=InputTrianglesACPC!$D$8,$CT58&gt;=I$41),1,0)</f>
        <v>1</v>
      </c>
      <c r="J58" s="33">
        <f>IF(AND($B58&gt;=InputTrianglesACPC!$D$8,$CT58&gt;=J$41),1,0)</f>
        <v>1</v>
      </c>
      <c r="K58" s="33">
        <f>IF(AND($B58&gt;=InputTrianglesACPC!$D$8,$CT58&gt;=K$41),1,0)</f>
        <v>0</v>
      </c>
      <c r="L58" s="33">
        <f>IF(AND($B58&gt;=InputTrianglesACPC!$D$8,$CT58&gt;=L$41),1,0)</f>
        <v>0</v>
      </c>
      <c r="M58" s="33">
        <f>IF(AND($B58&gt;=InputTrianglesACPC!$D$8,$CT58&gt;=M$41),1,0)</f>
        <v>0</v>
      </c>
      <c r="N58" s="33">
        <f>IF(AND($B58&gt;=InputTrianglesACPC!$D$8,$CT58&gt;=N$41),1,0)</f>
        <v>0</v>
      </c>
      <c r="O58" s="33">
        <f>IF(AND($B58&gt;=InputTrianglesACPC!$D$8,$CT58&gt;=O$41),1,0)</f>
        <v>0</v>
      </c>
      <c r="P58" s="33">
        <f>IF(AND($B58&gt;=InputTrianglesACPC!$D$8,$CT58&gt;=P$41),1,0)</f>
        <v>0</v>
      </c>
      <c r="Q58" s="33">
        <f>IF(AND($B58&gt;=InputTrianglesACPC!$D$8,$CT58&gt;=Q$41),1,0)</f>
        <v>0</v>
      </c>
      <c r="R58" s="33">
        <f>IF(AND($B58&gt;=InputTrianglesACPC!$D$8,$CT58&gt;=R$41),1,0)</f>
        <v>0</v>
      </c>
      <c r="S58" s="33">
        <f>IF(AND($B58&gt;=InputTrianglesACPC!$D$8,$CT58&gt;=S$41),1,0)</f>
        <v>0</v>
      </c>
      <c r="T58" s="33">
        <f>IF(AND($B58&gt;=InputTrianglesACPC!$D$8,$CT58&gt;=T$41),1,0)</f>
        <v>0</v>
      </c>
      <c r="U58" s="33">
        <f>IF(AND($B58&gt;=InputTrianglesACPC!$D$8,$CT58&gt;=U$41),1,0)</f>
        <v>0</v>
      </c>
      <c r="V58" s="33">
        <f>IF(AND($B58&gt;=InputTrianglesACPC!$D$8,$CT58&gt;=V$41),1,0)</f>
        <v>0</v>
      </c>
      <c r="W58" s="33">
        <f>IF(AND($B58&gt;=InputTrianglesACPC!$D$8,$CT58&gt;=W$41),1,0)</f>
        <v>0</v>
      </c>
      <c r="X58" s="33">
        <f>IF(AND($B58&gt;=InputTrianglesACPC!$D$8,$CT58&gt;=X$41),1,0)</f>
        <v>0</v>
      </c>
      <c r="Y58" s="33">
        <f>IF(AND($B58&gt;=InputTrianglesACPC!$D$8,$CT58&gt;=Y$41),1,0)</f>
        <v>0</v>
      </c>
      <c r="Z58" s="33">
        <f>IF(AND($B58&gt;=InputTrianglesACPC!$D$8,$CT58&gt;=Z$41),1,0)</f>
        <v>0</v>
      </c>
      <c r="AA58" s="33">
        <f>IF(AND($B58&gt;=InputTrianglesACPC!$D$8,$CT58&gt;=AA$41),1,0)</f>
        <v>0</v>
      </c>
      <c r="AB58" s="33">
        <f>IF(AND($B58&gt;=InputTrianglesACPC!$D$8,$CT58&gt;=AB$41),1,0)</f>
        <v>0</v>
      </c>
      <c r="AC58" s="33">
        <f>IF(AND($B58&gt;=InputTrianglesACPC!$D$8,$CT58&gt;=AC$41),1,0)</f>
        <v>0</v>
      </c>
      <c r="AD58" s="33">
        <f>IF(AND($B58&gt;=InputTrianglesACPC!$D$8,$CT58&gt;=AD$41),1,0)</f>
        <v>0</v>
      </c>
      <c r="AE58" s="33">
        <f>IF(AND($B58&gt;=InputTrianglesACPC!$D$8,$CT58&gt;=AE$41),1,0)</f>
        <v>0</v>
      </c>
      <c r="AF58" s="33">
        <f>IF(AND($B58&gt;=InputTrianglesACPC!$D$8,$CT58&gt;=AF$41),1,0)</f>
        <v>0</v>
      </c>
      <c r="AG58" s="33">
        <f>IF(AND($B58&gt;=InputTrianglesACPC!$D$8,$CT58&gt;=AG$41),1,0)</f>
        <v>0</v>
      </c>
      <c r="AH58" s="33">
        <f>IF(AND($B58&gt;=InputTrianglesACPC!$D$8,$CT58&gt;=AH$41),1,0)</f>
        <v>0</v>
      </c>
      <c r="AI58" s="33">
        <f>IF(AND($B58&gt;=InputTrianglesACPC!$D$8,$CT58&gt;=AI$41),1,0)</f>
        <v>0</v>
      </c>
      <c r="AJ58" s="33">
        <f>IF(AND($B58&gt;=InputTrianglesACPC!$D$8,$CT58&gt;=AJ$41),1,0)</f>
        <v>0</v>
      </c>
      <c r="AK58" s="33">
        <f>IF(AND($B58&gt;=InputTrianglesACPC!$D$8,$CT58&gt;=AK$41),1,0)</f>
        <v>0</v>
      </c>
      <c r="AL58" s="33">
        <f>IF(AND($B58&gt;=InputTrianglesACPC!$D$8,$CT58&gt;=AL$41),1,0)</f>
        <v>0</v>
      </c>
      <c r="AM58" s="33">
        <f>IF(AND($B58&gt;=InputTrianglesACPC!$D$8,$CT58&gt;=AM$41),1,0)</f>
        <v>0</v>
      </c>
      <c r="AN58" s="33">
        <f>IF(AND($B58&gt;=InputTrianglesACPC!$D$8,$CT58&gt;=AN$41),1,0)</f>
        <v>0</v>
      </c>
      <c r="AO58" s="33">
        <f>IF(AND($B58&gt;=InputTrianglesACPC!$D$8,$CT58&gt;=AO$41),1,0)</f>
        <v>0</v>
      </c>
      <c r="AP58" s="33">
        <f>IF(AND($B58&gt;=InputTrianglesACPC!$D$8,$CT58&gt;=AP$41),1,0)</f>
        <v>0</v>
      </c>
      <c r="AQ58" s="33">
        <f>IF(AND($B58&gt;=InputTrianglesACPC!$D$8,$CT58&gt;=AQ$41),1,0)</f>
        <v>0</v>
      </c>
      <c r="AR58" s="33">
        <f>IF(AND($B58&gt;=InputTrianglesACPC!$D$8,$CT58&gt;=AR$41),1,0)</f>
        <v>0</v>
      </c>
      <c r="AS58" s="33">
        <f>IF(AND($B58&gt;=InputTrianglesACPC!$D$8,$CT58&gt;=AS$41),1,0)</f>
        <v>0</v>
      </c>
      <c r="AT58" s="33">
        <f>IF(AND($B58&gt;=InputTrianglesACPC!$D$8,$CT58&gt;=AT$41),1,0)</f>
        <v>0</v>
      </c>
      <c r="AU58" s="33">
        <f>IF(AND($B58&gt;=InputTrianglesACPC!$D$8,$CT58&gt;=AU$41),1,0)</f>
        <v>0</v>
      </c>
      <c r="AV58" s="33">
        <f>IF(AND($B58&gt;=InputTrianglesACPC!$D$8,$CT58&gt;=AV$41),1,0)</f>
        <v>0</v>
      </c>
      <c r="AW58" s="33">
        <f>IF(AND($B58&gt;=InputTrianglesACPC!$D$8,$CT58&gt;=AW$41),1,0)</f>
        <v>0</v>
      </c>
      <c r="AX58" s="33">
        <f>IF(AND($B58&gt;=InputTrianglesACPC!$D$8,$CT58&gt;=AX$41),1,0)</f>
        <v>0</v>
      </c>
      <c r="AY58" s="33">
        <f>IF(AND($B58&gt;=InputTrianglesACPC!$D$8,$CT58&gt;=AY$41),1,0)</f>
        <v>0</v>
      </c>
      <c r="AZ58" s="33">
        <f>IF(AND($B58&gt;=InputTrianglesACPC!$D$8,$CT58&gt;=AZ$41),1,0)</f>
        <v>0</v>
      </c>
      <c r="BA58" s="33">
        <f>IF(AND($B58&gt;=InputTrianglesACPC!$D$8,$CT58&gt;=BA$41),1,0)</f>
        <v>0</v>
      </c>
      <c r="BB58" s="33">
        <f>IF(AND($B58&gt;=InputTrianglesACPC!$D$8,$CT58&gt;=BB$41),1,0)</f>
        <v>0</v>
      </c>
      <c r="BC58" s="33">
        <f>IF(AND($B58&gt;=InputTrianglesACPC!$D$8,$CT58&gt;=BC$41),1,0)</f>
        <v>0</v>
      </c>
      <c r="BD58" s="33">
        <f>IF(AND($B58&gt;=InputTrianglesACPC!$D$8,$CT58&gt;=BD$41),1,0)</f>
        <v>0</v>
      </c>
      <c r="BE58" s="33">
        <f>IF(AND($B58&gt;=InputTrianglesACPC!$D$8,$CT58&gt;=BE$41),1,0)</f>
        <v>0</v>
      </c>
      <c r="BF58" s="33">
        <f>IF(AND($B58&gt;=InputTrianglesACPC!$D$8,$CT58&gt;=BF$41),1,0)</f>
        <v>0</v>
      </c>
      <c r="BG58" s="33">
        <f>IF(AND($B58&gt;=InputTrianglesACPC!$D$8,$CT58&gt;=BG$41),1,0)</f>
        <v>0</v>
      </c>
      <c r="BH58" s="33">
        <f>IF(AND($B58&gt;=InputTrianglesACPC!$D$8,$CT58&gt;=BH$41),1,0)</f>
        <v>0</v>
      </c>
      <c r="BI58" s="33">
        <f>IF(AND($B58&gt;=InputTrianglesACPC!$D$8,$CT58&gt;=BI$41),1,0)</f>
        <v>0</v>
      </c>
      <c r="BJ58" s="33">
        <f>IF(AND($B58&gt;=InputTrianglesACPC!$D$8,$CT58&gt;=BJ$41),1,0)</f>
        <v>0</v>
      </c>
      <c r="BK58" s="33">
        <f>IF(AND($B58&gt;=InputTrianglesACPC!$D$8,$CT58&gt;=BK$41),1,0)</f>
        <v>0</v>
      </c>
      <c r="BL58" s="33">
        <f>IF(AND($B58&gt;=InputTrianglesACPC!$D$8,$CT58&gt;=BL$41),1,0)</f>
        <v>0</v>
      </c>
      <c r="BM58" s="33">
        <f>IF(AND($B58&gt;=InputTrianglesACPC!$D$8,$CT58&gt;=BM$41),1,0)</f>
        <v>0</v>
      </c>
      <c r="BN58" s="33">
        <f>IF(AND($B58&gt;=InputTrianglesACPC!$D$8,$CT58&gt;=BN$41),1,0)</f>
        <v>0</v>
      </c>
      <c r="BO58" s="33">
        <f>IF(AND($B58&gt;=InputTrianglesACPC!$D$8,$CT58&gt;=BO$41),1,0)</f>
        <v>0</v>
      </c>
      <c r="BP58" s="33">
        <f>IF(AND($B58&gt;=InputTrianglesACPC!$D$8,$CT58&gt;=BP$41),1,0)</f>
        <v>0</v>
      </c>
      <c r="BQ58" s="33">
        <f>IF(AND($B58&gt;=InputTrianglesACPC!$D$8,$CT58&gt;=BQ$41),1,0)</f>
        <v>0</v>
      </c>
      <c r="BR58" s="33">
        <f>IF(AND($B58&gt;=InputTrianglesACPC!$D$8,$CT58&gt;=BR$41),1,0)</f>
        <v>0</v>
      </c>
      <c r="BS58" s="33">
        <f>IF(AND($B58&gt;=InputTrianglesACPC!$D$8,$CT58&gt;=BS$41),1,0)</f>
        <v>0</v>
      </c>
      <c r="BT58" s="33">
        <f>IF(AND($B58&gt;=InputTrianglesACPC!$D$8,$CT58&gt;=BT$41),1,0)</f>
        <v>0</v>
      </c>
      <c r="BU58" s="33">
        <f>IF(AND($B58&gt;=InputTrianglesACPC!$D$8,$CT58&gt;=BU$41),1,0)</f>
        <v>0</v>
      </c>
      <c r="BV58" s="33">
        <f>IF(AND($B58&gt;=InputTrianglesACPC!$D$8,$CT58&gt;=BV$41),1,0)</f>
        <v>0</v>
      </c>
      <c r="BW58" s="33">
        <f>IF(AND($B58&gt;=InputTrianglesACPC!$D$8,$CT58&gt;=BW$41),1,0)</f>
        <v>0</v>
      </c>
      <c r="BX58" s="33">
        <f>IF(AND($B58&gt;=InputTrianglesACPC!$D$8,$CT58&gt;=BX$41),1,0)</f>
        <v>0</v>
      </c>
      <c r="BY58" s="33">
        <f>IF(AND($B58&gt;=InputTrianglesACPC!$D$8,$CT58&gt;=BY$41),1,0)</f>
        <v>0</v>
      </c>
      <c r="BZ58" s="33">
        <f>IF(AND($B58&gt;=InputTrianglesACPC!$D$8,$CT58&gt;=BZ$41),1,0)</f>
        <v>0</v>
      </c>
      <c r="CA58" s="33">
        <f>IF(AND($B58&gt;=InputTrianglesACPC!$D$8,$CT58&gt;=CA$41),1,0)</f>
        <v>0</v>
      </c>
      <c r="CB58" s="33">
        <f>IF(AND($B58&gt;=InputTrianglesACPC!$D$8,$CT58&gt;=CB$41),1,0)</f>
        <v>0</v>
      </c>
      <c r="CC58" s="33">
        <f>IF(AND($B58&gt;=InputTrianglesACPC!$D$8,$CT58&gt;=CC$41),1,0)</f>
        <v>0</v>
      </c>
      <c r="CD58" s="33">
        <f>IF(AND($B58&gt;=InputTrianglesACPC!$D$8,$CT58&gt;=CD$41),1,0)</f>
        <v>0</v>
      </c>
      <c r="CE58" s="33">
        <f>IF(AND($B58&gt;=InputTrianglesACPC!$D$8,$CT58&gt;=CE$41),1,0)</f>
        <v>0</v>
      </c>
      <c r="CF58" s="33">
        <f>IF(AND($B58&gt;=InputTrianglesACPC!$D$8,$CT58&gt;=CF$41),1,0)</f>
        <v>0</v>
      </c>
      <c r="CG58" s="33">
        <f>IF(AND($B58&gt;=InputTrianglesACPC!$D$8,$CT58&gt;=CG$41),1,0)</f>
        <v>0</v>
      </c>
      <c r="CH58" s="33">
        <f>IF(AND($B58&gt;=InputTrianglesACPC!$D$8,$CT58&gt;=CH$41),1,0)</f>
        <v>0</v>
      </c>
      <c r="CI58" s="33">
        <f>IF(AND($B58&gt;=InputTrianglesACPC!$D$8,$CT58&gt;=CI$41),1,0)</f>
        <v>0</v>
      </c>
      <c r="CJ58" s="33">
        <f>IF(AND($B58&gt;=InputTrianglesACPC!$D$8,$CT58&gt;=CJ$41),1,0)</f>
        <v>0</v>
      </c>
      <c r="CK58" s="33">
        <f>IF(AND($B58&gt;=InputTrianglesACPC!$D$8,$CT58&gt;=CK$41),1,0)</f>
        <v>0</v>
      </c>
      <c r="CL58" s="33">
        <f>IF(AND($B58&gt;=InputTrianglesACPC!$D$8,$CT58&gt;=CL$41),1,0)</f>
        <v>0</v>
      </c>
      <c r="CM58" s="33">
        <f>IF(AND($B58&gt;=InputTrianglesACPC!$D$8,$CT58&gt;=CM$41),1,0)</f>
        <v>0</v>
      </c>
      <c r="CN58" s="33">
        <f>IF(AND($B58&gt;=InputTrianglesACPC!$D$8,$CT58&gt;=CN$41),1,0)</f>
        <v>0</v>
      </c>
      <c r="CO58" s="33">
        <f>IF(AND($B58&gt;=InputTrianglesACPC!$D$8,$CT58&gt;=CO$41),1,0)</f>
        <v>0</v>
      </c>
      <c r="CP58" s="33">
        <f>IF(AND($B58&gt;=InputTrianglesACPC!$D$8,$CT58&gt;=CP$41),1,0)</f>
        <v>0</v>
      </c>
      <c r="CQ58" s="33">
        <f>IF(AND($B58&gt;=InputTrianglesACPC!$D$8,$CT58&gt;=CQ$41),1,0)</f>
        <v>0</v>
      </c>
      <c r="CR58" s="33">
        <f>IF(AND($B58&gt;=InputTrianglesACPC!$D$8,$CT58&gt;=CR$41),1,0)</f>
        <v>0</v>
      </c>
      <c r="CS58" s="32">
        <f>IF(AND($B58&gt;=InputTrianglesACPC!$D$8,$CT58&gt;=CS$41),1,0)</f>
        <v>0</v>
      </c>
      <c r="CT58" s="31">
        <f>($D$9-InputTrianglesACPC!$B58)*InputTrianglesACPC!$E$4+$D$6</f>
        <v>8</v>
      </c>
    </row>
    <row r="59" spans="1:98" hidden="1" x14ac:dyDescent="0.25">
      <c r="A59" s="97">
        <v>0</v>
      </c>
      <c r="B59" s="29">
        <f t="shared" si="7"/>
        <v>2013</v>
      </c>
      <c r="C59" s="30">
        <f>IF(AND($B59&gt;=InputTrianglesACPC!$D$8,$CT59&gt;=C$41),1,0)</f>
        <v>1</v>
      </c>
      <c r="D59" s="33">
        <f>IF(AND($B59&gt;=InputTrianglesACPC!$D$8,$CT59&gt;=D$41),1,0)</f>
        <v>1</v>
      </c>
      <c r="E59" s="33">
        <f>IF(AND($B59&gt;=InputTrianglesACPC!$D$8,$CT59&gt;=E$41),1,0)</f>
        <v>1</v>
      </c>
      <c r="F59" s="33">
        <f>IF(AND($B59&gt;=InputTrianglesACPC!$D$8,$CT59&gt;=F$41),1,0)</f>
        <v>1</v>
      </c>
      <c r="G59" s="33">
        <f>IF(AND($B59&gt;=InputTrianglesACPC!$D$8,$CT59&gt;=G$41),1,0)</f>
        <v>1</v>
      </c>
      <c r="H59" s="33">
        <f>IF(AND($B59&gt;=InputTrianglesACPC!$D$8,$CT59&gt;=H$41),1,0)</f>
        <v>1</v>
      </c>
      <c r="I59" s="33">
        <f>IF(AND($B59&gt;=InputTrianglesACPC!$D$8,$CT59&gt;=I$41),1,0)</f>
        <v>1</v>
      </c>
      <c r="J59" s="33">
        <f>IF(AND($B59&gt;=InputTrianglesACPC!$D$8,$CT59&gt;=J$41),1,0)</f>
        <v>0</v>
      </c>
      <c r="K59" s="33">
        <f>IF(AND($B59&gt;=InputTrianglesACPC!$D$8,$CT59&gt;=K$41),1,0)</f>
        <v>0</v>
      </c>
      <c r="L59" s="33">
        <f>IF(AND($B59&gt;=InputTrianglesACPC!$D$8,$CT59&gt;=L$41),1,0)</f>
        <v>0</v>
      </c>
      <c r="M59" s="33">
        <f>IF(AND($B59&gt;=InputTrianglesACPC!$D$8,$CT59&gt;=M$41),1,0)</f>
        <v>0</v>
      </c>
      <c r="N59" s="33">
        <f>IF(AND($B59&gt;=InputTrianglesACPC!$D$8,$CT59&gt;=N$41),1,0)</f>
        <v>0</v>
      </c>
      <c r="O59" s="33">
        <f>IF(AND($B59&gt;=InputTrianglesACPC!$D$8,$CT59&gt;=O$41),1,0)</f>
        <v>0</v>
      </c>
      <c r="P59" s="33">
        <f>IF(AND($B59&gt;=InputTrianglesACPC!$D$8,$CT59&gt;=P$41),1,0)</f>
        <v>0</v>
      </c>
      <c r="Q59" s="33">
        <f>IF(AND($B59&gt;=InputTrianglesACPC!$D$8,$CT59&gt;=Q$41),1,0)</f>
        <v>0</v>
      </c>
      <c r="R59" s="33">
        <f>IF(AND($B59&gt;=InputTrianglesACPC!$D$8,$CT59&gt;=R$41),1,0)</f>
        <v>0</v>
      </c>
      <c r="S59" s="33">
        <f>IF(AND($B59&gt;=InputTrianglesACPC!$D$8,$CT59&gt;=S$41),1,0)</f>
        <v>0</v>
      </c>
      <c r="T59" s="33">
        <f>IF(AND($B59&gt;=InputTrianglesACPC!$D$8,$CT59&gt;=T$41),1,0)</f>
        <v>0</v>
      </c>
      <c r="U59" s="33">
        <f>IF(AND($B59&gt;=InputTrianglesACPC!$D$8,$CT59&gt;=U$41),1,0)</f>
        <v>0</v>
      </c>
      <c r="V59" s="33">
        <f>IF(AND($B59&gt;=InputTrianglesACPC!$D$8,$CT59&gt;=V$41),1,0)</f>
        <v>0</v>
      </c>
      <c r="W59" s="33">
        <f>IF(AND($B59&gt;=InputTrianglesACPC!$D$8,$CT59&gt;=W$41),1,0)</f>
        <v>0</v>
      </c>
      <c r="X59" s="33">
        <f>IF(AND($B59&gt;=InputTrianglesACPC!$D$8,$CT59&gt;=X$41),1,0)</f>
        <v>0</v>
      </c>
      <c r="Y59" s="33">
        <f>IF(AND($B59&gt;=InputTrianglesACPC!$D$8,$CT59&gt;=Y$41),1,0)</f>
        <v>0</v>
      </c>
      <c r="Z59" s="33">
        <f>IF(AND($B59&gt;=InputTrianglesACPC!$D$8,$CT59&gt;=Z$41),1,0)</f>
        <v>0</v>
      </c>
      <c r="AA59" s="33">
        <f>IF(AND($B59&gt;=InputTrianglesACPC!$D$8,$CT59&gt;=AA$41),1,0)</f>
        <v>0</v>
      </c>
      <c r="AB59" s="33">
        <f>IF(AND($B59&gt;=InputTrianglesACPC!$D$8,$CT59&gt;=AB$41),1,0)</f>
        <v>0</v>
      </c>
      <c r="AC59" s="33">
        <f>IF(AND($B59&gt;=InputTrianglesACPC!$D$8,$CT59&gt;=AC$41),1,0)</f>
        <v>0</v>
      </c>
      <c r="AD59" s="33">
        <f>IF(AND($B59&gt;=InputTrianglesACPC!$D$8,$CT59&gt;=AD$41),1,0)</f>
        <v>0</v>
      </c>
      <c r="AE59" s="33">
        <f>IF(AND($B59&gt;=InputTrianglesACPC!$D$8,$CT59&gt;=AE$41),1,0)</f>
        <v>0</v>
      </c>
      <c r="AF59" s="33">
        <f>IF(AND($B59&gt;=InputTrianglesACPC!$D$8,$CT59&gt;=AF$41),1,0)</f>
        <v>0</v>
      </c>
      <c r="AG59" s="33">
        <f>IF(AND($B59&gt;=InputTrianglesACPC!$D$8,$CT59&gt;=AG$41),1,0)</f>
        <v>0</v>
      </c>
      <c r="AH59" s="33">
        <f>IF(AND($B59&gt;=InputTrianglesACPC!$D$8,$CT59&gt;=AH$41),1,0)</f>
        <v>0</v>
      </c>
      <c r="AI59" s="33">
        <f>IF(AND($B59&gt;=InputTrianglesACPC!$D$8,$CT59&gt;=AI$41),1,0)</f>
        <v>0</v>
      </c>
      <c r="AJ59" s="33">
        <f>IF(AND($B59&gt;=InputTrianglesACPC!$D$8,$CT59&gt;=AJ$41),1,0)</f>
        <v>0</v>
      </c>
      <c r="AK59" s="33">
        <f>IF(AND($B59&gt;=InputTrianglesACPC!$D$8,$CT59&gt;=AK$41),1,0)</f>
        <v>0</v>
      </c>
      <c r="AL59" s="33">
        <f>IF(AND($B59&gt;=InputTrianglesACPC!$D$8,$CT59&gt;=AL$41),1,0)</f>
        <v>0</v>
      </c>
      <c r="AM59" s="33">
        <f>IF(AND($B59&gt;=InputTrianglesACPC!$D$8,$CT59&gt;=AM$41),1,0)</f>
        <v>0</v>
      </c>
      <c r="AN59" s="33">
        <f>IF(AND($B59&gt;=InputTrianglesACPC!$D$8,$CT59&gt;=AN$41),1,0)</f>
        <v>0</v>
      </c>
      <c r="AO59" s="33">
        <f>IF(AND($B59&gt;=InputTrianglesACPC!$D$8,$CT59&gt;=AO$41),1,0)</f>
        <v>0</v>
      </c>
      <c r="AP59" s="33">
        <f>IF(AND($B59&gt;=InputTrianglesACPC!$D$8,$CT59&gt;=AP$41),1,0)</f>
        <v>0</v>
      </c>
      <c r="AQ59" s="33">
        <f>IF(AND($B59&gt;=InputTrianglesACPC!$D$8,$CT59&gt;=AQ$41),1,0)</f>
        <v>0</v>
      </c>
      <c r="AR59" s="33">
        <f>IF(AND($B59&gt;=InputTrianglesACPC!$D$8,$CT59&gt;=AR$41),1,0)</f>
        <v>0</v>
      </c>
      <c r="AS59" s="33">
        <f>IF(AND($B59&gt;=InputTrianglesACPC!$D$8,$CT59&gt;=AS$41),1,0)</f>
        <v>0</v>
      </c>
      <c r="AT59" s="33">
        <f>IF(AND($B59&gt;=InputTrianglesACPC!$D$8,$CT59&gt;=AT$41),1,0)</f>
        <v>0</v>
      </c>
      <c r="AU59" s="33">
        <f>IF(AND($B59&gt;=InputTrianglesACPC!$D$8,$CT59&gt;=AU$41),1,0)</f>
        <v>0</v>
      </c>
      <c r="AV59" s="33">
        <f>IF(AND($B59&gt;=InputTrianglesACPC!$D$8,$CT59&gt;=AV$41),1,0)</f>
        <v>0</v>
      </c>
      <c r="AW59" s="33">
        <f>IF(AND($B59&gt;=InputTrianglesACPC!$D$8,$CT59&gt;=AW$41),1,0)</f>
        <v>0</v>
      </c>
      <c r="AX59" s="33">
        <f>IF(AND($B59&gt;=InputTrianglesACPC!$D$8,$CT59&gt;=AX$41),1,0)</f>
        <v>0</v>
      </c>
      <c r="AY59" s="33">
        <f>IF(AND($B59&gt;=InputTrianglesACPC!$D$8,$CT59&gt;=AY$41),1,0)</f>
        <v>0</v>
      </c>
      <c r="AZ59" s="33">
        <f>IF(AND($B59&gt;=InputTrianglesACPC!$D$8,$CT59&gt;=AZ$41),1,0)</f>
        <v>0</v>
      </c>
      <c r="BA59" s="33">
        <f>IF(AND($B59&gt;=InputTrianglesACPC!$D$8,$CT59&gt;=BA$41),1,0)</f>
        <v>0</v>
      </c>
      <c r="BB59" s="33">
        <f>IF(AND($B59&gt;=InputTrianglesACPC!$D$8,$CT59&gt;=BB$41),1,0)</f>
        <v>0</v>
      </c>
      <c r="BC59" s="33">
        <f>IF(AND($B59&gt;=InputTrianglesACPC!$D$8,$CT59&gt;=BC$41),1,0)</f>
        <v>0</v>
      </c>
      <c r="BD59" s="33">
        <f>IF(AND($B59&gt;=InputTrianglesACPC!$D$8,$CT59&gt;=BD$41),1,0)</f>
        <v>0</v>
      </c>
      <c r="BE59" s="33">
        <f>IF(AND($B59&gt;=InputTrianglesACPC!$D$8,$CT59&gt;=BE$41),1,0)</f>
        <v>0</v>
      </c>
      <c r="BF59" s="33">
        <f>IF(AND($B59&gt;=InputTrianglesACPC!$D$8,$CT59&gt;=BF$41),1,0)</f>
        <v>0</v>
      </c>
      <c r="BG59" s="33">
        <f>IF(AND($B59&gt;=InputTrianglesACPC!$D$8,$CT59&gt;=BG$41),1,0)</f>
        <v>0</v>
      </c>
      <c r="BH59" s="33">
        <f>IF(AND($B59&gt;=InputTrianglesACPC!$D$8,$CT59&gt;=BH$41),1,0)</f>
        <v>0</v>
      </c>
      <c r="BI59" s="33">
        <f>IF(AND($B59&gt;=InputTrianglesACPC!$D$8,$CT59&gt;=BI$41),1,0)</f>
        <v>0</v>
      </c>
      <c r="BJ59" s="33">
        <f>IF(AND($B59&gt;=InputTrianglesACPC!$D$8,$CT59&gt;=BJ$41),1,0)</f>
        <v>0</v>
      </c>
      <c r="BK59" s="33">
        <f>IF(AND($B59&gt;=InputTrianglesACPC!$D$8,$CT59&gt;=BK$41),1,0)</f>
        <v>0</v>
      </c>
      <c r="BL59" s="33">
        <f>IF(AND($B59&gt;=InputTrianglesACPC!$D$8,$CT59&gt;=BL$41),1,0)</f>
        <v>0</v>
      </c>
      <c r="BM59" s="33">
        <f>IF(AND($B59&gt;=InputTrianglesACPC!$D$8,$CT59&gt;=BM$41),1,0)</f>
        <v>0</v>
      </c>
      <c r="BN59" s="33">
        <f>IF(AND($B59&gt;=InputTrianglesACPC!$D$8,$CT59&gt;=BN$41),1,0)</f>
        <v>0</v>
      </c>
      <c r="BO59" s="33">
        <f>IF(AND($B59&gt;=InputTrianglesACPC!$D$8,$CT59&gt;=BO$41),1,0)</f>
        <v>0</v>
      </c>
      <c r="BP59" s="33">
        <f>IF(AND($B59&gt;=InputTrianglesACPC!$D$8,$CT59&gt;=BP$41),1,0)</f>
        <v>0</v>
      </c>
      <c r="BQ59" s="33">
        <f>IF(AND($B59&gt;=InputTrianglesACPC!$D$8,$CT59&gt;=BQ$41),1,0)</f>
        <v>0</v>
      </c>
      <c r="BR59" s="33">
        <f>IF(AND($B59&gt;=InputTrianglesACPC!$D$8,$CT59&gt;=BR$41),1,0)</f>
        <v>0</v>
      </c>
      <c r="BS59" s="33">
        <f>IF(AND($B59&gt;=InputTrianglesACPC!$D$8,$CT59&gt;=BS$41),1,0)</f>
        <v>0</v>
      </c>
      <c r="BT59" s="33">
        <f>IF(AND($B59&gt;=InputTrianglesACPC!$D$8,$CT59&gt;=BT$41),1,0)</f>
        <v>0</v>
      </c>
      <c r="BU59" s="33">
        <f>IF(AND($B59&gt;=InputTrianglesACPC!$D$8,$CT59&gt;=BU$41),1,0)</f>
        <v>0</v>
      </c>
      <c r="BV59" s="33">
        <f>IF(AND($B59&gt;=InputTrianglesACPC!$D$8,$CT59&gt;=BV$41),1,0)</f>
        <v>0</v>
      </c>
      <c r="BW59" s="33">
        <f>IF(AND($B59&gt;=InputTrianglesACPC!$D$8,$CT59&gt;=BW$41),1,0)</f>
        <v>0</v>
      </c>
      <c r="BX59" s="33">
        <f>IF(AND($B59&gt;=InputTrianglesACPC!$D$8,$CT59&gt;=BX$41),1,0)</f>
        <v>0</v>
      </c>
      <c r="BY59" s="33">
        <f>IF(AND($B59&gt;=InputTrianglesACPC!$D$8,$CT59&gt;=BY$41),1,0)</f>
        <v>0</v>
      </c>
      <c r="BZ59" s="33">
        <f>IF(AND($B59&gt;=InputTrianglesACPC!$D$8,$CT59&gt;=BZ$41),1,0)</f>
        <v>0</v>
      </c>
      <c r="CA59" s="33">
        <f>IF(AND($B59&gt;=InputTrianglesACPC!$D$8,$CT59&gt;=CA$41),1,0)</f>
        <v>0</v>
      </c>
      <c r="CB59" s="33">
        <f>IF(AND($B59&gt;=InputTrianglesACPC!$D$8,$CT59&gt;=CB$41),1,0)</f>
        <v>0</v>
      </c>
      <c r="CC59" s="33">
        <f>IF(AND($B59&gt;=InputTrianglesACPC!$D$8,$CT59&gt;=CC$41),1,0)</f>
        <v>0</v>
      </c>
      <c r="CD59" s="33">
        <f>IF(AND($B59&gt;=InputTrianglesACPC!$D$8,$CT59&gt;=CD$41),1,0)</f>
        <v>0</v>
      </c>
      <c r="CE59" s="33">
        <f>IF(AND($B59&gt;=InputTrianglesACPC!$D$8,$CT59&gt;=CE$41),1,0)</f>
        <v>0</v>
      </c>
      <c r="CF59" s="33">
        <f>IF(AND($B59&gt;=InputTrianglesACPC!$D$8,$CT59&gt;=CF$41),1,0)</f>
        <v>0</v>
      </c>
      <c r="CG59" s="33">
        <f>IF(AND($B59&gt;=InputTrianglesACPC!$D$8,$CT59&gt;=CG$41),1,0)</f>
        <v>0</v>
      </c>
      <c r="CH59" s="33">
        <f>IF(AND($B59&gt;=InputTrianglesACPC!$D$8,$CT59&gt;=CH$41),1,0)</f>
        <v>0</v>
      </c>
      <c r="CI59" s="33">
        <f>IF(AND($B59&gt;=InputTrianglesACPC!$D$8,$CT59&gt;=CI$41),1,0)</f>
        <v>0</v>
      </c>
      <c r="CJ59" s="33">
        <f>IF(AND($B59&gt;=InputTrianglesACPC!$D$8,$CT59&gt;=CJ$41),1,0)</f>
        <v>0</v>
      </c>
      <c r="CK59" s="33">
        <f>IF(AND($B59&gt;=InputTrianglesACPC!$D$8,$CT59&gt;=CK$41),1,0)</f>
        <v>0</v>
      </c>
      <c r="CL59" s="33">
        <f>IF(AND($B59&gt;=InputTrianglesACPC!$D$8,$CT59&gt;=CL$41),1,0)</f>
        <v>0</v>
      </c>
      <c r="CM59" s="33">
        <f>IF(AND($B59&gt;=InputTrianglesACPC!$D$8,$CT59&gt;=CM$41),1,0)</f>
        <v>0</v>
      </c>
      <c r="CN59" s="33">
        <f>IF(AND($B59&gt;=InputTrianglesACPC!$D$8,$CT59&gt;=CN$41),1,0)</f>
        <v>0</v>
      </c>
      <c r="CO59" s="33">
        <f>IF(AND($B59&gt;=InputTrianglesACPC!$D$8,$CT59&gt;=CO$41),1,0)</f>
        <v>0</v>
      </c>
      <c r="CP59" s="33">
        <f>IF(AND($B59&gt;=InputTrianglesACPC!$D$8,$CT59&gt;=CP$41),1,0)</f>
        <v>0</v>
      </c>
      <c r="CQ59" s="33">
        <f>IF(AND($B59&gt;=InputTrianglesACPC!$D$8,$CT59&gt;=CQ$41),1,0)</f>
        <v>0</v>
      </c>
      <c r="CR59" s="33">
        <f>IF(AND($B59&gt;=InputTrianglesACPC!$D$8,$CT59&gt;=CR$41),1,0)</f>
        <v>0</v>
      </c>
      <c r="CS59" s="32">
        <f>IF(AND($B59&gt;=InputTrianglesACPC!$D$8,$CT59&gt;=CS$41),1,0)</f>
        <v>0</v>
      </c>
      <c r="CT59" s="31">
        <f>($D$9-InputTrianglesACPC!$B59)*InputTrianglesACPC!$E$4+$D$6</f>
        <v>7</v>
      </c>
    </row>
    <row r="60" spans="1:98" hidden="1" x14ac:dyDescent="0.25">
      <c r="A60" s="97">
        <v>0</v>
      </c>
      <c r="B60" s="29">
        <f t="shared" si="7"/>
        <v>2014</v>
      </c>
      <c r="C60" s="30">
        <f>IF(AND($B60&gt;=InputTrianglesACPC!$D$8,$CT60&gt;=C$41),1,0)</f>
        <v>1</v>
      </c>
      <c r="D60" s="33">
        <f>IF(AND($B60&gt;=InputTrianglesACPC!$D$8,$CT60&gt;=D$41),1,0)</f>
        <v>1</v>
      </c>
      <c r="E60" s="33">
        <f>IF(AND($B60&gt;=InputTrianglesACPC!$D$8,$CT60&gt;=E$41),1,0)</f>
        <v>1</v>
      </c>
      <c r="F60" s="33">
        <f>IF(AND($B60&gt;=InputTrianglesACPC!$D$8,$CT60&gt;=F$41),1,0)</f>
        <v>1</v>
      </c>
      <c r="G60" s="33">
        <f>IF(AND($B60&gt;=InputTrianglesACPC!$D$8,$CT60&gt;=G$41),1,0)</f>
        <v>1</v>
      </c>
      <c r="H60" s="33">
        <f>IF(AND($B60&gt;=InputTrianglesACPC!$D$8,$CT60&gt;=H$41),1,0)</f>
        <v>1</v>
      </c>
      <c r="I60" s="33">
        <f>IF(AND($B60&gt;=InputTrianglesACPC!$D$8,$CT60&gt;=I$41),1,0)</f>
        <v>0</v>
      </c>
      <c r="J60" s="33">
        <f>IF(AND($B60&gt;=InputTrianglesACPC!$D$8,$CT60&gt;=J$41),1,0)</f>
        <v>0</v>
      </c>
      <c r="K60" s="33">
        <f>IF(AND($B60&gt;=InputTrianglesACPC!$D$8,$CT60&gt;=K$41),1,0)</f>
        <v>0</v>
      </c>
      <c r="L60" s="33">
        <f>IF(AND($B60&gt;=InputTrianglesACPC!$D$8,$CT60&gt;=L$41),1,0)</f>
        <v>0</v>
      </c>
      <c r="M60" s="33">
        <f>IF(AND($B60&gt;=InputTrianglesACPC!$D$8,$CT60&gt;=M$41),1,0)</f>
        <v>0</v>
      </c>
      <c r="N60" s="33">
        <f>IF(AND($B60&gt;=InputTrianglesACPC!$D$8,$CT60&gt;=N$41),1,0)</f>
        <v>0</v>
      </c>
      <c r="O60" s="33">
        <f>IF(AND($B60&gt;=InputTrianglesACPC!$D$8,$CT60&gt;=O$41),1,0)</f>
        <v>0</v>
      </c>
      <c r="P60" s="33">
        <f>IF(AND($B60&gt;=InputTrianglesACPC!$D$8,$CT60&gt;=P$41),1,0)</f>
        <v>0</v>
      </c>
      <c r="Q60" s="33">
        <f>IF(AND($B60&gt;=InputTrianglesACPC!$D$8,$CT60&gt;=Q$41),1,0)</f>
        <v>0</v>
      </c>
      <c r="R60" s="33">
        <f>IF(AND($B60&gt;=InputTrianglesACPC!$D$8,$CT60&gt;=R$41),1,0)</f>
        <v>0</v>
      </c>
      <c r="S60" s="33">
        <f>IF(AND($B60&gt;=InputTrianglesACPC!$D$8,$CT60&gt;=S$41),1,0)</f>
        <v>0</v>
      </c>
      <c r="T60" s="33">
        <f>IF(AND($B60&gt;=InputTrianglesACPC!$D$8,$CT60&gt;=T$41),1,0)</f>
        <v>0</v>
      </c>
      <c r="U60" s="33">
        <f>IF(AND($B60&gt;=InputTrianglesACPC!$D$8,$CT60&gt;=U$41),1,0)</f>
        <v>0</v>
      </c>
      <c r="V60" s="33">
        <f>IF(AND($B60&gt;=InputTrianglesACPC!$D$8,$CT60&gt;=V$41),1,0)</f>
        <v>0</v>
      </c>
      <c r="W60" s="33">
        <f>IF(AND($B60&gt;=InputTrianglesACPC!$D$8,$CT60&gt;=W$41),1,0)</f>
        <v>0</v>
      </c>
      <c r="X60" s="33">
        <f>IF(AND($B60&gt;=InputTrianglesACPC!$D$8,$CT60&gt;=X$41),1,0)</f>
        <v>0</v>
      </c>
      <c r="Y60" s="33">
        <f>IF(AND($B60&gt;=InputTrianglesACPC!$D$8,$CT60&gt;=Y$41),1,0)</f>
        <v>0</v>
      </c>
      <c r="Z60" s="33">
        <f>IF(AND($B60&gt;=InputTrianglesACPC!$D$8,$CT60&gt;=Z$41),1,0)</f>
        <v>0</v>
      </c>
      <c r="AA60" s="33">
        <f>IF(AND($B60&gt;=InputTrianglesACPC!$D$8,$CT60&gt;=AA$41),1,0)</f>
        <v>0</v>
      </c>
      <c r="AB60" s="33">
        <f>IF(AND($B60&gt;=InputTrianglesACPC!$D$8,$CT60&gt;=AB$41),1,0)</f>
        <v>0</v>
      </c>
      <c r="AC60" s="33">
        <f>IF(AND($B60&gt;=InputTrianglesACPC!$D$8,$CT60&gt;=AC$41),1,0)</f>
        <v>0</v>
      </c>
      <c r="AD60" s="33">
        <f>IF(AND($B60&gt;=InputTrianglesACPC!$D$8,$CT60&gt;=AD$41),1,0)</f>
        <v>0</v>
      </c>
      <c r="AE60" s="33">
        <f>IF(AND($B60&gt;=InputTrianglesACPC!$D$8,$CT60&gt;=AE$41),1,0)</f>
        <v>0</v>
      </c>
      <c r="AF60" s="33">
        <f>IF(AND($B60&gt;=InputTrianglesACPC!$D$8,$CT60&gt;=AF$41),1,0)</f>
        <v>0</v>
      </c>
      <c r="AG60" s="33">
        <f>IF(AND($B60&gt;=InputTrianglesACPC!$D$8,$CT60&gt;=AG$41),1,0)</f>
        <v>0</v>
      </c>
      <c r="AH60" s="33">
        <f>IF(AND($B60&gt;=InputTrianglesACPC!$D$8,$CT60&gt;=AH$41),1,0)</f>
        <v>0</v>
      </c>
      <c r="AI60" s="33">
        <f>IF(AND($B60&gt;=InputTrianglesACPC!$D$8,$CT60&gt;=AI$41),1,0)</f>
        <v>0</v>
      </c>
      <c r="AJ60" s="33">
        <f>IF(AND($B60&gt;=InputTrianglesACPC!$D$8,$CT60&gt;=AJ$41),1,0)</f>
        <v>0</v>
      </c>
      <c r="AK60" s="33">
        <f>IF(AND($B60&gt;=InputTrianglesACPC!$D$8,$CT60&gt;=AK$41),1,0)</f>
        <v>0</v>
      </c>
      <c r="AL60" s="33">
        <f>IF(AND($B60&gt;=InputTrianglesACPC!$D$8,$CT60&gt;=AL$41),1,0)</f>
        <v>0</v>
      </c>
      <c r="AM60" s="33">
        <f>IF(AND($B60&gt;=InputTrianglesACPC!$D$8,$CT60&gt;=AM$41),1,0)</f>
        <v>0</v>
      </c>
      <c r="AN60" s="33">
        <f>IF(AND($B60&gt;=InputTrianglesACPC!$D$8,$CT60&gt;=AN$41),1,0)</f>
        <v>0</v>
      </c>
      <c r="AO60" s="33">
        <f>IF(AND($B60&gt;=InputTrianglesACPC!$D$8,$CT60&gt;=AO$41),1,0)</f>
        <v>0</v>
      </c>
      <c r="AP60" s="33">
        <f>IF(AND($B60&gt;=InputTrianglesACPC!$D$8,$CT60&gt;=AP$41),1,0)</f>
        <v>0</v>
      </c>
      <c r="AQ60" s="33">
        <f>IF(AND($B60&gt;=InputTrianglesACPC!$D$8,$CT60&gt;=AQ$41),1,0)</f>
        <v>0</v>
      </c>
      <c r="AR60" s="33">
        <f>IF(AND($B60&gt;=InputTrianglesACPC!$D$8,$CT60&gt;=AR$41),1,0)</f>
        <v>0</v>
      </c>
      <c r="AS60" s="33">
        <f>IF(AND($B60&gt;=InputTrianglesACPC!$D$8,$CT60&gt;=AS$41),1,0)</f>
        <v>0</v>
      </c>
      <c r="AT60" s="33">
        <f>IF(AND($B60&gt;=InputTrianglesACPC!$D$8,$CT60&gt;=AT$41),1,0)</f>
        <v>0</v>
      </c>
      <c r="AU60" s="33">
        <f>IF(AND($B60&gt;=InputTrianglesACPC!$D$8,$CT60&gt;=AU$41),1,0)</f>
        <v>0</v>
      </c>
      <c r="AV60" s="33">
        <f>IF(AND($B60&gt;=InputTrianglesACPC!$D$8,$CT60&gt;=AV$41),1,0)</f>
        <v>0</v>
      </c>
      <c r="AW60" s="33">
        <f>IF(AND($B60&gt;=InputTrianglesACPC!$D$8,$CT60&gt;=AW$41),1,0)</f>
        <v>0</v>
      </c>
      <c r="AX60" s="33">
        <f>IF(AND($B60&gt;=InputTrianglesACPC!$D$8,$CT60&gt;=AX$41),1,0)</f>
        <v>0</v>
      </c>
      <c r="AY60" s="33">
        <f>IF(AND($B60&gt;=InputTrianglesACPC!$D$8,$CT60&gt;=AY$41),1,0)</f>
        <v>0</v>
      </c>
      <c r="AZ60" s="33">
        <f>IF(AND($B60&gt;=InputTrianglesACPC!$D$8,$CT60&gt;=AZ$41),1,0)</f>
        <v>0</v>
      </c>
      <c r="BA60" s="33">
        <f>IF(AND($B60&gt;=InputTrianglesACPC!$D$8,$CT60&gt;=BA$41),1,0)</f>
        <v>0</v>
      </c>
      <c r="BB60" s="33">
        <f>IF(AND($B60&gt;=InputTrianglesACPC!$D$8,$CT60&gt;=BB$41),1,0)</f>
        <v>0</v>
      </c>
      <c r="BC60" s="33">
        <f>IF(AND($B60&gt;=InputTrianglesACPC!$D$8,$CT60&gt;=BC$41),1,0)</f>
        <v>0</v>
      </c>
      <c r="BD60" s="33">
        <f>IF(AND($B60&gt;=InputTrianglesACPC!$D$8,$CT60&gt;=BD$41),1,0)</f>
        <v>0</v>
      </c>
      <c r="BE60" s="33">
        <f>IF(AND($B60&gt;=InputTrianglesACPC!$D$8,$CT60&gt;=BE$41),1,0)</f>
        <v>0</v>
      </c>
      <c r="BF60" s="33">
        <f>IF(AND($B60&gt;=InputTrianglesACPC!$D$8,$CT60&gt;=BF$41),1,0)</f>
        <v>0</v>
      </c>
      <c r="BG60" s="33">
        <f>IF(AND($B60&gt;=InputTrianglesACPC!$D$8,$CT60&gt;=BG$41),1,0)</f>
        <v>0</v>
      </c>
      <c r="BH60" s="33">
        <f>IF(AND($B60&gt;=InputTrianglesACPC!$D$8,$CT60&gt;=BH$41),1,0)</f>
        <v>0</v>
      </c>
      <c r="BI60" s="33">
        <f>IF(AND($B60&gt;=InputTrianglesACPC!$D$8,$CT60&gt;=BI$41),1,0)</f>
        <v>0</v>
      </c>
      <c r="BJ60" s="33">
        <f>IF(AND($B60&gt;=InputTrianglesACPC!$D$8,$CT60&gt;=BJ$41),1,0)</f>
        <v>0</v>
      </c>
      <c r="BK60" s="33">
        <f>IF(AND($B60&gt;=InputTrianglesACPC!$D$8,$CT60&gt;=BK$41),1,0)</f>
        <v>0</v>
      </c>
      <c r="BL60" s="33">
        <f>IF(AND($B60&gt;=InputTrianglesACPC!$D$8,$CT60&gt;=BL$41),1,0)</f>
        <v>0</v>
      </c>
      <c r="BM60" s="33">
        <f>IF(AND($B60&gt;=InputTrianglesACPC!$D$8,$CT60&gt;=BM$41),1,0)</f>
        <v>0</v>
      </c>
      <c r="BN60" s="33">
        <f>IF(AND($B60&gt;=InputTrianglesACPC!$D$8,$CT60&gt;=BN$41),1,0)</f>
        <v>0</v>
      </c>
      <c r="BO60" s="33">
        <f>IF(AND($B60&gt;=InputTrianglesACPC!$D$8,$CT60&gt;=BO$41),1,0)</f>
        <v>0</v>
      </c>
      <c r="BP60" s="33">
        <f>IF(AND($B60&gt;=InputTrianglesACPC!$D$8,$CT60&gt;=BP$41),1,0)</f>
        <v>0</v>
      </c>
      <c r="BQ60" s="33">
        <f>IF(AND($B60&gt;=InputTrianglesACPC!$D$8,$CT60&gt;=BQ$41),1,0)</f>
        <v>0</v>
      </c>
      <c r="BR60" s="33">
        <f>IF(AND($B60&gt;=InputTrianglesACPC!$D$8,$CT60&gt;=BR$41),1,0)</f>
        <v>0</v>
      </c>
      <c r="BS60" s="33">
        <f>IF(AND($B60&gt;=InputTrianglesACPC!$D$8,$CT60&gt;=BS$41),1,0)</f>
        <v>0</v>
      </c>
      <c r="BT60" s="33">
        <f>IF(AND($B60&gt;=InputTrianglesACPC!$D$8,$CT60&gt;=BT$41),1,0)</f>
        <v>0</v>
      </c>
      <c r="BU60" s="33">
        <f>IF(AND($B60&gt;=InputTrianglesACPC!$D$8,$CT60&gt;=BU$41),1,0)</f>
        <v>0</v>
      </c>
      <c r="BV60" s="33">
        <f>IF(AND($B60&gt;=InputTrianglesACPC!$D$8,$CT60&gt;=BV$41),1,0)</f>
        <v>0</v>
      </c>
      <c r="BW60" s="33">
        <f>IF(AND($B60&gt;=InputTrianglesACPC!$D$8,$CT60&gt;=BW$41),1,0)</f>
        <v>0</v>
      </c>
      <c r="BX60" s="33">
        <f>IF(AND($B60&gt;=InputTrianglesACPC!$D$8,$CT60&gt;=BX$41),1,0)</f>
        <v>0</v>
      </c>
      <c r="BY60" s="33">
        <f>IF(AND($B60&gt;=InputTrianglesACPC!$D$8,$CT60&gt;=BY$41),1,0)</f>
        <v>0</v>
      </c>
      <c r="BZ60" s="33">
        <f>IF(AND($B60&gt;=InputTrianglesACPC!$D$8,$CT60&gt;=BZ$41),1,0)</f>
        <v>0</v>
      </c>
      <c r="CA60" s="33">
        <f>IF(AND($B60&gt;=InputTrianglesACPC!$D$8,$CT60&gt;=CA$41),1,0)</f>
        <v>0</v>
      </c>
      <c r="CB60" s="33">
        <f>IF(AND($B60&gt;=InputTrianglesACPC!$D$8,$CT60&gt;=CB$41),1,0)</f>
        <v>0</v>
      </c>
      <c r="CC60" s="33">
        <f>IF(AND($B60&gt;=InputTrianglesACPC!$D$8,$CT60&gt;=CC$41),1,0)</f>
        <v>0</v>
      </c>
      <c r="CD60" s="33">
        <f>IF(AND($B60&gt;=InputTrianglesACPC!$D$8,$CT60&gt;=CD$41),1,0)</f>
        <v>0</v>
      </c>
      <c r="CE60" s="33">
        <f>IF(AND($B60&gt;=InputTrianglesACPC!$D$8,$CT60&gt;=CE$41),1,0)</f>
        <v>0</v>
      </c>
      <c r="CF60" s="33">
        <f>IF(AND($B60&gt;=InputTrianglesACPC!$D$8,$CT60&gt;=CF$41),1,0)</f>
        <v>0</v>
      </c>
      <c r="CG60" s="33">
        <f>IF(AND($B60&gt;=InputTrianglesACPC!$D$8,$CT60&gt;=CG$41),1,0)</f>
        <v>0</v>
      </c>
      <c r="CH60" s="33">
        <f>IF(AND($B60&gt;=InputTrianglesACPC!$D$8,$CT60&gt;=CH$41),1,0)</f>
        <v>0</v>
      </c>
      <c r="CI60" s="33">
        <f>IF(AND($B60&gt;=InputTrianglesACPC!$D$8,$CT60&gt;=CI$41),1,0)</f>
        <v>0</v>
      </c>
      <c r="CJ60" s="33">
        <f>IF(AND($B60&gt;=InputTrianglesACPC!$D$8,$CT60&gt;=CJ$41),1,0)</f>
        <v>0</v>
      </c>
      <c r="CK60" s="33">
        <f>IF(AND($B60&gt;=InputTrianglesACPC!$D$8,$CT60&gt;=CK$41),1,0)</f>
        <v>0</v>
      </c>
      <c r="CL60" s="33">
        <f>IF(AND($B60&gt;=InputTrianglesACPC!$D$8,$CT60&gt;=CL$41),1,0)</f>
        <v>0</v>
      </c>
      <c r="CM60" s="33">
        <f>IF(AND($B60&gt;=InputTrianglesACPC!$D$8,$CT60&gt;=CM$41),1,0)</f>
        <v>0</v>
      </c>
      <c r="CN60" s="33">
        <f>IF(AND($B60&gt;=InputTrianglesACPC!$D$8,$CT60&gt;=CN$41),1,0)</f>
        <v>0</v>
      </c>
      <c r="CO60" s="33">
        <f>IF(AND($B60&gt;=InputTrianglesACPC!$D$8,$CT60&gt;=CO$41),1,0)</f>
        <v>0</v>
      </c>
      <c r="CP60" s="33">
        <f>IF(AND($B60&gt;=InputTrianglesACPC!$D$8,$CT60&gt;=CP$41),1,0)</f>
        <v>0</v>
      </c>
      <c r="CQ60" s="33">
        <f>IF(AND($B60&gt;=InputTrianglesACPC!$D$8,$CT60&gt;=CQ$41),1,0)</f>
        <v>0</v>
      </c>
      <c r="CR60" s="33">
        <f>IF(AND($B60&gt;=InputTrianglesACPC!$D$8,$CT60&gt;=CR$41),1,0)</f>
        <v>0</v>
      </c>
      <c r="CS60" s="32">
        <f>IF(AND($B60&gt;=InputTrianglesACPC!$D$8,$CT60&gt;=CS$41),1,0)</f>
        <v>0</v>
      </c>
      <c r="CT60" s="31">
        <f>($D$9-InputTrianglesACPC!$B60)*InputTrianglesACPC!$E$4+$D$6</f>
        <v>6</v>
      </c>
    </row>
    <row r="61" spans="1:98" hidden="1" x14ac:dyDescent="0.25">
      <c r="A61" s="97">
        <v>0</v>
      </c>
      <c r="B61" s="29">
        <f t="shared" si="7"/>
        <v>2015</v>
      </c>
      <c r="C61" s="30">
        <f>IF(AND($B61&gt;=InputTrianglesACPC!$D$8,$CT61&gt;=C$41),1,0)</f>
        <v>1</v>
      </c>
      <c r="D61" s="33">
        <f>IF(AND($B61&gt;=InputTrianglesACPC!$D$8,$CT61&gt;=D$41),1,0)</f>
        <v>1</v>
      </c>
      <c r="E61" s="33">
        <f>IF(AND($B61&gt;=InputTrianglesACPC!$D$8,$CT61&gt;=E$41),1,0)</f>
        <v>1</v>
      </c>
      <c r="F61" s="33">
        <f>IF(AND($B61&gt;=InputTrianglesACPC!$D$8,$CT61&gt;=F$41),1,0)</f>
        <v>1</v>
      </c>
      <c r="G61" s="33">
        <f>IF(AND($B61&gt;=InputTrianglesACPC!$D$8,$CT61&gt;=G$41),1,0)</f>
        <v>1</v>
      </c>
      <c r="H61" s="33">
        <f>IF(AND($B61&gt;=InputTrianglesACPC!$D$8,$CT61&gt;=H$41),1,0)</f>
        <v>0</v>
      </c>
      <c r="I61" s="33">
        <f>IF(AND($B61&gt;=InputTrianglesACPC!$D$8,$CT61&gt;=I$41),1,0)</f>
        <v>0</v>
      </c>
      <c r="J61" s="33">
        <f>IF(AND($B61&gt;=InputTrianglesACPC!$D$8,$CT61&gt;=J$41),1,0)</f>
        <v>0</v>
      </c>
      <c r="K61" s="33">
        <f>IF(AND($B61&gt;=InputTrianglesACPC!$D$8,$CT61&gt;=K$41),1,0)</f>
        <v>0</v>
      </c>
      <c r="L61" s="33">
        <f>IF(AND($B61&gt;=InputTrianglesACPC!$D$8,$CT61&gt;=L$41),1,0)</f>
        <v>0</v>
      </c>
      <c r="M61" s="33">
        <f>IF(AND($B61&gt;=InputTrianglesACPC!$D$8,$CT61&gt;=M$41),1,0)</f>
        <v>0</v>
      </c>
      <c r="N61" s="33">
        <f>IF(AND($B61&gt;=InputTrianglesACPC!$D$8,$CT61&gt;=N$41),1,0)</f>
        <v>0</v>
      </c>
      <c r="O61" s="33">
        <f>IF(AND($B61&gt;=InputTrianglesACPC!$D$8,$CT61&gt;=O$41),1,0)</f>
        <v>0</v>
      </c>
      <c r="P61" s="33">
        <f>IF(AND($B61&gt;=InputTrianglesACPC!$D$8,$CT61&gt;=P$41),1,0)</f>
        <v>0</v>
      </c>
      <c r="Q61" s="33">
        <f>IF(AND($B61&gt;=InputTrianglesACPC!$D$8,$CT61&gt;=Q$41),1,0)</f>
        <v>0</v>
      </c>
      <c r="R61" s="33">
        <f>IF(AND($B61&gt;=InputTrianglesACPC!$D$8,$CT61&gt;=R$41),1,0)</f>
        <v>0</v>
      </c>
      <c r="S61" s="33">
        <f>IF(AND($B61&gt;=InputTrianglesACPC!$D$8,$CT61&gt;=S$41),1,0)</f>
        <v>0</v>
      </c>
      <c r="T61" s="33">
        <f>IF(AND($B61&gt;=InputTrianglesACPC!$D$8,$CT61&gt;=T$41),1,0)</f>
        <v>0</v>
      </c>
      <c r="U61" s="33">
        <f>IF(AND($B61&gt;=InputTrianglesACPC!$D$8,$CT61&gt;=U$41),1,0)</f>
        <v>0</v>
      </c>
      <c r="V61" s="33">
        <f>IF(AND($B61&gt;=InputTrianglesACPC!$D$8,$CT61&gt;=V$41),1,0)</f>
        <v>0</v>
      </c>
      <c r="W61" s="33">
        <f>IF(AND($B61&gt;=InputTrianglesACPC!$D$8,$CT61&gt;=W$41),1,0)</f>
        <v>0</v>
      </c>
      <c r="X61" s="33">
        <f>IF(AND($B61&gt;=InputTrianglesACPC!$D$8,$CT61&gt;=X$41),1,0)</f>
        <v>0</v>
      </c>
      <c r="Y61" s="33">
        <f>IF(AND($B61&gt;=InputTrianglesACPC!$D$8,$CT61&gt;=Y$41),1,0)</f>
        <v>0</v>
      </c>
      <c r="Z61" s="33">
        <f>IF(AND($B61&gt;=InputTrianglesACPC!$D$8,$CT61&gt;=Z$41),1,0)</f>
        <v>0</v>
      </c>
      <c r="AA61" s="33">
        <f>IF(AND($B61&gt;=InputTrianglesACPC!$D$8,$CT61&gt;=AA$41),1,0)</f>
        <v>0</v>
      </c>
      <c r="AB61" s="33">
        <f>IF(AND($B61&gt;=InputTrianglesACPC!$D$8,$CT61&gt;=AB$41),1,0)</f>
        <v>0</v>
      </c>
      <c r="AC61" s="33">
        <f>IF(AND($B61&gt;=InputTrianglesACPC!$D$8,$CT61&gt;=AC$41),1,0)</f>
        <v>0</v>
      </c>
      <c r="AD61" s="33">
        <f>IF(AND($B61&gt;=InputTrianglesACPC!$D$8,$CT61&gt;=AD$41),1,0)</f>
        <v>0</v>
      </c>
      <c r="AE61" s="33">
        <f>IF(AND($B61&gt;=InputTrianglesACPC!$D$8,$CT61&gt;=AE$41),1,0)</f>
        <v>0</v>
      </c>
      <c r="AF61" s="33">
        <f>IF(AND($B61&gt;=InputTrianglesACPC!$D$8,$CT61&gt;=AF$41),1,0)</f>
        <v>0</v>
      </c>
      <c r="AG61" s="33">
        <f>IF(AND($B61&gt;=InputTrianglesACPC!$D$8,$CT61&gt;=AG$41),1,0)</f>
        <v>0</v>
      </c>
      <c r="AH61" s="33">
        <f>IF(AND($B61&gt;=InputTrianglesACPC!$D$8,$CT61&gt;=AH$41),1,0)</f>
        <v>0</v>
      </c>
      <c r="AI61" s="33">
        <f>IF(AND($B61&gt;=InputTrianglesACPC!$D$8,$CT61&gt;=AI$41),1,0)</f>
        <v>0</v>
      </c>
      <c r="AJ61" s="33">
        <f>IF(AND($B61&gt;=InputTrianglesACPC!$D$8,$CT61&gt;=AJ$41),1,0)</f>
        <v>0</v>
      </c>
      <c r="AK61" s="33">
        <f>IF(AND($B61&gt;=InputTrianglesACPC!$D$8,$CT61&gt;=AK$41),1,0)</f>
        <v>0</v>
      </c>
      <c r="AL61" s="33">
        <f>IF(AND($B61&gt;=InputTrianglesACPC!$D$8,$CT61&gt;=AL$41),1,0)</f>
        <v>0</v>
      </c>
      <c r="AM61" s="33">
        <f>IF(AND($B61&gt;=InputTrianglesACPC!$D$8,$CT61&gt;=AM$41),1,0)</f>
        <v>0</v>
      </c>
      <c r="AN61" s="33">
        <f>IF(AND($B61&gt;=InputTrianglesACPC!$D$8,$CT61&gt;=AN$41),1,0)</f>
        <v>0</v>
      </c>
      <c r="AO61" s="33">
        <f>IF(AND($B61&gt;=InputTrianglesACPC!$D$8,$CT61&gt;=AO$41),1,0)</f>
        <v>0</v>
      </c>
      <c r="AP61" s="33">
        <f>IF(AND($B61&gt;=InputTrianglesACPC!$D$8,$CT61&gt;=AP$41),1,0)</f>
        <v>0</v>
      </c>
      <c r="AQ61" s="33">
        <f>IF(AND($B61&gt;=InputTrianglesACPC!$D$8,$CT61&gt;=AQ$41),1,0)</f>
        <v>0</v>
      </c>
      <c r="AR61" s="33">
        <f>IF(AND($B61&gt;=InputTrianglesACPC!$D$8,$CT61&gt;=AR$41),1,0)</f>
        <v>0</v>
      </c>
      <c r="AS61" s="33">
        <f>IF(AND($B61&gt;=InputTrianglesACPC!$D$8,$CT61&gt;=AS$41),1,0)</f>
        <v>0</v>
      </c>
      <c r="AT61" s="33">
        <f>IF(AND($B61&gt;=InputTrianglesACPC!$D$8,$CT61&gt;=AT$41),1,0)</f>
        <v>0</v>
      </c>
      <c r="AU61" s="33">
        <f>IF(AND($B61&gt;=InputTrianglesACPC!$D$8,$CT61&gt;=AU$41),1,0)</f>
        <v>0</v>
      </c>
      <c r="AV61" s="33">
        <f>IF(AND($B61&gt;=InputTrianglesACPC!$D$8,$CT61&gt;=AV$41),1,0)</f>
        <v>0</v>
      </c>
      <c r="AW61" s="33">
        <f>IF(AND($B61&gt;=InputTrianglesACPC!$D$8,$CT61&gt;=AW$41),1,0)</f>
        <v>0</v>
      </c>
      <c r="AX61" s="33">
        <f>IF(AND($B61&gt;=InputTrianglesACPC!$D$8,$CT61&gt;=AX$41),1,0)</f>
        <v>0</v>
      </c>
      <c r="AY61" s="33">
        <f>IF(AND($B61&gt;=InputTrianglesACPC!$D$8,$CT61&gt;=AY$41),1,0)</f>
        <v>0</v>
      </c>
      <c r="AZ61" s="33">
        <f>IF(AND($B61&gt;=InputTrianglesACPC!$D$8,$CT61&gt;=AZ$41),1,0)</f>
        <v>0</v>
      </c>
      <c r="BA61" s="33">
        <f>IF(AND($B61&gt;=InputTrianglesACPC!$D$8,$CT61&gt;=BA$41),1,0)</f>
        <v>0</v>
      </c>
      <c r="BB61" s="33">
        <f>IF(AND($B61&gt;=InputTrianglesACPC!$D$8,$CT61&gt;=BB$41),1,0)</f>
        <v>0</v>
      </c>
      <c r="BC61" s="33">
        <f>IF(AND($B61&gt;=InputTrianglesACPC!$D$8,$CT61&gt;=BC$41),1,0)</f>
        <v>0</v>
      </c>
      <c r="BD61" s="33">
        <f>IF(AND($B61&gt;=InputTrianglesACPC!$D$8,$CT61&gt;=BD$41),1,0)</f>
        <v>0</v>
      </c>
      <c r="BE61" s="33">
        <f>IF(AND($B61&gt;=InputTrianglesACPC!$D$8,$CT61&gt;=BE$41),1,0)</f>
        <v>0</v>
      </c>
      <c r="BF61" s="33">
        <f>IF(AND($B61&gt;=InputTrianglesACPC!$D$8,$CT61&gt;=BF$41),1,0)</f>
        <v>0</v>
      </c>
      <c r="BG61" s="33">
        <f>IF(AND($B61&gt;=InputTrianglesACPC!$D$8,$CT61&gt;=BG$41),1,0)</f>
        <v>0</v>
      </c>
      <c r="BH61" s="33">
        <f>IF(AND($B61&gt;=InputTrianglesACPC!$D$8,$CT61&gt;=BH$41),1,0)</f>
        <v>0</v>
      </c>
      <c r="BI61" s="33">
        <f>IF(AND($B61&gt;=InputTrianglesACPC!$D$8,$CT61&gt;=BI$41),1,0)</f>
        <v>0</v>
      </c>
      <c r="BJ61" s="33">
        <f>IF(AND($B61&gt;=InputTrianglesACPC!$D$8,$CT61&gt;=BJ$41),1,0)</f>
        <v>0</v>
      </c>
      <c r="BK61" s="33">
        <f>IF(AND($B61&gt;=InputTrianglesACPC!$D$8,$CT61&gt;=BK$41),1,0)</f>
        <v>0</v>
      </c>
      <c r="BL61" s="33">
        <f>IF(AND($B61&gt;=InputTrianglesACPC!$D$8,$CT61&gt;=BL$41),1,0)</f>
        <v>0</v>
      </c>
      <c r="BM61" s="33">
        <f>IF(AND($B61&gt;=InputTrianglesACPC!$D$8,$CT61&gt;=BM$41),1,0)</f>
        <v>0</v>
      </c>
      <c r="BN61" s="33">
        <f>IF(AND($B61&gt;=InputTrianglesACPC!$D$8,$CT61&gt;=BN$41),1,0)</f>
        <v>0</v>
      </c>
      <c r="BO61" s="33">
        <f>IF(AND($B61&gt;=InputTrianglesACPC!$D$8,$CT61&gt;=BO$41),1,0)</f>
        <v>0</v>
      </c>
      <c r="BP61" s="33">
        <f>IF(AND($B61&gt;=InputTrianglesACPC!$D$8,$CT61&gt;=BP$41),1,0)</f>
        <v>0</v>
      </c>
      <c r="BQ61" s="33">
        <f>IF(AND($B61&gt;=InputTrianglesACPC!$D$8,$CT61&gt;=BQ$41),1,0)</f>
        <v>0</v>
      </c>
      <c r="BR61" s="33">
        <f>IF(AND($B61&gt;=InputTrianglesACPC!$D$8,$CT61&gt;=BR$41),1,0)</f>
        <v>0</v>
      </c>
      <c r="BS61" s="33">
        <f>IF(AND($B61&gt;=InputTrianglesACPC!$D$8,$CT61&gt;=BS$41),1,0)</f>
        <v>0</v>
      </c>
      <c r="BT61" s="33">
        <f>IF(AND($B61&gt;=InputTrianglesACPC!$D$8,$CT61&gt;=BT$41),1,0)</f>
        <v>0</v>
      </c>
      <c r="BU61" s="33">
        <f>IF(AND($B61&gt;=InputTrianglesACPC!$D$8,$CT61&gt;=BU$41),1,0)</f>
        <v>0</v>
      </c>
      <c r="BV61" s="33">
        <f>IF(AND($B61&gt;=InputTrianglesACPC!$D$8,$CT61&gt;=BV$41),1,0)</f>
        <v>0</v>
      </c>
      <c r="BW61" s="33">
        <f>IF(AND($B61&gt;=InputTrianglesACPC!$D$8,$CT61&gt;=BW$41),1,0)</f>
        <v>0</v>
      </c>
      <c r="BX61" s="33">
        <f>IF(AND($B61&gt;=InputTrianglesACPC!$D$8,$CT61&gt;=BX$41),1,0)</f>
        <v>0</v>
      </c>
      <c r="BY61" s="33">
        <f>IF(AND($B61&gt;=InputTrianglesACPC!$D$8,$CT61&gt;=BY$41),1,0)</f>
        <v>0</v>
      </c>
      <c r="BZ61" s="33">
        <f>IF(AND($B61&gt;=InputTrianglesACPC!$D$8,$CT61&gt;=BZ$41),1,0)</f>
        <v>0</v>
      </c>
      <c r="CA61" s="33">
        <f>IF(AND($B61&gt;=InputTrianglesACPC!$D$8,$CT61&gt;=CA$41),1,0)</f>
        <v>0</v>
      </c>
      <c r="CB61" s="33">
        <f>IF(AND($B61&gt;=InputTrianglesACPC!$D$8,$CT61&gt;=CB$41),1,0)</f>
        <v>0</v>
      </c>
      <c r="CC61" s="33">
        <f>IF(AND($B61&gt;=InputTrianglesACPC!$D$8,$CT61&gt;=CC$41),1,0)</f>
        <v>0</v>
      </c>
      <c r="CD61" s="33">
        <f>IF(AND($B61&gt;=InputTrianglesACPC!$D$8,$CT61&gt;=CD$41),1,0)</f>
        <v>0</v>
      </c>
      <c r="CE61" s="33">
        <f>IF(AND($B61&gt;=InputTrianglesACPC!$D$8,$CT61&gt;=CE$41),1,0)</f>
        <v>0</v>
      </c>
      <c r="CF61" s="33">
        <f>IF(AND($B61&gt;=InputTrianglesACPC!$D$8,$CT61&gt;=CF$41),1,0)</f>
        <v>0</v>
      </c>
      <c r="CG61" s="33">
        <f>IF(AND($B61&gt;=InputTrianglesACPC!$D$8,$CT61&gt;=CG$41),1,0)</f>
        <v>0</v>
      </c>
      <c r="CH61" s="33">
        <f>IF(AND($B61&gt;=InputTrianglesACPC!$D$8,$CT61&gt;=CH$41),1,0)</f>
        <v>0</v>
      </c>
      <c r="CI61" s="33">
        <f>IF(AND($B61&gt;=InputTrianglesACPC!$D$8,$CT61&gt;=CI$41),1,0)</f>
        <v>0</v>
      </c>
      <c r="CJ61" s="33">
        <f>IF(AND($B61&gt;=InputTrianglesACPC!$D$8,$CT61&gt;=CJ$41),1,0)</f>
        <v>0</v>
      </c>
      <c r="CK61" s="33">
        <f>IF(AND($B61&gt;=InputTrianglesACPC!$D$8,$CT61&gt;=CK$41),1,0)</f>
        <v>0</v>
      </c>
      <c r="CL61" s="33">
        <f>IF(AND($B61&gt;=InputTrianglesACPC!$D$8,$CT61&gt;=CL$41),1,0)</f>
        <v>0</v>
      </c>
      <c r="CM61" s="33">
        <f>IF(AND($B61&gt;=InputTrianglesACPC!$D$8,$CT61&gt;=CM$41),1,0)</f>
        <v>0</v>
      </c>
      <c r="CN61" s="33">
        <f>IF(AND($B61&gt;=InputTrianglesACPC!$D$8,$CT61&gt;=CN$41),1,0)</f>
        <v>0</v>
      </c>
      <c r="CO61" s="33">
        <f>IF(AND($B61&gt;=InputTrianglesACPC!$D$8,$CT61&gt;=CO$41),1,0)</f>
        <v>0</v>
      </c>
      <c r="CP61" s="33">
        <f>IF(AND($B61&gt;=InputTrianglesACPC!$D$8,$CT61&gt;=CP$41),1,0)</f>
        <v>0</v>
      </c>
      <c r="CQ61" s="33">
        <f>IF(AND($B61&gt;=InputTrianglesACPC!$D$8,$CT61&gt;=CQ$41),1,0)</f>
        <v>0</v>
      </c>
      <c r="CR61" s="33">
        <f>IF(AND($B61&gt;=InputTrianglesACPC!$D$8,$CT61&gt;=CR$41),1,0)</f>
        <v>0</v>
      </c>
      <c r="CS61" s="32">
        <f>IF(AND($B61&gt;=InputTrianglesACPC!$D$8,$CT61&gt;=CS$41),1,0)</f>
        <v>0</v>
      </c>
      <c r="CT61" s="31">
        <f>($D$9-InputTrianglesACPC!$B61)*InputTrianglesACPC!$E$4+$D$6</f>
        <v>5</v>
      </c>
    </row>
    <row r="62" spans="1:98" hidden="1" x14ac:dyDescent="0.25">
      <c r="A62" s="97">
        <v>0</v>
      </c>
      <c r="B62" s="29">
        <f t="shared" si="7"/>
        <v>2016</v>
      </c>
      <c r="C62" s="30">
        <f>IF(AND($B62&gt;=InputTrianglesACPC!$D$8,$CT62&gt;=C$41),1,0)</f>
        <v>1</v>
      </c>
      <c r="D62" s="33">
        <f>IF(AND($B62&gt;=InputTrianglesACPC!$D$8,$CT62&gt;=D$41),1,0)</f>
        <v>1</v>
      </c>
      <c r="E62" s="33">
        <f>IF(AND($B62&gt;=InputTrianglesACPC!$D$8,$CT62&gt;=E$41),1,0)</f>
        <v>1</v>
      </c>
      <c r="F62" s="33">
        <f>IF(AND($B62&gt;=InputTrianglesACPC!$D$8,$CT62&gt;=F$41),1,0)</f>
        <v>1</v>
      </c>
      <c r="G62" s="33">
        <f>IF(AND($B62&gt;=InputTrianglesACPC!$D$8,$CT62&gt;=G$41),1,0)</f>
        <v>0</v>
      </c>
      <c r="H62" s="33">
        <f>IF(AND($B62&gt;=InputTrianglesACPC!$D$8,$CT62&gt;=H$41),1,0)</f>
        <v>0</v>
      </c>
      <c r="I62" s="33">
        <f>IF(AND($B62&gt;=InputTrianglesACPC!$D$8,$CT62&gt;=I$41),1,0)</f>
        <v>0</v>
      </c>
      <c r="J62" s="33">
        <f>IF(AND($B62&gt;=InputTrianglesACPC!$D$8,$CT62&gt;=J$41),1,0)</f>
        <v>0</v>
      </c>
      <c r="K62" s="33">
        <f>IF(AND($B62&gt;=InputTrianglesACPC!$D$8,$CT62&gt;=K$41),1,0)</f>
        <v>0</v>
      </c>
      <c r="L62" s="33">
        <f>IF(AND($B62&gt;=InputTrianglesACPC!$D$8,$CT62&gt;=L$41),1,0)</f>
        <v>0</v>
      </c>
      <c r="M62" s="33">
        <f>IF(AND($B62&gt;=InputTrianglesACPC!$D$8,$CT62&gt;=M$41),1,0)</f>
        <v>0</v>
      </c>
      <c r="N62" s="33">
        <f>IF(AND($B62&gt;=InputTrianglesACPC!$D$8,$CT62&gt;=N$41),1,0)</f>
        <v>0</v>
      </c>
      <c r="O62" s="33">
        <f>IF(AND($B62&gt;=InputTrianglesACPC!$D$8,$CT62&gt;=O$41),1,0)</f>
        <v>0</v>
      </c>
      <c r="P62" s="33">
        <f>IF(AND($B62&gt;=InputTrianglesACPC!$D$8,$CT62&gt;=P$41),1,0)</f>
        <v>0</v>
      </c>
      <c r="Q62" s="33">
        <f>IF(AND($B62&gt;=InputTrianglesACPC!$D$8,$CT62&gt;=Q$41),1,0)</f>
        <v>0</v>
      </c>
      <c r="R62" s="33">
        <f>IF(AND($B62&gt;=InputTrianglesACPC!$D$8,$CT62&gt;=R$41),1,0)</f>
        <v>0</v>
      </c>
      <c r="S62" s="33">
        <f>IF(AND($B62&gt;=InputTrianglesACPC!$D$8,$CT62&gt;=S$41),1,0)</f>
        <v>0</v>
      </c>
      <c r="T62" s="33">
        <f>IF(AND($B62&gt;=InputTrianglesACPC!$D$8,$CT62&gt;=T$41),1,0)</f>
        <v>0</v>
      </c>
      <c r="U62" s="33">
        <f>IF(AND($B62&gt;=InputTrianglesACPC!$D$8,$CT62&gt;=U$41),1,0)</f>
        <v>0</v>
      </c>
      <c r="V62" s="33">
        <f>IF(AND($B62&gt;=InputTrianglesACPC!$D$8,$CT62&gt;=V$41),1,0)</f>
        <v>0</v>
      </c>
      <c r="W62" s="33">
        <f>IF(AND($B62&gt;=InputTrianglesACPC!$D$8,$CT62&gt;=W$41),1,0)</f>
        <v>0</v>
      </c>
      <c r="X62" s="33">
        <f>IF(AND($B62&gt;=InputTrianglesACPC!$D$8,$CT62&gt;=X$41),1,0)</f>
        <v>0</v>
      </c>
      <c r="Y62" s="33">
        <f>IF(AND($B62&gt;=InputTrianglesACPC!$D$8,$CT62&gt;=Y$41),1,0)</f>
        <v>0</v>
      </c>
      <c r="Z62" s="33">
        <f>IF(AND($B62&gt;=InputTrianglesACPC!$D$8,$CT62&gt;=Z$41),1,0)</f>
        <v>0</v>
      </c>
      <c r="AA62" s="33">
        <f>IF(AND($B62&gt;=InputTrianglesACPC!$D$8,$CT62&gt;=AA$41),1,0)</f>
        <v>0</v>
      </c>
      <c r="AB62" s="33">
        <f>IF(AND($B62&gt;=InputTrianglesACPC!$D$8,$CT62&gt;=AB$41),1,0)</f>
        <v>0</v>
      </c>
      <c r="AC62" s="33">
        <f>IF(AND($B62&gt;=InputTrianglesACPC!$D$8,$CT62&gt;=AC$41),1,0)</f>
        <v>0</v>
      </c>
      <c r="AD62" s="33">
        <f>IF(AND($B62&gt;=InputTrianglesACPC!$D$8,$CT62&gt;=AD$41),1,0)</f>
        <v>0</v>
      </c>
      <c r="AE62" s="33">
        <f>IF(AND($B62&gt;=InputTrianglesACPC!$D$8,$CT62&gt;=AE$41),1,0)</f>
        <v>0</v>
      </c>
      <c r="AF62" s="33">
        <f>IF(AND($B62&gt;=InputTrianglesACPC!$D$8,$CT62&gt;=AF$41),1,0)</f>
        <v>0</v>
      </c>
      <c r="AG62" s="33">
        <f>IF(AND($B62&gt;=InputTrianglesACPC!$D$8,$CT62&gt;=AG$41),1,0)</f>
        <v>0</v>
      </c>
      <c r="AH62" s="33">
        <f>IF(AND($B62&gt;=InputTrianglesACPC!$D$8,$CT62&gt;=AH$41),1,0)</f>
        <v>0</v>
      </c>
      <c r="AI62" s="33">
        <f>IF(AND($B62&gt;=InputTrianglesACPC!$D$8,$CT62&gt;=AI$41),1,0)</f>
        <v>0</v>
      </c>
      <c r="AJ62" s="33">
        <f>IF(AND($B62&gt;=InputTrianglesACPC!$D$8,$CT62&gt;=AJ$41),1,0)</f>
        <v>0</v>
      </c>
      <c r="AK62" s="33">
        <f>IF(AND($B62&gt;=InputTrianglesACPC!$D$8,$CT62&gt;=AK$41),1,0)</f>
        <v>0</v>
      </c>
      <c r="AL62" s="33">
        <f>IF(AND($B62&gt;=InputTrianglesACPC!$D$8,$CT62&gt;=AL$41),1,0)</f>
        <v>0</v>
      </c>
      <c r="AM62" s="33">
        <f>IF(AND($B62&gt;=InputTrianglesACPC!$D$8,$CT62&gt;=AM$41),1,0)</f>
        <v>0</v>
      </c>
      <c r="AN62" s="33">
        <f>IF(AND($B62&gt;=InputTrianglesACPC!$D$8,$CT62&gt;=AN$41),1,0)</f>
        <v>0</v>
      </c>
      <c r="AO62" s="33">
        <f>IF(AND($B62&gt;=InputTrianglesACPC!$D$8,$CT62&gt;=AO$41),1,0)</f>
        <v>0</v>
      </c>
      <c r="AP62" s="33">
        <f>IF(AND($B62&gt;=InputTrianglesACPC!$D$8,$CT62&gt;=AP$41),1,0)</f>
        <v>0</v>
      </c>
      <c r="AQ62" s="33">
        <f>IF(AND($B62&gt;=InputTrianglesACPC!$D$8,$CT62&gt;=AQ$41),1,0)</f>
        <v>0</v>
      </c>
      <c r="AR62" s="33">
        <f>IF(AND($B62&gt;=InputTrianglesACPC!$D$8,$CT62&gt;=AR$41),1,0)</f>
        <v>0</v>
      </c>
      <c r="AS62" s="33">
        <f>IF(AND($B62&gt;=InputTrianglesACPC!$D$8,$CT62&gt;=AS$41),1,0)</f>
        <v>0</v>
      </c>
      <c r="AT62" s="33">
        <f>IF(AND($B62&gt;=InputTrianglesACPC!$D$8,$CT62&gt;=AT$41),1,0)</f>
        <v>0</v>
      </c>
      <c r="AU62" s="33">
        <f>IF(AND($B62&gt;=InputTrianglesACPC!$D$8,$CT62&gt;=AU$41),1,0)</f>
        <v>0</v>
      </c>
      <c r="AV62" s="33">
        <f>IF(AND($B62&gt;=InputTrianglesACPC!$D$8,$CT62&gt;=AV$41),1,0)</f>
        <v>0</v>
      </c>
      <c r="AW62" s="33">
        <f>IF(AND($B62&gt;=InputTrianglesACPC!$D$8,$CT62&gt;=AW$41),1,0)</f>
        <v>0</v>
      </c>
      <c r="AX62" s="33">
        <f>IF(AND($B62&gt;=InputTrianglesACPC!$D$8,$CT62&gt;=AX$41),1,0)</f>
        <v>0</v>
      </c>
      <c r="AY62" s="33">
        <f>IF(AND($B62&gt;=InputTrianglesACPC!$D$8,$CT62&gt;=AY$41),1,0)</f>
        <v>0</v>
      </c>
      <c r="AZ62" s="33">
        <f>IF(AND($B62&gt;=InputTrianglesACPC!$D$8,$CT62&gt;=AZ$41),1,0)</f>
        <v>0</v>
      </c>
      <c r="BA62" s="33">
        <f>IF(AND($B62&gt;=InputTrianglesACPC!$D$8,$CT62&gt;=BA$41),1,0)</f>
        <v>0</v>
      </c>
      <c r="BB62" s="33">
        <f>IF(AND($B62&gt;=InputTrianglesACPC!$D$8,$CT62&gt;=BB$41),1,0)</f>
        <v>0</v>
      </c>
      <c r="BC62" s="33">
        <f>IF(AND($B62&gt;=InputTrianglesACPC!$D$8,$CT62&gt;=BC$41),1,0)</f>
        <v>0</v>
      </c>
      <c r="BD62" s="33">
        <f>IF(AND($B62&gt;=InputTrianglesACPC!$D$8,$CT62&gt;=BD$41),1,0)</f>
        <v>0</v>
      </c>
      <c r="BE62" s="33">
        <f>IF(AND($B62&gt;=InputTrianglesACPC!$D$8,$CT62&gt;=BE$41),1,0)</f>
        <v>0</v>
      </c>
      <c r="BF62" s="33">
        <f>IF(AND($B62&gt;=InputTrianglesACPC!$D$8,$CT62&gt;=BF$41),1,0)</f>
        <v>0</v>
      </c>
      <c r="BG62" s="33">
        <f>IF(AND($B62&gt;=InputTrianglesACPC!$D$8,$CT62&gt;=BG$41),1,0)</f>
        <v>0</v>
      </c>
      <c r="BH62" s="33">
        <f>IF(AND($B62&gt;=InputTrianglesACPC!$D$8,$CT62&gt;=BH$41),1,0)</f>
        <v>0</v>
      </c>
      <c r="BI62" s="33">
        <f>IF(AND($B62&gt;=InputTrianglesACPC!$D$8,$CT62&gt;=BI$41),1,0)</f>
        <v>0</v>
      </c>
      <c r="BJ62" s="33">
        <f>IF(AND($B62&gt;=InputTrianglesACPC!$D$8,$CT62&gt;=BJ$41),1,0)</f>
        <v>0</v>
      </c>
      <c r="BK62" s="33">
        <f>IF(AND($B62&gt;=InputTrianglesACPC!$D$8,$CT62&gt;=BK$41),1,0)</f>
        <v>0</v>
      </c>
      <c r="BL62" s="33">
        <f>IF(AND($B62&gt;=InputTrianglesACPC!$D$8,$CT62&gt;=BL$41),1,0)</f>
        <v>0</v>
      </c>
      <c r="BM62" s="33">
        <f>IF(AND($B62&gt;=InputTrianglesACPC!$D$8,$CT62&gt;=BM$41),1,0)</f>
        <v>0</v>
      </c>
      <c r="BN62" s="33">
        <f>IF(AND($B62&gt;=InputTrianglesACPC!$D$8,$CT62&gt;=BN$41),1,0)</f>
        <v>0</v>
      </c>
      <c r="BO62" s="33">
        <f>IF(AND($B62&gt;=InputTrianglesACPC!$D$8,$CT62&gt;=BO$41),1,0)</f>
        <v>0</v>
      </c>
      <c r="BP62" s="33">
        <f>IF(AND($B62&gt;=InputTrianglesACPC!$D$8,$CT62&gt;=BP$41),1,0)</f>
        <v>0</v>
      </c>
      <c r="BQ62" s="33">
        <f>IF(AND($B62&gt;=InputTrianglesACPC!$D$8,$CT62&gt;=BQ$41),1,0)</f>
        <v>0</v>
      </c>
      <c r="BR62" s="33">
        <f>IF(AND($B62&gt;=InputTrianglesACPC!$D$8,$CT62&gt;=BR$41),1,0)</f>
        <v>0</v>
      </c>
      <c r="BS62" s="33">
        <f>IF(AND($B62&gt;=InputTrianglesACPC!$D$8,$CT62&gt;=BS$41),1,0)</f>
        <v>0</v>
      </c>
      <c r="BT62" s="33">
        <f>IF(AND($B62&gt;=InputTrianglesACPC!$D$8,$CT62&gt;=BT$41),1,0)</f>
        <v>0</v>
      </c>
      <c r="BU62" s="33">
        <f>IF(AND($B62&gt;=InputTrianglesACPC!$D$8,$CT62&gt;=BU$41),1,0)</f>
        <v>0</v>
      </c>
      <c r="BV62" s="33">
        <f>IF(AND($B62&gt;=InputTrianglesACPC!$D$8,$CT62&gt;=BV$41),1,0)</f>
        <v>0</v>
      </c>
      <c r="BW62" s="33">
        <f>IF(AND($B62&gt;=InputTrianglesACPC!$D$8,$CT62&gt;=BW$41),1,0)</f>
        <v>0</v>
      </c>
      <c r="BX62" s="33">
        <f>IF(AND($B62&gt;=InputTrianglesACPC!$D$8,$CT62&gt;=BX$41),1,0)</f>
        <v>0</v>
      </c>
      <c r="BY62" s="33">
        <f>IF(AND($B62&gt;=InputTrianglesACPC!$D$8,$CT62&gt;=BY$41),1,0)</f>
        <v>0</v>
      </c>
      <c r="BZ62" s="33">
        <f>IF(AND($B62&gt;=InputTrianglesACPC!$D$8,$CT62&gt;=BZ$41),1,0)</f>
        <v>0</v>
      </c>
      <c r="CA62" s="33">
        <f>IF(AND($B62&gt;=InputTrianglesACPC!$D$8,$CT62&gt;=CA$41),1,0)</f>
        <v>0</v>
      </c>
      <c r="CB62" s="33">
        <f>IF(AND($B62&gt;=InputTrianglesACPC!$D$8,$CT62&gt;=CB$41),1,0)</f>
        <v>0</v>
      </c>
      <c r="CC62" s="33">
        <f>IF(AND($B62&gt;=InputTrianglesACPC!$D$8,$CT62&gt;=CC$41),1,0)</f>
        <v>0</v>
      </c>
      <c r="CD62" s="33">
        <f>IF(AND($B62&gt;=InputTrianglesACPC!$D$8,$CT62&gt;=CD$41),1,0)</f>
        <v>0</v>
      </c>
      <c r="CE62" s="33">
        <f>IF(AND($B62&gt;=InputTrianglesACPC!$D$8,$CT62&gt;=CE$41),1,0)</f>
        <v>0</v>
      </c>
      <c r="CF62" s="33">
        <f>IF(AND($B62&gt;=InputTrianglesACPC!$D$8,$CT62&gt;=CF$41),1,0)</f>
        <v>0</v>
      </c>
      <c r="CG62" s="33">
        <f>IF(AND($B62&gt;=InputTrianglesACPC!$D$8,$CT62&gt;=CG$41),1,0)</f>
        <v>0</v>
      </c>
      <c r="CH62" s="33">
        <f>IF(AND($B62&gt;=InputTrianglesACPC!$D$8,$CT62&gt;=CH$41),1,0)</f>
        <v>0</v>
      </c>
      <c r="CI62" s="33">
        <f>IF(AND($B62&gt;=InputTrianglesACPC!$D$8,$CT62&gt;=CI$41),1,0)</f>
        <v>0</v>
      </c>
      <c r="CJ62" s="33">
        <f>IF(AND($B62&gt;=InputTrianglesACPC!$D$8,$CT62&gt;=CJ$41),1,0)</f>
        <v>0</v>
      </c>
      <c r="CK62" s="33">
        <f>IF(AND($B62&gt;=InputTrianglesACPC!$D$8,$CT62&gt;=CK$41),1,0)</f>
        <v>0</v>
      </c>
      <c r="CL62" s="33">
        <f>IF(AND($B62&gt;=InputTrianglesACPC!$D$8,$CT62&gt;=CL$41),1,0)</f>
        <v>0</v>
      </c>
      <c r="CM62" s="33">
        <f>IF(AND($B62&gt;=InputTrianglesACPC!$D$8,$CT62&gt;=CM$41),1,0)</f>
        <v>0</v>
      </c>
      <c r="CN62" s="33">
        <f>IF(AND($B62&gt;=InputTrianglesACPC!$D$8,$CT62&gt;=CN$41),1,0)</f>
        <v>0</v>
      </c>
      <c r="CO62" s="33">
        <f>IF(AND($B62&gt;=InputTrianglesACPC!$D$8,$CT62&gt;=CO$41),1,0)</f>
        <v>0</v>
      </c>
      <c r="CP62" s="33">
        <f>IF(AND($B62&gt;=InputTrianglesACPC!$D$8,$CT62&gt;=CP$41),1,0)</f>
        <v>0</v>
      </c>
      <c r="CQ62" s="33">
        <f>IF(AND($B62&gt;=InputTrianglesACPC!$D$8,$CT62&gt;=CQ$41),1,0)</f>
        <v>0</v>
      </c>
      <c r="CR62" s="33">
        <f>IF(AND($B62&gt;=InputTrianglesACPC!$D$8,$CT62&gt;=CR$41),1,0)</f>
        <v>0</v>
      </c>
      <c r="CS62" s="32">
        <f>IF(AND($B62&gt;=InputTrianglesACPC!$D$8,$CT62&gt;=CS$41),1,0)</f>
        <v>0</v>
      </c>
      <c r="CT62" s="31">
        <f>($D$9-InputTrianglesACPC!$B62)*InputTrianglesACPC!$E$4+$D$6</f>
        <v>4</v>
      </c>
    </row>
    <row r="63" spans="1:98" hidden="1" x14ac:dyDescent="0.25">
      <c r="A63" s="97">
        <v>0</v>
      </c>
      <c r="B63" s="31">
        <f>B64-1</f>
        <v>2017</v>
      </c>
      <c r="C63" s="30">
        <f>IF(AND($B63&gt;=InputTrianglesACPC!$D$8,$CT63&gt;=C$41),1,0)</f>
        <v>1</v>
      </c>
      <c r="D63" s="33">
        <f>IF(AND($B63&gt;=InputTrianglesACPC!$D$8,$CT63&gt;=D$41),1,0)</f>
        <v>1</v>
      </c>
      <c r="E63" s="33">
        <f>IF(AND($B63&gt;=InputTrianglesACPC!$D$8,$CT63&gt;=E$41),1,0)</f>
        <v>1</v>
      </c>
      <c r="F63" s="33">
        <f>IF(AND($B63&gt;=InputTrianglesACPC!$D$8,$CT63&gt;=F$41),1,0)</f>
        <v>0</v>
      </c>
      <c r="G63" s="33">
        <f>IF(AND($B63&gt;=InputTrianglesACPC!$D$8,$CT63&gt;=G$41),1,0)</f>
        <v>0</v>
      </c>
      <c r="H63" s="33">
        <f>IF(AND($B63&gt;=InputTrianglesACPC!$D$8,$CT63&gt;=H$41),1,0)</f>
        <v>0</v>
      </c>
      <c r="I63" s="33">
        <f>IF(AND($B63&gt;=InputTrianglesACPC!$D$8,$CT63&gt;=I$41),1,0)</f>
        <v>0</v>
      </c>
      <c r="J63" s="33">
        <f>IF(AND($B63&gt;=InputTrianglesACPC!$D$8,$CT63&gt;=J$41),1,0)</f>
        <v>0</v>
      </c>
      <c r="K63" s="33">
        <f>IF(AND($B63&gt;=InputTrianglesACPC!$D$8,$CT63&gt;=K$41),1,0)</f>
        <v>0</v>
      </c>
      <c r="L63" s="33">
        <f>IF(AND($B63&gt;=InputTrianglesACPC!$D$8,$CT63&gt;=L$41),1,0)</f>
        <v>0</v>
      </c>
      <c r="M63" s="33">
        <f>IF(AND($B63&gt;=InputTrianglesACPC!$D$8,$CT63&gt;=M$41),1,0)</f>
        <v>0</v>
      </c>
      <c r="N63" s="33">
        <f>IF(AND($B63&gt;=InputTrianglesACPC!$D$8,$CT63&gt;=N$41),1,0)</f>
        <v>0</v>
      </c>
      <c r="O63" s="33">
        <f>IF(AND($B63&gt;=InputTrianglesACPC!$D$8,$CT63&gt;=O$41),1,0)</f>
        <v>0</v>
      </c>
      <c r="P63" s="33">
        <f>IF(AND($B63&gt;=InputTrianglesACPC!$D$8,$CT63&gt;=P$41),1,0)</f>
        <v>0</v>
      </c>
      <c r="Q63" s="33">
        <f>IF(AND($B63&gt;=InputTrianglesACPC!$D$8,$CT63&gt;=Q$41),1,0)</f>
        <v>0</v>
      </c>
      <c r="R63" s="33">
        <f>IF(AND($B63&gt;=InputTrianglesACPC!$D$8,$CT63&gt;=R$41),1,0)</f>
        <v>0</v>
      </c>
      <c r="S63" s="33">
        <f>IF(AND($B63&gt;=InputTrianglesACPC!$D$8,$CT63&gt;=S$41),1,0)</f>
        <v>0</v>
      </c>
      <c r="T63" s="33">
        <f>IF(AND($B63&gt;=InputTrianglesACPC!$D$8,$CT63&gt;=T$41),1,0)</f>
        <v>0</v>
      </c>
      <c r="U63" s="33">
        <f>IF(AND($B63&gt;=InputTrianglesACPC!$D$8,$CT63&gt;=U$41),1,0)</f>
        <v>0</v>
      </c>
      <c r="V63" s="33">
        <f>IF(AND($B63&gt;=InputTrianglesACPC!$D$8,$CT63&gt;=V$41),1,0)</f>
        <v>0</v>
      </c>
      <c r="W63" s="33">
        <f>IF(AND($B63&gt;=InputTrianglesACPC!$D$8,$CT63&gt;=W$41),1,0)</f>
        <v>0</v>
      </c>
      <c r="X63" s="33">
        <f>IF(AND($B63&gt;=InputTrianglesACPC!$D$8,$CT63&gt;=X$41),1,0)</f>
        <v>0</v>
      </c>
      <c r="Y63" s="33">
        <f>IF(AND($B63&gt;=InputTrianglesACPC!$D$8,$CT63&gt;=Y$41),1,0)</f>
        <v>0</v>
      </c>
      <c r="Z63" s="33">
        <f>IF(AND($B63&gt;=InputTrianglesACPC!$D$8,$CT63&gt;=Z$41),1,0)</f>
        <v>0</v>
      </c>
      <c r="AA63" s="33">
        <f>IF(AND($B63&gt;=InputTrianglesACPC!$D$8,$CT63&gt;=AA$41),1,0)</f>
        <v>0</v>
      </c>
      <c r="AB63" s="33">
        <f>IF(AND($B63&gt;=InputTrianglesACPC!$D$8,$CT63&gt;=AB$41),1,0)</f>
        <v>0</v>
      </c>
      <c r="AC63" s="33">
        <f>IF(AND($B63&gt;=InputTrianglesACPC!$D$8,$CT63&gt;=AC$41),1,0)</f>
        <v>0</v>
      </c>
      <c r="AD63" s="33">
        <f>IF(AND($B63&gt;=InputTrianglesACPC!$D$8,$CT63&gt;=AD$41),1,0)</f>
        <v>0</v>
      </c>
      <c r="AE63" s="33">
        <f>IF(AND($B63&gt;=InputTrianglesACPC!$D$8,$CT63&gt;=AE$41),1,0)</f>
        <v>0</v>
      </c>
      <c r="AF63" s="33">
        <f>IF(AND($B63&gt;=InputTrianglesACPC!$D$8,$CT63&gt;=AF$41),1,0)</f>
        <v>0</v>
      </c>
      <c r="AG63" s="33">
        <f>IF(AND($B63&gt;=InputTrianglesACPC!$D$8,$CT63&gt;=AG$41),1,0)</f>
        <v>0</v>
      </c>
      <c r="AH63" s="33">
        <f>IF(AND($B63&gt;=InputTrianglesACPC!$D$8,$CT63&gt;=AH$41),1,0)</f>
        <v>0</v>
      </c>
      <c r="AI63" s="33">
        <f>IF(AND($B63&gt;=InputTrianglesACPC!$D$8,$CT63&gt;=AI$41),1,0)</f>
        <v>0</v>
      </c>
      <c r="AJ63" s="33">
        <f>IF(AND($B63&gt;=InputTrianglesACPC!$D$8,$CT63&gt;=AJ$41),1,0)</f>
        <v>0</v>
      </c>
      <c r="AK63" s="33">
        <f>IF(AND($B63&gt;=InputTrianglesACPC!$D$8,$CT63&gt;=AK$41),1,0)</f>
        <v>0</v>
      </c>
      <c r="AL63" s="33">
        <f>IF(AND($B63&gt;=InputTrianglesACPC!$D$8,$CT63&gt;=AL$41),1,0)</f>
        <v>0</v>
      </c>
      <c r="AM63" s="33">
        <f>IF(AND($B63&gt;=InputTrianglesACPC!$D$8,$CT63&gt;=AM$41),1,0)</f>
        <v>0</v>
      </c>
      <c r="AN63" s="33">
        <f>IF(AND($B63&gt;=InputTrianglesACPC!$D$8,$CT63&gt;=AN$41),1,0)</f>
        <v>0</v>
      </c>
      <c r="AO63" s="33">
        <f>IF(AND($B63&gt;=InputTrianglesACPC!$D$8,$CT63&gt;=AO$41),1,0)</f>
        <v>0</v>
      </c>
      <c r="AP63" s="33">
        <f>IF(AND($B63&gt;=InputTrianglesACPC!$D$8,$CT63&gt;=AP$41),1,0)</f>
        <v>0</v>
      </c>
      <c r="AQ63" s="33">
        <f>IF(AND($B63&gt;=InputTrianglesACPC!$D$8,$CT63&gt;=AQ$41),1,0)</f>
        <v>0</v>
      </c>
      <c r="AR63" s="33">
        <f>IF(AND($B63&gt;=InputTrianglesACPC!$D$8,$CT63&gt;=AR$41),1,0)</f>
        <v>0</v>
      </c>
      <c r="AS63" s="33">
        <f>IF(AND($B63&gt;=InputTrianglesACPC!$D$8,$CT63&gt;=AS$41),1,0)</f>
        <v>0</v>
      </c>
      <c r="AT63" s="33">
        <f>IF(AND($B63&gt;=InputTrianglesACPC!$D$8,$CT63&gt;=AT$41),1,0)</f>
        <v>0</v>
      </c>
      <c r="AU63" s="33">
        <f>IF(AND($B63&gt;=InputTrianglesACPC!$D$8,$CT63&gt;=AU$41),1,0)</f>
        <v>0</v>
      </c>
      <c r="AV63" s="33">
        <f>IF(AND($B63&gt;=InputTrianglesACPC!$D$8,$CT63&gt;=AV$41),1,0)</f>
        <v>0</v>
      </c>
      <c r="AW63" s="33">
        <f>IF(AND($B63&gt;=InputTrianglesACPC!$D$8,$CT63&gt;=AW$41),1,0)</f>
        <v>0</v>
      </c>
      <c r="AX63" s="33">
        <f>IF(AND($B63&gt;=InputTrianglesACPC!$D$8,$CT63&gt;=AX$41),1,0)</f>
        <v>0</v>
      </c>
      <c r="AY63" s="33">
        <f>IF(AND($B63&gt;=InputTrianglesACPC!$D$8,$CT63&gt;=AY$41),1,0)</f>
        <v>0</v>
      </c>
      <c r="AZ63" s="33">
        <f>IF(AND($B63&gt;=InputTrianglesACPC!$D$8,$CT63&gt;=AZ$41),1,0)</f>
        <v>0</v>
      </c>
      <c r="BA63" s="33">
        <f>IF(AND($B63&gt;=InputTrianglesACPC!$D$8,$CT63&gt;=BA$41),1,0)</f>
        <v>0</v>
      </c>
      <c r="BB63" s="33">
        <f>IF(AND($B63&gt;=InputTrianglesACPC!$D$8,$CT63&gt;=BB$41),1,0)</f>
        <v>0</v>
      </c>
      <c r="BC63" s="33">
        <f>IF(AND($B63&gt;=InputTrianglesACPC!$D$8,$CT63&gt;=BC$41),1,0)</f>
        <v>0</v>
      </c>
      <c r="BD63" s="33">
        <f>IF(AND($B63&gt;=InputTrianglesACPC!$D$8,$CT63&gt;=BD$41),1,0)</f>
        <v>0</v>
      </c>
      <c r="BE63" s="33">
        <f>IF(AND($B63&gt;=InputTrianglesACPC!$D$8,$CT63&gt;=BE$41),1,0)</f>
        <v>0</v>
      </c>
      <c r="BF63" s="33">
        <f>IF(AND($B63&gt;=InputTrianglesACPC!$D$8,$CT63&gt;=BF$41),1,0)</f>
        <v>0</v>
      </c>
      <c r="BG63" s="33">
        <f>IF(AND($B63&gt;=InputTrianglesACPC!$D$8,$CT63&gt;=BG$41),1,0)</f>
        <v>0</v>
      </c>
      <c r="BH63" s="33">
        <f>IF(AND($B63&gt;=InputTrianglesACPC!$D$8,$CT63&gt;=BH$41),1,0)</f>
        <v>0</v>
      </c>
      <c r="BI63" s="33">
        <f>IF(AND($B63&gt;=InputTrianglesACPC!$D$8,$CT63&gt;=BI$41),1,0)</f>
        <v>0</v>
      </c>
      <c r="BJ63" s="33">
        <f>IF(AND($B63&gt;=InputTrianglesACPC!$D$8,$CT63&gt;=BJ$41),1,0)</f>
        <v>0</v>
      </c>
      <c r="BK63" s="33">
        <f>IF(AND($B63&gt;=InputTrianglesACPC!$D$8,$CT63&gt;=BK$41),1,0)</f>
        <v>0</v>
      </c>
      <c r="BL63" s="33">
        <f>IF(AND($B63&gt;=InputTrianglesACPC!$D$8,$CT63&gt;=BL$41),1,0)</f>
        <v>0</v>
      </c>
      <c r="BM63" s="33">
        <f>IF(AND($B63&gt;=InputTrianglesACPC!$D$8,$CT63&gt;=BM$41),1,0)</f>
        <v>0</v>
      </c>
      <c r="BN63" s="33">
        <f>IF(AND($B63&gt;=InputTrianglesACPC!$D$8,$CT63&gt;=BN$41),1,0)</f>
        <v>0</v>
      </c>
      <c r="BO63" s="33">
        <f>IF(AND($B63&gt;=InputTrianglesACPC!$D$8,$CT63&gt;=BO$41),1,0)</f>
        <v>0</v>
      </c>
      <c r="BP63" s="33">
        <f>IF(AND($B63&gt;=InputTrianglesACPC!$D$8,$CT63&gt;=BP$41),1,0)</f>
        <v>0</v>
      </c>
      <c r="BQ63" s="33">
        <f>IF(AND($B63&gt;=InputTrianglesACPC!$D$8,$CT63&gt;=BQ$41),1,0)</f>
        <v>0</v>
      </c>
      <c r="BR63" s="33">
        <f>IF(AND($B63&gt;=InputTrianglesACPC!$D$8,$CT63&gt;=BR$41),1,0)</f>
        <v>0</v>
      </c>
      <c r="BS63" s="33">
        <f>IF(AND($B63&gt;=InputTrianglesACPC!$D$8,$CT63&gt;=BS$41),1,0)</f>
        <v>0</v>
      </c>
      <c r="BT63" s="33">
        <f>IF(AND($B63&gt;=InputTrianglesACPC!$D$8,$CT63&gt;=BT$41),1,0)</f>
        <v>0</v>
      </c>
      <c r="BU63" s="33">
        <f>IF(AND($B63&gt;=InputTrianglesACPC!$D$8,$CT63&gt;=BU$41),1,0)</f>
        <v>0</v>
      </c>
      <c r="BV63" s="33">
        <f>IF(AND($B63&gt;=InputTrianglesACPC!$D$8,$CT63&gt;=BV$41),1,0)</f>
        <v>0</v>
      </c>
      <c r="BW63" s="33">
        <f>IF(AND($B63&gt;=InputTrianglesACPC!$D$8,$CT63&gt;=BW$41),1,0)</f>
        <v>0</v>
      </c>
      <c r="BX63" s="33">
        <f>IF(AND($B63&gt;=InputTrianglesACPC!$D$8,$CT63&gt;=BX$41),1,0)</f>
        <v>0</v>
      </c>
      <c r="BY63" s="33">
        <f>IF(AND($B63&gt;=InputTrianglesACPC!$D$8,$CT63&gt;=BY$41),1,0)</f>
        <v>0</v>
      </c>
      <c r="BZ63" s="33">
        <f>IF(AND($B63&gt;=InputTrianglesACPC!$D$8,$CT63&gt;=BZ$41),1,0)</f>
        <v>0</v>
      </c>
      <c r="CA63" s="33">
        <f>IF(AND($B63&gt;=InputTrianglesACPC!$D$8,$CT63&gt;=CA$41),1,0)</f>
        <v>0</v>
      </c>
      <c r="CB63" s="33">
        <f>IF(AND($B63&gt;=InputTrianglesACPC!$D$8,$CT63&gt;=CB$41),1,0)</f>
        <v>0</v>
      </c>
      <c r="CC63" s="33">
        <f>IF(AND($B63&gt;=InputTrianglesACPC!$D$8,$CT63&gt;=CC$41),1,0)</f>
        <v>0</v>
      </c>
      <c r="CD63" s="33">
        <f>IF(AND($B63&gt;=InputTrianglesACPC!$D$8,$CT63&gt;=CD$41),1,0)</f>
        <v>0</v>
      </c>
      <c r="CE63" s="33">
        <f>IF(AND($B63&gt;=InputTrianglesACPC!$D$8,$CT63&gt;=CE$41),1,0)</f>
        <v>0</v>
      </c>
      <c r="CF63" s="33">
        <f>IF(AND($B63&gt;=InputTrianglesACPC!$D$8,$CT63&gt;=CF$41),1,0)</f>
        <v>0</v>
      </c>
      <c r="CG63" s="33">
        <f>IF(AND($B63&gt;=InputTrianglesACPC!$D$8,$CT63&gt;=CG$41),1,0)</f>
        <v>0</v>
      </c>
      <c r="CH63" s="33">
        <f>IF(AND($B63&gt;=InputTrianglesACPC!$D$8,$CT63&gt;=CH$41),1,0)</f>
        <v>0</v>
      </c>
      <c r="CI63" s="33">
        <f>IF(AND($B63&gt;=InputTrianglesACPC!$D$8,$CT63&gt;=CI$41),1,0)</f>
        <v>0</v>
      </c>
      <c r="CJ63" s="33">
        <f>IF(AND($B63&gt;=InputTrianglesACPC!$D$8,$CT63&gt;=CJ$41),1,0)</f>
        <v>0</v>
      </c>
      <c r="CK63" s="33">
        <f>IF(AND($B63&gt;=InputTrianglesACPC!$D$8,$CT63&gt;=CK$41),1,0)</f>
        <v>0</v>
      </c>
      <c r="CL63" s="33">
        <f>IF(AND($B63&gt;=InputTrianglesACPC!$D$8,$CT63&gt;=CL$41),1,0)</f>
        <v>0</v>
      </c>
      <c r="CM63" s="33">
        <f>IF(AND($B63&gt;=InputTrianglesACPC!$D$8,$CT63&gt;=CM$41),1,0)</f>
        <v>0</v>
      </c>
      <c r="CN63" s="33">
        <f>IF(AND($B63&gt;=InputTrianglesACPC!$D$8,$CT63&gt;=CN$41),1,0)</f>
        <v>0</v>
      </c>
      <c r="CO63" s="33">
        <f>IF(AND($B63&gt;=InputTrianglesACPC!$D$8,$CT63&gt;=CO$41),1,0)</f>
        <v>0</v>
      </c>
      <c r="CP63" s="33">
        <f>IF(AND($B63&gt;=InputTrianglesACPC!$D$8,$CT63&gt;=CP$41),1,0)</f>
        <v>0</v>
      </c>
      <c r="CQ63" s="33">
        <f>IF(AND($B63&gt;=InputTrianglesACPC!$D$8,$CT63&gt;=CQ$41),1,0)</f>
        <v>0</v>
      </c>
      <c r="CR63" s="33">
        <f>IF(AND($B63&gt;=InputTrianglesACPC!$D$8,$CT63&gt;=CR$41),1,0)</f>
        <v>0</v>
      </c>
      <c r="CS63" s="32">
        <f>IF(AND($B63&gt;=InputTrianglesACPC!$D$8,$CT63&gt;=CS$41),1,0)</f>
        <v>0</v>
      </c>
      <c r="CT63" s="31">
        <f>($D$9-InputTrianglesACPC!$B63)*InputTrianglesACPC!$E$4+$D$6</f>
        <v>3</v>
      </c>
    </row>
    <row r="64" spans="1:98" hidden="1" x14ac:dyDescent="0.25">
      <c r="A64" s="97">
        <v>0</v>
      </c>
      <c r="B64" s="31">
        <f>B65-1</f>
        <v>2018</v>
      </c>
      <c r="C64" s="30">
        <f>IF(AND($B64&gt;=InputTrianglesACPC!$D$8,$CT64&gt;=C$41),1,0)</f>
        <v>1</v>
      </c>
      <c r="D64" s="33">
        <f>IF(AND($B64&gt;=InputTrianglesACPC!$D$8,$CT64&gt;=D$41),1,0)</f>
        <v>1</v>
      </c>
      <c r="E64" s="33">
        <f>IF(AND($B64&gt;=InputTrianglesACPC!$D$8,$CT64&gt;=E$41),1,0)</f>
        <v>0</v>
      </c>
      <c r="F64" s="33">
        <f>IF(AND($B64&gt;=InputTrianglesACPC!$D$8,$CT64&gt;=F$41),1,0)</f>
        <v>0</v>
      </c>
      <c r="G64" s="33">
        <f>IF(AND($B64&gt;=InputTrianglesACPC!$D$8,$CT64&gt;=G$41),1,0)</f>
        <v>0</v>
      </c>
      <c r="H64" s="33">
        <f>IF(AND($B64&gt;=InputTrianglesACPC!$D$8,$CT64&gt;=H$41),1,0)</f>
        <v>0</v>
      </c>
      <c r="I64" s="33">
        <f>IF(AND($B64&gt;=InputTrianglesACPC!$D$8,$CT64&gt;=I$41),1,0)</f>
        <v>0</v>
      </c>
      <c r="J64" s="33">
        <f>IF(AND($B64&gt;=InputTrianglesACPC!$D$8,$CT64&gt;=J$41),1,0)</f>
        <v>0</v>
      </c>
      <c r="K64" s="33">
        <f>IF(AND($B64&gt;=InputTrianglesACPC!$D$8,$CT64&gt;=K$41),1,0)</f>
        <v>0</v>
      </c>
      <c r="L64" s="33">
        <f>IF(AND($B64&gt;=InputTrianglesACPC!$D$8,$CT64&gt;=L$41),1,0)</f>
        <v>0</v>
      </c>
      <c r="M64" s="33">
        <f>IF(AND($B64&gt;=InputTrianglesACPC!$D$8,$CT64&gt;=M$41),1,0)</f>
        <v>0</v>
      </c>
      <c r="N64" s="33">
        <f>IF(AND($B64&gt;=InputTrianglesACPC!$D$8,$CT64&gt;=N$41),1,0)</f>
        <v>0</v>
      </c>
      <c r="O64" s="33">
        <f>IF(AND($B64&gt;=InputTrianglesACPC!$D$8,$CT64&gt;=O$41),1,0)</f>
        <v>0</v>
      </c>
      <c r="P64" s="33">
        <f>IF(AND($B64&gt;=InputTrianglesACPC!$D$8,$CT64&gt;=P$41),1,0)</f>
        <v>0</v>
      </c>
      <c r="Q64" s="33">
        <f>IF(AND($B64&gt;=InputTrianglesACPC!$D$8,$CT64&gt;=Q$41),1,0)</f>
        <v>0</v>
      </c>
      <c r="R64" s="33">
        <f>IF(AND($B64&gt;=InputTrianglesACPC!$D$8,$CT64&gt;=R$41),1,0)</f>
        <v>0</v>
      </c>
      <c r="S64" s="33">
        <f>IF(AND($B64&gt;=InputTrianglesACPC!$D$8,$CT64&gt;=S$41),1,0)</f>
        <v>0</v>
      </c>
      <c r="T64" s="33">
        <f>IF(AND($B64&gt;=InputTrianglesACPC!$D$8,$CT64&gt;=T$41),1,0)</f>
        <v>0</v>
      </c>
      <c r="U64" s="33">
        <f>IF(AND($B64&gt;=InputTrianglesACPC!$D$8,$CT64&gt;=U$41),1,0)</f>
        <v>0</v>
      </c>
      <c r="V64" s="33">
        <f>IF(AND($B64&gt;=InputTrianglesACPC!$D$8,$CT64&gt;=V$41),1,0)</f>
        <v>0</v>
      </c>
      <c r="W64" s="33">
        <f>IF(AND($B64&gt;=InputTrianglesACPC!$D$8,$CT64&gt;=W$41),1,0)</f>
        <v>0</v>
      </c>
      <c r="X64" s="33">
        <f>IF(AND($B64&gt;=InputTrianglesACPC!$D$8,$CT64&gt;=X$41),1,0)</f>
        <v>0</v>
      </c>
      <c r="Y64" s="33">
        <f>IF(AND($B64&gt;=InputTrianglesACPC!$D$8,$CT64&gt;=Y$41),1,0)</f>
        <v>0</v>
      </c>
      <c r="Z64" s="33">
        <f>IF(AND($B64&gt;=InputTrianglesACPC!$D$8,$CT64&gt;=Z$41),1,0)</f>
        <v>0</v>
      </c>
      <c r="AA64" s="33">
        <f>IF(AND($B64&gt;=InputTrianglesACPC!$D$8,$CT64&gt;=AA$41),1,0)</f>
        <v>0</v>
      </c>
      <c r="AB64" s="33">
        <f>IF(AND($B64&gt;=InputTrianglesACPC!$D$8,$CT64&gt;=AB$41),1,0)</f>
        <v>0</v>
      </c>
      <c r="AC64" s="33">
        <f>IF(AND($B64&gt;=InputTrianglesACPC!$D$8,$CT64&gt;=AC$41),1,0)</f>
        <v>0</v>
      </c>
      <c r="AD64" s="33">
        <f>IF(AND($B64&gt;=InputTrianglesACPC!$D$8,$CT64&gt;=AD$41),1,0)</f>
        <v>0</v>
      </c>
      <c r="AE64" s="33">
        <f>IF(AND($B64&gt;=InputTrianglesACPC!$D$8,$CT64&gt;=AE$41),1,0)</f>
        <v>0</v>
      </c>
      <c r="AF64" s="33">
        <f>IF(AND($B64&gt;=InputTrianglesACPC!$D$8,$CT64&gt;=AF$41),1,0)</f>
        <v>0</v>
      </c>
      <c r="AG64" s="33">
        <f>IF(AND($B64&gt;=InputTrianglesACPC!$D$8,$CT64&gt;=AG$41),1,0)</f>
        <v>0</v>
      </c>
      <c r="AH64" s="33">
        <f>IF(AND($B64&gt;=InputTrianglesACPC!$D$8,$CT64&gt;=AH$41),1,0)</f>
        <v>0</v>
      </c>
      <c r="AI64" s="33">
        <f>IF(AND($B64&gt;=InputTrianglesACPC!$D$8,$CT64&gt;=AI$41),1,0)</f>
        <v>0</v>
      </c>
      <c r="AJ64" s="33">
        <f>IF(AND($B64&gt;=InputTrianglesACPC!$D$8,$CT64&gt;=AJ$41),1,0)</f>
        <v>0</v>
      </c>
      <c r="AK64" s="33">
        <f>IF(AND($B64&gt;=InputTrianglesACPC!$D$8,$CT64&gt;=AK$41),1,0)</f>
        <v>0</v>
      </c>
      <c r="AL64" s="33">
        <f>IF(AND($B64&gt;=InputTrianglesACPC!$D$8,$CT64&gt;=AL$41),1,0)</f>
        <v>0</v>
      </c>
      <c r="AM64" s="33">
        <f>IF(AND($B64&gt;=InputTrianglesACPC!$D$8,$CT64&gt;=AM$41),1,0)</f>
        <v>0</v>
      </c>
      <c r="AN64" s="33">
        <f>IF(AND($B64&gt;=InputTrianglesACPC!$D$8,$CT64&gt;=AN$41),1,0)</f>
        <v>0</v>
      </c>
      <c r="AO64" s="33">
        <f>IF(AND($B64&gt;=InputTrianglesACPC!$D$8,$CT64&gt;=AO$41),1,0)</f>
        <v>0</v>
      </c>
      <c r="AP64" s="33">
        <f>IF(AND($B64&gt;=InputTrianglesACPC!$D$8,$CT64&gt;=AP$41),1,0)</f>
        <v>0</v>
      </c>
      <c r="AQ64" s="33">
        <f>IF(AND($B64&gt;=InputTrianglesACPC!$D$8,$CT64&gt;=AQ$41),1,0)</f>
        <v>0</v>
      </c>
      <c r="AR64" s="33">
        <f>IF(AND($B64&gt;=InputTrianglesACPC!$D$8,$CT64&gt;=AR$41),1,0)</f>
        <v>0</v>
      </c>
      <c r="AS64" s="33">
        <f>IF(AND($B64&gt;=InputTrianglesACPC!$D$8,$CT64&gt;=AS$41),1,0)</f>
        <v>0</v>
      </c>
      <c r="AT64" s="33">
        <f>IF(AND($B64&gt;=InputTrianglesACPC!$D$8,$CT64&gt;=AT$41),1,0)</f>
        <v>0</v>
      </c>
      <c r="AU64" s="33">
        <f>IF(AND($B64&gt;=InputTrianglesACPC!$D$8,$CT64&gt;=AU$41),1,0)</f>
        <v>0</v>
      </c>
      <c r="AV64" s="33">
        <f>IF(AND($B64&gt;=InputTrianglesACPC!$D$8,$CT64&gt;=AV$41),1,0)</f>
        <v>0</v>
      </c>
      <c r="AW64" s="33">
        <f>IF(AND($B64&gt;=InputTrianglesACPC!$D$8,$CT64&gt;=AW$41),1,0)</f>
        <v>0</v>
      </c>
      <c r="AX64" s="33">
        <f>IF(AND($B64&gt;=InputTrianglesACPC!$D$8,$CT64&gt;=AX$41),1,0)</f>
        <v>0</v>
      </c>
      <c r="AY64" s="33">
        <f>IF(AND($B64&gt;=InputTrianglesACPC!$D$8,$CT64&gt;=AY$41),1,0)</f>
        <v>0</v>
      </c>
      <c r="AZ64" s="33">
        <f>IF(AND($B64&gt;=InputTrianglesACPC!$D$8,$CT64&gt;=AZ$41),1,0)</f>
        <v>0</v>
      </c>
      <c r="BA64" s="33">
        <f>IF(AND($B64&gt;=InputTrianglesACPC!$D$8,$CT64&gt;=BA$41),1,0)</f>
        <v>0</v>
      </c>
      <c r="BB64" s="33">
        <f>IF(AND($B64&gt;=InputTrianglesACPC!$D$8,$CT64&gt;=BB$41),1,0)</f>
        <v>0</v>
      </c>
      <c r="BC64" s="33">
        <f>IF(AND($B64&gt;=InputTrianglesACPC!$D$8,$CT64&gt;=BC$41),1,0)</f>
        <v>0</v>
      </c>
      <c r="BD64" s="33">
        <f>IF(AND($B64&gt;=InputTrianglesACPC!$D$8,$CT64&gt;=BD$41),1,0)</f>
        <v>0</v>
      </c>
      <c r="BE64" s="33">
        <f>IF(AND($B64&gt;=InputTrianglesACPC!$D$8,$CT64&gt;=BE$41),1,0)</f>
        <v>0</v>
      </c>
      <c r="BF64" s="33">
        <f>IF(AND($B64&gt;=InputTrianglesACPC!$D$8,$CT64&gt;=BF$41),1,0)</f>
        <v>0</v>
      </c>
      <c r="BG64" s="33">
        <f>IF(AND($B64&gt;=InputTrianglesACPC!$D$8,$CT64&gt;=BG$41),1,0)</f>
        <v>0</v>
      </c>
      <c r="BH64" s="33">
        <f>IF(AND($B64&gt;=InputTrianglesACPC!$D$8,$CT64&gt;=BH$41),1,0)</f>
        <v>0</v>
      </c>
      <c r="BI64" s="33">
        <f>IF(AND($B64&gt;=InputTrianglesACPC!$D$8,$CT64&gt;=BI$41),1,0)</f>
        <v>0</v>
      </c>
      <c r="BJ64" s="33">
        <f>IF(AND($B64&gt;=InputTrianglesACPC!$D$8,$CT64&gt;=BJ$41),1,0)</f>
        <v>0</v>
      </c>
      <c r="BK64" s="33">
        <f>IF(AND($B64&gt;=InputTrianglesACPC!$D$8,$CT64&gt;=BK$41),1,0)</f>
        <v>0</v>
      </c>
      <c r="BL64" s="33">
        <f>IF(AND($B64&gt;=InputTrianglesACPC!$D$8,$CT64&gt;=BL$41),1,0)</f>
        <v>0</v>
      </c>
      <c r="BM64" s="33">
        <f>IF(AND($B64&gt;=InputTrianglesACPC!$D$8,$CT64&gt;=BM$41),1,0)</f>
        <v>0</v>
      </c>
      <c r="BN64" s="33">
        <f>IF(AND($B64&gt;=InputTrianglesACPC!$D$8,$CT64&gt;=BN$41),1,0)</f>
        <v>0</v>
      </c>
      <c r="BO64" s="33">
        <f>IF(AND($B64&gt;=InputTrianglesACPC!$D$8,$CT64&gt;=BO$41),1,0)</f>
        <v>0</v>
      </c>
      <c r="BP64" s="33">
        <f>IF(AND($B64&gt;=InputTrianglesACPC!$D$8,$CT64&gt;=BP$41),1,0)</f>
        <v>0</v>
      </c>
      <c r="BQ64" s="33">
        <f>IF(AND($B64&gt;=InputTrianglesACPC!$D$8,$CT64&gt;=BQ$41),1,0)</f>
        <v>0</v>
      </c>
      <c r="BR64" s="33">
        <f>IF(AND($B64&gt;=InputTrianglesACPC!$D$8,$CT64&gt;=BR$41),1,0)</f>
        <v>0</v>
      </c>
      <c r="BS64" s="33">
        <f>IF(AND($B64&gt;=InputTrianglesACPC!$D$8,$CT64&gt;=BS$41),1,0)</f>
        <v>0</v>
      </c>
      <c r="BT64" s="33">
        <f>IF(AND($B64&gt;=InputTrianglesACPC!$D$8,$CT64&gt;=BT$41),1,0)</f>
        <v>0</v>
      </c>
      <c r="BU64" s="33">
        <f>IF(AND($B64&gt;=InputTrianglesACPC!$D$8,$CT64&gt;=BU$41),1,0)</f>
        <v>0</v>
      </c>
      <c r="BV64" s="33">
        <f>IF(AND($B64&gt;=InputTrianglesACPC!$D$8,$CT64&gt;=BV$41),1,0)</f>
        <v>0</v>
      </c>
      <c r="BW64" s="33">
        <f>IF(AND($B64&gt;=InputTrianglesACPC!$D$8,$CT64&gt;=BW$41),1,0)</f>
        <v>0</v>
      </c>
      <c r="BX64" s="33">
        <f>IF(AND($B64&gt;=InputTrianglesACPC!$D$8,$CT64&gt;=BX$41),1,0)</f>
        <v>0</v>
      </c>
      <c r="BY64" s="33">
        <f>IF(AND($B64&gt;=InputTrianglesACPC!$D$8,$CT64&gt;=BY$41),1,0)</f>
        <v>0</v>
      </c>
      <c r="BZ64" s="33">
        <f>IF(AND($B64&gt;=InputTrianglesACPC!$D$8,$CT64&gt;=BZ$41),1,0)</f>
        <v>0</v>
      </c>
      <c r="CA64" s="33">
        <f>IF(AND($B64&gt;=InputTrianglesACPC!$D$8,$CT64&gt;=CA$41),1,0)</f>
        <v>0</v>
      </c>
      <c r="CB64" s="33">
        <f>IF(AND($B64&gt;=InputTrianglesACPC!$D$8,$CT64&gt;=CB$41),1,0)</f>
        <v>0</v>
      </c>
      <c r="CC64" s="33">
        <f>IF(AND($B64&gt;=InputTrianglesACPC!$D$8,$CT64&gt;=CC$41),1,0)</f>
        <v>0</v>
      </c>
      <c r="CD64" s="33">
        <f>IF(AND($B64&gt;=InputTrianglesACPC!$D$8,$CT64&gt;=CD$41),1,0)</f>
        <v>0</v>
      </c>
      <c r="CE64" s="33">
        <f>IF(AND($B64&gt;=InputTrianglesACPC!$D$8,$CT64&gt;=CE$41),1,0)</f>
        <v>0</v>
      </c>
      <c r="CF64" s="33">
        <f>IF(AND($B64&gt;=InputTrianglesACPC!$D$8,$CT64&gt;=CF$41),1,0)</f>
        <v>0</v>
      </c>
      <c r="CG64" s="33">
        <f>IF(AND($B64&gt;=InputTrianglesACPC!$D$8,$CT64&gt;=CG$41),1,0)</f>
        <v>0</v>
      </c>
      <c r="CH64" s="33">
        <f>IF(AND($B64&gt;=InputTrianglesACPC!$D$8,$CT64&gt;=CH$41),1,0)</f>
        <v>0</v>
      </c>
      <c r="CI64" s="33">
        <f>IF(AND($B64&gt;=InputTrianglesACPC!$D$8,$CT64&gt;=CI$41),1,0)</f>
        <v>0</v>
      </c>
      <c r="CJ64" s="33">
        <f>IF(AND($B64&gt;=InputTrianglesACPC!$D$8,$CT64&gt;=CJ$41),1,0)</f>
        <v>0</v>
      </c>
      <c r="CK64" s="33">
        <f>IF(AND($B64&gt;=InputTrianglesACPC!$D$8,$CT64&gt;=CK$41),1,0)</f>
        <v>0</v>
      </c>
      <c r="CL64" s="33">
        <f>IF(AND($B64&gt;=InputTrianglesACPC!$D$8,$CT64&gt;=CL$41),1,0)</f>
        <v>0</v>
      </c>
      <c r="CM64" s="33">
        <f>IF(AND($B64&gt;=InputTrianglesACPC!$D$8,$CT64&gt;=CM$41),1,0)</f>
        <v>0</v>
      </c>
      <c r="CN64" s="33">
        <f>IF(AND($B64&gt;=InputTrianglesACPC!$D$8,$CT64&gt;=CN$41),1,0)</f>
        <v>0</v>
      </c>
      <c r="CO64" s="33">
        <f>IF(AND($B64&gt;=InputTrianglesACPC!$D$8,$CT64&gt;=CO$41),1,0)</f>
        <v>0</v>
      </c>
      <c r="CP64" s="33">
        <f>IF(AND($B64&gt;=InputTrianglesACPC!$D$8,$CT64&gt;=CP$41),1,0)</f>
        <v>0</v>
      </c>
      <c r="CQ64" s="33">
        <f>IF(AND($B64&gt;=InputTrianglesACPC!$D$8,$CT64&gt;=CQ$41),1,0)</f>
        <v>0</v>
      </c>
      <c r="CR64" s="33">
        <f>IF(AND($B64&gt;=InputTrianglesACPC!$D$8,$CT64&gt;=CR$41),1,0)</f>
        <v>0</v>
      </c>
      <c r="CS64" s="32">
        <f>IF(AND($B64&gt;=InputTrianglesACPC!$D$8,$CT64&gt;=CS$41),1,0)</f>
        <v>0</v>
      </c>
      <c r="CT64" s="31">
        <f>($D$9-InputTrianglesACPC!$B64)*InputTrianglesACPC!$E$4+$D$6</f>
        <v>2</v>
      </c>
    </row>
    <row r="65" spans="1:103" hidden="1" x14ac:dyDescent="0.25">
      <c r="A65" s="97">
        <v>0</v>
      </c>
      <c r="B65" s="34">
        <f>D9</f>
        <v>2019</v>
      </c>
      <c r="C65" s="35">
        <f>IF(AND($B65&gt;=InputTrianglesACPC!$D$8,$CT65&gt;=C$41),1,0)</f>
        <v>1</v>
      </c>
      <c r="D65" s="36">
        <f>IF(AND($B65&gt;=InputTrianglesACPC!$D$8,$CT65&gt;=D$41),1,0)</f>
        <v>0</v>
      </c>
      <c r="E65" s="36">
        <f>IF(AND($B65&gt;=InputTrianglesACPC!$D$8,$CT65&gt;=E$41),1,0)</f>
        <v>0</v>
      </c>
      <c r="F65" s="36">
        <f>IF(AND($B65&gt;=InputTrianglesACPC!$D$8,$CT65&gt;=F$41),1,0)</f>
        <v>0</v>
      </c>
      <c r="G65" s="36">
        <f>IF(AND($B65&gt;=InputTrianglesACPC!$D$8,$CT65&gt;=G$41),1,0)</f>
        <v>0</v>
      </c>
      <c r="H65" s="36">
        <f>IF(AND($B65&gt;=InputTrianglesACPC!$D$8,$CT65&gt;=H$41),1,0)</f>
        <v>0</v>
      </c>
      <c r="I65" s="36">
        <f>IF(AND($B65&gt;=InputTrianglesACPC!$D$8,$CT65&gt;=I$41),1,0)</f>
        <v>0</v>
      </c>
      <c r="J65" s="36">
        <f>IF(AND($B65&gt;=InputTrianglesACPC!$D$8,$CT65&gt;=J$41),1,0)</f>
        <v>0</v>
      </c>
      <c r="K65" s="36">
        <f>IF(AND($B65&gt;=InputTrianglesACPC!$D$8,$CT65&gt;=K$41),1,0)</f>
        <v>0</v>
      </c>
      <c r="L65" s="36">
        <f>IF(AND($B65&gt;=InputTrianglesACPC!$D$8,$CT65&gt;=L$41),1,0)</f>
        <v>0</v>
      </c>
      <c r="M65" s="36">
        <f>IF(AND($B65&gt;=InputTrianglesACPC!$D$8,$CT65&gt;=M$41),1,0)</f>
        <v>0</v>
      </c>
      <c r="N65" s="36">
        <f>IF(AND($B65&gt;=InputTrianglesACPC!$D$8,$CT65&gt;=N$41),1,0)</f>
        <v>0</v>
      </c>
      <c r="O65" s="36">
        <f>IF(AND($B65&gt;=InputTrianglesACPC!$D$8,$CT65&gt;=O$41),1,0)</f>
        <v>0</v>
      </c>
      <c r="P65" s="36">
        <f>IF(AND($B65&gt;=InputTrianglesACPC!$D$8,$CT65&gt;=P$41),1,0)</f>
        <v>0</v>
      </c>
      <c r="Q65" s="36">
        <f>IF(AND($B65&gt;=InputTrianglesACPC!$D$8,$CT65&gt;=Q$41),1,0)</f>
        <v>0</v>
      </c>
      <c r="R65" s="36">
        <f>IF(AND($B65&gt;=InputTrianglesACPC!$D$8,$CT65&gt;=R$41),1,0)</f>
        <v>0</v>
      </c>
      <c r="S65" s="36">
        <f>IF(AND($B65&gt;=InputTrianglesACPC!$D$8,$CT65&gt;=S$41),1,0)</f>
        <v>0</v>
      </c>
      <c r="T65" s="36">
        <f>IF(AND($B65&gt;=InputTrianglesACPC!$D$8,$CT65&gt;=T$41),1,0)</f>
        <v>0</v>
      </c>
      <c r="U65" s="36">
        <f>IF(AND($B65&gt;=InputTrianglesACPC!$D$8,$CT65&gt;=U$41),1,0)</f>
        <v>0</v>
      </c>
      <c r="V65" s="36">
        <f>IF(AND($B65&gt;=InputTrianglesACPC!$D$8,$CT65&gt;=V$41),1,0)</f>
        <v>0</v>
      </c>
      <c r="W65" s="36">
        <f>IF(AND($B65&gt;=InputTrianglesACPC!$D$8,$CT65&gt;=W$41),1,0)</f>
        <v>0</v>
      </c>
      <c r="X65" s="36">
        <f>IF(AND($B65&gt;=InputTrianglesACPC!$D$8,$CT65&gt;=X$41),1,0)</f>
        <v>0</v>
      </c>
      <c r="Y65" s="36">
        <f>IF(AND($B65&gt;=InputTrianglesACPC!$D$8,$CT65&gt;=Y$41),1,0)</f>
        <v>0</v>
      </c>
      <c r="Z65" s="36">
        <f>IF(AND($B65&gt;=InputTrianglesACPC!$D$8,$CT65&gt;=Z$41),1,0)</f>
        <v>0</v>
      </c>
      <c r="AA65" s="36">
        <f>IF(AND($B65&gt;=InputTrianglesACPC!$D$8,$CT65&gt;=AA$41),1,0)</f>
        <v>0</v>
      </c>
      <c r="AB65" s="36">
        <f>IF(AND($B65&gt;=InputTrianglesACPC!$D$8,$CT65&gt;=AB$41),1,0)</f>
        <v>0</v>
      </c>
      <c r="AC65" s="36">
        <f>IF(AND($B65&gt;=InputTrianglesACPC!$D$8,$CT65&gt;=AC$41),1,0)</f>
        <v>0</v>
      </c>
      <c r="AD65" s="36">
        <f>IF(AND($B65&gt;=InputTrianglesACPC!$D$8,$CT65&gt;=AD$41),1,0)</f>
        <v>0</v>
      </c>
      <c r="AE65" s="36">
        <f>IF(AND($B65&gt;=InputTrianglesACPC!$D$8,$CT65&gt;=AE$41),1,0)</f>
        <v>0</v>
      </c>
      <c r="AF65" s="36">
        <f>IF(AND($B65&gt;=InputTrianglesACPC!$D$8,$CT65&gt;=AF$41),1,0)</f>
        <v>0</v>
      </c>
      <c r="AG65" s="36">
        <f>IF(AND($B65&gt;=InputTrianglesACPC!$D$8,$CT65&gt;=AG$41),1,0)</f>
        <v>0</v>
      </c>
      <c r="AH65" s="36">
        <f>IF(AND($B65&gt;=InputTrianglesACPC!$D$8,$CT65&gt;=AH$41),1,0)</f>
        <v>0</v>
      </c>
      <c r="AI65" s="36">
        <f>IF(AND($B65&gt;=InputTrianglesACPC!$D$8,$CT65&gt;=AI$41),1,0)</f>
        <v>0</v>
      </c>
      <c r="AJ65" s="36">
        <f>IF(AND($B65&gt;=InputTrianglesACPC!$D$8,$CT65&gt;=AJ$41),1,0)</f>
        <v>0</v>
      </c>
      <c r="AK65" s="36">
        <f>IF(AND($B65&gt;=InputTrianglesACPC!$D$8,$CT65&gt;=AK$41),1,0)</f>
        <v>0</v>
      </c>
      <c r="AL65" s="36">
        <f>IF(AND($B65&gt;=InputTrianglesACPC!$D$8,$CT65&gt;=AL$41),1,0)</f>
        <v>0</v>
      </c>
      <c r="AM65" s="36">
        <f>IF(AND($B65&gt;=InputTrianglesACPC!$D$8,$CT65&gt;=AM$41),1,0)</f>
        <v>0</v>
      </c>
      <c r="AN65" s="36">
        <f>IF(AND($B65&gt;=InputTrianglesACPC!$D$8,$CT65&gt;=AN$41),1,0)</f>
        <v>0</v>
      </c>
      <c r="AO65" s="36">
        <f>IF(AND($B65&gt;=InputTrianglesACPC!$D$8,$CT65&gt;=AO$41),1,0)</f>
        <v>0</v>
      </c>
      <c r="AP65" s="36">
        <f>IF(AND($B65&gt;=InputTrianglesACPC!$D$8,$CT65&gt;=AP$41),1,0)</f>
        <v>0</v>
      </c>
      <c r="AQ65" s="36">
        <f>IF(AND($B65&gt;=InputTrianglesACPC!$D$8,$CT65&gt;=AQ$41),1,0)</f>
        <v>0</v>
      </c>
      <c r="AR65" s="36">
        <f>IF(AND($B65&gt;=InputTrianglesACPC!$D$8,$CT65&gt;=AR$41),1,0)</f>
        <v>0</v>
      </c>
      <c r="AS65" s="36">
        <f>IF(AND($B65&gt;=InputTrianglesACPC!$D$8,$CT65&gt;=AS$41),1,0)</f>
        <v>0</v>
      </c>
      <c r="AT65" s="36">
        <f>IF(AND($B65&gt;=InputTrianglesACPC!$D$8,$CT65&gt;=AT$41),1,0)</f>
        <v>0</v>
      </c>
      <c r="AU65" s="36">
        <f>IF(AND($B65&gt;=InputTrianglesACPC!$D$8,$CT65&gt;=AU$41),1,0)</f>
        <v>0</v>
      </c>
      <c r="AV65" s="36">
        <f>IF(AND($B65&gt;=InputTrianglesACPC!$D$8,$CT65&gt;=AV$41),1,0)</f>
        <v>0</v>
      </c>
      <c r="AW65" s="36">
        <f>IF(AND($B65&gt;=InputTrianglesACPC!$D$8,$CT65&gt;=AW$41),1,0)</f>
        <v>0</v>
      </c>
      <c r="AX65" s="36">
        <f>IF(AND($B65&gt;=InputTrianglesACPC!$D$8,$CT65&gt;=AX$41),1,0)</f>
        <v>0</v>
      </c>
      <c r="AY65" s="36">
        <f>IF(AND($B65&gt;=InputTrianglesACPC!$D$8,$CT65&gt;=AY$41),1,0)</f>
        <v>0</v>
      </c>
      <c r="AZ65" s="36">
        <f>IF(AND($B65&gt;=InputTrianglesACPC!$D$8,$CT65&gt;=AZ$41),1,0)</f>
        <v>0</v>
      </c>
      <c r="BA65" s="36">
        <f>IF(AND($B65&gt;=InputTrianglesACPC!$D$8,$CT65&gt;=BA$41),1,0)</f>
        <v>0</v>
      </c>
      <c r="BB65" s="36">
        <f>IF(AND($B65&gt;=InputTrianglesACPC!$D$8,$CT65&gt;=BB$41),1,0)</f>
        <v>0</v>
      </c>
      <c r="BC65" s="36">
        <f>IF(AND($B65&gt;=InputTrianglesACPC!$D$8,$CT65&gt;=BC$41),1,0)</f>
        <v>0</v>
      </c>
      <c r="BD65" s="36">
        <f>IF(AND($B65&gt;=InputTrianglesACPC!$D$8,$CT65&gt;=BD$41),1,0)</f>
        <v>0</v>
      </c>
      <c r="BE65" s="36">
        <f>IF(AND($B65&gt;=InputTrianglesACPC!$D$8,$CT65&gt;=BE$41),1,0)</f>
        <v>0</v>
      </c>
      <c r="BF65" s="36">
        <f>IF(AND($B65&gt;=InputTrianglesACPC!$D$8,$CT65&gt;=BF$41),1,0)</f>
        <v>0</v>
      </c>
      <c r="BG65" s="36">
        <f>IF(AND($B65&gt;=InputTrianglesACPC!$D$8,$CT65&gt;=BG$41),1,0)</f>
        <v>0</v>
      </c>
      <c r="BH65" s="36">
        <f>IF(AND($B65&gt;=InputTrianglesACPC!$D$8,$CT65&gt;=BH$41),1,0)</f>
        <v>0</v>
      </c>
      <c r="BI65" s="36">
        <f>IF(AND($B65&gt;=InputTrianglesACPC!$D$8,$CT65&gt;=BI$41),1,0)</f>
        <v>0</v>
      </c>
      <c r="BJ65" s="36">
        <f>IF(AND($B65&gt;=InputTrianglesACPC!$D$8,$CT65&gt;=BJ$41),1,0)</f>
        <v>0</v>
      </c>
      <c r="BK65" s="36">
        <f>IF(AND($B65&gt;=InputTrianglesACPC!$D$8,$CT65&gt;=BK$41),1,0)</f>
        <v>0</v>
      </c>
      <c r="BL65" s="36">
        <f>IF(AND($B65&gt;=InputTrianglesACPC!$D$8,$CT65&gt;=BL$41),1,0)</f>
        <v>0</v>
      </c>
      <c r="BM65" s="36">
        <f>IF(AND($B65&gt;=InputTrianglesACPC!$D$8,$CT65&gt;=BM$41),1,0)</f>
        <v>0</v>
      </c>
      <c r="BN65" s="36">
        <f>IF(AND($B65&gt;=InputTrianglesACPC!$D$8,$CT65&gt;=BN$41),1,0)</f>
        <v>0</v>
      </c>
      <c r="BO65" s="36">
        <f>IF(AND($B65&gt;=InputTrianglesACPC!$D$8,$CT65&gt;=BO$41),1,0)</f>
        <v>0</v>
      </c>
      <c r="BP65" s="36">
        <f>IF(AND($B65&gt;=InputTrianglesACPC!$D$8,$CT65&gt;=BP$41),1,0)</f>
        <v>0</v>
      </c>
      <c r="BQ65" s="36">
        <f>IF(AND($B65&gt;=InputTrianglesACPC!$D$8,$CT65&gt;=BQ$41),1,0)</f>
        <v>0</v>
      </c>
      <c r="BR65" s="36">
        <f>IF(AND($B65&gt;=InputTrianglesACPC!$D$8,$CT65&gt;=BR$41),1,0)</f>
        <v>0</v>
      </c>
      <c r="BS65" s="36">
        <f>IF(AND($B65&gt;=InputTrianglesACPC!$D$8,$CT65&gt;=BS$41),1,0)</f>
        <v>0</v>
      </c>
      <c r="BT65" s="36">
        <f>IF(AND($B65&gt;=InputTrianglesACPC!$D$8,$CT65&gt;=BT$41),1,0)</f>
        <v>0</v>
      </c>
      <c r="BU65" s="36">
        <f>IF(AND($B65&gt;=InputTrianglesACPC!$D$8,$CT65&gt;=BU$41),1,0)</f>
        <v>0</v>
      </c>
      <c r="BV65" s="36">
        <f>IF(AND($B65&gt;=InputTrianglesACPC!$D$8,$CT65&gt;=BV$41),1,0)</f>
        <v>0</v>
      </c>
      <c r="BW65" s="36">
        <f>IF(AND($B65&gt;=InputTrianglesACPC!$D$8,$CT65&gt;=BW$41),1,0)</f>
        <v>0</v>
      </c>
      <c r="BX65" s="36">
        <f>IF(AND($B65&gt;=InputTrianglesACPC!$D$8,$CT65&gt;=BX$41),1,0)</f>
        <v>0</v>
      </c>
      <c r="BY65" s="36">
        <f>IF(AND($B65&gt;=InputTrianglesACPC!$D$8,$CT65&gt;=BY$41),1,0)</f>
        <v>0</v>
      </c>
      <c r="BZ65" s="36">
        <f>IF(AND($B65&gt;=InputTrianglesACPC!$D$8,$CT65&gt;=BZ$41),1,0)</f>
        <v>0</v>
      </c>
      <c r="CA65" s="36">
        <f>IF(AND($B65&gt;=InputTrianglesACPC!$D$8,$CT65&gt;=CA$41),1,0)</f>
        <v>0</v>
      </c>
      <c r="CB65" s="36">
        <f>IF(AND($B65&gt;=InputTrianglesACPC!$D$8,$CT65&gt;=CB$41),1,0)</f>
        <v>0</v>
      </c>
      <c r="CC65" s="36">
        <f>IF(AND($B65&gt;=InputTrianglesACPC!$D$8,$CT65&gt;=CC$41),1,0)</f>
        <v>0</v>
      </c>
      <c r="CD65" s="36">
        <f>IF(AND($B65&gt;=InputTrianglesACPC!$D$8,$CT65&gt;=CD$41),1,0)</f>
        <v>0</v>
      </c>
      <c r="CE65" s="36">
        <f>IF(AND($B65&gt;=InputTrianglesACPC!$D$8,$CT65&gt;=CE$41),1,0)</f>
        <v>0</v>
      </c>
      <c r="CF65" s="36">
        <f>IF(AND($B65&gt;=InputTrianglesACPC!$D$8,$CT65&gt;=CF$41),1,0)</f>
        <v>0</v>
      </c>
      <c r="CG65" s="36">
        <f>IF(AND($B65&gt;=InputTrianglesACPC!$D$8,$CT65&gt;=CG$41),1,0)</f>
        <v>0</v>
      </c>
      <c r="CH65" s="36">
        <f>IF(AND($B65&gt;=InputTrianglesACPC!$D$8,$CT65&gt;=CH$41),1,0)</f>
        <v>0</v>
      </c>
      <c r="CI65" s="36">
        <f>IF(AND($B65&gt;=InputTrianglesACPC!$D$8,$CT65&gt;=CI$41),1,0)</f>
        <v>0</v>
      </c>
      <c r="CJ65" s="36">
        <f>IF(AND($B65&gt;=InputTrianglesACPC!$D$8,$CT65&gt;=CJ$41),1,0)</f>
        <v>0</v>
      </c>
      <c r="CK65" s="36">
        <f>IF(AND($B65&gt;=InputTrianglesACPC!$D$8,$CT65&gt;=CK$41),1,0)</f>
        <v>0</v>
      </c>
      <c r="CL65" s="36">
        <f>IF(AND($B65&gt;=InputTrianglesACPC!$D$8,$CT65&gt;=CL$41),1,0)</f>
        <v>0</v>
      </c>
      <c r="CM65" s="36">
        <f>IF(AND($B65&gt;=InputTrianglesACPC!$D$8,$CT65&gt;=CM$41),1,0)</f>
        <v>0</v>
      </c>
      <c r="CN65" s="36">
        <f>IF(AND($B65&gt;=InputTrianglesACPC!$D$8,$CT65&gt;=CN$41),1,0)</f>
        <v>0</v>
      </c>
      <c r="CO65" s="36">
        <f>IF(AND($B65&gt;=InputTrianglesACPC!$D$8,$CT65&gt;=CO$41),1,0)</f>
        <v>0</v>
      </c>
      <c r="CP65" s="36">
        <f>IF(AND($B65&gt;=InputTrianglesACPC!$D$8,$CT65&gt;=CP$41),1,0)</f>
        <v>0</v>
      </c>
      <c r="CQ65" s="36">
        <f>IF(AND($B65&gt;=InputTrianglesACPC!$D$8,$CT65&gt;=CQ$41),1,0)</f>
        <v>0</v>
      </c>
      <c r="CR65" s="36">
        <f>IF(AND($B65&gt;=InputTrianglesACPC!$D$8,$CT65&gt;=CR$41),1,0)</f>
        <v>0</v>
      </c>
      <c r="CS65" s="37">
        <f>IF(AND($B65&gt;=InputTrianglesACPC!$D$8,$CT65&gt;=CS$41),1,0)</f>
        <v>0</v>
      </c>
      <c r="CT65" s="80">
        <f>($D$9-InputTrianglesACPC!$B65)*InputTrianglesACPC!$E$4+$D$6</f>
        <v>1</v>
      </c>
    </row>
    <row r="66" spans="1:103" hidden="1" x14ac:dyDescent="0.25">
      <c r="A66" s="97">
        <v>0</v>
      </c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</row>
    <row r="67" spans="1:103" ht="18.75" x14ac:dyDescent="0.3">
      <c r="A67" s="182">
        <v>1</v>
      </c>
      <c r="B67" s="184" t="s">
        <v>1</v>
      </c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83"/>
      <c r="BG67" s="183"/>
      <c r="BH67" s="183"/>
      <c r="BI67" s="183"/>
      <c r="BJ67" s="183"/>
      <c r="BK67" s="183"/>
      <c r="BL67" s="183"/>
      <c r="BM67" s="183"/>
      <c r="BN67" s="183"/>
      <c r="BO67" s="183"/>
      <c r="BP67" s="183"/>
      <c r="BQ67" s="183"/>
      <c r="BR67" s="183"/>
      <c r="BS67" s="183"/>
      <c r="BT67" s="183"/>
      <c r="BU67" s="183"/>
      <c r="BV67" s="183"/>
      <c r="BW67" s="183"/>
      <c r="BX67" s="183"/>
      <c r="BY67" s="183"/>
      <c r="BZ67" s="183"/>
      <c r="CA67" s="183"/>
      <c r="CB67" s="183"/>
      <c r="CC67" s="183"/>
      <c r="CD67" s="183"/>
      <c r="CE67" s="183"/>
      <c r="CF67" s="183"/>
      <c r="CG67" s="183"/>
      <c r="CH67" s="183"/>
      <c r="CI67" s="183"/>
      <c r="CJ67" s="183"/>
      <c r="CK67" s="183"/>
      <c r="CL67" s="183"/>
      <c r="CM67" s="183"/>
      <c r="CN67" s="183"/>
      <c r="CO67" s="183"/>
      <c r="CP67" s="183"/>
      <c r="CQ67" s="183"/>
      <c r="CR67" s="183"/>
      <c r="CS67" s="183"/>
      <c r="CT67" s="183"/>
      <c r="CU67" s="183"/>
      <c r="CV67" s="183"/>
      <c r="CW67" s="183"/>
    </row>
    <row r="68" spans="1:103" x14ac:dyDescent="0.25">
      <c r="A68" s="97">
        <v>1</v>
      </c>
      <c r="B68" s="89" t="s">
        <v>2</v>
      </c>
      <c r="C68" s="156"/>
      <c r="D68" s="157" t="str">
        <f t="shared" ref="D68:BO68" si="8">D13&amp;" / "&amp;C13</f>
        <v>2 / 1</v>
      </c>
      <c r="E68" s="157" t="str">
        <f t="shared" si="8"/>
        <v>3 / 2</v>
      </c>
      <c r="F68" s="157" t="str">
        <f t="shared" si="8"/>
        <v>4 / 3</v>
      </c>
      <c r="G68" s="157" t="str">
        <f t="shared" si="8"/>
        <v>5 / 4</v>
      </c>
      <c r="H68" s="157" t="str">
        <f t="shared" si="8"/>
        <v>6 / 5</v>
      </c>
      <c r="I68" s="157" t="str">
        <f t="shared" si="8"/>
        <v>7 / 6</v>
      </c>
      <c r="J68" s="157" t="str">
        <f t="shared" si="8"/>
        <v>8 / 7</v>
      </c>
      <c r="K68" s="157" t="str">
        <f t="shared" si="8"/>
        <v>9 / 8</v>
      </c>
      <c r="L68" s="157" t="str">
        <f t="shared" si="8"/>
        <v>10 / 9</v>
      </c>
      <c r="M68" s="157" t="str">
        <f t="shared" si="8"/>
        <v>11 / 10</v>
      </c>
      <c r="N68" s="157" t="str">
        <f t="shared" si="8"/>
        <v>12 / 11</v>
      </c>
      <c r="O68" s="157" t="str">
        <f t="shared" si="8"/>
        <v>13 / 12</v>
      </c>
      <c r="P68" s="157" t="str">
        <f t="shared" si="8"/>
        <v>14 / 13</v>
      </c>
      <c r="Q68" s="157" t="str">
        <f t="shared" si="8"/>
        <v>15 / 14</v>
      </c>
      <c r="R68" s="157" t="str">
        <f t="shared" si="8"/>
        <v>16 / 15</v>
      </c>
      <c r="S68" s="157" t="str">
        <f t="shared" si="8"/>
        <v>17 / 16</v>
      </c>
      <c r="T68" s="157" t="str">
        <f t="shared" si="8"/>
        <v>18 / 17</v>
      </c>
      <c r="U68" s="157" t="str">
        <f t="shared" si="8"/>
        <v>19 / 18</v>
      </c>
      <c r="V68" s="157" t="str">
        <f t="shared" si="8"/>
        <v>20 / 19</v>
      </c>
      <c r="W68" s="157" t="str">
        <f t="shared" si="8"/>
        <v>21 / 20</v>
      </c>
      <c r="X68" s="157" t="str">
        <f t="shared" si="8"/>
        <v>22 / 21</v>
      </c>
      <c r="Y68" s="157" t="str">
        <f t="shared" si="8"/>
        <v>23 / 22</v>
      </c>
      <c r="Z68" s="157" t="str">
        <f t="shared" si="8"/>
        <v>24 / 23</v>
      </c>
      <c r="AA68" s="157" t="str">
        <f t="shared" si="8"/>
        <v>25 / 24</v>
      </c>
      <c r="AB68" s="157" t="str">
        <f t="shared" si="8"/>
        <v>26 / 25</v>
      </c>
      <c r="AC68" s="157" t="str">
        <f t="shared" si="8"/>
        <v>27 / 26</v>
      </c>
      <c r="AD68" s="157" t="str">
        <f t="shared" si="8"/>
        <v>28 / 27</v>
      </c>
      <c r="AE68" s="157" t="str">
        <f t="shared" si="8"/>
        <v>29 / 28</v>
      </c>
      <c r="AF68" s="157" t="str">
        <f t="shared" si="8"/>
        <v>30 / 29</v>
      </c>
      <c r="AG68" s="157" t="str">
        <f t="shared" si="8"/>
        <v>31 / 30</v>
      </c>
      <c r="AH68" s="157" t="str">
        <f t="shared" si="8"/>
        <v>32 / 31</v>
      </c>
      <c r="AI68" s="157" t="str">
        <f t="shared" si="8"/>
        <v>33 / 32</v>
      </c>
      <c r="AJ68" s="157" t="str">
        <f t="shared" si="8"/>
        <v>34 / 33</v>
      </c>
      <c r="AK68" s="157" t="str">
        <f t="shared" si="8"/>
        <v>35 / 34</v>
      </c>
      <c r="AL68" s="157" t="str">
        <f t="shared" si="8"/>
        <v>36 / 35</v>
      </c>
      <c r="AM68" s="157" t="str">
        <f t="shared" si="8"/>
        <v>37 / 36</v>
      </c>
      <c r="AN68" s="157" t="str">
        <f t="shared" si="8"/>
        <v>38 / 37</v>
      </c>
      <c r="AO68" s="157" t="str">
        <f t="shared" si="8"/>
        <v>39 / 38</v>
      </c>
      <c r="AP68" s="157" t="str">
        <f t="shared" si="8"/>
        <v>40 / 39</v>
      </c>
      <c r="AQ68" s="157" t="str">
        <f t="shared" si="8"/>
        <v>41 / 40</v>
      </c>
      <c r="AR68" s="157" t="str">
        <f t="shared" si="8"/>
        <v>42 / 41</v>
      </c>
      <c r="AS68" s="157" t="str">
        <f t="shared" si="8"/>
        <v>43 / 42</v>
      </c>
      <c r="AT68" s="157" t="str">
        <f t="shared" si="8"/>
        <v>44 / 43</v>
      </c>
      <c r="AU68" s="157" t="str">
        <f t="shared" si="8"/>
        <v>45 / 44</v>
      </c>
      <c r="AV68" s="157" t="str">
        <f t="shared" si="8"/>
        <v>46 / 45</v>
      </c>
      <c r="AW68" s="157" t="str">
        <f t="shared" si="8"/>
        <v>47 / 46</v>
      </c>
      <c r="AX68" s="157" t="str">
        <f t="shared" si="8"/>
        <v>48 / 47</v>
      </c>
      <c r="AY68" s="157" t="str">
        <f t="shared" si="8"/>
        <v>49 / 48</v>
      </c>
      <c r="AZ68" s="157" t="str">
        <f t="shared" si="8"/>
        <v>50 / 49</v>
      </c>
      <c r="BA68" s="157" t="str">
        <f t="shared" si="8"/>
        <v>51 / 50</v>
      </c>
      <c r="BB68" s="157" t="str">
        <f t="shared" si="8"/>
        <v>52 / 51</v>
      </c>
      <c r="BC68" s="157" t="str">
        <f t="shared" si="8"/>
        <v>53 / 52</v>
      </c>
      <c r="BD68" s="157" t="str">
        <f t="shared" si="8"/>
        <v>54 / 53</v>
      </c>
      <c r="BE68" s="157" t="str">
        <f t="shared" si="8"/>
        <v>55 / 54</v>
      </c>
      <c r="BF68" s="157" t="str">
        <f t="shared" si="8"/>
        <v>56 / 55</v>
      </c>
      <c r="BG68" s="157" t="str">
        <f t="shared" si="8"/>
        <v>57 / 56</v>
      </c>
      <c r="BH68" s="157" t="str">
        <f t="shared" si="8"/>
        <v>58 / 57</v>
      </c>
      <c r="BI68" s="157" t="str">
        <f t="shared" si="8"/>
        <v>59 / 58</v>
      </c>
      <c r="BJ68" s="157" t="str">
        <f t="shared" si="8"/>
        <v>60 / 59</v>
      </c>
      <c r="BK68" s="157" t="str">
        <f t="shared" si="8"/>
        <v>61 / 60</v>
      </c>
      <c r="BL68" s="157" t="str">
        <f t="shared" si="8"/>
        <v>62 / 61</v>
      </c>
      <c r="BM68" s="157" t="str">
        <f t="shared" si="8"/>
        <v>63 / 62</v>
      </c>
      <c r="BN68" s="157" t="str">
        <f t="shared" si="8"/>
        <v>64 / 63</v>
      </c>
      <c r="BO68" s="157" t="str">
        <f t="shared" si="8"/>
        <v>65 / 64</v>
      </c>
      <c r="BP68" s="157" t="str">
        <f t="shared" ref="BP68:CS68" si="9">BP13&amp;" / "&amp;BO13</f>
        <v>66 / 65</v>
      </c>
      <c r="BQ68" s="157" t="str">
        <f t="shared" si="9"/>
        <v>67 / 66</v>
      </c>
      <c r="BR68" s="157" t="str">
        <f t="shared" si="9"/>
        <v>68 / 67</v>
      </c>
      <c r="BS68" s="157" t="str">
        <f t="shared" si="9"/>
        <v>69 / 68</v>
      </c>
      <c r="BT68" s="157" t="str">
        <f t="shared" si="9"/>
        <v>70 / 69</v>
      </c>
      <c r="BU68" s="157" t="str">
        <f t="shared" si="9"/>
        <v>71 / 70</v>
      </c>
      <c r="BV68" s="157" t="str">
        <f t="shared" si="9"/>
        <v>72 / 71</v>
      </c>
      <c r="BW68" s="157" t="str">
        <f t="shared" si="9"/>
        <v>73 / 72</v>
      </c>
      <c r="BX68" s="157" t="str">
        <f t="shared" si="9"/>
        <v>74 / 73</v>
      </c>
      <c r="BY68" s="157" t="str">
        <f t="shared" si="9"/>
        <v>75 / 74</v>
      </c>
      <c r="BZ68" s="157" t="str">
        <f t="shared" si="9"/>
        <v>76 / 75</v>
      </c>
      <c r="CA68" s="157" t="str">
        <f t="shared" si="9"/>
        <v>77 / 76</v>
      </c>
      <c r="CB68" s="157" t="str">
        <f t="shared" si="9"/>
        <v>78 / 77</v>
      </c>
      <c r="CC68" s="157" t="str">
        <f t="shared" si="9"/>
        <v>79 / 78</v>
      </c>
      <c r="CD68" s="157" t="str">
        <f t="shared" si="9"/>
        <v>80 / 79</v>
      </c>
      <c r="CE68" s="157" t="str">
        <f t="shared" si="9"/>
        <v>81 / 80</v>
      </c>
      <c r="CF68" s="157" t="str">
        <f t="shared" si="9"/>
        <v>82 / 81</v>
      </c>
      <c r="CG68" s="157" t="str">
        <f t="shared" si="9"/>
        <v>83 / 82</v>
      </c>
      <c r="CH68" s="157" t="str">
        <f t="shared" si="9"/>
        <v>84 / 83</v>
      </c>
      <c r="CI68" s="157" t="str">
        <f t="shared" si="9"/>
        <v>85 / 84</v>
      </c>
      <c r="CJ68" s="157" t="str">
        <f t="shared" si="9"/>
        <v>86 / 85</v>
      </c>
      <c r="CK68" s="157" t="str">
        <f t="shared" si="9"/>
        <v>87 / 86</v>
      </c>
      <c r="CL68" s="157" t="str">
        <f t="shared" si="9"/>
        <v>88 / 87</v>
      </c>
      <c r="CM68" s="157" t="str">
        <f t="shared" si="9"/>
        <v>89 / 88</v>
      </c>
      <c r="CN68" s="157" t="str">
        <f t="shared" si="9"/>
        <v>90 / 89</v>
      </c>
      <c r="CO68" s="157" t="str">
        <f t="shared" si="9"/>
        <v>91 / 90</v>
      </c>
      <c r="CP68" s="157" t="str">
        <f t="shared" si="9"/>
        <v>92 / 91</v>
      </c>
      <c r="CQ68" s="157" t="str">
        <f t="shared" si="9"/>
        <v>93 / 92</v>
      </c>
      <c r="CR68" s="157" t="str">
        <f t="shared" si="9"/>
        <v>94 / 93</v>
      </c>
      <c r="CS68" s="157" t="str">
        <f t="shared" si="9"/>
        <v>95 / 94</v>
      </c>
      <c r="CT68" s="224" t="s">
        <v>54</v>
      </c>
      <c r="CU68" s="82"/>
      <c r="CV68" s="82"/>
      <c r="CW68" s="12"/>
    </row>
    <row r="69" spans="1:103" hidden="1" x14ac:dyDescent="0.25">
      <c r="A69" s="97">
        <f>A14</f>
        <v>0</v>
      </c>
      <c r="B69" s="31">
        <f>B14</f>
        <v>1996</v>
      </c>
      <c r="C69" s="158"/>
      <c r="D69" s="159" t="str">
        <f t="shared" ref="D69:BO72" si="10">IFERROR(IF(D42=1,D14/C14,""),"")</f>
        <v/>
      </c>
      <c r="E69" s="159" t="str">
        <f t="shared" si="10"/>
        <v/>
      </c>
      <c r="F69" s="159" t="str">
        <f t="shared" si="10"/>
        <v/>
      </c>
      <c r="G69" s="159" t="str">
        <f t="shared" si="10"/>
        <v/>
      </c>
      <c r="H69" s="159" t="str">
        <f t="shared" si="10"/>
        <v/>
      </c>
      <c r="I69" s="159" t="str">
        <f t="shared" si="10"/>
        <v/>
      </c>
      <c r="J69" s="159" t="str">
        <f t="shared" si="10"/>
        <v/>
      </c>
      <c r="K69" s="159" t="str">
        <f t="shared" si="10"/>
        <v/>
      </c>
      <c r="L69" s="159" t="str">
        <f t="shared" si="10"/>
        <v/>
      </c>
      <c r="M69" s="159" t="str">
        <f t="shared" si="10"/>
        <v/>
      </c>
      <c r="N69" s="159" t="str">
        <f t="shared" si="10"/>
        <v/>
      </c>
      <c r="O69" s="159" t="str">
        <f t="shared" si="10"/>
        <v/>
      </c>
      <c r="P69" s="159" t="str">
        <f t="shared" si="10"/>
        <v/>
      </c>
      <c r="Q69" s="159" t="str">
        <f t="shared" si="10"/>
        <v/>
      </c>
      <c r="R69" s="159" t="str">
        <f t="shared" si="10"/>
        <v/>
      </c>
      <c r="S69" s="159" t="str">
        <f t="shared" si="10"/>
        <v/>
      </c>
      <c r="T69" s="159" t="str">
        <f t="shared" si="10"/>
        <v/>
      </c>
      <c r="U69" s="159" t="str">
        <f t="shared" si="10"/>
        <v/>
      </c>
      <c r="V69" s="159" t="str">
        <f t="shared" si="10"/>
        <v/>
      </c>
      <c r="W69" s="159" t="str">
        <f t="shared" si="10"/>
        <v/>
      </c>
      <c r="X69" s="159" t="str">
        <f t="shared" si="10"/>
        <v/>
      </c>
      <c r="Y69" s="159" t="str">
        <f t="shared" si="10"/>
        <v/>
      </c>
      <c r="Z69" s="159" t="str">
        <f t="shared" si="10"/>
        <v/>
      </c>
      <c r="AA69" s="159" t="str">
        <f t="shared" si="10"/>
        <v/>
      </c>
      <c r="AB69" s="159" t="str">
        <f t="shared" si="10"/>
        <v/>
      </c>
      <c r="AC69" s="159" t="str">
        <f t="shared" si="10"/>
        <v/>
      </c>
      <c r="AD69" s="159" t="str">
        <f t="shared" si="10"/>
        <v/>
      </c>
      <c r="AE69" s="159" t="str">
        <f t="shared" si="10"/>
        <v/>
      </c>
      <c r="AF69" s="159" t="str">
        <f t="shared" si="10"/>
        <v/>
      </c>
      <c r="AG69" s="159" t="str">
        <f t="shared" si="10"/>
        <v/>
      </c>
      <c r="AH69" s="159" t="str">
        <f t="shared" si="10"/>
        <v/>
      </c>
      <c r="AI69" s="159" t="str">
        <f t="shared" si="10"/>
        <v/>
      </c>
      <c r="AJ69" s="159" t="str">
        <f t="shared" si="10"/>
        <v/>
      </c>
      <c r="AK69" s="159" t="str">
        <f t="shared" si="10"/>
        <v/>
      </c>
      <c r="AL69" s="159" t="str">
        <f t="shared" si="10"/>
        <v/>
      </c>
      <c r="AM69" s="159" t="str">
        <f t="shared" si="10"/>
        <v/>
      </c>
      <c r="AN69" s="159" t="str">
        <f t="shared" si="10"/>
        <v/>
      </c>
      <c r="AO69" s="159" t="str">
        <f t="shared" si="10"/>
        <v/>
      </c>
      <c r="AP69" s="159" t="str">
        <f t="shared" si="10"/>
        <v/>
      </c>
      <c r="AQ69" s="159" t="str">
        <f t="shared" si="10"/>
        <v/>
      </c>
      <c r="AR69" s="159" t="str">
        <f t="shared" si="10"/>
        <v/>
      </c>
      <c r="AS69" s="159" t="str">
        <f t="shared" si="10"/>
        <v/>
      </c>
      <c r="AT69" s="159" t="str">
        <f t="shared" si="10"/>
        <v/>
      </c>
      <c r="AU69" s="159" t="str">
        <f t="shared" si="10"/>
        <v/>
      </c>
      <c r="AV69" s="159" t="str">
        <f t="shared" si="10"/>
        <v/>
      </c>
      <c r="AW69" s="159" t="str">
        <f t="shared" si="10"/>
        <v/>
      </c>
      <c r="AX69" s="159" t="str">
        <f t="shared" si="10"/>
        <v/>
      </c>
      <c r="AY69" s="159" t="str">
        <f t="shared" si="10"/>
        <v/>
      </c>
      <c r="AZ69" s="159" t="str">
        <f t="shared" si="10"/>
        <v/>
      </c>
      <c r="BA69" s="159" t="str">
        <f t="shared" si="10"/>
        <v/>
      </c>
      <c r="BB69" s="159" t="str">
        <f t="shared" si="10"/>
        <v/>
      </c>
      <c r="BC69" s="159" t="str">
        <f t="shared" si="10"/>
        <v/>
      </c>
      <c r="BD69" s="159" t="str">
        <f t="shared" si="10"/>
        <v/>
      </c>
      <c r="BE69" s="159" t="str">
        <f t="shared" si="10"/>
        <v/>
      </c>
      <c r="BF69" s="159" t="str">
        <f t="shared" si="10"/>
        <v/>
      </c>
      <c r="BG69" s="159" t="str">
        <f t="shared" si="10"/>
        <v/>
      </c>
      <c r="BH69" s="159" t="str">
        <f t="shared" si="10"/>
        <v/>
      </c>
      <c r="BI69" s="159" t="str">
        <f t="shared" si="10"/>
        <v/>
      </c>
      <c r="BJ69" s="159" t="str">
        <f t="shared" si="10"/>
        <v/>
      </c>
      <c r="BK69" s="159" t="str">
        <f t="shared" si="10"/>
        <v/>
      </c>
      <c r="BL69" s="159" t="str">
        <f t="shared" si="10"/>
        <v/>
      </c>
      <c r="BM69" s="159" t="str">
        <f t="shared" si="10"/>
        <v/>
      </c>
      <c r="BN69" s="159" t="str">
        <f t="shared" si="10"/>
        <v/>
      </c>
      <c r="BO69" s="159" t="str">
        <f t="shared" si="10"/>
        <v/>
      </c>
      <c r="BP69" s="159" t="str">
        <f t="shared" ref="BP69:CS77" si="11">IFERROR(IF(BP42=1,BP14/BO14,""),"")</f>
        <v/>
      </c>
      <c r="BQ69" s="159" t="str">
        <f t="shared" si="11"/>
        <v/>
      </c>
      <c r="BR69" s="159" t="str">
        <f t="shared" si="11"/>
        <v/>
      </c>
      <c r="BS69" s="159" t="str">
        <f t="shared" si="11"/>
        <v/>
      </c>
      <c r="BT69" s="159" t="str">
        <f t="shared" si="11"/>
        <v/>
      </c>
      <c r="BU69" s="159" t="str">
        <f t="shared" si="11"/>
        <v/>
      </c>
      <c r="BV69" s="159" t="str">
        <f t="shared" si="11"/>
        <v/>
      </c>
      <c r="BW69" s="159" t="str">
        <f t="shared" si="11"/>
        <v/>
      </c>
      <c r="BX69" s="159" t="str">
        <f t="shared" si="11"/>
        <v/>
      </c>
      <c r="BY69" s="159" t="str">
        <f t="shared" si="11"/>
        <v/>
      </c>
      <c r="BZ69" s="159" t="str">
        <f t="shared" si="11"/>
        <v/>
      </c>
      <c r="CA69" s="159" t="str">
        <f t="shared" si="11"/>
        <v/>
      </c>
      <c r="CB69" s="159" t="str">
        <f t="shared" si="11"/>
        <v/>
      </c>
      <c r="CC69" s="159" t="str">
        <f t="shared" si="11"/>
        <v/>
      </c>
      <c r="CD69" s="159" t="str">
        <f t="shared" si="11"/>
        <v/>
      </c>
      <c r="CE69" s="159" t="str">
        <f t="shared" si="11"/>
        <v/>
      </c>
      <c r="CF69" s="159" t="str">
        <f t="shared" si="11"/>
        <v/>
      </c>
      <c r="CG69" s="159" t="str">
        <f t="shared" si="11"/>
        <v/>
      </c>
      <c r="CH69" s="159" t="str">
        <f t="shared" si="11"/>
        <v/>
      </c>
      <c r="CI69" s="159" t="str">
        <f t="shared" si="11"/>
        <v/>
      </c>
      <c r="CJ69" s="159" t="str">
        <f t="shared" si="11"/>
        <v/>
      </c>
      <c r="CK69" s="159" t="str">
        <f t="shared" si="11"/>
        <v/>
      </c>
      <c r="CL69" s="159" t="str">
        <f t="shared" si="11"/>
        <v/>
      </c>
      <c r="CM69" s="159" t="str">
        <f t="shared" si="11"/>
        <v/>
      </c>
      <c r="CN69" s="159" t="str">
        <f t="shared" si="11"/>
        <v/>
      </c>
      <c r="CO69" s="159" t="str">
        <f t="shared" si="11"/>
        <v/>
      </c>
      <c r="CP69" s="159" t="str">
        <f t="shared" si="11"/>
        <v/>
      </c>
      <c r="CQ69" s="159" t="str">
        <f t="shared" si="11"/>
        <v/>
      </c>
      <c r="CR69" s="159" t="str">
        <f t="shared" si="11"/>
        <v/>
      </c>
      <c r="CS69" s="159" t="str">
        <f t="shared" si="11"/>
        <v/>
      </c>
      <c r="CT69" s="225" t="s">
        <v>54</v>
      </c>
      <c r="CU69" s="83"/>
      <c r="CV69" s="83"/>
      <c r="CW69" s="12"/>
    </row>
    <row r="70" spans="1:103" hidden="1" x14ac:dyDescent="0.25">
      <c r="A70" s="97">
        <f t="shared" ref="A70:B85" si="12">A15</f>
        <v>0</v>
      </c>
      <c r="B70" s="31">
        <f t="shared" si="12"/>
        <v>1997</v>
      </c>
      <c r="C70" s="158"/>
      <c r="D70" s="159" t="str">
        <f t="shared" si="10"/>
        <v/>
      </c>
      <c r="E70" s="159" t="str">
        <f t="shared" si="10"/>
        <v/>
      </c>
      <c r="F70" s="159" t="str">
        <f t="shared" si="10"/>
        <v/>
      </c>
      <c r="G70" s="159" t="str">
        <f t="shared" si="10"/>
        <v/>
      </c>
      <c r="H70" s="159" t="str">
        <f t="shared" si="10"/>
        <v/>
      </c>
      <c r="I70" s="159" t="str">
        <f t="shared" si="10"/>
        <v/>
      </c>
      <c r="J70" s="159" t="str">
        <f t="shared" si="10"/>
        <v/>
      </c>
      <c r="K70" s="159" t="str">
        <f t="shared" si="10"/>
        <v/>
      </c>
      <c r="L70" s="159" t="str">
        <f t="shared" si="10"/>
        <v/>
      </c>
      <c r="M70" s="159" t="str">
        <f t="shared" si="10"/>
        <v/>
      </c>
      <c r="N70" s="159" t="str">
        <f t="shared" si="10"/>
        <v/>
      </c>
      <c r="O70" s="159" t="str">
        <f t="shared" si="10"/>
        <v/>
      </c>
      <c r="P70" s="159" t="str">
        <f t="shared" si="10"/>
        <v/>
      </c>
      <c r="Q70" s="159" t="str">
        <f t="shared" si="10"/>
        <v/>
      </c>
      <c r="R70" s="159" t="str">
        <f t="shared" si="10"/>
        <v/>
      </c>
      <c r="S70" s="159" t="str">
        <f t="shared" si="10"/>
        <v/>
      </c>
      <c r="T70" s="159" t="str">
        <f t="shared" si="10"/>
        <v/>
      </c>
      <c r="U70" s="159" t="str">
        <f t="shared" si="10"/>
        <v/>
      </c>
      <c r="V70" s="159" t="str">
        <f t="shared" si="10"/>
        <v/>
      </c>
      <c r="W70" s="159" t="str">
        <f t="shared" si="10"/>
        <v/>
      </c>
      <c r="X70" s="159" t="str">
        <f t="shared" si="10"/>
        <v/>
      </c>
      <c r="Y70" s="159" t="str">
        <f t="shared" si="10"/>
        <v/>
      </c>
      <c r="Z70" s="159" t="str">
        <f t="shared" si="10"/>
        <v/>
      </c>
      <c r="AA70" s="159" t="str">
        <f t="shared" si="10"/>
        <v/>
      </c>
      <c r="AB70" s="159" t="str">
        <f t="shared" si="10"/>
        <v/>
      </c>
      <c r="AC70" s="159" t="str">
        <f t="shared" si="10"/>
        <v/>
      </c>
      <c r="AD70" s="159" t="str">
        <f t="shared" si="10"/>
        <v/>
      </c>
      <c r="AE70" s="159" t="str">
        <f t="shared" si="10"/>
        <v/>
      </c>
      <c r="AF70" s="159" t="str">
        <f t="shared" si="10"/>
        <v/>
      </c>
      <c r="AG70" s="159" t="str">
        <f t="shared" si="10"/>
        <v/>
      </c>
      <c r="AH70" s="159" t="str">
        <f t="shared" si="10"/>
        <v/>
      </c>
      <c r="AI70" s="159" t="str">
        <f t="shared" si="10"/>
        <v/>
      </c>
      <c r="AJ70" s="159" t="str">
        <f t="shared" si="10"/>
        <v/>
      </c>
      <c r="AK70" s="159" t="str">
        <f t="shared" si="10"/>
        <v/>
      </c>
      <c r="AL70" s="159" t="str">
        <f t="shared" si="10"/>
        <v/>
      </c>
      <c r="AM70" s="159" t="str">
        <f t="shared" si="10"/>
        <v/>
      </c>
      <c r="AN70" s="159" t="str">
        <f t="shared" si="10"/>
        <v/>
      </c>
      <c r="AO70" s="159" t="str">
        <f t="shared" si="10"/>
        <v/>
      </c>
      <c r="AP70" s="159" t="str">
        <f t="shared" si="10"/>
        <v/>
      </c>
      <c r="AQ70" s="159" t="str">
        <f t="shared" si="10"/>
        <v/>
      </c>
      <c r="AR70" s="159" t="str">
        <f t="shared" si="10"/>
        <v/>
      </c>
      <c r="AS70" s="159" t="str">
        <f t="shared" si="10"/>
        <v/>
      </c>
      <c r="AT70" s="159" t="str">
        <f t="shared" si="10"/>
        <v/>
      </c>
      <c r="AU70" s="159" t="str">
        <f t="shared" si="10"/>
        <v/>
      </c>
      <c r="AV70" s="159" t="str">
        <f t="shared" si="10"/>
        <v/>
      </c>
      <c r="AW70" s="159" t="str">
        <f t="shared" si="10"/>
        <v/>
      </c>
      <c r="AX70" s="159" t="str">
        <f t="shared" si="10"/>
        <v/>
      </c>
      <c r="AY70" s="159" t="str">
        <f t="shared" si="10"/>
        <v/>
      </c>
      <c r="AZ70" s="159" t="str">
        <f t="shared" si="10"/>
        <v/>
      </c>
      <c r="BA70" s="159" t="str">
        <f t="shared" si="10"/>
        <v/>
      </c>
      <c r="BB70" s="159" t="str">
        <f t="shared" si="10"/>
        <v/>
      </c>
      <c r="BC70" s="159" t="str">
        <f t="shared" si="10"/>
        <v/>
      </c>
      <c r="BD70" s="159" t="str">
        <f t="shared" si="10"/>
        <v/>
      </c>
      <c r="BE70" s="159" t="str">
        <f t="shared" si="10"/>
        <v/>
      </c>
      <c r="BF70" s="159" t="str">
        <f t="shared" si="10"/>
        <v/>
      </c>
      <c r="BG70" s="159" t="str">
        <f t="shared" si="10"/>
        <v/>
      </c>
      <c r="BH70" s="159" t="str">
        <f t="shared" si="10"/>
        <v/>
      </c>
      <c r="BI70" s="159" t="str">
        <f t="shared" si="10"/>
        <v/>
      </c>
      <c r="BJ70" s="159" t="str">
        <f t="shared" si="10"/>
        <v/>
      </c>
      <c r="BK70" s="159" t="str">
        <f t="shared" si="10"/>
        <v/>
      </c>
      <c r="BL70" s="159" t="str">
        <f t="shared" si="10"/>
        <v/>
      </c>
      <c r="BM70" s="159" t="str">
        <f t="shared" si="10"/>
        <v/>
      </c>
      <c r="BN70" s="159" t="str">
        <f t="shared" si="10"/>
        <v/>
      </c>
      <c r="BO70" s="159" t="str">
        <f t="shared" si="10"/>
        <v/>
      </c>
      <c r="BP70" s="159" t="str">
        <f t="shared" si="11"/>
        <v/>
      </c>
      <c r="BQ70" s="159" t="str">
        <f t="shared" si="11"/>
        <v/>
      </c>
      <c r="BR70" s="159" t="str">
        <f t="shared" si="11"/>
        <v/>
      </c>
      <c r="BS70" s="159" t="str">
        <f t="shared" si="11"/>
        <v/>
      </c>
      <c r="BT70" s="159" t="str">
        <f t="shared" si="11"/>
        <v/>
      </c>
      <c r="BU70" s="159" t="str">
        <f t="shared" si="11"/>
        <v/>
      </c>
      <c r="BV70" s="159" t="str">
        <f t="shared" si="11"/>
        <v/>
      </c>
      <c r="BW70" s="159" t="str">
        <f t="shared" si="11"/>
        <v/>
      </c>
      <c r="BX70" s="159" t="str">
        <f t="shared" si="11"/>
        <v/>
      </c>
      <c r="BY70" s="159" t="str">
        <f t="shared" si="11"/>
        <v/>
      </c>
      <c r="BZ70" s="159" t="str">
        <f t="shared" si="11"/>
        <v/>
      </c>
      <c r="CA70" s="159" t="str">
        <f t="shared" si="11"/>
        <v/>
      </c>
      <c r="CB70" s="159" t="str">
        <f t="shared" si="11"/>
        <v/>
      </c>
      <c r="CC70" s="159" t="str">
        <f t="shared" si="11"/>
        <v/>
      </c>
      <c r="CD70" s="159" t="str">
        <f t="shared" si="11"/>
        <v/>
      </c>
      <c r="CE70" s="159" t="str">
        <f t="shared" si="11"/>
        <v/>
      </c>
      <c r="CF70" s="159" t="str">
        <f t="shared" si="11"/>
        <v/>
      </c>
      <c r="CG70" s="159" t="str">
        <f t="shared" si="11"/>
        <v/>
      </c>
      <c r="CH70" s="159" t="str">
        <f t="shared" si="11"/>
        <v/>
      </c>
      <c r="CI70" s="159" t="str">
        <f t="shared" si="11"/>
        <v/>
      </c>
      <c r="CJ70" s="159" t="str">
        <f t="shared" si="11"/>
        <v/>
      </c>
      <c r="CK70" s="159" t="str">
        <f t="shared" si="11"/>
        <v/>
      </c>
      <c r="CL70" s="159" t="str">
        <f t="shared" si="11"/>
        <v/>
      </c>
      <c r="CM70" s="159" t="str">
        <f t="shared" si="11"/>
        <v/>
      </c>
      <c r="CN70" s="159" t="str">
        <f t="shared" si="11"/>
        <v/>
      </c>
      <c r="CO70" s="159" t="str">
        <f t="shared" si="11"/>
        <v/>
      </c>
      <c r="CP70" s="159" t="str">
        <f t="shared" si="11"/>
        <v/>
      </c>
      <c r="CQ70" s="159" t="str">
        <f t="shared" si="11"/>
        <v/>
      </c>
      <c r="CR70" s="159" t="str">
        <f t="shared" si="11"/>
        <v/>
      </c>
      <c r="CS70" s="159" t="str">
        <f t="shared" si="11"/>
        <v/>
      </c>
      <c r="CT70" s="225" t="s">
        <v>54</v>
      </c>
      <c r="CU70" s="83"/>
      <c r="CV70" s="83"/>
      <c r="CW70" s="12"/>
    </row>
    <row r="71" spans="1:103" hidden="1" x14ac:dyDescent="0.25">
      <c r="A71" s="97">
        <f t="shared" si="12"/>
        <v>0</v>
      </c>
      <c r="B71" s="31">
        <f t="shared" si="12"/>
        <v>1998</v>
      </c>
      <c r="C71" s="158"/>
      <c r="D71" s="159" t="str">
        <f t="shared" si="10"/>
        <v/>
      </c>
      <c r="E71" s="159" t="str">
        <f t="shared" si="10"/>
        <v/>
      </c>
      <c r="F71" s="159" t="str">
        <f t="shared" si="10"/>
        <v/>
      </c>
      <c r="G71" s="159" t="str">
        <f t="shared" si="10"/>
        <v/>
      </c>
      <c r="H71" s="159" t="str">
        <f t="shared" si="10"/>
        <v/>
      </c>
      <c r="I71" s="159" t="str">
        <f t="shared" si="10"/>
        <v/>
      </c>
      <c r="J71" s="159" t="str">
        <f t="shared" si="10"/>
        <v/>
      </c>
      <c r="K71" s="159" t="str">
        <f t="shared" si="10"/>
        <v/>
      </c>
      <c r="L71" s="159" t="str">
        <f t="shared" si="10"/>
        <v/>
      </c>
      <c r="M71" s="159" t="str">
        <f t="shared" si="10"/>
        <v/>
      </c>
      <c r="N71" s="159" t="str">
        <f t="shared" si="10"/>
        <v/>
      </c>
      <c r="O71" s="159" t="str">
        <f t="shared" si="10"/>
        <v/>
      </c>
      <c r="P71" s="159" t="str">
        <f t="shared" si="10"/>
        <v/>
      </c>
      <c r="Q71" s="159" t="str">
        <f t="shared" si="10"/>
        <v/>
      </c>
      <c r="R71" s="159" t="str">
        <f t="shared" si="10"/>
        <v/>
      </c>
      <c r="S71" s="159" t="str">
        <f t="shared" si="10"/>
        <v/>
      </c>
      <c r="T71" s="159" t="str">
        <f t="shared" si="10"/>
        <v/>
      </c>
      <c r="U71" s="159" t="str">
        <f t="shared" si="10"/>
        <v/>
      </c>
      <c r="V71" s="159" t="str">
        <f t="shared" si="10"/>
        <v/>
      </c>
      <c r="W71" s="159" t="str">
        <f t="shared" si="10"/>
        <v/>
      </c>
      <c r="X71" s="159" t="str">
        <f t="shared" si="10"/>
        <v/>
      </c>
      <c r="Y71" s="159" t="str">
        <f t="shared" si="10"/>
        <v/>
      </c>
      <c r="Z71" s="159" t="str">
        <f t="shared" si="10"/>
        <v/>
      </c>
      <c r="AA71" s="159" t="str">
        <f t="shared" si="10"/>
        <v/>
      </c>
      <c r="AB71" s="159" t="str">
        <f t="shared" si="10"/>
        <v/>
      </c>
      <c r="AC71" s="159" t="str">
        <f t="shared" si="10"/>
        <v/>
      </c>
      <c r="AD71" s="159" t="str">
        <f t="shared" si="10"/>
        <v/>
      </c>
      <c r="AE71" s="159" t="str">
        <f t="shared" si="10"/>
        <v/>
      </c>
      <c r="AF71" s="159" t="str">
        <f t="shared" si="10"/>
        <v/>
      </c>
      <c r="AG71" s="159" t="str">
        <f t="shared" si="10"/>
        <v/>
      </c>
      <c r="AH71" s="159" t="str">
        <f t="shared" si="10"/>
        <v/>
      </c>
      <c r="AI71" s="159" t="str">
        <f t="shared" si="10"/>
        <v/>
      </c>
      <c r="AJ71" s="159" t="str">
        <f t="shared" si="10"/>
        <v/>
      </c>
      <c r="AK71" s="159" t="str">
        <f t="shared" si="10"/>
        <v/>
      </c>
      <c r="AL71" s="159" t="str">
        <f t="shared" si="10"/>
        <v/>
      </c>
      <c r="AM71" s="159" t="str">
        <f t="shared" si="10"/>
        <v/>
      </c>
      <c r="AN71" s="159" t="str">
        <f t="shared" si="10"/>
        <v/>
      </c>
      <c r="AO71" s="159" t="str">
        <f t="shared" si="10"/>
        <v/>
      </c>
      <c r="AP71" s="159" t="str">
        <f t="shared" si="10"/>
        <v/>
      </c>
      <c r="AQ71" s="159" t="str">
        <f t="shared" si="10"/>
        <v/>
      </c>
      <c r="AR71" s="159" t="str">
        <f t="shared" si="10"/>
        <v/>
      </c>
      <c r="AS71" s="159" t="str">
        <f t="shared" si="10"/>
        <v/>
      </c>
      <c r="AT71" s="159" t="str">
        <f t="shared" si="10"/>
        <v/>
      </c>
      <c r="AU71" s="159" t="str">
        <f t="shared" si="10"/>
        <v/>
      </c>
      <c r="AV71" s="159" t="str">
        <f t="shared" si="10"/>
        <v/>
      </c>
      <c r="AW71" s="159" t="str">
        <f t="shared" si="10"/>
        <v/>
      </c>
      <c r="AX71" s="159" t="str">
        <f t="shared" si="10"/>
        <v/>
      </c>
      <c r="AY71" s="159" t="str">
        <f t="shared" si="10"/>
        <v/>
      </c>
      <c r="AZ71" s="159" t="str">
        <f t="shared" si="10"/>
        <v/>
      </c>
      <c r="BA71" s="159" t="str">
        <f t="shared" si="10"/>
        <v/>
      </c>
      <c r="BB71" s="159" t="str">
        <f t="shared" si="10"/>
        <v/>
      </c>
      <c r="BC71" s="159" t="str">
        <f t="shared" si="10"/>
        <v/>
      </c>
      <c r="BD71" s="159" t="str">
        <f t="shared" si="10"/>
        <v/>
      </c>
      <c r="BE71" s="159" t="str">
        <f t="shared" si="10"/>
        <v/>
      </c>
      <c r="BF71" s="159" t="str">
        <f t="shared" si="10"/>
        <v/>
      </c>
      <c r="BG71" s="159" t="str">
        <f t="shared" si="10"/>
        <v/>
      </c>
      <c r="BH71" s="159" t="str">
        <f t="shared" si="10"/>
        <v/>
      </c>
      <c r="BI71" s="159" t="str">
        <f t="shared" si="10"/>
        <v/>
      </c>
      <c r="BJ71" s="159" t="str">
        <f t="shared" si="10"/>
        <v/>
      </c>
      <c r="BK71" s="159" t="str">
        <f t="shared" si="10"/>
        <v/>
      </c>
      <c r="BL71" s="159" t="str">
        <f t="shared" si="10"/>
        <v/>
      </c>
      <c r="BM71" s="159" t="str">
        <f t="shared" si="10"/>
        <v/>
      </c>
      <c r="BN71" s="159" t="str">
        <f t="shared" si="10"/>
        <v/>
      </c>
      <c r="BO71" s="159" t="str">
        <f t="shared" si="10"/>
        <v/>
      </c>
      <c r="BP71" s="159" t="str">
        <f t="shared" si="11"/>
        <v/>
      </c>
      <c r="BQ71" s="159" t="str">
        <f t="shared" si="11"/>
        <v/>
      </c>
      <c r="BR71" s="159" t="str">
        <f t="shared" si="11"/>
        <v/>
      </c>
      <c r="BS71" s="159" t="str">
        <f t="shared" si="11"/>
        <v/>
      </c>
      <c r="BT71" s="159" t="str">
        <f t="shared" si="11"/>
        <v/>
      </c>
      <c r="BU71" s="159" t="str">
        <f t="shared" si="11"/>
        <v/>
      </c>
      <c r="BV71" s="159" t="str">
        <f t="shared" si="11"/>
        <v/>
      </c>
      <c r="BW71" s="159" t="str">
        <f t="shared" si="11"/>
        <v/>
      </c>
      <c r="BX71" s="159" t="str">
        <f t="shared" si="11"/>
        <v/>
      </c>
      <c r="BY71" s="159" t="str">
        <f t="shared" si="11"/>
        <v/>
      </c>
      <c r="BZ71" s="159" t="str">
        <f t="shared" si="11"/>
        <v/>
      </c>
      <c r="CA71" s="159" t="str">
        <f t="shared" si="11"/>
        <v/>
      </c>
      <c r="CB71" s="159" t="str">
        <f t="shared" si="11"/>
        <v/>
      </c>
      <c r="CC71" s="159" t="str">
        <f t="shared" si="11"/>
        <v/>
      </c>
      <c r="CD71" s="159" t="str">
        <f t="shared" si="11"/>
        <v/>
      </c>
      <c r="CE71" s="159" t="str">
        <f t="shared" si="11"/>
        <v/>
      </c>
      <c r="CF71" s="159" t="str">
        <f t="shared" si="11"/>
        <v/>
      </c>
      <c r="CG71" s="159" t="str">
        <f t="shared" si="11"/>
        <v/>
      </c>
      <c r="CH71" s="159" t="str">
        <f t="shared" si="11"/>
        <v/>
      </c>
      <c r="CI71" s="159" t="str">
        <f t="shared" si="11"/>
        <v/>
      </c>
      <c r="CJ71" s="159" t="str">
        <f t="shared" si="11"/>
        <v/>
      </c>
      <c r="CK71" s="159" t="str">
        <f t="shared" si="11"/>
        <v/>
      </c>
      <c r="CL71" s="159" t="str">
        <f t="shared" si="11"/>
        <v/>
      </c>
      <c r="CM71" s="159" t="str">
        <f t="shared" si="11"/>
        <v/>
      </c>
      <c r="CN71" s="159" t="str">
        <f t="shared" si="11"/>
        <v/>
      </c>
      <c r="CO71" s="159" t="str">
        <f t="shared" si="11"/>
        <v/>
      </c>
      <c r="CP71" s="159" t="str">
        <f t="shared" si="11"/>
        <v/>
      </c>
      <c r="CQ71" s="159" t="str">
        <f t="shared" si="11"/>
        <v/>
      </c>
      <c r="CR71" s="159" t="str">
        <f t="shared" si="11"/>
        <v/>
      </c>
      <c r="CS71" s="159" t="str">
        <f t="shared" si="11"/>
        <v/>
      </c>
      <c r="CT71" s="225" t="s">
        <v>54</v>
      </c>
      <c r="CU71" s="83"/>
      <c r="CV71" s="83"/>
      <c r="CW71" s="12"/>
    </row>
    <row r="72" spans="1:103" hidden="1" x14ac:dyDescent="0.25">
      <c r="A72" s="97">
        <f t="shared" si="12"/>
        <v>0</v>
      </c>
      <c r="B72" s="31">
        <f t="shared" si="12"/>
        <v>1999</v>
      </c>
      <c r="C72" s="158"/>
      <c r="D72" s="159" t="str">
        <f t="shared" si="10"/>
        <v/>
      </c>
      <c r="E72" s="159" t="str">
        <f t="shared" si="10"/>
        <v/>
      </c>
      <c r="F72" s="159" t="str">
        <f t="shared" si="10"/>
        <v/>
      </c>
      <c r="G72" s="159" t="str">
        <f t="shared" si="10"/>
        <v/>
      </c>
      <c r="H72" s="159" t="str">
        <f t="shared" si="10"/>
        <v/>
      </c>
      <c r="I72" s="159" t="str">
        <f t="shared" si="10"/>
        <v/>
      </c>
      <c r="J72" s="159" t="str">
        <f t="shared" si="10"/>
        <v/>
      </c>
      <c r="K72" s="159" t="str">
        <f t="shared" si="10"/>
        <v/>
      </c>
      <c r="L72" s="159" t="str">
        <f t="shared" si="10"/>
        <v/>
      </c>
      <c r="M72" s="159" t="str">
        <f t="shared" si="10"/>
        <v/>
      </c>
      <c r="N72" s="159" t="str">
        <f t="shared" si="10"/>
        <v/>
      </c>
      <c r="O72" s="159" t="str">
        <f t="shared" si="10"/>
        <v/>
      </c>
      <c r="P72" s="159" t="str">
        <f t="shared" si="10"/>
        <v/>
      </c>
      <c r="Q72" s="159" t="str">
        <f t="shared" si="10"/>
        <v/>
      </c>
      <c r="R72" s="159" t="str">
        <f t="shared" si="10"/>
        <v/>
      </c>
      <c r="S72" s="159" t="str">
        <f t="shared" si="10"/>
        <v/>
      </c>
      <c r="T72" s="159" t="str">
        <f t="shared" si="10"/>
        <v/>
      </c>
      <c r="U72" s="159" t="str">
        <f t="shared" si="10"/>
        <v/>
      </c>
      <c r="V72" s="159" t="str">
        <f t="shared" si="10"/>
        <v/>
      </c>
      <c r="W72" s="159" t="str">
        <f t="shared" si="10"/>
        <v/>
      </c>
      <c r="X72" s="159" t="str">
        <f t="shared" si="10"/>
        <v/>
      </c>
      <c r="Y72" s="159" t="str">
        <f t="shared" si="10"/>
        <v/>
      </c>
      <c r="Z72" s="159" t="str">
        <f t="shared" si="10"/>
        <v/>
      </c>
      <c r="AA72" s="159" t="str">
        <f t="shared" si="10"/>
        <v/>
      </c>
      <c r="AB72" s="159" t="str">
        <f t="shared" si="10"/>
        <v/>
      </c>
      <c r="AC72" s="159" t="str">
        <f t="shared" si="10"/>
        <v/>
      </c>
      <c r="AD72" s="159" t="str">
        <f t="shared" si="10"/>
        <v/>
      </c>
      <c r="AE72" s="159" t="str">
        <f t="shared" si="10"/>
        <v/>
      </c>
      <c r="AF72" s="159" t="str">
        <f t="shared" si="10"/>
        <v/>
      </c>
      <c r="AG72" s="159" t="str">
        <f t="shared" si="10"/>
        <v/>
      </c>
      <c r="AH72" s="159" t="str">
        <f t="shared" si="10"/>
        <v/>
      </c>
      <c r="AI72" s="159" t="str">
        <f t="shared" si="10"/>
        <v/>
      </c>
      <c r="AJ72" s="159" t="str">
        <f t="shared" si="10"/>
        <v/>
      </c>
      <c r="AK72" s="159" t="str">
        <f t="shared" si="10"/>
        <v/>
      </c>
      <c r="AL72" s="159" t="str">
        <f t="shared" si="10"/>
        <v/>
      </c>
      <c r="AM72" s="159" t="str">
        <f t="shared" si="10"/>
        <v/>
      </c>
      <c r="AN72" s="159" t="str">
        <f t="shared" si="10"/>
        <v/>
      </c>
      <c r="AO72" s="159" t="str">
        <f t="shared" si="10"/>
        <v/>
      </c>
      <c r="AP72" s="159" t="str">
        <f t="shared" si="10"/>
        <v/>
      </c>
      <c r="AQ72" s="159" t="str">
        <f t="shared" si="10"/>
        <v/>
      </c>
      <c r="AR72" s="159" t="str">
        <f t="shared" si="10"/>
        <v/>
      </c>
      <c r="AS72" s="159" t="str">
        <f t="shared" si="10"/>
        <v/>
      </c>
      <c r="AT72" s="159" t="str">
        <f t="shared" si="10"/>
        <v/>
      </c>
      <c r="AU72" s="159" t="str">
        <f t="shared" si="10"/>
        <v/>
      </c>
      <c r="AV72" s="159" t="str">
        <f t="shared" si="10"/>
        <v/>
      </c>
      <c r="AW72" s="159" t="str">
        <f t="shared" si="10"/>
        <v/>
      </c>
      <c r="AX72" s="159" t="str">
        <f t="shared" si="10"/>
        <v/>
      </c>
      <c r="AY72" s="159" t="str">
        <f t="shared" si="10"/>
        <v/>
      </c>
      <c r="AZ72" s="159" t="str">
        <f t="shared" si="10"/>
        <v/>
      </c>
      <c r="BA72" s="159" t="str">
        <f t="shared" si="10"/>
        <v/>
      </c>
      <c r="BB72" s="159" t="str">
        <f t="shared" si="10"/>
        <v/>
      </c>
      <c r="BC72" s="159" t="str">
        <f t="shared" si="10"/>
        <v/>
      </c>
      <c r="BD72" s="159" t="str">
        <f t="shared" si="10"/>
        <v/>
      </c>
      <c r="BE72" s="159" t="str">
        <f t="shared" si="10"/>
        <v/>
      </c>
      <c r="BF72" s="159" t="str">
        <f t="shared" si="10"/>
        <v/>
      </c>
      <c r="BG72" s="159" t="str">
        <f t="shared" si="10"/>
        <v/>
      </c>
      <c r="BH72" s="159" t="str">
        <f t="shared" si="10"/>
        <v/>
      </c>
      <c r="BI72" s="159" t="str">
        <f t="shared" si="10"/>
        <v/>
      </c>
      <c r="BJ72" s="159" t="str">
        <f t="shared" si="10"/>
        <v/>
      </c>
      <c r="BK72" s="159" t="str">
        <f t="shared" si="10"/>
        <v/>
      </c>
      <c r="BL72" s="159" t="str">
        <f t="shared" si="10"/>
        <v/>
      </c>
      <c r="BM72" s="159" t="str">
        <f t="shared" si="10"/>
        <v/>
      </c>
      <c r="BN72" s="159" t="str">
        <f t="shared" si="10"/>
        <v/>
      </c>
      <c r="BO72" s="159" t="str">
        <f t="shared" ref="BO72" si="13">IFERROR(IF(BO45=1,BO17/BN17,""),"")</f>
        <v/>
      </c>
      <c r="BP72" s="159" t="str">
        <f t="shared" si="11"/>
        <v/>
      </c>
      <c r="BQ72" s="159" t="str">
        <f t="shared" si="11"/>
        <v/>
      </c>
      <c r="BR72" s="159" t="str">
        <f t="shared" si="11"/>
        <v/>
      </c>
      <c r="BS72" s="159" t="str">
        <f t="shared" si="11"/>
        <v/>
      </c>
      <c r="BT72" s="159" t="str">
        <f t="shared" si="11"/>
        <v/>
      </c>
      <c r="BU72" s="159" t="str">
        <f t="shared" si="11"/>
        <v/>
      </c>
      <c r="BV72" s="159" t="str">
        <f t="shared" si="11"/>
        <v/>
      </c>
      <c r="BW72" s="159" t="str">
        <f t="shared" si="11"/>
        <v/>
      </c>
      <c r="BX72" s="159" t="str">
        <f t="shared" si="11"/>
        <v/>
      </c>
      <c r="BY72" s="159" t="str">
        <f t="shared" si="11"/>
        <v/>
      </c>
      <c r="BZ72" s="159" t="str">
        <f t="shared" si="11"/>
        <v/>
      </c>
      <c r="CA72" s="159" t="str">
        <f t="shared" si="11"/>
        <v/>
      </c>
      <c r="CB72" s="159" t="str">
        <f t="shared" si="11"/>
        <v/>
      </c>
      <c r="CC72" s="159" t="str">
        <f t="shared" si="11"/>
        <v/>
      </c>
      <c r="CD72" s="159" t="str">
        <f t="shared" si="11"/>
        <v/>
      </c>
      <c r="CE72" s="159" t="str">
        <f t="shared" si="11"/>
        <v/>
      </c>
      <c r="CF72" s="159" t="str">
        <f t="shared" si="11"/>
        <v/>
      </c>
      <c r="CG72" s="159" t="str">
        <f t="shared" si="11"/>
        <v/>
      </c>
      <c r="CH72" s="159" t="str">
        <f t="shared" si="11"/>
        <v/>
      </c>
      <c r="CI72" s="159" t="str">
        <f t="shared" si="11"/>
        <v/>
      </c>
      <c r="CJ72" s="159" t="str">
        <f t="shared" si="11"/>
        <v/>
      </c>
      <c r="CK72" s="159" t="str">
        <f t="shared" si="11"/>
        <v/>
      </c>
      <c r="CL72" s="159" t="str">
        <f t="shared" si="11"/>
        <v/>
      </c>
      <c r="CM72" s="159" t="str">
        <f t="shared" si="11"/>
        <v/>
      </c>
      <c r="CN72" s="159" t="str">
        <f t="shared" si="11"/>
        <v/>
      </c>
      <c r="CO72" s="159" t="str">
        <f t="shared" si="11"/>
        <v/>
      </c>
      <c r="CP72" s="159" t="str">
        <f t="shared" si="11"/>
        <v/>
      </c>
      <c r="CQ72" s="159" t="str">
        <f t="shared" si="11"/>
        <v/>
      </c>
      <c r="CR72" s="159" t="str">
        <f t="shared" si="11"/>
        <v/>
      </c>
      <c r="CS72" s="159" t="str">
        <f t="shared" si="11"/>
        <v/>
      </c>
      <c r="CT72" s="225" t="s">
        <v>54</v>
      </c>
      <c r="CU72" s="83"/>
      <c r="CV72" s="83"/>
      <c r="CW72" s="12"/>
    </row>
    <row r="73" spans="1:103" x14ac:dyDescent="0.25">
      <c r="A73" s="97">
        <f t="shared" si="12"/>
        <v>0</v>
      </c>
      <c r="B73" s="31">
        <f t="shared" si="12"/>
        <v>2000</v>
      </c>
      <c r="C73" s="158"/>
      <c r="D73" s="159" t="str">
        <f t="shared" ref="D73:BO76" si="14">IFERROR(IF(D46=1,D18/C18,""),"")</f>
        <v/>
      </c>
      <c r="E73" s="159" t="str">
        <f t="shared" si="14"/>
        <v/>
      </c>
      <c r="F73" s="159" t="str">
        <f t="shared" si="14"/>
        <v/>
      </c>
      <c r="G73" s="159" t="str">
        <f t="shared" si="14"/>
        <v/>
      </c>
      <c r="H73" s="159" t="str">
        <f t="shared" si="14"/>
        <v/>
      </c>
      <c r="I73" s="159" t="str">
        <f t="shared" si="14"/>
        <v/>
      </c>
      <c r="J73" s="159" t="str">
        <f t="shared" si="14"/>
        <v/>
      </c>
      <c r="K73" s="159" t="str">
        <f t="shared" si="14"/>
        <v/>
      </c>
      <c r="L73" s="159" t="str">
        <f t="shared" si="14"/>
        <v/>
      </c>
      <c r="M73" s="159" t="str">
        <f t="shared" si="14"/>
        <v/>
      </c>
      <c r="N73" s="159" t="str">
        <f t="shared" si="14"/>
        <v/>
      </c>
      <c r="O73" s="159" t="str">
        <f t="shared" si="14"/>
        <v/>
      </c>
      <c r="P73" s="159" t="str">
        <f t="shared" si="14"/>
        <v/>
      </c>
      <c r="Q73" s="159" t="str">
        <f t="shared" si="14"/>
        <v/>
      </c>
      <c r="R73" s="159" t="str">
        <f t="shared" si="14"/>
        <v/>
      </c>
      <c r="S73" s="159" t="str">
        <f t="shared" si="14"/>
        <v/>
      </c>
      <c r="T73" s="159" t="str">
        <f t="shared" si="14"/>
        <v/>
      </c>
      <c r="U73" s="159" t="str">
        <f t="shared" si="14"/>
        <v/>
      </c>
      <c r="V73" s="159" t="str">
        <f t="shared" si="14"/>
        <v/>
      </c>
      <c r="W73" s="159" t="str">
        <f t="shared" si="14"/>
        <v/>
      </c>
      <c r="X73" s="159" t="str">
        <f t="shared" si="14"/>
        <v/>
      </c>
      <c r="Y73" s="159" t="str">
        <f t="shared" si="14"/>
        <v/>
      </c>
      <c r="Z73" s="159" t="str">
        <f t="shared" si="14"/>
        <v/>
      </c>
      <c r="AA73" s="159" t="str">
        <f t="shared" si="14"/>
        <v/>
      </c>
      <c r="AB73" s="159" t="str">
        <f t="shared" si="14"/>
        <v/>
      </c>
      <c r="AC73" s="159" t="str">
        <f t="shared" si="14"/>
        <v/>
      </c>
      <c r="AD73" s="159" t="str">
        <f t="shared" si="14"/>
        <v/>
      </c>
      <c r="AE73" s="159" t="str">
        <f t="shared" si="14"/>
        <v/>
      </c>
      <c r="AF73" s="159" t="str">
        <f t="shared" si="14"/>
        <v/>
      </c>
      <c r="AG73" s="159" t="str">
        <f t="shared" si="14"/>
        <v/>
      </c>
      <c r="AH73" s="159" t="str">
        <f t="shared" si="14"/>
        <v/>
      </c>
      <c r="AI73" s="159" t="str">
        <f t="shared" si="14"/>
        <v/>
      </c>
      <c r="AJ73" s="159" t="str">
        <f t="shared" si="14"/>
        <v/>
      </c>
      <c r="AK73" s="159" t="str">
        <f t="shared" si="14"/>
        <v/>
      </c>
      <c r="AL73" s="159" t="str">
        <f t="shared" si="14"/>
        <v/>
      </c>
      <c r="AM73" s="159" t="str">
        <f t="shared" si="14"/>
        <v/>
      </c>
      <c r="AN73" s="159" t="str">
        <f t="shared" si="14"/>
        <v/>
      </c>
      <c r="AO73" s="159" t="str">
        <f t="shared" si="14"/>
        <v/>
      </c>
      <c r="AP73" s="159" t="str">
        <f t="shared" si="14"/>
        <v/>
      </c>
      <c r="AQ73" s="159" t="str">
        <f t="shared" si="14"/>
        <v/>
      </c>
      <c r="AR73" s="159" t="str">
        <f t="shared" si="14"/>
        <v/>
      </c>
      <c r="AS73" s="159" t="str">
        <f t="shared" si="14"/>
        <v/>
      </c>
      <c r="AT73" s="159" t="str">
        <f t="shared" si="14"/>
        <v/>
      </c>
      <c r="AU73" s="159" t="str">
        <f t="shared" si="14"/>
        <v/>
      </c>
      <c r="AV73" s="159" t="str">
        <f t="shared" si="14"/>
        <v/>
      </c>
      <c r="AW73" s="159" t="str">
        <f t="shared" si="14"/>
        <v/>
      </c>
      <c r="AX73" s="159" t="str">
        <f t="shared" si="14"/>
        <v/>
      </c>
      <c r="AY73" s="159" t="str">
        <f t="shared" si="14"/>
        <v/>
      </c>
      <c r="AZ73" s="159" t="str">
        <f t="shared" si="14"/>
        <v/>
      </c>
      <c r="BA73" s="159" t="str">
        <f t="shared" si="14"/>
        <v/>
      </c>
      <c r="BB73" s="159" t="str">
        <f t="shared" si="14"/>
        <v/>
      </c>
      <c r="BC73" s="159" t="str">
        <f t="shared" si="14"/>
        <v/>
      </c>
      <c r="BD73" s="159" t="str">
        <f t="shared" si="14"/>
        <v/>
      </c>
      <c r="BE73" s="159" t="str">
        <f t="shared" si="14"/>
        <v/>
      </c>
      <c r="BF73" s="159" t="str">
        <f t="shared" si="14"/>
        <v/>
      </c>
      <c r="BG73" s="159" t="str">
        <f t="shared" si="14"/>
        <v/>
      </c>
      <c r="BH73" s="159" t="str">
        <f t="shared" si="14"/>
        <v/>
      </c>
      <c r="BI73" s="159" t="str">
        <f t="shared" si="14"/>
        <v/>
      </c>
      <c r="BJ73" s="159" t="str">
        <f t="shared" si="14"/>
        <v/>
      </c>
      <c r="BK73" s="159" t="str">
        <f t="shared" si="14"/>
        <v/>
      </c>
      <c r="BL73" s="159" t="str">
        <f t="shared" si="14"/>
        <v/>
      </c>
      <c r="BM73" s="159" t="str">
        <f t="shared" si="14"/>
        <v/>
      </c>
      <c r="BN73" s="159" t="str">
        <f t="shared" si="14"/>
        <v/>
      </c>
      <c r="BO73" s="159" t="str">
        <f t="shared" si="14"/>
        <v/>
      </c>
      <c r="BP73" s="159" t="str">
        <f t="shared" si="11"/>
        <v/>
      </c>
      <c r="BQ73" s="159" t="str">
        <f t="shared" si="11"/>
        <v/>
      </c>
      <c r="BR73" s="159" t="str">
        <f t="shared" si="11"/>
        <v/>
      </c>
      <c r="BS73" s="159" t="str">
        <f t="shared" si="11"/>
        <v/>
      </c>
      <c r="BT73" s="159" t="str">
        <f t="shared" si="11"/>
        <v/>
      </c>
      <c r="BU73" s="159" t="str">
        <f t="shared" si="11"/>
        <v/>
      </c>
      <c r="BV73" s="159" t="str">
        <f t="shared" si="11"/>
        <v/>
      </c>
      <c r="BW73" s="159" t="str">
        <f t="shared" si="11"/>
        <v/>
      </c>
      <c r="BX73" s="159" t="str">
        <f t="shared" si="11"/>
        <v/>
      </c>
      <c r="BY73" s="159" t="str">
        <f t="shared" si="11"/>
        <v/>
      </c>
      <c r="BZ73" s="159" t="str">
        <f t="shared" si="11"/>
        <v/>
      </c>
      <c r="CA73" s="159" t="str">
        <f t="shared" si="11"/>
        <v/>
      </c>
      <c r="CB73" s="159" t="str">
        <f t="shared" si="11"/>
        <v/>
      </c>
      <c r="CC73" s="159" t="str">
        <f t="shared" si="11"/>
        <v/>
      </c>
      <c r="CD73" s="159" t="str">
        <f t="shared" si="11"/>
        <v/>
      </c>
      <c r="CE73" s="159" t="str">
        <f t="shared" si="11"/>
        <v/>
      </c>
      <c r="CF73" s="159" t="str">
        <f t="shared" si="11"/>
        <v/>
      </c>
      <c r="CG73" s="159" t="str">
        <f t="shared" si="11"/>
        <v/>
      </c>
      <c r="CH73" s="159" t="str">
        <f t="shared" si="11"/>
        <v/>
      </c>
      <c r="CI73" s="159" t="str">
        <f t="shared" si="11"/>
        <v/>
      </c>
      <c r="CJ73" s="159" t="str">
        <f t="shared" si="11"/>
        <v/>
      </c>
      <c r="CK73" s="159" t="str">
        <f t="shared" si="11"/>
        <v/>
      </c>
      <c r="CL73" s="159" t="str">
        <f t="shared" si="11"/>
        <v/>
      </c>
      <c r="CM73" s="159" t="str">
        <f t="shared" si="11"/>
        <v/>
      </c>
      <c r="CN73" s="159" t="str">
        <f t="shared" si="11"/>
        <v/>
      </c>
      <c r="CO73" s="159" t="str">
        <f t="shared" si="11"/>
        <v/>
      </c>
      <c r="CP73" s="159" t="str">
        <f t="shared" si="11"/>
        <v/>
      </c>
      <c r="CQ73" s="159" t="str">
        <f t="shared" si="11"/>
        <v/>
      </c>
      <c r="CR73" s="159" t="str">
        <f t="shared" si="11"/>
        <v/>
      </c>
      <c r="CS73" s="159" t="str">
        <f t="shared" si="11"/>
        <v/>
      </c>
      <c r="CT73" s="225" t="s">
        <v>54</v>
      </c>
      <c r="CU73" s="83"/>
      <c r="CV73" s="83"/>
      <c r="CW73" s="12"/>
      <c r="CY73" s="19"/>
    </row>
    <row r="74" spans="1:103" x14ac:dyDescent="0.25">
      <c r="A74" s="97">
        <f t="shared" si="12"/>
        <v>0</v>
      </c>
      <c r="B74" s="31">
        <f t="shared" si="12"/>
        <v>2001</v>
      </c>
      <c r="C74" s="158"/>
      <c r="D74" s="159" t="str">
        <f t="shared" si="14"/>
        <v/>
      </c>
      <c r="E74" s="159" t="str">
        <f t="shared" si="14"/>
        <v/>
      </c>
      <c r="F74" s="159" t="str">
        <f t="shared" si="14"/>
        <v/>
      </c>
      <c r="G74" s="159" t="str">
        <f t="shared" si="14"/>
        <v/>
      </c>
      <c r="H74" s="159" t="str">
        <f t="shared" si="14"/>
        <v/>
      </c>
      <c r="I74" s="159" t="str">
        <f t="shared" si="14"/>
        <v/>
      </c>
      <c r="J74" s="159" t="str">
        <f t="shared" si="14"/>
        <v/>
      </c>
      <c r="K74" s="159" t="str">
        <f t="shared" si="14"/>
        <v/>
      </c>
      <c r="L74" s="159" t="str">
        <f t="shared" si="14"/>
        <v/>
      </c>
      <c r="M74" s="159" t="str">
        <f t="shared" si="14"/>
        <v/>
      </c>
      <c r="N74" s="159" t="str">
        <f t="shared" si="14"/>
        <v/>
      </c>
      <c r="O74" s="159" t="str">
        <f t="shared" si="14"/>
        <v/>
      </c>
      <c r="P74" s="159" t="str">
        <f t="shared" si="14"/>
        <v/>
      </c>
      <c r="Q74" s="159" t="str">
        <f t="shared" si="14"/>
        <v/>
      </c>
      <c r="R74" s="159" t="str">
        <f t="shared" si="14"/>
        <v/>
      </c>
      <c r="S74" s="159" t="str">
        <f t="shared" si="14"/>
        <v/>
      </c>
      <c r="T74" s="159" t="str">
        <f t="shared" si="14"/>
        <v/>
      </c>
      <c r="U74" s="159" t="str">
        <f t="shared" si="14"/>
        <v/>
      </c>
      <c r="V74" s="159" t="str">
        <f t="shared" si="14"/>
        <v/>
      </c>
      <c r="W74" s="159" t="str">
        <f t="shared" si="14"/>
        <v/>
      </c>
      <c r="X74" s="159" t="str">
        <f t="shared" si="14"/>
        <v/>
      </c>
      <c r="Y74" s="159" t="str">
        <f t="shared" si="14"/>
        <v/>
      </c>
      <c r="Z74" s="159" t="str">
        <f t="shared" si="14"/>
        <v/>
      </c>
      <c r="AA74" s="159" t="str">
        <f t="shared" si="14"/>
        <v/>
      </c>
      <c r="AB74" s="159" t="str">
        <f t="shared" si="14"/>
        <v/>
      </c>
      <c r="AC74" s="159" t="str">
        <f t="shared" si="14"/>
        <v/>
      </c>
      <c r="AD74" s="159" t="str">
        <f t="shared" si="14"/>
        <v/>
      </c>
      <c r="AE74" s="159" t="str">
        <f t="shared" si="14"/>
        <v/>
      </c>
      <c r="AF74" s="159" t="str">
        <f t="shared" si="14"/>
        <v/>
      </c>
      <c r="AG74" s="159" t="str">
        <f t="shared" si="14"/>
        <v/>
      </c>
      <c r="AH74" s="159" t="str">
        <f t="shared" si="14"/>
        <v/>
      </c>
      <c r="AI74" s="159" t="str">
        <f t="shared" si="14"/>
        <v/>
      </c>
      <c r="AJ74" s="159" t="str">
        <f t="shared" si="14"/>
        <v/>
      </c>
      <c r="AK74" s="159" t="str">
        <f t="shared" si="14"/>
        <v/>
      </c>
      <c r="AL74" s="159" t="str">
        <f t="shared" si="14"/>
        <v/>
      </c>
      <c r="AM74" s="159" t="str">
        <f t="shared" si="14"/>
        <v/>
      </c>
      <c r="AN74" s="159" t="str">
        <f t="shared" si="14"/>
        <v/>
      </c>
      <c r="AO74" s="159" t="str">
        <f t="shared" si="14"/>
        <v/>
      </c>
      <c r="AP74" s="159" t="str">
        <f t="shared" si="14"/>
        <v/>
      </c>
      <c r="AQ74" s="159" t="str">
        <f t="shared" si="14"/>
        <v/>
      </c>
      <c r="AR74" s="159" t="str">
        <f t="shared" si="14"/>
        <v/>
      </c>
      <c r="AS74" s="159" t="str">
        <f t="shared" si="14"/>
        <v/>
      </c>
      <c r="AT74" s="159" t="str">
        <f t="shared" si="14"/>
        <v/>
      </c>
      <c r="AU74" s="159" t="str">
        <f t="shared" si="14"/>
        <v/>
      </c>
      <c r="AV74" s="159" t="str">
        <f t="shared" si="14"/>
        <v/>
      </c>
      <c r="AW74" s="159" t="str">
        <f t="shared" si="14"/>
        <v/>
      </c>
      <c r="AX74" s="159" t="str">
        <f t="shared" si="14"/>
        <v/>
      </c>
      <c r="AY74" s="159" t="str">
        <f t="shared" si="14"/>
        <v/>
      </c>
      <c r="AZ74" s="159" t="str">
        <f t="shared" si="14"/>
        <v/>
      </c>
      <c r="BA74" s="159" t="str">
        <f t="shared" si="14"/>
        <v/>
      </c>
      <c r="BB74" s="159" t="str">
        <f t="shared" si="14"/>
        <v/>
      </c>
      <c r="BC74" s="159" t="str">
        <f t="shared" si="14"/>
        <v/>
      </c>
      <c r="BD74" s="159" t="str">
        <f t="shared" si="14"/>
        <v/>
      </c>
      <c r="BE74" s="159" t="str">
        <f t="shared" si="14"/>
        <v/>
      </c>
      <c r="BF74" s="159" t="str">
        <f t="shared" si="14"/>
        <v/>
      </c>
      <c r="BG74" s="159" t="str">
        <f t="shared" si="14"/>
        <v/>
      </c>
      <c r="BH74" s="159" t="str">
        <f t="shared" si="14"/>
        <v/>
      </c>
      <c r="BI74" s="159" t="str">
        <f t="shared" si="14"/>
        <v/>
      </c>
      <c r="BJ74" s="159" t="str">
        <f t="shared" si="14"/>
        <v/>
      </c>
      <c r="BK74" s="159" t="str">
        <f t="shared" si="14"/>
        <v/>
      </c>
      <c r="BL74" s="159" t="str">
        <f t="shared" si="14"/>
        <v/>
      </c>
      <c r="BM74" s="159" t="str">
        <f t="shared" si="14"/>
        <v/>
      </c>
      <c r="BN74" s="159" t="str">
        <f t="shared" si="14"/>
        <v/>
      </c>
      <c r="BO74" s="159" t="str">
        <f t="shared" si="14"/>
        <v/>
      </c>
      <c r="BP74" s="159" t="str">
        <f t="shared" si="11"/>
        <v/>
      </c>
      <c r="BQ74" s="159" t="str">
        <f t="shared" si="11"/>
        <v/>
      </c>
      <c r="BR74" s="159" t="str">
        <f t="shared" si="11"/>
        <v/>
      </c>
      <c r="BS74" s="159" t="str">
        <f t="shared" si="11"/>
        <v/>
      </c>
      <c r="BT74" s="159" t="str">
        <f t="shared" si="11"/>
        <v/>
      </c>
      <c r="BU74" s="159" t="str">
        <f t="shared" si="11"/>
        <v/>
      </c>
      <c r="BV74" s="159" t="str">
        <f t="shared" si="11"/>
        <v/>
      </c>
      <c r="BW74" s="159" t="str">
        <f t="shared" si="11"/>
        <v/>
      </c>
      <c r="BX74" s="159" t="str">
        <f t="shared" si="11"/>
        <v/>
      </c>
      <c r="BY74" s="159" t="str">
        <f t="shared" si="11"/>
        <v/>
      </c>
      <c r="BZ74" s="159" t="str">
        <f t="shared" si="11"/>
        <v/>
      </c>
      <c r="CA74" s="159" t="str">
        <f t="shared" si="11"/>
        <v/>
      </c>
      <c r="CB74" s="159" t="str">
        <f t="shared" si="11"/>
        <v/>
      </c>
      <c r="CC74" s="159" t="str">
        <f t="shared" si="11"/>
        <v/>
      </c>
      <c r="CD74" s="159" t="str">
        <f t="shared" si="11"/>
        <v/>
      </c>
      <c r="CE74" s="159" t="str">
        <f t="shared" si="11"/>
        <v/>
      </c>
      <c r="CF74" s="159" t="str">
        <f t="shared" si="11"/>
        <v/>
      </c>
      <c r="CG74" s="159" t="str">
        <f t="shared" si="11"/>
        <v/>
      </c>
      <c r="CH74" s="159" t="str">
        <f t="shared" si="11"/>
        <v/>
      </c>
      <c r="CI74" s="159" t="str">
        <f t="shared" si="11"/>
        <v/>
      </c>
      <c r="CJ74" s="159" t="str">
        <f t="shared" si="11"/>
        <v/>
      </c>
      <c r="CK74" s="159" t="str">
        <f t="shared" si="11"/>
        <v/>
      </c>
      <c r="CL74" s="159" t="str">
        <f t="shared" si="11"/>
        <v/>
      </c>
      <c r="CM74" s="159" t="str">
        <f t="shared" si="11"/>
        <v/>
      </c>
      <c r="CN74" s="159" t="str">
        <f t="shared" si="11"/>
        <v/>
      </c>
      <c r="CO74" s="159" t="str">
        <f t="shared" si="11"/>
        <v/>
      </c>
      <c r="CP74" s="159" t="str">
        <f t="shared" si="11"/>
        <v/>
      </c>
      <c r="CQ74" s="159" t="str">
        <f t="shared" si="11"/>
        <v/>
      </c>
      <c r="CR74" s="159" t="str">
        <f t="shared" si="11"/>
        <v/>
      </c>
      <c r="CS74" s="159" t="str">
        <f t="shared" si="11"/>
        <v/>
      </c>
      <c r="CT74" s="225" t="s">
        <v>54</v>
      </c>
      <c r="CU74" s="42"/>
      <c r="CV74" s="42"/>
    </row>
    <row r="75" spans="1:103" x14ac:dyDescent="0.25">
      <c r="A75" s="97">
        <f t="shared" si="12"/>
        <v>0</v>
      </c>
      <c r="B75" s="31">
        <f t="shared" si="12"/>
        <v>2002</v>
      </c>
      <c r="C75" s="158"/>
      <c r="D75" s="159" t="str">
        <f t="shared" si="14"/>
        <v/>
      </c>
      <c r="E75" s="159" t="str">
        <f t="shared" si="14"/>
        <v/>
      </c>
      <c r="F75" s="159" t="str">
        <f t="shared" si="14"/>
        <v/>
      </c>
      <c r="G75" s="159" t="str">
        <f t="shared" si="14"/>
        <v/>
      </c>
      <c r="H75" s="159" t="str">
        <f t="shared" si="14"/>
        <v/>
      </c>
      <c r="I75" s="159" t="str">
        <f t="shared" si="14"/>
        <v/>
      </c>
      <c r="J75" s="159" t="str">
        <f t="shared" si="14"/>
        <v/>
      </c>
      <c r="K75" s="159" t="str">
        <f t="shared" si="14"/>
        <v/>
      </c>
      <c r="L75" s="159" t="str">
        <f t="shared" si="14"/>
        <v/>
      </c>
      <c r="M75" s="159" t="str">
        <f t="shared" si="14"/>
        <v/>
      </c>
      <c r="N75" s="159" t="str">
        <f t="shared" si="14"/>
        <v/>
      </c>
      <c r="O75" s="159" t="str">
        <f t="shared" si="14"/>
        <v/>
      </c>
      <c r="P75" s="159" t="str">
        <f t="shared" si="14"/>
        <v/>
      </c>
      <c r="Q75" s="159" t="str">
        <f t="shared" si="14"/>
        <v/>
      </c>
      <c r="R75" s="159" t="str">
        <f t="shared" si="14"/>
        <v/>
      </c>
      <c r="S75" s="159" t="str">
        <f t="shared" si="14"/>
        <v/>
      </c>
      <c r="T75" s="159" t="str">
        <f t="shared" si="14"/>
        <v/>
      </c>
      <c r="U75" s="159" t="str">
        <f t="shared" si="14"/>
        <v/>
      </c>
      <c r="V75" s="159" t="str">
        <f t="shared" si="14"/>
        <v/>
      </c>
      <c r="W75" s="159" t="str">
        <f t="shared" si="14"/>
        <v/>
      </c>
      <c r="X75" s="159" t="str">
        <f t="shared" si="14"/>
        <v/>
      </c>
      <c r="Y75" s="159" t="str">
        <f t="shared" si="14"/>
        <v/>
      </c>
      <c r="Z75" s="159" t="str">
        <f t="shared" si="14"/>
        <v/>
      </c>
      <c r="AA75" s="159" t="str">
        <f t="shared" si="14"/>
        <v/>
      </c>
      <c r="AB75" s="159" t="str">
        <f t="shared" si="14"/>
        <v/>
      </c>
      <c r="AC75" s="159" t="str">
        <f t="shared" si="14"/>
        <v/>
      </c>
      <c r="AD75" s="159" t="str">
        <f t="shared" si="14"/>
        <v/>
      </c>
      <c r="AE75" s="159" t="str">
        <f t="shared" si="14"/>
        <v/>
      </c>
      <c r="AF75" s="159" t="str">
        <f t="shared" si="14"/>
        <v/>
      </c>
      <c r="AG75" s="159" t="str">
        <f t="shared" si="14"/>
        <v/>
      </c>
      <c r="AH75" s="159" t="str">
        <f t="shared" si="14"/>
        <v/>
      </c>
      <c r="AI75" s="159" t="str">
        <f t="shared" si="14"/>
        <v/>
      </c>
      <c r="AJ75" s="159" t="str">
        <f t="shared" si="14"/>
        <v/>
      </c>
      <c r="AK75" s="159" t="str">
        <f t="shared" si="14"/>
        <v/>
      </c>
      <c r="AL75" s="159" t="str">
        <f t="shared" si="14"/>
        <v/>
      </c>
      <c r="AM75" s="159" t="str">
        <f t="shared" si="14"/>
        <v/>
      </c>
      <c r="AN75" s="159" t="str">
        <f t="shared" si="14"/>
        <v/>
      </c>
      <c r="AO75" s="159" t="str">
        <f t="shared" si="14"/>
        <v/>
      </c>
      <c r="AP75" s="159" t="str">
        <f t="shared" si="14"/>
        <v/>
      </c>
      <c r="AQ75" s="159" t="str">
        <f t="shared" si="14"/>
        <v/>
      </c>
      <c r="AR75" s="159" t="str">
        <f t="shared" si="14"/>
        <v/>
      </c>
      <c r="AS75" s="159" t="str">
        <f t="shared" si="14"/>
        <v/>
      </c>
      <c r="AT75" s="159" t="str">
        <f t="shared" si="14"/>
        <v/>
      </c>
      <c r="AU75" s="159" t="str">
        <f t="shared" si="14"/>
        <v/>
      </c>
      <c r="AV75" s="159" t="str">
        <f t="shared" si="14"/>
        <v/>
      </c>
      <c r="AW75" s="159" t="str">
        <f t="shared" si="14"/>
        <v/>
      </c>
      <c r="AX75" s="159" t="str">
        <f t="shared" si="14"/>
        <v/>
      </c>
      <c r="AY75" s="159" t="str">
        <f t="shared" si="14"/>
        <v/>
      </c>
      <c r="AZ75" s="159" t="str">
        <f t="shared" si="14"/>
        <v/>
      </c>
      <c r="BA75" s="159" t="str">
        <f t="shared" si="14"/>
        <v/>
      </c>
      <c r="BB75" s="159" t="str">
        <f t="shared" si="14"/>
        <v/>
      </c>
      <c r="BC75" s="159" t="str">
        <f t="shared" si="14"/>
        <v/>
      </c>
      <c r="BD75" s="159" t="str">
        <f t="shared" si="14"/>
        <v/>
      </c>
      <c r="BE75" s="159" t="str">
        <f t="shared" si="14"/>
        <v/>
      </c>
      <c r="BF75" s="159" t="str">
        <f t="shared" si="14"/>
        <v/>
      </c>
      <c r="BG75" s="159" t="str">
        <f t="shared" si="14"/>
        <v/>
      </c>
      <c r="BH75" s="159" t="str">
        <f t="shared" si="14"/>
        <v/>
      </c>
      <c r="BI75" s="159" t="str">
        <f t="shared" si="14"/>
        <v/>
      </c>
      <c r="BJ75" s="159" t="str">
        <f t="shared" si="14"/>
        <v/>
      </c>
      <c r="BK75" s="159" t="str">
        <f t="shared" si="14"/>
        <v/>
      </c>
      <c r="BL75" s="159" t="str">
        <f t="shared" si="14"/>
        <v/>
      </c>
      <c r="BM75" s="159" t="str">
        <f t="shared" si="14"/>
        <v/>
      </c>
      <c r="BN75" s="159" t="str">
        <f t="shared" si="14"/>
        <v/>
      </c>
      <c r="BO75" s="159" t="str">
        <f t="shared" si="14"/>
        <v/>
      </c>
      <c r="BP75" s="159" t="str">
        <f t="shared" si="11"/>
        <v/>
      </c>
      <c r="BQ75" s="159" t="str">
        <f t="shared" si="11"/>
        <v/>
      </c>
      <c r="BR75" s="159" t="str">
        <f t="shared" si="11"/>
        <v/>
      </c>
      <c r="BS75" s="159" t="str">
        <f t="shared" si="11"/>
        <v/>
      </c>
      <c r="BT75" s="159" t="str">
        <f t="shared" si="11"/>
        <v/>
      </c>
      <c r="BU75" s="159" t="str">
        <f t="shared" si="11"/>
        <v/>
      </c>
      <c r="BV75" s="159" t="str">
        <f t="shared" si="11"/>
        <v/>
      </c>
      <c r="BW75" s="159" t="str">
        <f t="shared" si="11"/>
        <v/>
      </c>
      <c r="BX75" s="159" t="str">
        <f t="shared" si="11"/>
        <v/>
      </c>
      <c r="BY75" s="159" t="str">
        <f t="shared" si="11"/>
        <v/>
      </c>
      <c r="BZ75" s="159" t="str">
        <f t="shared" si="11"/>
        <v/>
      </c>
      <c r="CA75" s="159" t="str">
        <f t="shared" si="11"/>
        <v/>
      </c>
      <c r="CB75" s="159" t="str">
        <f t="shared" si="11"/>
        <v/>
      </c>
      <c r="CC75" s="159" t="str">
        <f t="shared" si="11"/>
        <v/>
      </c>
      <c r="CD75" s="159" t="str">
        <f t="shared" si="11"/>
        <v/>
      </c>
      <c r="CE75" s="159" t="str">
        <f t="shared" si="11"/>
        <v/>
      </c>
      <c r="CF75" s="159" t="str">
        <f t="shared" si="11"/>
        <v/>
      </c>
      <c r="CG75" s="159" t="str">
        <f t="shared" si="11"/>
        <v/>
      </c>
      <c r="CH75" s="159" t="str">
        <f t="shared" si="11"/>
        <v/>
      </c>
      <c r="CI75" s="159" t="str">
        <f t="shared" si="11"/>
        <v/>
      </c>
      <c r="CJ75" s="159" t="str">
        <f t="shared" si="11"/>
        <v/>
      </c>
      <c r="CK75" s="159" t="str">
        <f t="shared" si="11"/>
        <v/>
      </c>
      <c r="CL75" s="159" t="str">
        <f t="shared" si="11"/>
        <v/>
      </c>
      <c r="CM75" s="159" t="str">
        <f t="shared" si="11"/>
        <v/>
      </c>
      <c r="CN75" s="159" t="str">
        <f t="shared" si="11"/>
        <v/>
      </c>
      <c r="CO75" s="159" t="str">
        <f t="shared" si="11"/>
        <v/>
      </c>
      <c r="CP75" s="159" t="str">
        <f t="shared" si="11"/>
        <v/>
      </c>
      <c r="CQ75" s="159" t="str">
        <f t="shared" si="11"/>
        <v/>
      </c>
      <c r="CR75" s="159" t="str">
        <f t="shared" si="11"/>
        <v/>
      </c>
      <c r="CS75" s="159" t="str">
        <f t="shared" si="11"/>
        <v/>
      </c>
      <c r="CT75" s="225" t="s">
        <v>54</v>
      </c>
      <c r="CU75" s="42"/>
      <c r="CV75" s="42"/>
      <c r="CY75" s="25"/>
    </row>
    <row r="76" spans="1:103" x14ac:dyDescent="0.25">
      <c r="A76" s="97">
        <f t="shared" si="12"/>
        <v>0</v>
      </c>
      <c r="B76" s="31">
        <f t="shared" si="12"/>
        <v>2003</v>
      </c>
      <c r="C76" s="158"/>
      <c r="D76" s="159" t="str">
        <f t="shared" si="14"/>
        <v/>
      </c>
      <c r="E76" s="159" t="str">
        <f t="shared" si="14"/>
        <v/>
      </c>
      <c r="F76" s="159" t="str">
        <f t="shared" si="14"/>
        <v/>
      </c>
      <c r="G76" s="159" t="str">
        <f t="shared" si="14"/>
        <v/>
      </c>
      <c r="H76" s="159" t="str">
        <f t="shared" si="14"/>
        <v/>
      </c>
      <c r="I76" s="159" t="str">
        <f t="shared" si="14"/>
        <v/>
      </c>
      <c r="J76" s="159" t="str">
        <f t="shared" si="14"/>
        <v/>
      </c>
      <c r="K76" s="159" t="str">
        <f t="shared" si="14"/>
        <v/>
      </c>
      <c r="L76" s="159" t="str">
        <f t="shared" si="14"/>
        <v/>
      </c>
      <c r="M76" s="159" t="str">
        <f t="shared" si="14"/>
        <v/>
      </c>
      <c r="N76" s="159" t="str">
        <f t="shared" si="14"/>
        <v/>
      </c>
      <c r="O76" s="159" t="str">
        <f t="shared" si="14"/>
        <v/>
      </c>
      <c r="P76" s="159" t="str">
        <f t="shared" si="14"/>
        <v/>
      </c>
      <c r="Q76" s="159" t="str">
        <f t="shared" si="14"/>
        <v/>
      </c>
      <c r="R76" s="159" t="str">
        <f t="shared" si="14"/>
        <v/>
      </c>
      <c r="S76" s="159" t="str">
        <f t="shared" si="14"/>
        <v/>
      </c>
      <c r="T76" s="159" t="str">
        <f t="shared" si="14"/>
        <v/>
      </c>
      <c r="U76" s="159" t="str">
        <f t="shared" si="14"/>
        <v/>
      </c>
      <c r="V76" s="159" t="str">
        <f t="shared" si="14"/>
        <v/>
      </c>
      <c r="W76" s="159" t="str">
        <f t="shared" si="14"/>
        <v/>
      </c>
      <c r="X76" s="159" t="str">
        <f t="shared" si="14"/>
        <v/>
      </c>
      <c r="Y76" s="159" t="str">
        <f t="shared" si="14"/>
        <v/>
      </c>
      <c r="Z76" s="159" t="str">
        <f t="shared" si="14"/>
        <v/>
      </c>
      <c r="AA76" s="159" t="str">
        <f t="shared" si="14"/>
        <v/>
      </c>
      <c r="AB76" s="159" t="str">
        <f t="shared" si="14"/>
        <v/>
      </c>
      <c r="AC76" s="159" t="str">
        <f t="shared" si="14"/>
        <v/>
      </c>
      <c r="AD76" s="159" t="str">
        <f t="shared" si="14"/>
        <v/>
      </c>
      <c r="AE76" s="159" t="str">
        <f t="shared" si="14"/>
        <v/>
      </c>
      <c r="AF76" s="159" t="str">
        <f t="shared" si="14"/>
        <v/>
      </c>
      <c r="AG76" s="159" t="str">
        <f t="shared" si="14"/>
        <v/>
      </c>
      <c r="AH76" s="159" t="str">
        <f t="shared" si="14"/>
        <v/>
      </c>
      <c r="AI76" s="159" t="str">
        <f t="shared" si="14"/>
        <v/>
      </c>
      <c r="AJ76" s="159" t="str">
        <f t="shared" si="14"/>
        <v/>
      </c>
      <c r="AK76" s="159" t="str">
        <f t="shared" si="14"/>
        <v/>
      </c>
      <c r="AL76" s="159" t="str">
        <f t="shared" si="14"/>
        <v/>
      </c>
      <c r="AM76" s="159" t="str">
        <f t="shared" si="14"/>
        <v/>
      </c>
      <c r="AN76" s="159" t="str">
        <f t="shared" si="14"/>
        <v/>
      </c>
      <c r="AO76" s="159" t="str">
        <f t="shared" si="14"/>
        <v/>
      </c>
      <c r="AP76" s="159" t="str">
        <f t="shared" si="14"/>
        <v/>
      </c>
      <c r="AQ76" s="159" t="str">
        <f t="shared" si="14"/>
        <v/>
      </c>
      <c r="AR76" s="159" t="str">
        <f t="shared" si="14"/>
        <v/>
      </c>
      <c r="AS76" s="159" t="str">
        <f t="shared" si="14"/>
        <v/>
      </c>
      <c r="AT76" s="159" t="str">
        <f t="shared" si="14"/>
        <v/>
      </c>
      <c r="AU76" s="159" t="str">
        <f t="shared" si="14"/>
        <v/>
      </c>
      <c r="AV76" s="159" t="str">
        <f t="shared" si="14"/>
        <v/>
      </c>
      <c r="AW76" s="159" t="str">
        <f t="shared" si="14"/>
        <v/>
      </c>
      <c r="AX76" s="159" t="str">
        <f t="shared" si="14"/>
        <v/>
      </c>
      <c r="AY76" s="159" t="str">
        <f t="shared" si="14"/>
        <v/>
      </c>
      <c r="AZ76" s="159" t="str">
        <f t="shared" si="14"/>
        <v/>
      </c>
      <c r="BA76" s="159" t="str">
        <f t="shared" si="14"/>
        <v/>
      </c>
      <c r="BB76" s="159" t="str">
        <f t="shared" si="14"/>
        <v/>
      </c>
      <c r="BC76" s="159" t="str">
        <f t="shared" si="14"/>
        <v/>
      </c>
      <c r="BD76" s="159" t="str">
        <f t="shared" si="14"/>
        <v/>
      </c>
      <c r="BE76" s="159" t="str">
        <f t="shared" si="14"/>
        <v/>
      </c>
      <c r="BF76" s="159" t="str">
        <f t="shared" si="14"/>
        <v/>
      </c>
      <c r="BG76" s="159" t="str">
        <f t="shared" si="14"/>
        <v/>
      </c>
      <c r="BH76" s="159" t="str">
        <f t="shared" si="14"/>
        <v/>
      </c>
      <c r="BI76" s="159" t="str">
        <f t="shared" si="14"/>
        <v/>
      </c>
      <c r="BJ76" s="159" t="str">
        <f t="shared" si="14"/>
        <v/>
      </c>
      <c r="BK76" s="159" t="str">
        <f t="shared" si="14"/>
        <v/>
      </c>
      <c r="BL76" s="159" t="str">
        <f t="shared" si="14"/>
        <v/>
      </c>
      <c r="BM76" s="159" t="str">
        <f t="shared" si="14"/>
        <v/>
      </c>
      <c r="BN76" s="159" t="str">
        <f t="shared" si="14"/>
        <v/>
      </c>
      <c r="BO76" s="159" t="str">
        <f t="shared" ref="BO76" si="15">IFERROR(IF(BO49=1,BO21/BN21,""),"")</f>
        <v/>
      </c>
      <c r="BP76" s="159" t="str">
        <f t="shared" si="11"/>
        <v/>
      </c>
      <c r="BQ76" s="159" t="str">
        <f t="shared" si="11"/>
        <v/>
      </c>
      <c r="BR76" s="159" t="str">
        <f t="shared" si="11"/>
        <v/>
      </c>
      <c r="BS76" s="159" t="str">
        <f t="shared" si="11"/>
        <v/>
      </c>
      <c r="BT76" s="159" t="str">
        <f t="shared" si="11"/>
        <v/>
      </c>
      <c r="BU76" s="159" t="str">
        <f t="shared" si="11"/>
        <v/>
      </c>
      <c r="BV76" s="159" t="str">
        <f t="shared" si="11"/>
        <v/>
      </c>
      <c r="BW76" s="159" t="str">
        <f t="shared" si="11"/>
        <v/>
      </c>
      <c r="BX76" s="159" t="str">
        <f t="shared" si="11"/>
        <v/>
      </c>
      <c r="BY76" s="159" t="str">
        <f t="shared" si="11"/>
        <v/>
      </c>
      <c r="BZ76" s="159" t="str">
        <f t="shared" si="11"/>
        <v/>
      </c>
      <c r="CA76" s="159" t="str">
        <f t="shared" si="11"/>
        <v/>
      </c>
      <c r="CB76" s="159" t="str">
        <f t="shared" si="11"/>
        <v/>
      </c>
      <c r="CC76" s="159" t="str">
        <f t="shared" si="11"/>
        <v/>
      </c>
      <c r="CD76" s="159" t="str">
        <f t="shared" si="11"/>
        <v/>
      </c>
      <c r="CE76" s="159" t="str">
        <f t="shared" si="11"/>
        <v/>
      </c>
      <c r="CF76" s="159" t="str">
        <f t="shared" si="11"/>
        <v/>
      </c>
      <c r="CG76" s="159" t="str">
        <f t="shared" si="11"/>
        <v/>
      </c>
      <c r="CH76" s="159" t="str">
        <f t="shared" si="11"/>
        <v/>
      </c>
      <c r="CI76" s="159" t="str">
        <f t="shared" si="11"/>
        <v/>
      </c>
      <c r="CJ76" s="159" t="str">
        <f t="shared" si="11"/>
        <v/>
      </c>
      <c r="CK76" s="159" t="str">
        <f t="shared" si="11"/>
        <v/>
      </c>
      <c r="CL76" s="159" t="str">
        <f t="shared" si="11"/>
        <v/>
      </c>
      <c r="CM76" s="159" t="str">
        <f t="shared" si="11"/>
        <v/>
      </c>
      <c r="CN76" s="159" t="str">
        <f t="shared" si="11"/>
        <v/>
      </c>
      <c r="CO76" s="159" t="str">
        <f t="shared" si="11"/>
        <v/>
      </c>
      <c r="CP76" s="159" t="str">
        <f t="shared" si="11"/>
        <v/>
      </c>
      <c r="CQ76" s="159" t="str">
        <f t="shared" si="11"/>
        <v/>
      </c>
      <c r="CR76" s="159" t="str">
        <f t="shared" si="11"/>
        <v/>
      </c>
      <c r="CS76" s="159" t="str">
        <f t="shared" si="11"/>
        <v/>
      </c>
      <c r="CT76" s="225" t="s">
        <v>54</v>
      </c>
      <c r="CU76" s="42"/>
      <c r="CV76" s="42"/>
    </row>
    <row r="77" spans="1:103" x14ac:dyDescent="0.25">
      <c r="A77" s="97">
        <f t="shared" si="12"/>
        <v>0</v>
      </c>
      <c r="B77" s="31">
        <f t="shared" si="12"/>
        <v>2004</v>
      </c>
      <c r="C77" s="158"/>
      <c r="D77" s="159" t="str">
        <f t="shared" ref="D77:BO80" si="16">IFERROR(IF(D50=1,D22/C22,""),"")</f>
        <v/>
      </c>
      <c r="E77" s="159" t="str">
        <f t="shared" si="16"/>
        <v/>
      </c>
      <c r="F77" s="159" t="str">
        <f t="shared" si="16"/>
        <v/>
      </c>
      <c r="G77" s="159" t="str">
        <f t="shared" si="16"/>
        <v/>
      </c>
      <c r="H77" s="159" t="str">
        <f t="shared" si="16"/>
        <v/>
      </c>
      <c r="I77" s="159" t="str">
        <f t="shared" si="16"/>
        <v/>
      </c>
      <c r="J77" s="159" t="str">
        <f t="shared" si="16"/>
        <v/>
      </c>
      <c r="K77" s="159" t="str">
        <f t="shared" si="16"/>
        <v/>
      </c>
      <c r="L77" s="159" t="str">
        <f t="shared" si="16"/>
        <v/>
      </c>
      <c r="M77" s="159" t="str">
        <f t="shared" si="16"/>
        <v/>
      </c>
      <c r="N77" s="159" t="str">
        <f t="shared" si="16"/>
        <v/>
      </c>
      <c r="O77" s="159" t="str">
        <f t="shared" si="16"/>
        <v/>
      </c>
      <c r="P77" s="159" t="str">
        <f t="shared" si="16"/>
        <v/>
      </c>
      <c r="Q77" s="159" t="str">
        <f t="shared" si="16"/>
        <v/>
      </c>
      <c r="R77" s="159" t="str">
        <f t="shared" si="16"/>
        <v/>
      </c>
      <c r="S77" s="159" t="str">
        <f t="shared" si="16"/>
        <v/>
      </c>
      <c r="T77" s="159" t="str">
        <f t="shared" si="16"/>
        <v/>
      </c>
      <c r="U77" s="159" t="str">
        <f t="shared" si="16"/>
        <v/>
      </c>
      <c r="V77" s="159" t="str">
        <f t="shared" si="16"/>
        <v/>
      </c>
      <c r="W77" s="159" t="str">
        <f t="shared" si="16"/>
        <v/>
      </c>
      <c r="X77" s="159" t="str">
        <f t="shared" si="16"/>
        <v/>
      </c>
      <c r="Y77" s="159" t="str">
        <f t="shared" si="16"/>
        <v/>
      </c>
      <c r="Z77" s="159" t="str">
        <f t="shared" si="16"/>
        <v/>
      </c>
      <c r="AA77" s="159" t="str">
        <f t="shared" si="16"/>
        <v/>
      </c>
      <c r="AB77" s="159" t="str">
        <f t="shared" si="16"/>
        <v/>
      </c>
      <c r="AC77" s="159" t="str">
        <f t="shared" si="16"/>
        <v/>
      </c>
      <c r="AD77" s="159" t="str">
        <f t="shared" si="16"/>
        <v/>
      </c>
      <c r="AE77" s="159" t="str">
        <f t="shared" si="16"/>
        <v/>
      </c>
      <c r="AF77" s="159" t="str">
        <f t="shared" si="16"/>
        <v/>
      </c>
      <c r="AG77" s="159" t="str">
        <f t="shared" si="16"/>
        <v/>
      </c>
      <c r="AH77" s="159" t="str">
        <f t="shared" si="16"/>
        <v/>
      </c>
      <c r="AI77" s="159" t="str">
        <f t="shared" si="16"/>
        <v/>
      </c>
      <c r="AJ77" s="159" t="str">
        <f t="shared" si="16"/>
        <v/>
      </c>
      <c r="AK77" s="159" t="str">
        <f t="shared" si="16"/>
        <v/>
      </c>
      <c r="AL77" s="159" t="str">
        <f t="shared" si="16"/>
        <v/>
      </c>
      <c r="AM77" s="159" t="str">
        <f t="shared" si="16"/>
        <v/>
      </c>
      <c r="AN77" s="159" t="str">
        <f t="shared" si="16"/>
        <v/>
      </c>
      <c r="AO77" s="159" t="str">
        <f t="shared" si="16"/>
        <v/>
      </c>
      <c r="AP77" s="159" t="str">
        <f t="shared" si="16"/>
        <v/>
      </c>
      <c r="AQ77" s="159" t="str">
        <f t="shared" si="16"/>
        <v/>
      </c>
      <c r="AR77" s="159" t="str">
        <f t="shared" si="16"/>
        <v/>
      </c>
      <c r="AS77" s="159" t="str">
        <f t="shared" si="16"/>
        <v/>
      </c>
      <c r="AT77" s="159" t="str">
        <f t="shared" si="16"/>
        <v/>
      </c>
      <c r="AU77" s="159" t="str">
        <f t="shared" si="16"/>
        <v/>
      </c>
      <c r="AV77" s="159" t="str">
        <f t="shared" si="16"/>
        <v/>
      </c>
      <c r="AW77" s="159" t="str">
        <f t="shared" si="16"/>
        <v/>
      </c>
      <c r="AX77" s="159" t="str">
        <f t="shared" si="16"/>
        <v/>
      </c>
      <c r="AY77" s="159" t="str">
        <f t="shared" si="16"/>
        <v/>
      </c>
      <c r="AZ77" s="159" t="str">
        <f t="shared" si="16"/>
        <v/>
      </c>
      <c r="BA77" s="159" t="str">
        <f t="shared" si="16"/>
        <v/>
      </c>
      <c r="BB77" s="159" t="str">
        <f t="shared" si="16"/>
        <v/>
      </c>
      <c r="BC77" s="159" t="str">
        <f t="shared" si="16"/>
        <v/>
      </c>
      <c r="BD77" s="159" t="str">
        <f t="shared" si="16"/>
        <v/>
      </c>
      <c r="BE77" s="159" t="str">
        <f t="shared" si="16"/>
        <v/>
      </c>
      <c r="BF77" s="159" t="str">
        <f t="shared" si="16"/>
        <v/>
      </c>
      <c r="BG77" s="159" t="str">
        <f t="shared" si="16"/>
        <v/>
      </c>
      <c r="BH77" s="159" t="str">
        <f t="shared" si="16"/>
        <v/>
      </c>
      <c r="BI77" s="159" t="str">
        <f t="shared" si="16"/>
        <v/>
      </c>
      <c r="BJ77" s="159" t="str">
        <f t="shared" si="16"/>
        <v/>
      </c>
      <c r="BK77" s="159" t="str">
        <f t="shared" si="16"/>
        <v/>
      </c>
      <c r="BL77" s="159" t="str">
        <f t="shared" si="16"/>
        <v/>
      </c>
      <c r="BM77" s="159" t="str">
        <f t="shared" si="16"/>
        <v/>
      </c>
      <c r="BN77" s="159" t="str">
        <f t="shared" si="16"/>
        <v/>
      </c>
      <c r="BO77" s="159" t="str">
        <f t="shared" si="16"/>
        <v/>
      </c>
      <c r="BP77" s="159" t="str">
        <f t="shared" si="11"/>
        <v/>
      </c>
      <c r="BQ77" s="159" t="str">
        <f t="shared" si="11"/>
        <v/>
      </c>
      <c r="BR77" s="159" t="str">
        <f t="shared" si="11"/>
        <v/>
      </c>
      <c r="BS77" s="159" t="str">
        <f t="shared" si="11"/>
        <v/>
      </c>
      <c r="BT77" s="159" t="str">
        <f t="shared" si="11"/>
        <v/>
      </c>
      <c r="BU77" s="159" t="str">
        <f t="shared" si="11"/>
        <v/>
      </c>
      <c r="BV77" s="159" t="str">
        <f t="shared" si="11"/>
        <v/>
      </c>
      <c r="BW77" s="159" t="str">
        <f t="shared" si="11"/>
        <v/>
      </c>
      <c r="BX77" s="159" t="str">
        <f t="shared" si="11"/>
        <v/>
      </c>
      <c r="BY77" s="159" t="str">
        <f t="shared" si="11"/>
        <v/>
      </c>
      <c r="BZ77" s="159" t="str">
        <f t="shared" si="11"/>
        <v/>
      </c>
      <c r="CA77" s="159" t="str">
        <f t="shared" si="11"/>
        <v/>
      </c>
      <c r="CB77" s="159" t="str">
        <f t="shared" si="11"/>
        <v/>
      </c>
      <c r="CC77" s="159" t="str">
        <f t="shared" si="11"/>
        <v/>
      </c>
      <c r="CD77" s="159" t="str">
        <f t="shared" si="11"/>
        <v/>
      </c>
      <c r="CE77" s="159" t="str">
        <f t="shared" ref="CE77:CS77" si="17">IFERROR(IF(CE50=1,CE22/CD22,""),"")</f>
        <v/>
      </c>
      <c r="CF77" s="159" t="str">
        <f t="shared" si="17"/>
        <v/>
      </c>
      <c r="CG77" s="159" t="str">
        <f t="shared" si="17"/>
        <v/>
      </c>
      <c r="CH77" s="159" t="str">
        <f t="shared" si="17"/>
        <v/>
      </c>
      <c r="CI77" s="159" t="str">
        <f t="shared" si="17"/>
        <v/>
      </c>
      <c r="CJ77" s="159" t="str">
        <f t="shared" si="17"/>
        <v/>
      </c>
      <c r="CK77" s="159" t="str">
        <f t="shared" si="17"/>
        <v/>
      </c>
      <c r="CL77" s="159" t="str">
        <f t="shared" si="17"/>
        <v/>
      </c>
      <c r="CM77" s="159" t="str">
        <f t="shared" si="17"/>
        <v/>
      </c>
      <c r="CN77" s="159" t="str">
        <f t="shared" si="17"/>
        <v/>
      </c>
      <c r="CO77" s="159" t="str">
        <f t="shared" si="17"/>
        <v/>
      </c>
      <c r="CP77" s="159" t="str">
        <f t="shared" si="17"/>
        <v/>
      </c>
      <c r="CQ77" s="159" t="str">
        <f t="shared" si="17"/>
        <v/>
      </c>
      <c r="CR77" s="159" t="str">
        <f t="shared" si="17"/>
        <v/>
      </c>
      <c r="CS77" s="159" t="str">
        <f t="shared" si="17"/>
        <v/>
      </c>
      <c r="CT77" s="225" t="s">
        <v>54</v>
      </c>
      <c r="CU77" s="42"/>
      <c r="CV77" s="42"/>
      <c r="CY77" s="43"/>
    </row>
    <row r="78" spans="1:103" x14ac:dyDescent="0.25">
      <c r="A78" s="97">
        <f t="shared" si="12"/>
        <v>0</v>
      </c>
      <c r="B78" s="31">
        <f t="shared" si="12"/>
        <v>2005</v>
      </c>
      <c r="C78" s="158"/>
      <c r="D78" s="159" t="str">
        <f t="shared" si="16"/>
        <v/>
      </c>
      <c r="E78" s="159" t="str">
        <f t="shared" si="16"/>
        <v/>
      </c>
      <c r="F78" s="159" t="str">
        <f t="shared" si="16"/>
        <v/>
      </c>
      <c r="G78" s="159" t="str">
        <f t="shared" si="16"/>
        <v/>
      </c>
      <c r="H78" s="159" t="str">
        <f t="shared" si="16"/>
        <v/>
      </c>
      <c r="I78" s="159" t="str">
        <f t="shared" si="16"/>
        <v/>
      </c>
      <c r="J78" s="159" t="str">
        <f t="shared" si="16"/>
        <v/>
      </c>
      <c r="K78" s="159" t="str">
        <f t="shared" si="16"/>
        <v/>
      </c>
      <c r="L78" s="159" t="str">
        <f t="shared" si="16"/>
        <v/>
      </c>
      <c r="M78" s="159" t="str">
        <f t="shared" si="16"/>
        <v/>
      </c>
      <c r="N78" s="159" t="str">
        <f t="shared" si="16"/>
        <v/>
      </c>
      <c r="O78" s="159" t="str">
        <f t="shared" si="16"/>
        <v/>
      </c>
      <c r="P78" s="159" t="str">
        <f t="shared" si="16"/>
        <v/>
      </c>
      <c r="Q78" s="159" t="str">
        <f t="shared" si="16"/>
        <v/>
      </c>
      <c r="R78" s="159" t="str">
        <f t="shared" si="16"/>
        <v/>
      </c>
      <c r="S78" s="159" t="str">
        <f t="shared" si="16"/>
        <v/>
      </c>
      <c r="T78" s="159" t="str">
        <f t="shared" si="16"/>
        <v/>
      </c>
      <c r="U78" s="159" t="str">
        <f t="shared" si="16"/>
        <v/>
      </c>
      <c r="V78" s="159" t="str">
        <f t="shared" si="16"/>
        <v/>
      </c>
      <c r="W78" s="159" t="str">
        <f t="shared" si="16"/>
        <v/>
      </c>
      <c r="X78" s="159" t="str">
        <f t="shared" si="16"/>
        <v/>
      </c>
      <c r="Y78" s="159" t="str">
        <f t="shared" si="16"/>
        <v/>
      </c>
      <c r="Z78" s="159" t="str">
        <f t="shared" si="16"/>
        <v/>
      </c>
      <c r="AA78" s="159" t="str">
        <f t="shared" si="16"/>
        <v/>
      </c>
      <c r="AB78" s="159" t="str">
        <f t="shared" si="16"/>
        <v/>
      </c>
      <c r="AC78" s="159" t="str">
        <f t="shared" si="16"/>
        <v/>
      </c>
      <c r="AD78" s="159" t="str">
        <f t="shared" si="16"/>
        <v/>
      </c>
      <c r="AE78" s="159" t="str">
        <f t="shared" si="16"/>
        <v/>
      </c>
      <c r="AF78" s="159" t="str">
        <f t="shared" si="16"/>
        <v/>
      </c>
      <c r="AG78" s="159" t="str">
        <f t="shared" si="16"/>
        <v/>
      </c>
      <c r="AH78" s="159" t="str">
        <f t="shared" si="16"/>
        <v/>
      </c>
      <c r="AI78" s="159" t="str">
        <f t="shared" si="16"/>
        <v/>
      </c>
      <c r="AJ78" s="159" t="str">
        <f t="shared" si="16"/>
        <v/>
      </c>
      <c r="AK78" s="159" t="str">
        <f t="shared" si="16"/>
        <v/>
      </c>
      <c r="AL78" s="159" t="str">
        <f t="shared" si="16"/>
        <v/>
      </c>
      <c r="AM78" s="159" t="str">
        <f t="shared" si="16"/>
        <v/>
      </c>
      <c r="AN78" s="159" t="str">
        <f t="shared" si="16"/>
        <v/>
      </c>
      <c r="AO78" s="159" t="str">
        <f t="shared" si="16"/>
        <v/>
      </c>
      <c r="AP78" s="159" t="str">
        <f t="shared" si="16"/>
        <v/>
      </c>
      <c r="AQ78" s="159" t="str">
        <f t="shared" si="16"/>
        <v/>
      </c>
      <c r="AR78" s="159" t="str">
        <f t="shared" si="16"/>
        <v/>
      </c>
      <c r="AS78" s="159" t="str">
        <f t="shared" si="16"/>
        <v/>
      </c>
      <c r="AT78" s="159" t="str">
        <f t="shared" si="16"/>
        <v/>
      </c>
      <c r="AU78" s="159" t="str">
        <f t="shared" si="16"/>
        <v/>
      </c>
      <c r="AV78" s="159" t="str">
        <f t="shared" si="16"/>
        <v/>
      </c>
      <c r="AW78" s="159" t="str">
        <f t="shared" si="16"/>
        <v/>
      </c>
      <c r="AX78" s="159" t="str">
        <f t="shared" si="16"/>
        <v/>
      </c>
      <c r="AY78" s="159" t="str">
        <f t="shared" si="16"/>
        <v/>
      </c>
      <c r="AZ78" s="159" t="str">
        <f t="shared" si="16"/>
        <v/>
      </c>
      <c r="BA78" s="159" t="str">
        <f t="shared" si="16"/>
        <v/>
      </c>
      <c r="BB78" s="159" t="str">
        <f t="shared" si="16"/>
        <v/>
      </c>
      <c r="BC78" s="159" t="str">
        <f t="shared" si="16"/>
        <v/>
      </c>
      <c r="BD78" s="159" t="str">
        <f t="shared" si="16"/>
        <v/>
      </c>
      <c r="BE78" s="159" t="str">
        <f t="shared" si="16"/>
        <v/>
      </c>
      <c r="BF78" s="159" t="str">
        <f t="shared" si="16"/>
        <v/>
      </c>
      <c r="BG78" s="159" t="str">
        <f t="shared" si="16"/>
        <v/>
      </c>
      <c r="BH78" s="159" t="str">
        <f t="shared" si="16"/>
        <v/>
      </c>
      <c r="BI78" s="159" t="str">
        <f t="shared" si="16"/>
        <v/>
      </c>
      <c r="BJ78" s="159" t="str">
        <f t="shared" si="16"/>
        <v/>
      </c>
      <c r="BK78" s="159" t="str">
        <f t="shared" si="16"/>
        <v/>
      </c>
      <c r="BL78" s="159" t="str">
        <f t="shared" si="16"/>
        <v/>
      </c>
      <c r="BM78" s="159" t="str">
        <f t="shared" si="16"/>
        <v/>
      </c>
      <c r="BN78" s="159" t="str">
        <f t="shared" si="16"/>
        <v/>
      </c>
      <c r="BO78" s="159" t="str">
        <f t="shared" si="16"/>
        <v/>
      </c>
      <c r="BP78" s="159" t="str">
        <f t="shared" ref="BP78:CS86" si="18">IFERROR(IF(BP51=1,BP23/BO23,""),"")</f>
        <v/>
      </c>
      <c r="BQ78" s="159" t="str">
        <f t="shared" si="18"/>
        <v/>
      </c>
      <c r="BR78" s="159" t="str">
        <f t="shared" si="18"/>
        <v/>
      </c>
      <c r="BS78" s="159" t="str">
        <f t="shared" si="18"/>
        <v/>
      </c>
      <c r="BT78" s="159" t="str">
        <f t="shared" si="18"/>
        <v/>
      </c>
      <c r="BU78" s="159" t="str">
        <f t="shared" si="18"/>
        <v/>
      </c>
      <c r="BV78" s="159" t="str">
        <f t="shared" si="18"/>
        <v/>
      </c>
      <c r="BW78" s="159" t="str">
        <f t="shared" si="18"/>
        <v/>
      </c>
      <c r="BX78" s="159" t="str">
        <f t="shared" si="18"/>
        <v/>
      </c>
      <c r="BY78" s="159" t="str">
        <f t="shared" si="18"/>
        <v/>
      </c>
      <c r="BZ78" s="159" t="str">
        <f t="shared" si="18"/>
        <v/>
      </c>
      <c r="CA78" s="159" t="str">
        <f t="shared" si="18"/>
        <v/>
      </c>
      <c r="CB78" s="159" t="str">
        <f t="shared" si="18"/>
        <v/>
      </c>
      <c r="CC78" s="159" t="str">
        <f t="shared" si="18"/>
        <v/>
      </c>
      <c r="CD78" s="159" t="str">
        <f t="shared" si="18"/>
        <v/>
      </c>
      <c r="CE78" s="159" t="str">
        <f t="shared" si="18"/>
        <v/>
      </c>
      <c r="CF78" s="159" t="str">
        <f t="shared" si="18"/>
        <v/>
      </c>
      <c r="CG78" s="159" t="str">
        <f t="shared" si="18"/>
        <v/>
      </c>
      <c r="CH78" s="159" t="str">
        <f t="shared" si="18"/>
        <v/>
      </c>
      <c r="CI78" s="159" t="str">
        <f t="shared" si="18"/>
        <v/>
      </c>
      <c r="CJ78" s="159" t="str">
        <f t="shared" si="18"/>
        <v/>
      </c>
      <c r="CK78" s="159" t="str">
        <f t="shared" si="18"/>
        <v/>
      </c>
      <c r="CL78" s="159" t="str">
        <f t="shared" si="18"/>
        <v/>
      </c>
      <c r="CM78" s="159" t="str">
        <f t="shared" si="18"/>
        <v/>
      </c>
      <c r="CN78" s="159" t="str">
        <f t="shared" si="18"/>
        <v/>
      </c>
      <c r="CO78" s="159" t="str">
        <f t="shared" si="18"/>
        <v/>
      </c>
      <c r="CP78" s="159" t="str">
        <f t="shared" si="18"/>
        <v/>
      </c>
      <c r="CQ78" s="159" t="str">
        <f t="shared" si="18"/>
        <v/>
      </c>
      <c r="CR78" s="159" t="str">
        <f t="shared" si="18"/>
        <v/>
      </c>
      <c r="CS78" s="159" t="str">
        <f t="shared" si="18"/>
        <v/>
      </c>
      <c r="CT78" s="225" t="s">
        <v>54</v>
      </c>
      <c r="CU78" s="42"/>
      <c r="CV78" s="42"/>
      <c r="CY78" s="43"/>
    </row>
    <row r="79" spans="1:103" x14ac:dyDescent="0.25">
      <c r="A79" s="97">
        <f t="shared" si="12"/>
        <v>0</v>
      </c>
      <c r="B79" s="31">
        <f t="shared" si="12"/>
        <v>2006</v>
      </c>
      <c r="C79" s="158"/>
      <c r="D79" s="159" t="str">
        <f t="shared" si="16"/>
        <v/>
      </c>
      <c r="E79" s="159" t="str">
        <f t="shared" si="16"/>
        <v/>
      </c>
      <c r="F79" s="159" t="str">
        <f t="shared" si="16"/>
        <v/>
      </c>
      <c r="G79" s="159" t="str">
        <f t="shared" si="16"/>
        <v/>
      </c>
      <c r="H79" s="159" t="str">
        <f t="shared" si="16"/>
        <v/>
      </c>
      <c r="I79" s="159" t="str">
        <f t="shared" si="16"/>
        <v/>
      </c>
      <c r="J79" s="159" t="str">
        <f t="shared" si="16"/>
        <v/>
      </c>
      <c r="K79" s="159" t="str">
        <f t="shared" si="16"/>
        <v/>
      </c>
      <c r="L79" s="159" t="str">
        <f t="shared" si="16"/>
        <v/>
      </c>
      <c r="M79" s="159" t="str">
        <f t="shared" si="16"/>
        <v/>
      </c>
      <c r="N79" s="159" t="str">
        <f t="shared" si="16"/>
        <v/>
      </c>
      <c r="O79" s="159" t="str">
        <f t="shared" si="16"/>
        <v/>
      </c>
      <c r="P79" s="159" t="str">
        <f t="shared" si="16"/>
        <v/>
      </c>
      <c r="Q79" s="159" t="str">
        <f t="shared" si="16"/>
        <v/>
      </c>
      <c r="R79" s="159" t="str">
        <f t="shared" si="16"/>
        <v/>
      </c>
      <c r="S79" s="159" t="str">
        <f t="shared" si="16"/>
        <v/>
      </c>
      <c r="T79" s="159" t="str">
        <f t="shared" si="16"/>
        <v/>
      </c>
      <c r="U79" s="159" t="str">
        <f t="shared" si="16"/>
        <v/>
      </c>
      <c r="V79" s="159" t="str">
        <f t="shared" si="16"/>
        <v/>
      </c>
      <c r="W79" s="159" t="str">
        <f t="shared" si="16"/>
        <v/>
      </c>
      <c r="X79" s="159" t="str">
        <f t="shared" si="16"/>
        <v/>
      </c>
      <c r="Y79" s="159" t="str">
        <f t="shared" si="16"/>
        <v/>
      </c>
      <c r="Z79" s="159" t="str">
        <f t="shared" si="16"/>
        <v/>
      </c>
      <c r="AA79" s="159" t="str">
        <f t="shared" si="16"/>
        <v/>
      </c>
      <c r="AB79" s="159" t="str">
        <f t="shared" si="16"/>
        <v/>
      </c>
      <c r="AC79" s="159" t="str">
        <f t="shared" si="16"/>
        <v/>
      </c>
      <c r="AD79" s="159" t="str">
        <f t="shared" si="16"/>
        <v/>
      </c>
      <c r="AE79" s="159" t="str">
        <f t="shared" si="16"/>
        <v/>
      </c>
      <c r="AF79" s="159" t="str">
        <f t="shared" si="16"/>
        <v/>
      </c>
      <c r="AG79" s="159" t="str">
        <f t="shared" si="16"/>
        <v/>
      </c>
      <c r="AH79" s="159" t="str">
        <f t="shared" si="16"/>
        <v/>
      </c>
      <c r="AI79" s="159" t="str">
        <f t="shared" si="16"/>
        <v/>
      </c>
      <c r="AJ79" s="159" t="str">
        <f t="shared" si="16"/>
        <v/>
      </c>
      <c r="AK79" s="159" t="str">
        <f t="shared" si="16"/>
        <v/>
      </c>
      <c r="AL79" s="159" t="str">
        <f t="shared" si="16"/>
        <v/>
      </c>
      <c r="AM79" s="159" t="str">
        <f t="shared" si="16"/>
        <v/>
      </c>
      <c r="AN79" s="159" t="str">
        <f t="shared" si="16"/>
        <v/>
      </c>
      <c r="AO79" s="159" t="str">
        <f t="shared" si="16"/>
        <v/>
      </c>
      <c r="AP79" s="159" t="str">
        <f t="shared" si="16"/>
        <v/>
      </c>
      <c r="AQ79" s="159" t="str">
        <f t="shared" si="16"/>
        <v/>
      </c>
      <c r="AR79" s="159" t="str">
        <f t="shared" si="16"/>
        <v/>
      </c>
      <c r="AS79" s="159" t="str">
        <f t="shared" si="16"/>
        <v/>
      </c>
      <c r="AT79" s="159" t="str">
        <f t="shared" si="16"/>
        <v/>
      </c>
      <c r="AU79" s="159" t="str">
        <f t="shared" si="16"/>
        <v/>
      </c>
      <c r="AV79" s="159" t="str">
        <f t="shared" si="16"/>
        <v/>
      </c>
      <c r="AW79" s="159" t="str">
        <f t="shared" si="16"/>
        <v/>
      </c>
      <c r="AX79" s="159" t="str">
        <f t="shared" si="16"/>
        <v/>
      </c>
      <c r="AY79" s="159" t="str">
        <f t="shared" si="16"/>
        <v/>
      </c>
      <c r="AZ79" s="159" t="str">
        <f t="shared" si="16"/>
        <v/>
      </c>
      <c r="BA79" s="159" t="str">
        <f t="shared" si="16"/>
        <v/>
      </c>
      <c r="BB79" s="159" t="str">
        <f t="shared" si="16"/>
        <v/>
      </c>
      <c r="BC79" s="159" t="str">
        <f t="shared" si="16"/>
        <v/>
      </c>
      <c r="BD79" s="159" t="str">
        <f t="shared" si="16"/>
        <v/>
      </c>
      <c r="BE79" s="159" t="str">
        <f t="shared" si="16"/>
        <v/>
      </c>
      <c r="BF79" s="159" t="str">
        <f t="shared" si="16"/>
        <v/>
      </c>
      <c r="BG79" s="159" t="str">
        <f t="shared" si="16"/>
        <v/>
      </c>
      <c r="BH79" s="159" t="str">
        <f t="shared" si="16"/>
        <v/>
      </c>
      <c r="BI79" s="159" t="str">
        <f t="shared" si="16"/>
        <v/>
      </c>
      <c r="BJ79" s="159" t="str">
        <f t="shared" si="16"/>
        <v/>
      </c>
      <c r="BK79" s="159" t="str">
        <f t="shared" si="16"/>
        <v/>
      </c>
      <c r="BL79" s="159" t="str">
        <f t="shared" si="16"/>
        <v/>
      </c>
      <c r="BM79" s="159" t="str">
        <f t="shared" si="16"/>
        <v/>
      </c>
      <c r="BN79" s="159" t="str">
        <f t="shared" si="16"/>
        <v/>
      </c>
      <c r="BO79" s="159" t="str">
        <f t="shared" si="16"/>
        <v/>
      </c>
      <c r="BP79" s="159" t="str">
        <f t="shared" si="18"/>
        <v/>
      </c>
      <c r="BQ79" s="159" t="str">
        <f t="shared" si="18"/>
        <v/>
      </c>
      <c r="BR79" s="159" t="str">
        <f t="shared" si="18"/>
        <v/>
      </c>
      <c r="BS79" s="159" t="str">
        <f t="shared" si="18"/>
        <v/>
      </c>
      <c r="BT79" s="159" t="str">
        <f t="shared" si="18"/>
        <v/>
      </c>
      <c r="BU79" s="159" t="str">
        <f t="shared" si="18"/>
        <v/>
      </c>
      <c r="BV79" s="159" t="str">
        <f t="shared" si="18"/>
        <v/>
      </c>
      <c r="BW79" s="159" t="str">
        <f t="shared" si="18"/>
        <v/>
      </c>
      <c r="BX79" s="159" t="str">
        <f t="shared" si="18"/>
        <v/>
      </c>
      <c r="BY79" s="159" t="str">
        <f t="shared" si="18"/>
        <v/>
      </c>
      <c r="BZ79" s="159" t="str">
        <f t="shared" si="18"/>
        <v/>
      </c>
      <c r="CA79" s="159" t="str">
        <f t="shared" si="18"/>
        <v/>
      </c>
      <c r="CB79" s="159" t="str">
        <f t="shared" si="18"/>
        <v/>
      </c>
      <c r="CC79" s="159" t="str">
        <f t="shared" si="18"/>
        <v/>
      </c>
      <c r="CD79" s="159" t="str">
        <f t="shared" si="18"/>
        <v/>
      </c>
      <c r="CE79" s="159" t="str">
        <f t="shared" si="18"/>
        <v/>
      </c>
      <c r="CF79" s="159" t="str">
        <f t="shared" si="18"/>
        <v/>
      </c>
      <c r="CG79" s="159" t="str">
        <f t="shared" si="18"/>
        <v/>
      </c>
      <c r="CH79" s="159" t="str">
        <f t="shared" si="18"/>
        <v/>
      </c>
      <c r="CI79" s="159" t="str">
        <f t="shared" si="18"/>
        <v/>
      </c>
      <c r="CJ79" s="159" t="str">
        <f t="shared" si="18"/>
        <v/>
      </c>
      <c r="CK79" s="159" t="str">
        <f t="shared" si="18"/>
        <v/>
      </c>
      <c r="CL79" s="159" t="str">
        <f t="shared" si="18"/>
        <v/>
      </c>
      <c r="CM79" s="159" t="str">
        <f t="shared" si="18"/>
        <v/>
      </c>
      <c r="CN79" s="159" t="str">
        <f t="shared" si="18"/>
        <v/>
      </c>
      <c r="CO79" s="159" t="str">
        <f t="shared" si="18"/>
        <v/>
      </c>
      <c r="CP79" s="159" t="str">
        <f t="shared" si="18"/>
        <v/>
      </c>
      <c r="CQ79" s="159" t="str">
        <f t="shared" si="18"/>
        <v/>
      </c>
      <c r="CR79" s="159" t="str">
        <f t="shared" si="18"/>
        <v/>
      </c>
      <c r="CS79" s="159" t="str">
        <f t="shared" si="18"/>
        <v/>
      </c>
      <c r="CT79" s="225" t="s">
        <v>54</v>
      </c>
      <c r="CU79" s="42"/>
      <c r="CV79" s="42"/>
      <c r="CY79" s="43"/>
    </row>
    <row r="80" spans="1:103" x14ac:dyDescent="0.25">
      <c r="A80" s="97">
        <f t="shared" si="12"/>
        <v>0</v>
      </c>
      <c r="B80" s="31">
        <f t="shared" si="12"/>
        <v>2007</v>
      </c>
      <c r="C80" s="158"/>
      <c r="D80" s="159" t="str">
        <f t="shared" si="16"/>
        <v/>
      </c>
      <c r="E80" s="159" t="str">
        <f t="shared" si="16"/>
        <v/>
      </c>
      <c r="F80" s="159" t="str">
        <f t="shared" si="16"/>
        <v/>
      </c>
      <c r="G80" s="159" t="str">
        <f t="shared" si="16"/>
        <v/>
      </c>
      <c r="H80" s="159" t="str">
        <f t="shared" si="16"/>
        <v/>
      </c>
      <c r="I80" s="159" t="str">
        <f t="shared" si="16"/>
        <v/>
      </c>
      <c r="J80" s="159" t="str">
        <f t="shared" si="16"/>
        <v/>
      </c>
      <c r="K80" s="159" t="str">
        <f t="shared" si="16"/>
        <v/>
      </c>
      <c r="L80" s="159" t="str">
        <f t="shared" si="16"/>
        <v/>
      </c>
      <c r="M80" s="159" t="str">
        <f t="shared" si="16"/>
        <v/>
      </c>
      <c r="N80" s="159" t="str">
        <f t="shared" si="16"/>
        <v/>
      </c>
      <c r="O80" s="159" t="str">
        <f t="shared" si="16"/>
        <v/>
      </c>
      <c r="P80" s="159" t="str">
        <f t="shared" si="16"/>
        <v/>
      </c>
      <c r="Q80" s="159" t="str">
        <f t="shared" si="16"/>
        <v/>
      </c>
      <c r="R80" s="159" t="str">
        <f t="shared" si="16"/>
        <v/>
      </c>
      <c r="S80" s="159" t="str">
        <f t="shared" si="16"/>
        <v/>
      </c>
      <c r="T80" s="159" t="str">
        <f t="shared" si="16"/>
        <v/>
      </c>
      <c r="U80" s="159" t="str">
        <f t="shared" si="16"/>
        <v/>
      </c>
      <c r="V80" s="159" t="str">
        <f t="shared" si="16"/>
        <v/>
      </c>
      <c r="W80" s="159" t="str">
        <f t="shared" si="16"/>
        <v/>
      </c>
      <c r="X80" s="159" t="str">
        <f t="shared" si="16"/>
        <v/>
      </c>
      <c r="Y80" s="159" t="str">
        <f t="shared" si="16"/>
        <v/>
      </c>
      <c r="Z80" s="159" t="str">
        <f t="shared" si="16"/>
        <v/>
      </c>
      <c r="AA80" s="159" t="str">
        <f t="shared" si="16"/>
        <v/>
      </c>
      <c r="AB80" s="159" t="str">
        <f t="shared" si="16"/>
        <v/>
      </c>
      <c r="AC80" s="159" t="str">
        <f t="shared" si="16"/>
        <v/>
      </c>
      <c r="AD80" s="159" t="str">
        <f t="shared" si="16"/>
        <v/>
      </c>
      <c r="AE80" s="159" t="str">
        <f t="shared" si="16"/>
        <v/>
      </c>
      <c r="AF80" s="159" t="str">
        <f t="shared" si="16"/>
        <v/>
      </c>
      <c r="AG80" s="159" t="str">
        <f t="shared" si="16"/>
        <v/>
      </c>
      <c r="AH80" s="159" t="str">
        <f t="shared" si="16"/>
        <v/>
      </c>
      <c r="AI80" s="159" t="str">
        <f t="shared" si="16"/>
        <v/>
      </c>
      <c r="AJ80" s="159" t="str">
        <f t="shared" si="16"/>
        <v/>
      </c>
      <c r="AK80" s="159" t="str">
        <f t="shared" si="16"/>
        <v/>
      </c>
      <c r="AL80" s="159" t="str">
        <f t="shared" si="16"/>
        <v/>
      </c>
      <c r="AM80" s="159" t="str">
        <f t="shared" si="16"/>
        <v/>
      </c>
      <c r="AN80" s="159" t="str">
        <f t="shared" si="16"/>
        <v/>
      </c>
      <c r="AO80" s="159" t="str">
        <f t="shared" si="16"/>
        <v/>
      </c>
      <c r="AP80" s="159" t="str">
        <f t="shared" si="16"/>
        <v/>
      </c>
      <c r="AQ80" s="159" t="str">
        <f t="shared" si="16"/>
        <v/>
      </c>
      <c r="AR80" s="159" t="str">
        <f t="shared" si="16"/>
        <v/>
      </c>
      <c r="AS80" s="159" t="str">
        <f t="shared" si="16"/>
        <v/>
      </c>
      <c r="AT80" s="159" t="str">
        <f t="shared" si="16"/>
        <v/>
      </c>
      <c r="AU80" s="159" t="str">
        <f t="shared" si="16"/>
        <v/>
      </c>
      <c r="AV80" s="159" t="str">
        <f t="shared" si="16"/>
        <v/>
      </c>
      <c r="AW80" s="159" t="str">
        <f t="shared" si="16"/>
        <v/>
      </c>
      <c r="AX80" s="159" t="str">
        <f t="shared" si="16"/>
        <v/>
      </c>
      <c r="AY80" s="159" t="str">
        <f t="shared" si="16"/>
        <v/>
      </c>
      <c r="AZ80" s="159" t="str">
        <f t="shared" si="16"/>
        <v/>
      </c>
      <c r="BA80" s="159" t="str">
        <f t="shared" si="16"/>
        <v/>
      </c>
      <c r="BB80" s="159" t="str">
        <f t="shared" si="16"/>
        <v/>
      </c>
      <c r="BC80" s="159" t="str">
        <f t="shared" si="16"/>
        <v/>
      </c>
      <c r="BD80" s="159" t="str">
        <f t="shared" si="16"/>
        <v/>
      </c>
      <c r="BE80" s="159" t="str">
        <f t="shared" si="16"/>
        <v/>
      </c>
      <c r="BF80" s="159" t="str">
        <f t="shared" si="16"/>
        <v/>
      </c>
      <c r="BG80" s="159" t="str">
        <f t="shared" si="16"/>
        <v/>
      </c>
      <c r="BH80" s="159" t="str">
        <f t="shared" si="16"/>
        <v/>
      </c>
      <c r="BI80" s="159" t="str">
        <f t="shared" si="16"/>
        <v/>
      </c>
      <c r="BJ80" s="159" t="str">
        <f t="shared" si="16"/>
        <v/>
      </c>
      <c r="BK80" s="159" t="str">
        <f t="shared" si="16"/>
        <v/>
      </c>
      <c r="BL80" s="159" t="str">
        <f t="shared" si="16"/>
        <v/>
      </c>
      <c r="BM80" s="159" t="str">
        <f t="shared" si="16"/>
        <v/>
      </c>
      <c r="BN80" s="159" t="str">
        <f t="shared" si="16"/>
        <v/>
      </c>
      <c r="BO80" s="159" t="str">
        <f t="shared" ref="BO80" si="19">IFERROR(IF(BO53=1,BO25/BN25,""),"")</f>
        <v/>
      </c>
      <c r="BP80" s="159" t="str">
        <f t="shared" si="18"/>
        <v/>
      </c>
      <c r="BQ80" s="159" t="str">
        <f t="shared" si="18"/>
        <v/>
      </c>
      <c r="BR80" s="159" t="str">
        <f t="shared" si="18"/>
        <v/>
      </c>
      <c r="BS80" s="159" t="str">
        <f t="shared" si="18"/>
        <v/>
      </c>
      <c r="BT80" s="159" t="str">
        <f t="shared" si="18"/>
        <v/>
      </c>
      <c r="BU80" s="159" t="str">
        <f t="shared" si="18"/>
        <v/>
      </c>
      <c r="BV80" s="159" t="str">
        <f t="shared" si="18"/>
        <v/>
      </c>
      <c r="BW80" s="159" t="str">
        <f t="shared" si="18"/>
        <v/>
      </c>
      <c r="BX80" s="159" t="str">
        <f t="shared" si="18"/>
        <v/>
      </c>
      <c r="BY80" s="159" t="str">
        <f t="shared" si="18"/>
        <v/>
      </c>
      <c r="BZ80" s="159" t="str">
        <f t="shared" si="18"/>
        <v/>
      </c>
      <c r="CA80" s="159" t="str">
        <f t="shared" si="18"/>
        <v/>
      </c>
      <c r="CB80" s="159" t="str">
        <f t="shared" si="18"/>
        <v/>
      </c>
      <c r="CC80" s="159" t="str">
        <f t="shared" si="18"/>
        <v/>
      </c>
      <c r="CD80" s="159" t="str">
        <f t="shared" si="18"/>
        <v/>
      </c>
      <c r="CE80" s="159" t="str">
        <f t="shared" si="18"/>
        <v/>
      </c>
      <c r="CF80" s="159" t="str">
        <f t="shared" si="18"/>
        <v/>
      </c>
      <c r="CG80" s="159" t="str">
        <f t="shared" si="18"/>
        <v/>
      </c>
      <c r="CH80" s="159" t="str">
        <f t="shared" si="18"/>
        <v/>
      </c>
      <c r="CI80" s="159" t="str">
        <f t="shared" si="18"/>
        <v/>
      </c>
      <c r="CJ80" s="159" t="str">
        <f t="shared" si="18"/>
        <v/>
      </c>
      <c r="CK80" s="159" t="str">
        <f t="shared" si="18"/>
        <v/>
      </c>
      <c r="CL80" s="159" t="str">
        <f t="shared" si="18"/>
        <v/>
      </c>
      <c r="CM80" s="159" t="str">
        <f t="shared" si="18"/>
        <v/>
      </c>
      <c r="CN80" s="159" t="str">
        <f t="shared" si="18"/>
        <v/>
      </c>
      <c r="CO80" s="159" t="str">
        <f t="shared" si="18"/>
        <v/>
      </c>
      <c r="CP80" s="159" t="str">
        <f t="shared" si="18"/>
        <v/>
      </c>
      <c r="CQ80" s="159" t="str">
        <f t="shared" si="18"/>
        <v/>
      </c>
      <c r="CR80" s="159" t="str">
        <f t="shared" si="18"/>
        <v/>
      </c>
      <c r="CS80" s="159" t="str">
        <f t="shared" si="18"/>
        <v/>
      </c>
      <c r="CT80" s="225" t="s">
        <v>54</v>
      </c>
      <c r="CU80" s="42"/>
      <c r="CV80" s="42"/>
      <c r="CY80" s="43"/>
    </row>
    <row r="81" spans="1:103" x14ac:dyDescent="0.25">
      <c r="A81" s="97">
        <f t="shared" si="12"/>
        <v>0</v>
      </c>
      <c r="B81" s="31">
        <f t="shared" si="12"/>
        <v>2008</v>
      </c>
      <c r="C81" s="158"/>
      <c r="D81" s="159" t="str">
        <f t="shared" ref="D81:BO84" si="20">IFERROR(IF(D54=1,D26/C26,""),"")</f>
        <v/>
      </c>
      <c r="E81" s="159" t="str">
        <f t="shared" si="20"/>
        <v/>
      </c>
      <c r="F81" s="159" t="str">
        <f t="shared" si="20"/>
        <v/>
      </c>
      <c r="G81" s="159" t="str">
        <f t="shared" si="20"/>
        <v/>
      </c>
      <c r="H81" s="159" t="str">
        <f t="shared" si="20"/>
        <v/>
      </c>
      <c r="I81" s="159" t="str">
        <f t="shared" si="20"/>
        <v/>
      </c>
      <c r="J81" s="159" t="str">
        <f t="shared" si="20"/>
        <v/>
      </c>
      <c r="K81" s="159" t="str">
        <f t="shared" si="20"/>
        <v/>
      </c>
      <c r="L81" s="159" t="str">
        <f t="shared" si="20"/>
        <v/>
      </c>
      <c r="M81" s="159" t="str">
        <f t="shared" si="20"/>
        <v/>
      </c>
      <c r="N81" s="159" t="str">
        <f t="shared" si="20"/>
        <v/>
      </c>
      <c r="O81" s="159" t="str">
        <f t="shared" si="20"/>
        <v/>
      </c>
      <c r="P81" s="159" t="str">
        <f t="shared" si="20"/>
        <v/>
      </c>
      <c r="Q81" s="159" t="str">
        <f t="shared" si="20"/>
        <v/>
      </c>
      <c r="R81" s="159" t="str">
        <f t="shared" si="20"/>
        <v/>
      </c>
      <c r="S81" s="159" t="str">
        <f t="shared" si="20"/>
        <v/>
      </c>
      <c r="T81" s="159" t="str">
        <f t="shared" si="20"/>
        <v/>
      </c>
      <c r="U81" s="159" t="str">
        <f t="shared" si="20"/>
        <v/>
      </c>
      <c r="V81" s="159" t="str">
        <f t="shared" si="20"/>
        <v/>
      </c>
      <c r="W81" s="159" t="str">
        <f t="shared" si="20"/>
        <v/>
      </c>
      <c r="X81" s="159" t="str">
        <f t="shared" si="20"/>
        <v/>
      </c>
      <c r="Y81" s="159" t="str">
        <f t="shared" si="20"/>
        <v/>
      </c>
      <c r="Z81" s="159" t="str">
        <f t="shared" si="20"/>
        <v/>
      </c>
      <c r="AA81" s="159" t="str">
        <f t="shared" si="20"/>
        <v/>
      </c>
      <c r="AB81" s="159" t="str">
        <f t="shared" si="20"/>
        <v/>
      </c>
      <c r="AC81" s="159" t="str">
        <f t="shared" si="20"/>
        <v/>
      </c>
      <c r="AD81" s="159" t="str">
        <f t="shared" si="20"/>
        <v/>
      </c>
      <c r="AE81" s="159" t="str">
        <f t="shared" si="20"/>
        <v/>
      </c>
      <c r="AF81" s="159" t="str">
        <f t="shared" si="20"/>
        <v/>
      </c>
      <c r="AG81" s="159" t="str">
        <f t="shared" si="20"/>
        <v/>
      </c>
      <c r="AH81" s="159" t="str">
        <f t="shared" si="20"/>
        <v/>
      </c>
      <c r="AI81" s="159" t="str">
        <f t="shared" si="20"/>
        <v/>
      </c>
      <c r="AJ81" s="159" t="str">
        <f t="shared" si="20"/>
        <v/>
      </c>
      <c r="AK81" s="159" t="str">
        <f t="shared" si="20"/>
        <v/>
      </c>
      <c r="AL81" s="159" t="str">
        <f t="shared" si="20"/>
        <v/>
      </c>
      <c r="AM81" s="159" t="str">
        <f t="shared" si="20"/>
        <v/>
      </c>
      <c r="AN81" s="159" t="str">
        <f t="shared" si="20"/>
        <v/>
      </c>
      <c r="AO81" s="159" t="str">
        <f t="shared" si="20"/>
        <v/>
      </c>
      <c r="AP81" s="159" t="str">
        <f t="shared" si="20"/>
        <v/>
      </c>
      <c r="AQ81" s="159" t="str">
        <f t="shared" si="20"/>
        <v/>
      </c>
      <c r="AR81" s="159" t="str">
        <f t="shared" si="20"/>
        <v/>
      </c>
      <c r="AS81" s="159" t="str">
        <f t="shared" si="20"/>
        <v/>
      </c>
      <c r="AT81" s="159" t="str">
        <f t="shared" si="20"/>
        <v/>
      </c>
      <c r="AU81" s="159" t="str">
        <f t="shared" si="20"/>
        <v/>
      </c>
      <c r="AV81" s="159" t="str">
        <f t="shared" si="20"/>
        <v/>
      </c>
      <c r="AW81" s="159" t="str">
        <f t="shared" si="20"/>
        <v/>
      </c>
      <c r="AX81" s="159" t="str">
        <f t="shared" si="20"/>
        <v/>
      </c>
      <c r="AY81" s="159" t="str">
        <f t="shared" si="20"/>
        <v/>
      </c>
      <c r="AZ81" s="159" t="str">
        <f t="shared" si="20"/>
        <v/>
      </c>
      <c r="BA81" s="159" t="str">
        <f t="shared" si="20"/>
        <v/>
      </c>
      <c r="BB81" s="159" t="str">
        <f t="shared" si="20"/>
        <v/>
      </c>
      <c r="BC81" s="159" t="str">
        <f t="shared" si="20"/>
        <v/>
      </c>
      <c r="BD81" s="159" t="str">
        <f t="shared" si="20"/>
        <v/>
      </c>
      <c r="BE81" s="159" t="str">
        <f t="shared" si="20"/>
        <v/>
      </c>
      <c r="BF81" s="159" t="str">
        <f t="shared" si="20"/>
        <v/>
      </c>
      <c r="BG81" s="159" t="str">
        <f t="shared" si="20"/>
        <v/>
      </c>
      <c r="BH81" s="159" t="str">
        <f t="shared" si="20"/>
        <v/>
      </c>
      <c r="BI81" s="159" t="str">
        <f t="shared" si="20"/>
        <v/>
      </c>
      <c r="BJ81" s="159" t="str">
        <f t="shared" si="20"/>
        <v/>
      </c>
      <c r="BK81" s="159" t="str">
        <f t="shared" si="20"/>
        <v/>
      </c>
      <c r="BL81" s="159" t="str">
        <f t="shared" si="20"/>
        <v/>
      </c>
      <c r="BM81" s="159" t="str">
        <f t="shared" si="20"/>
        <v/>
      </c>
      <c r="BN81" s="159" t="str">
        <f t="shared" si="20"/>
        <v/>
      </c>
      <c r="BO81" s="159" t="str">
        <f t="shared" si="20"/>
        <v/>
      </c>
      <c r="BP81" s="159" t="str">
        <f t="shared" si="18"/>
        <v/>
      </c>
      <c r="BQ81" s="159" t="str">
        <f t="shared" si="18"/>
        <v/>
      </c>
      <c r="BR81" s="159" t="str">
        <f t="shared" si="18"/>
        <v/>
      </c>
      <c r="BS81" s="159" t="str">
        <f t="shared" si="18"/>
        <v/>
      </c>
      <c r="BT81" s="159" t="str">
        <f t="shared" si="18"/>
        <v/>
      </c>
      <c r="BU81" s="159" t="str">
        <f t="shared" si="18"/>
        <v/>
      </c>
      <c r="BV81" s="159" t="str">
        <f t="shared" si="18"/>
        <v/>
      </c>
      <c r="BW81" s="159" t="str">
        <f t="shared" si="18"/>
        <v/>
      </c>
      <c r="BX81" s="159" t="str">
        <f t="shared" si="18"/>
        <v/>
      </c>
      <c r="BY81" s="159" t="str">
        <f t="shared" si="18"/>
        <v/>
      </c>
      <c r="BZ81" s="159" t="str">
        <f t="shared" si="18"/>
        <v/>
      </c>
      <c r="CA81" s="159" t="str">
        <f t="shared" si="18"/>
        <v/>
      </c>
      <c r="CB81" s="159" t="str">
        <f t="shared" si="18"/>
        <v/>
      </c>
      <c r="CC81" s="159" t="str">
        <f t="shared" si="18"/>
        <v/>
      </c>
      <c r="CD81" s="159" t="str">
        <f t="shared" si="18"/>
        <v/>
      </c>
      <c r="CE81" s="159" t="str">
        <f t="shared" si="18"/>
        <v/>
      </c>
      <c r="CF81" s="159" t="str">
        <f t="shared" si="18"/>
        <v/>
      </c>
      <c r="CG81" s="159" t="str">
        <f t="shared" si="18"/>
        <v/>
      </c>
      <c r="CH81" s="159" t="str">
        <f t="shared" si="18"/>
        <v/>
      </c>
      <c r="CI81" s="159" t="str">
        <f t="shared" si="18"/>
        <v/>
      </c>
      <c r="CJ81" s="159" t="str">
        <f t="shared" si="18"/>
        <v/>
      </c>
      <c r="CK81" s="159" t="str">
        <f t="shared" si="18"/>
        <v/>
      </c>
      <c r="CL81" s="159" t="str">
        <f t="shared" si="18"/>
        <v/>
      </c>
      <c r="CM81" s="159" t="str">
        <f t="shared" si="18"/>
        <v/>
      </c>
      <c r="CN81" s="159" t="str">
        <f t="shared" si="18"/>
        <v/>
      </c>
      <c r="CO81" s="159" t="str">
        <f t="shared" si="18"/>
        <v/>
      </c>
      <c r="CP81" s="159" t="str">
        <f t="shared" si="18"/>
        <v/>
      </c>
      <c r="CQ81" s="159" t="str">
        <f t="shared" si="18"/>
        <v/>
      </c>
      <c r="CR81" s="159" t="str">
        <f t="shared" si="18"/>
        <v/>
      </c>
      <c r="CS81" s="159" t="str">
        <f t="shared" si="18"/>
        <v/>
      </c>
      <c r="CT81" s="225" t="s">
        <v>54</v>
      </c>
      <c r="CU81" s="42"/>
      <c r="CV81" s="42"/>
      <c r="CY81" s="43"/>
    </row>
    <row r="82" spans="1:103" x14ac:dyDescent="0.25">
      <c r="A82" s="97">
        <f t="shared" si="12"/>
        <v>0</v>
      </c>
      <c r="B82" s="31">
        <f t="shared" si="12"/>
        <v>2009</v>
      </c>
      <c r="C82" s="158"/>
      <c r="D82" s="159" t="str">
        <f t="shared" si="20"/>
        <v/>
      </c>
      <c r="E82" s="159" t="str">
        <f t="shared" si="20"/>
        <v/>
      </c>
      <c r="F82" s="159" t="str">
        <f t="shared" si="20"/>
        <v/>
      </c>
      <c r="G82" s="159" t="str">
        <f t="shared" si="20"/>
        <v/>
      </c>
      <c r="H82" s="159" t="str">
        <f t="shared" si="20"/>
        <v/>
      </c>
      <c r="I82" s="159" t="str">
        <f t="shared" si="20"/>
        <v/>
      </c>
      <c r="J82" s="159" t="str">
        <f t="shared" si="20"/>
        <v/>
      </c>
      <c r="K82" s="159" t="str">
        <f t="shared" si="20"/>
        <v/>
      </c>
      <c r="L82" s="159" t="str">
        <f t="shared" si="20"/>
        <v/>
      </c>
      <c r="M82" s="159" t="str">
        <f t="shared" si="20"/>
        <v/>
      </c>
      <c r="N82" s="159" t="str">
        <f t="shared" si="20"/>
        <v/>
      </c>
      <c r="O82" s="159" t="str">
        <f t="shared" si="20"/>
        <v/>
      </c>
      <c r="P82" s="159" t="str">
        <f t="shared" si="20"/>
        <v/>
      </c>
      <c r="Q82" s="159" t="str">
        <f t="shared" si="20"/>
        <v/>
      </c>
      <c r="R82" s="159" t="str">
        <f t="shared" si="20"/>
        <v/>
      </c>
      <c r="S82" s="159" t="str">
        <f t="shared" si="20"/>
        <v/>
      </c>
      <c r="T82" s="159" t="str">
        <f t="shared" si="20"/>
        <v/>
      </c>
      <c r="U82" s="159" t="str">
        <f t="shared" si="20"/>
        <v/>
      </c>
      <c r="V82" s="159" t="str">
        <f t="shared" si="20"/>
        <v/>
      </c>
      <c r="W82" s="159" t="str">
        <f t="shared" si="20"/>
        <v/>
      </c>
      <c r="X82" s="159" t="str">
        <f t="shared" si="20"/>
        <v/>
      </c>
      <c r="Y82" s="159" t="str">
        <f t="shared" si="20"/>
        <v/>
      </c>
      <c r="Z82" s="159" t="str">
        <f t="shared" si="20"/>
        <v/>
      </c>
      <c r="AA82" s="159" t="str">
        <f t="shared" si="20"/>
        <v/>
      </c>
      <c r="AB82" s="159" t="str">
        <f t="shared" si="20"/>
        <v/>
      </c>
      <c r="AC82" s="159" t="str">
        <f t="shared" si="20"/>
        <v/>
      </c>
      <c r="AD82" s="159" t="str">
        <f t="shared" si="20"/>
        <v/>
      </c>
      <c r="AE82" s="159" t="str">
        <f t="shared" si="20"/>
        <v/>
      </c>
      <c r="AF82" s="159" t="str">
        <f t="shared" si="20"/>
        <v/>
      </c>
      <c r="AG82" s="159" t="str">
        <f t="shared" si="20"/>
        <v/>
      </c>
      <c r="AH82" s="159" t="str">
        <f t="shared" si="20"/>
        <v/>
      </c>
      <c r="AI82" s="159" t="str">
        <f t="shared" si="20"/>
        <v/>
      </c>
      <c r="AJ82" s="159" t="str">
        <f t="shared" si="20"/>
        <v/>
      </c>
      <c r="AK82" s="159" t="str">
        <f t="shared" si="20"/>
        <v/>
      </c>
      <c r="AL82" s="159" t="str">
        <f t="shared" si="20"/>
        <v/>
      </c>
      <c r="AM82" s="159" t="str">
        <f t="shared" si="20"/>
        <v/>
      </c>
      <c r="AN82" s="159" t="str">
        <f t="shared" si="20"/>
        <v/>
      </c>
      <c r="AO82" s="159" t="str">
        <f t="shared" si="20"/>
        <v/>
      </c>
      <c r="AP82" s="159" t="str">
        <f t="shared" si="20"/>
        <v/>
      </c>
      <c r="AQ82" s="159" t="str">
        <f t="shared" si="20"/>
        <v/>
      </c>
      <c r="AR82" s="159" t="str">
        <f t="shared" si="20"/>
        <v/>
      </c>
      <c r="AS82" s="159" t="str">
        <f t="shared" si="20"/>
        <v/>
      </c>
      <c r="AT82" s="159" t="str">
        <f t="shared" si="20"/>
        <v/>
      </c>
      <c r="AU82" s="159" t="str">
        <f t="shared" si="20"/>
        <v/>
      </c>
      <c r="AV82" s="159" t="str">
        <f t="shared" si="20"/>
        <v/>
      </c>
      <c r="AW82" s="159" t="str">
        <f t="shared" si="20"/>
        <v/>
      </c>
      <c r="AX82" s="159" t="str">
        <f t="shared" si="20"/>
        <v/>
      </c>
      <c r="AY82" s="159" t="str">
        <f t="shared" si="20"/>
        <v/>
      </c>
      <c r="AZ82" s="159" t="str">
        <f t="shared" si="20"/>
        <v/>
      </c>
      <c r="BA82" s="159" t="str">
        <f t="shared" si="20"/>
        <v/>
      </c>
      <c r="BB82" s="159" t="str">
        <f t="shared" si="20"/>
        <v/>
      </c>
      <c r="BC82" s="159" t="str">
        <f t="shared" si="20"/>
        <v/>
      </c>
      <c r="BD82" s="159" t="str">
        <f t="shared" si="20"/>
        <v/>
      </c>
      <c r="BE82" s="159" t="str">
        <f t="shared" si="20"/>
        <v/>
      </c>
      <c r="BF82" s="159" t="str">
        <f t="shared" si="20"/>
        <v/>
      </c>
      <c r="BG82" s="159" t="str">
        <f t="shared" si="20"/>
        <v/>
      </c>
      <c r="BH82" s="159" t="str">
        <f t="shared" si="20"/>
        <v/>
      </c>
      <c r="BI82" s="159" t="str">
        <f t="shared" si="20"/>
        <v/>
      </c>
      <c r="BJ82" s="159" t="str">
        <f t="shared" si="20"/>
        <v/>
      </c>
      <c r="BK82" s="159" t="str">
        <f t="shared" si="20"/>
        <v/>
      </c>
      <c r="BL82" s="159" t="str">
        <f t="shared" si="20"/>
        <v/>
      </c>
      <c r="BM82" s="159" t="str">
        <f t="shared" si="20"/>
        <v/>
      </c>
      <c r="BN82" s="159" t="str">
        <f t="shared" si="20"/>
        <v/>
      </c>
      <c r="BO82" s="159" t="str">
        <f t="shared" si="20"/>
        <v/>
      </c>
      <c r="BP82" s="159" t="str">
        <f t="shared" si="18"/>
        <v/>
      </c>
      <c r="BQ82" s="159" t="str">
        <f t="shared" si="18"/>
        <v/>
      </c>
      <c r="BR82" s="159" t="str">
        <f t="shared" si="18"/>
        <v/>
      </c>
      <c r="BS82" s="159" t="str">
        <f t="shared" si="18"/>
        <v/>
      </c>
      <c r="BT82" s="159" t="str">
        <f t="shared" si="18"/>
        <v/>
      </c>
      <c r="BU82" s="159" t="str">
        <f t="shared" si="18"/>
        <v/>
      </c>
      <c r="BV82" s="159" t="str">
        <f t="shared" si="18"/>
        <v/>
      </c>
      <c r="BW82" s="159" t="str">
        <f t="shared" si="18"/>
        <v/>
      </c>
      <c r="BX82" s="159" t="str">
        <f t="shared" si="18"/>
        <v/>
      </c>
      <c r="BY82" s="159" t="str">
        <f t="shared" si="18"/>
        <v/>
      </c>
      <c r="BZ82" s="159" t="str">
        <f t="shared" si="18"/>
        <v/>
      </c>
      <c r="CA82" s="159" t="str">
        <f t="shared" si="18"/>
        <v/>
      </c>
      <c r="CB82" s="159" t="str">
        <f t="shared" si="18"/>
        <v/>
      </c>
      <c r="CC82" s="159" t="str">
        <f t="shared" si="18"/>
        <v/>
      </c>
      <c r="CD82" s="159" t="str">
        <f t="shared" si="18"/>
        <v/>
      </c>
      <c r="CE82" s="159" t="str">
        <f t="shared" si="18"/>
        <v/>
      </c>
      <c r="CF82" s="159" t="str">
        <f t="shared" si="18"/>
        <v/>
      </c>
      <c r="CG82" s="159" t="str">
        <f t="shared" si="18"/>
        <v/>
      </c>
      <c r="CH82" s="159" t="str">
        <f t="shared" si="18"/>
        <v/>
      </c>
      <c r="CI82" s="159" t="str">
        <f t="shared" si="18"/>
        <v/>
      </c>
      <c r="CJ82" s="159" t="str">
        <f t="shared" si="18"/>
        <v/>
      </c>
      <c r="CK82" s="159" t="str">
        <f t="shared" si="18"/>
        <v/>
      </c>
      <c r="CL82" s="159" t="str">
        <f t="shared" si="18"/>
        <v/>
      </c>
      <c r="CM82" s="159" t="str">
        <f t="shared" si="18"/>
        <v/>
      </c>
      <c r="CN82" s="159" t="str">
        <f t="shared" si="18"/>
        <v/>
      </c>
      <c r="CO82" s="159" t="str">
        <f t="shared" si="18"/>
        <v/>
      </c>
      <c r="CP82" s="159" t="str">
        <f t="shared" si="18"/>
        <v/>
      </c>
      <c r="CQ82" s="159" t="str">
        <f t="shared" si="18"/>
        <v/>
      </c>
      <c r="CR82" s="159" t="str">
        <f t="shared" si="18"/>
        <v/>
      </c>
      <c r="CS82" s="159" t="str">
        <f t="shared" si="18"/>
        <v/>
      </c>
      <c r="CT82" s="225" t="s">
        <v>54</v>
      </c>
      <c r="CU82" s="42"/>
      <c r="CV82" s="42"/>
      <c r="CY82" s="43"/>
    </row>
    <row r="83" spans="1:103" x14ac:dyDescent="0.25">
      <c r="A83" s="97">
        <f t="shared" si="12"/>
        <v>1</v>
      </c>
      <c r="B83" s="31">
        <f t="shared" si="12"/>
        <v>2010</v>
      </c>
      <c r="C83" s="158"/>
      <c r="D83" s="159">
        <f t="shared" si="20"/>
        <v>0.41478632478632477</v>
      </c>
      <c r="E83" s="159">
        <f t="shared" si="20"/>
        <v>8.350170262380658</v>
      </c>
      <c r="F83" s="159">
        <f t="shared" si="20"/>
        <v>1.1989801243021383</v>
      </c>
      <c r="G83" s="159">
        <f t="shared" si="20"/>
        <v>1.0073414692999787</v>
      </c>
      <c r="H83" s="159">
        <f t="shared" si="20"/>
        <v>1.0008373239843431</v>
      </c>
      <c r="I83" s="159">
        <f t="shared" si="20"/>
        <v>0.9949189267945644</v>
      </c>
      <c r="J83" s="159">
        <f t="shared" si="20"/>
        <v>0.99964875029022737</v>
      </c>
      <c r="K83" s="159">
        <f t="shared" si="20"/>
        <v>0.97170729432588032</v>
      </c>
      <c r="L83" s="159">
        <f t="shared" si="20"/>
        <v>0.99961951322065556</v>
      </c>
      <c r="M83" s="159" t="str">
        <f t="shared" si="20"/>
        <v/>
      </c>
      <c r="N83" s="159" t="str">
        <f t="shared" si="20"/>
        <v/>
      </c>
      <c r="O83" s="159" t="str">
        <f t="shared" si="20"/>
        <v/>
      </c>
      <c r="P83" s="159" t="str">
        <f t="shared" si="20"/>
        <v/>
      </c>
      <c r="Q83" s="159" t="str">
        <f t="shared" si="20"/>
        <v/>
      </c>
      <c r="R83" s="159" t="str">
        <f t="shared" si="20"/>
        <v/>
      </c>
      <c r="S83" s="159" t="str">
        <f t="shared" si="20"/>
        <v/>
      </c>
      <c r="T83" s="159" t="str">
        <f t="shared" si="20"/>
        <v/>
      </c>
      <c r="U83" s="159" t="str">
        <f t="shared" si="20"/>
        <v/>
      </c>
      <c r="V83" s="159" t="str">
        <f t="shared" si="20"/>
        <v/>
      </c>
      <c r="W83" s="159" t="str">
        <f t="shared" si="20"/>
        <v/>
      </c>
      <c r="X83" s="159" t="str">
        <f t="shared" si="20"/>
        <v/>
      </c>
      <c r="Y83" s="159" t="str">
        <f t="shared" si="20"/>
        <v/>
      </c>
      <c r="Z83" s="159" t="str">
        <f t="shared" si="20"/>
        <v/>
      </c>
      <c r="AA83" s="159" t="str">
        <f t="shared" si="20"/>
        <v/>
      </c>
      <c r="AB83" s="159" t="str">
        <f t="shared" si="20"/>
        <v/>
      </c>
      <c r="AC83" s="159" t="str">
        <f t="shared" si="20"/>
        <v/>
      </c>
      <c r="AD83" s="159" t="str">
        <f t="shared" si="20"/>
        <v/>
      </c>
      <c r="AE83" s="159" t="str">
        <f t="shared" si="20"/>
        <v/>
      </c>
      <c r="AF83" s="159" t="str">
        <f t="shared" si="20"/>
        <v/>
      </c>
      <c r="AG83" s="159" t="str">
        <f t="shared" si="20"/>
        <v/>
      </c>
      <c r="AH83" s="159" t="str">
        <f t="shared" si="20"/>
        <v/>
      </c>
      <c r="AI83" s="159" t="str">
        <f t="shared" si="20"/>
        <v/>
      </c>
      <c r="AJ83" s="159" t="str">
        <f t="shared" si="20"/>
        <v/>
      </c>
      <c r="AK83" s="159" t="str">
        <f t="shared" si="20"/>
        <v/>
      </c>
      <c r="AL83" s="159" t="str">
        <f t="shared" si="20"/>
        <v/>
      </c>
      <c r="AM83" s="159" t="str">
        <f t="shared" si="20"/>
        <v/>
      </c>
      <c r="AN83" s="159" t="str">
        <f t="shared" si="20"/>
        <v/>
      </c>
      <c r="AO83" s="159" t="str">
        <f t="shared" si="20"/>
        <v/>
      </c>
      <c r="AP83" s="159" t="str">
        <f t="shared" si="20"/>
        <v/>
      </c>
      <c r="AQ83" s="159" t="str">
        <f t="shared" si="20"/>
        <v/>
      </c>
      <c r="AR83" s="159" t="str">
        <f t="shared" si="20"/>
        <v/>
      </c>
      <c r="AS83" s="159" t="str">
        <f t="shared" si="20"/>
        <v/>
      </c>
      <c r="AT83" s="159" t="str">
        <f t="shared" si="20"/>
        <v/>
      </c>
      <c r="AU83" s="159" t="str">
        <f t="shared" si="20"/>
        <v/>
      </c>
      <c r="AV83" s="159" t="str">
        <f t="shared" si="20"/>
        <v/>
      </c>
      <c r="AW83" s="159" t="str">
        <f t="shared" si="20"/>
        <v/>
      </c>
      <c r="AX83" s="159" t="str">
        <f t="shared" si="20"/>
        <v/>
      </c>
      <c r="AY83" s="159" t="str">
        <f t="shared" si="20"/>
        <v/>
      </c>
      <c r="AZ83" s="159" t="str">
        <f t="shared" si="20"/>
        <v/>
      </c>
      <c r="BA83" s="159" t="str">
        <f t="shared" si="20"/>
        <v/>
      </c>
      <c r="BB83" s="159" t="str">
        <f t="shared" si="20"/>
        <v/>
      </c>
      <c r="BC83" s="159" t="str">
        <f t="shared" si="20"/>
        <v/>
      </c>
      <c r="BD83" s="159" t="str">
        <f t="shared" si="20"/>
        <v/>
      </c>
      <c r="BE83" s="159" t="str">
        <f t="shared" si="20"/>
        <v/>
      </c>
      <c r="BF83" s="159" t="str">
        <f t="shared" si="20"/>
        <v/>
      </c>
      <c r="BG83" s="159" t="str">
        <f t="shared" si="20"/>
        <v/>
      </c>
      <c r="BH83" s="159" t="str">
        <f t="shared" si="20"/>
        <v/>
      </c>
      <c r="BI83" s="159" t="str">
        <f t="shared" si="20"/>
        <v/>
      </c>
      <c r="BJ83" s="159" t="str">
        <f t="shared" si="20"/>
        <v/>
      </c>
      <c r="BK83" s="159" t="str">
        <f t="shared" si="20"/>
        <v/>
      </c>
      <c r="BL83" s="159" t="str">
        <f t="shared" si="20"/>
        <v/>
      </c>
      <c r="BM83" s="159" t="str">
        <f t="shared" si="20"/>
        <v/>
      </c>
      <c r="BN83" s="159" t="str">
        <f t="shared" si="20"/>
        <v/>
      </c>
      <c r="BO83" s="159" t="str">
        <f t="shared" si="20"/>
        <v/>
      </c>
      <c r="BP83" s="159" t="str">
        <f t="shared" si="18"/>
        <v/>
      </c>
      <c r="BQ83" s="159" t="str">
        <f t="shared" si="18"/>
        <v/>
      </c>
      <c r="BR83" s="159" t="str">
        <f t="shared" si="18"/>
        <v/>
      </c>
      <c r="BS83" s="159" t="str">
        <f t="shared" si="18"/>
        <v/>
      </c>
      <c r="BT83" s="159" t="str">
        <f t="shared" si="18"/>
        <v/>
      </c>
      <c r="BU83" s="159" t="str">
        <f t="shared" si="18"/>
        <v/>
      </c>
      <c r="BV83" s="159" t="str">
        <f t="shared" si="18"/>
        <v/>
      </c>
      <c r="BW83" s="159" t="str">
        <f t="shared" si="18"/>
        <v/>
      </c>
      <c r="BX83" s="159" t="str">
        <f t="shared" si="18"/>
        <v/>
      </c>
      <c r="BY83" s="159" t="str">
        <f t="shared" si="18"/>
        <v/>
      </c>
      <c r="BZ83" s="159" t="str">
        <f t="shared" si="18"/>
        <v/>
      </c>
      <c r="CA83" s="159" t="str">
        <f t="shared" si="18"/>
        <v/>
      </c>
      <c r="CB83" s="159" t="str">
        <f t="shared" si="18"/>
        <v/>
      </c>
      <c r="CC83" s="159" t="str">
        <f t="shared" si="18"/>
        <v/>
      </c>
      <c r="CD83" s="159" t="str">
        <f t="shared" si="18"/>
        <v/>
      </c>
      <c r="CE83" s="159" t="str">
        <f t="shared" si="18"/>
        <v/>
      </c>
      <c r="CF83" s="159" t="str">
        <f t="shared" si="18"/>
        <v/>
      </c>
      <c r="CG83" s="159" t="str">
        <f t="shared" si="18"/>
        <v/>
      </c>
      <c r="CH83" s="159" t="str">
        <f t="shared" si="18"/>
        <v/>
      </c>
      <c r="CI83" s="159" t="str">
        <f t="shared" si="18"/>
        <v/>
      </c>
      <c r="CJ83" s="159" t="str">
        <f t="shared" si="18"/>
        <v/>
      </c>
      <c r="CK83" s="159" t="str">
        <f t="shared" si="18"/>
        <v/>
      </c>
      <c r="CL83" s="159" t="str">
        <f t="shared" si="18"/>
        <v/>
      </c>
      <c r="CM83" s="159" t="str">
        <f t="shared" si="18"/>
        <v/>
      </c>
      <c r="CN83" s="159" t="str">
        <f t="shared" si="18"/>
        <v/>
      </c>
      <c r="CO83" s="159" t="str">
        <f t="shared" si="18"/>
        <v/>
      </c>
      <c r="CP83" s="159" t="str">
        <f t="shared" si="18"/>
        <v/>
      </c>
      <c r="CQ83" s="159" t="str">
        <f t="shared" si="18"/>
        <v/>
      </c>
      <c r="CR83" s="159" t="str">
        <f t="shared" si="18"/>
        <v/>
      </c>
      <c r="CS83" s="159" t="str">
        <f t="shared" si="18"/>
        <v/>
      </c>
      <c r="CT83" s="225" t="s">
        <v>54</v>
      </c>
      <c r="CU83" s="42"/>
      <c r="CV83" s="42"/>
      <c r="CY83" s="43"/>
    </row>
    <row r="84" spans="1:103" x14ac:dyDescent="0.25">
      <c r="A84" s="97">
        <f t="shared" si="12"/>
        <v>1</v>
      </c>
      <c r="B84" s="31">
        <f t="shared" si="12"/>
        <v>2011</v>
      </c>
      <c r="C84" s="158"/>
      <c r="D84" s="159" t="str">
        <f t="shared" si="20"/>
        <v/>
      </c>
      <c r="E84" s="159">
        <f t="shared" si="20"/>
        <v>1.0027714348449219</v>
      </c>
      <c r="F84" s="159">
        <f t="shared" si="20"/>
        <v>0.82758741394815927</v>
      </c>
      <c r="G84" s="159">
        <f t="shared" si="20"/>
        <v>0.54688756170086716</v>
      </c>
      <c r="H84" s="159">
        <f t="shared" si="20"/>
        <v>0.92136497426651687</v>
      </c>
      <c r="I84" s="159">
        <f t="shared" si="20"/>
        <v>0.92216637103542964</v>
      </c>
      <c r="J84" s="159">
        <f t="shared" si="20"/>
        <v>1</v>
      </c>
      <c r="K84" s="159">
        <f t="shared" si="20"/>
        <v>1</v>
      </c>
      <c r="L84" s="159" t="str">
        <f t="shared" si="20"/>
        <v/>
      </c>
      <c r="M84" s="159" t="str">
        <f t="shared" si="20"/>
        <v/>
      </c>
      <c r="N84" s="159" t="str">
        <f t="shared" si="20"/>
        <v/>
      </c>
      <c r="O84" s="159" t="str">
        <f t="shared" si="20"/>
        <v/>
      </c>
      <c r="P84" s="159" t="str">
        <f t="shared" si="20"/>
        <v/>
      </c>
      <c r="Q84" s="159" t="str">
        <f t="shared" si="20"/>
        <v/>
      </c>
      <c r="R84" s="159" t="str">
        <f t="shared" si="20"/>
        <v/>
      </c>
      <c r="S84" s="159" t="str">
        <f t="shared" si="20"/>
        <v/>
      </c>
      <c r="T84" s="159" t="str">
        <f t="shared" si="20"/>
        <v/>
      </c>
      <c r="U84" s="159" t="str">
        <f t="shared" si="20"/>
        <v/>
      </c>
      <c r="V84" s="159" t="str">
        <f t="shared" si="20"/>
        <v/>
      </c>
      <c r="W84" s="159" t="str">
        <f t="shared" si="20"/>
        <v/>
      </c>
      <c r="X84" s="159" t="str">
        <f t="shared" si="20"/>
        <v/>
      </c>
      <c r="Y84" s="159" t="str">
        <f t="shared" si="20"/>
        <v/>
      </c>
      <c r="Z84" s="159" t="str">
        <f t="shared" si="20"/>
        <v/>
      </c>
      <c r="AA84" s="159" t="str">
        <f t="shared" si="20"/>
        <v/>
      </c>
      <c r="AB84" s="159" t="str">
        <f t="shared" si="20"/>
        <v/>
      </c>
      <c r="AC84" s="159" t="str">
        <f t="shared" si="20"/>
        <v/>
      </c>
      <c r="AD84" s="159" t="str">
        <f t="shared" si="20"/>
        <v/>
      </c>
      <c r="AE84" s="159" t="str">
        <f t="shared" si="20"/>
        <v/>
      </c>
      <c r="AF84" s="159" t="str">
        <f t="shared" si="20"/>
        <v/>
      </c>
      <c r="AG84" s="159" t="str">
        <f t="shared" si="20"/>
        <v/>
      </c>
      <c r="AH84" s="159" t="str">
        <f t="shared" si="20"/>
        <v/>
      </c>
      <c r="AI84" s="159" t="str">
        <f t="shared" si="20"/>
        <v/>
      </c>
      <c r="AJ84" s="159" t="str">
        <f t="shared" si="20"/>
        <v/>
      </c>
      <c r="AK84" s="159" t="str">
        <f t="shared" si="20"/>
        <v/>
      </c>
      <c r="AL84" s="159" t="str">
        <f t="shared" si="20"/>
        <v/>
      </c>
      <c r="AM84" s="159" t="str">
        <f t="shared" si="20"/>
        <v/>
      </c>
      <c r="AN84" s="159" t="str">
        <f t="shared" si="20"/>
        <v/>
      </c>
      <c r="AO84" s="159" t="str">
        <f t="shared" si="20"/>
        <v/>
      </c>
      <c r="AP84" s="159" t="str">
        <f t="shared" si="20"/>
        <v/>
      </c>
      <c r="AQ84" s="159" t="str">
        <f t="shared" si="20"/>
        <v/>
      </c>
      <c r="AR84" s="159" t="str">
        <f t="shared" si="20"/>
        <v/>
      </c>
      <c r="AS84" s="159" t="str">
        <f t="shared" si="20"/>
        <v/>
      </c>
      <c r="AT84" s="159" t="str">
        <f t="shared" si="20"/>
        <v/>
      </c>
      <c r="AU84" s="159" t="str">
        <f t="shared" si="20"/>
        <v/>
      </c>
      <c r="AV84" s="159" t="str">
        <f t="shared" si="20"/>
        <v/>
      </c>
      <c r="AW84" s="159" t="str">
        <f t="shared" si="20"/>
        <v/>
      </c>
      <c r="AX84" s="159" t="str">
        <f t="shared" si="20"/>
        <v/>
      </c>
      <c r="AY84" s="159" t="str">
        <f t="shared" si="20"/>
        <v/>
      </c>
      <c r="AZ84" s="159" t="str">
        <f t="shared" si="20"/>
        <v/>
      </c>
      <c r="BA84" s="159" t="str">
        <f t="shared" si="20"/>
        <v/>
      </c>
      <c r="BB84" s="159" t="str">
        <f t="shared" si="20"/>
        <v/>
      </c>
      <c r="BC84" s="159" t="str">
        <f t="shared" si="20"/>
        <v/>
      </c>
      <c r="BD84" s="159" t="str">
        <f t="shared" si="20"/>
        <v/>
      </c>
      <c r="BE84" s="159" t="str">
        <f t="shared" si="20"/>
        <v/>
      </c>
      <c r="BF84" s="159" t="str">
        <f t="shared" si="20"/>
        <v/>
      </c>
      <c r="BG84" s="159" t="str">
        <f t="shared" si="20"/>
        <v/>
      </c>
      <c r="BH84" s="159" t="str">
        <f t="shared" si="20"/>
        <v/>
      </c>
      <c r="BI84" s="159" t="str">
        <f t="shared" si="20"/>
        <v/>
      </c>
      <c r="BJ84" s="159" t="str">
        <f t="shared" si="20"/>
        <v/>
      </c>
      <c r="BK84" s="159" t="str">
        <f t="shared" si="20"/>
        <v/>
      </c>
      <c r="BL84" s="159" t="str">
        <f t="shared" si="20"/>
        <v/>
      </c>
      <c r="BM84" s="159" t="str">
        <f t="shared" si="20"/>
        <v/>
      </c>
      <c r="BN84" s="159" t="str">
        <f t="shared" si="20"/>
        <v/>
      </c>
      <c r="BO84" s="159" t="str">
        <f t="shared" ref="BO84" si="21">IFERROR(IF(BO57=1,BO29/BN29,""),"")</f>
        <v/>
      </c>
      <c r="BP84" s="159" t="str">
        <f t="shared" si="18"/>
        <v/>
      </c>
      <c r="BQ84" s="159" t="str">
        <f t="shared" si="18"/>
        <v/>
      </c>
      <c r="BR84" s="159" t="str">
        <f t="shared" si="18"/>
        <v/>
      </c>
      <c r="BS84" s="159" t="str">
        <f t="shared" si="18"/>
        <v/>
      </c>
      <c r="BT84" s="159" t="str">
        <f t="shared" si="18"/>
        <v/>
      </c>
      <c r="BU84" s="159" t="str">
        <f t="shared" si="18"/>
        <v/>
      </c>
      <c r="BV84" s="159" t="str">
        <f t="shared" si="18"/>
        <v/>
      </c>
      <c r="BW84" s="159" t="str">
        <f t="shared" si="18"/>
        <v/>
      </c>
      <c r="BX84" s="159" t="str">
        <f t="shared" si="18"/>
        <v/>
      </c>
      <c r="BY84" s="159" t="str">
        <f t="shared" si="18"/>
        <v/>
      </c>
      <c r="BZ84" s="159" t="str">
        <f t="shared" si="18"/>
        <v/>
      </c>
      <c r="CA84" s="159" t="str">
        <f t="shared" si="18"/>
        <v/>
      </c>
      <c r="CB84" s="159" t="str">
        <f t="shared" si="18"/>
        <v/>
      </c>
      <c r="CC84" s="159" t="str">
        <f t="shared" si="18"/>
        <v/>
      </c>
      <c r="CD84" s="159" t="str">
        <f t="shared" si="18"/>
        <v/>
      </c>
      <c r="CE84" s="159" t="str">
        <f t="shared" si="18"/>
        <v/>
      </c>
      <c r="CF84" s="159" t="str">
        <f t="shared" si="18"/>
        <v/>
      </c>
      <c r="CG84" s="159" t="str">
        <f t="shared" si="18"/>
        <v/>
      </c>
      <c r="CH84" s="159" t="str">
        <f t="shared" si="18"/>
        <v/>
      </c>
      <c r="CI84" s="159" t="str">
        <f t="shared" si="18"/>
        <v/>
      </c>
      <c r="CJ84" s="159" t="str">
        <f t="shared" si="18"/>
        <v/>
      </c>
      <c r="CK84" s="159" t="str">
        <f t="shared" si="18"/>
        <v/>
      </c>
      <c r="CL84" s="159" t="str">
        <f t="shared" si="18"/>
        <v/>
      </c>
      <c r="CM84" s="159" t="str">
        <f t="shared" si="18"/>
        <v/>
      </c>
      <c r="CN84" s="159" t="str">
        <f t="shared" si="18"/>
        <v/>
      </c>
      <c r="CO84" s="159" t="str">
        <f t="shared" si="18"/>
        <v/>
      </c>
      <c r="CP84" s="159" t="str">
        <f t="shared" si="18"/>
        <v/>
      </c>
      <c r="CQ84" s="159" t="str">
        <f t="shared" si="18"/>
        <v/>
      </c>
      <c r="CR84" s="159" t="str">
        <f t="shared" si="18"/>
        <v/>
      </c>
      <c r="CS84" s="159" t="str">
        <f t="shared" si="18"/>
        <v/>
      </c>
      <c r="CT84" s="225" t="s">
        <v>54</v>
      </c>
      <c r="CU84" s="42"/>
      <c r="CV84" s="42"/>
    </row>
    <row r="85" spans="1:103" x14ac:dyDescent="0.25">
      <c r="A85" s="97">
        <f t="shared" si="12"/>
        <v>1</v>
      </c>
      <c r="B85" s="31">
        <f t="shared" si="12"/>
        <v>2012</v>
      </c>
      <c r="C85" s="158"/>
      <c r="D85" s="159">
        <f t="shared" ref="D85:BO89" si="22">IFERROR(IF(D58=1,D30/C30,""),"")</f>
        <v>0.76104357255775634</v>
      </c>
      <c r="E85" s="159">
        <f t="shared" si="22"/>
        <v>2.686356917268053</v>
      </c>
      <c r="F85" s="159">
        <f>IFERROR(IF(F58=1,F30/E30,""),"")</f>
        <v>1.2446371154481686</v>
      </c>
      <c r="G85" s="159">
        <f t="shared" si="22"/>
        <v>0.99794970252222226</v>
      </c>
      <c r="H85" s="159">
        <f t="shared" si="22"/>
        <v>0.70569732154046039</v>
      </c>
      <c r="I85" s="159">
        <f t="shared" si="22"/>
        <v>0.84837048044150831</v>
      </c>
      <c r="J85" s="159">
        <f t="shared" si="22"/>
        <v>0.96438576724064529</v>
      </c>
      <c r="K85" s="159" t="str">
        <f t="shared" si="22"/>
        <v/>
      </c>
      <c r="L85" s="159" t="str">
        <f t="shared" si="22"/>
        <v/>
      </c>
      <c r="M85" s="159" t="str">
        <f t="shared" si="22"/>
        <v/>
      </c>
      <c r="N85" s="159" t="str">
        <f t="shared" si="22"/>
        <v/>
      </c>
      <c r="O85" s="159" t="str">
        <f t="shared" si="22"/>
        <v/>
      </c>
      <c r="P85" s="159" t="str">
        <f t="shared" si="22"/>
        <v/>
      </c>
      <c r="Q85" s="159" t="str">
        <f t="shared" si="22"/>
        <v/>
      </c>
      <c r="R85" s="159" t="str">
        <f t="shared" si="22"/>
        <v/>
      </c>
      <c r="S85" s="159" t="str">
        <f t="shared" si="22"/>
        <v/>
      </c>
      <c r="T85" s="159" t="str">
        <f t="shared" si="22"/>
        <v/>
      </c>
      <c r="U85" s="159" t="str">
        <f t="shared" si="22"/>
        <v/>
      </c>
      <c r="V85" s="159" t="str">
        <f t="shared" si="22"/>
        <v/>
      </c>
      <c r="W85" s="159" t="str">
        <f t="shared" si="22"/>
        <v/>
      </c>
      <c r="X85" s="159" t="str">
        <f t="shared" si="22"/>
        <v/>
      </c>
      <c r="Y85" s="159" t="str">
        <f t="shared" si="22"/>
        <v/>
      </c>
      <c r="Z85" s="159" t="str">
        <f t="shared" si="22"/>
        <v/>
      </c>
      <c r="AA85" s="159" t="str">
        <f t="shared" si="22"/>
        <v/>
      </c>
      <c r="AB85" s="159" t="str">
        <f t="shared" si="22"/>
        <v/>
      </c>
      <c r="AC85" s="159" t="str">
        <f t="shared" si="22"/>
        <v/>
      </c>
      <c r="AD85" s="159" t="str">
        <f t="shared" si="22"/>
        <v/>
      </c>
      <c r="AE85" s="159" t="str">
        <f t="shared" si="22"/>
        <v/>
      </c>
      <c r="AF85" s="159" t="str">
        <f t="shared" si="22"/>
        <v/>
      </c>
      <c r="AG85" s="159" t="str">
        <f t="shared" si="22"/>
        <v/>
      </c>
      <c r="AH85" s="159" t="str">
        <f t="shared" si="22"/>
        <v/>
      </c>
      <c r="AI85" s="159" t="str">
        <f t="shared" si="22"/>
        <v/>
      </c>
      <c r="AJ85" s="159" t="str">
        <f t="shared" si="22"/>
        <v/>
      </c>
      <c r="AK85" s="159" t="str">
        <f t="shared" si="22"/>
        <v/>
      </c>
      <c r="AL85" s="159" t="str">
        <f t="shared" si="22"/>
        <v/>
      </c>
      <c r="AM85" s="159" t="str">
        <f t="shared" si="22"/>
        <v/>
      </c>
      <c r="AN85" s="159" t="str">
        <f t="shared" si="22"/>
        <v/>
      </c>
      <c r="AO85" s="159" t="str">
        <f t="shared" si="22"/>
        <v/>
      </c>
      <c r="AP85" s="159" t="str">
        <f t="shared" si="22"/>
        <v/>
      </c>
      <c r="AQ85" s="159" t="str">
        <f t="shared" si="22"/>
        <v/>
      </c>
      <c r="AR85" s="159" t="str">
        <f t="shared" si="22"/>
        <v/>
      </c>
      <c r="AS85" s="159" t="str">
        <f t="shared" si="22"/>
        <v/>
      </c>
      <c r="AT85" s="159" t="str">
        <f t="shared" si="22"/>
        <v/>
      </c>
      <c r="AU85" s="159" t="str">
        <f t="shared" si="22"/>
        <v/>
      </c>
      <c r="AV85" s="159" t="str">
        <f t="shared" si="22"/>
        <v/>
      </c>
      <c r="AW85" s="159" t="str">
        <f t="shared" si="22"/>
        <v/>
      </c>
      <c r="AX85" s="159" t="str">
        <f t="shared" si="22"/>
        <v/>
      </c>
      <c r="AY85" s="159" t="str">
        <f t="shared" si="22"/>
        <v/>
      </c>
      <c r="AZ85" s="159" t="str">
        <f t="shared" si="22"/>
        <v/>
      </c>
      <c r="BA85" s="159" t="str">
        <f t="shared" si="22"/>
        <v/>
      </c>
      <c r="BB85" s="159" t="str">
        <f t="shared" si="22"/>
        <v/>
      </c>
      <c r="BC85" s="159" t="str">
        <f t="shared" si="22"/>
        <v/>
      </c>
      <c r="BD85" s="159" t="str">
        <f t="shared" si="22"/>
        <v/>
      </c>
      <c r="BE85" s="159" t="str">
        <f t="shared" si="22"/>
        <v/>
      </c>
      <c r="BF85" s="159" t="str">
        <f t="shared" si="22"/>
        <v/>
      </c>
      <c r="BG85" s="159" t="str">
        <f t="shared" si="22"/>
        <v/>
      </c>
      <c r="BH85" s="159" t="str">
        <f t="shared" si="22"/>
        <v/>
      </c>
      <c r="BI85" s="159" t="str">
        <f t="shared" si="22"/>
        <v/>
      </c>
      <c r="BJ85" s="159" t="str">
        <f t="shared" si="22"/>
        <v/>
      </c>
      <c r="BK85" s="159" t="str">
        <f t="shared" si="22"/>
        <v/>
      </c>
      <c r="BL85" s="159" t="str">
        <f t="shared" si="22"/>
        <v/>
      </c>
      <c r="BM85" s="159" t="str">
        <f t="shared" si="22"/>
        <v/>
      </c>
      <c r="BN85" s="159" t="str">
        <f t="shared" si="22"/>
        <v/>
      </c>
      <c r="BO85" s="159" t="str">
        <f t="shared" si="22"/>
        <v/>
      </c>
      <c r="BP85" s="159" t="str">
        <f t="shared" si="18"/>
        <v/>
      </c>
      <c r="BQ85" s="159" t="str">
        <f t="shared" si="18"/>
        <v/>
      </c>
      <c r="BR85" s="159" t="str">
        <f t="shared" si="18"/>
        <v/>
      </c>
      <c r="BS85" s="159" t="str">
        <f t="shared" si="18"/>
        <v/>
      </c>
      <c r="BT85" s="159" t="str">
        <f t="shared" si="18"/>
        <v/>
      </c>
      <c r="BU85" s="159" t="str">
        <f t="shared" si="18"/>
        <v/>
      </c>
      <c r="BV85" s="159" t="str">
        <f t="shared" si="18"/>
        <v/>
      </c>
      <c r="BW85" s="159" t="str">
        <f t="shared" si="18"/>
        <v/>
      </c>
      <c r="BX85" s="159" t="str">
        <f t="shared" si="18"/>
        <v/>
      </c>
      <c r="BY85" s="159" t="str">
        <f t="shared" si="18"/>
        <v/>
      </c>
      <c r="BZ85" s="159" t="str">
        <f t="shared" si="18"/>
        <v/>
      </c>
      <c r="CA85" s="159" t="str">
        <f t="shared" si="18"/>
        <v/>
      </c>
      <c r="CB85" s="159" t="str">
        <f t="shared" si="18"/>
        <v/>
      </c>
      <c r="CC85" s="159" t="str">
        <f t="shared" si="18"/>
        <v/>
      </c>
      <c r="CD85" s="159" t="str">
        <f t="shared" si="18"/>
        <v/>
      </c>
      <c r="CE85" s="159" t="str">
        <f t="shared" si="18"/>
        <v/>
      </c>
      <c r="CF85" s="159" t="str">
        <f t="shared" si="18"/>
        <v/>
      </c>
      <c r="CG85" s="159" t="str">
        <f t="shared" si="18"/>
        <v/>
      </c>
      <c r="CH85" s="159" t="str">
        <f t="shared" si="18"/>
        <v/>
      </c>
      <c r="CI85" s="159" t="str">
        <f t="shared" si="18"/>
        <v/>
      </c>
      <c r="CJ85" s="159" t="str">
        <f t="shared" si="18"/>
        <v/>
      </c>
      <c r="CK85" s="159" t="str">
        <f t="shared" si="18"/>
        <v/>
      </c>
      <c r="CL85" s="159" t="str">
        <f t="shared" si="18"/>
        <v/>
      </c>
      <c r="CM85" s="159" t="str">
        <f t="shared" si="18"/>
        <v/>
      </c>
      <c r="CN85" s="159" t="str">
        <f t="shared" si="18"/>
        <v/>
      </c>
      <c r="CO85" s="159" t="str">
        <f t="shared" si="18"/>
        <v/>
      </c>
      <c r="CP85" s="159" t="str">
        <f t="shared" si="18"/>
        <v/>
      </c>
      <c r="CQ85" s="159" t="str">
        <f t="shared" si="18"/>
        <v/>
      </c>
      <c r="CR85" s="159" t="str">
        <f t="shared" si="18"/>
        <v/>
      </c>
      <c r="CS85" s="159" t="str">
        <f t="shared" si="18"/>
        <v/>
      </c>
      <c r="CT85" s="225" t="s">
        <v>54</v>
      </c>
      <c r="CU85" s="42"/>
      <c r="CV85" s="42"/>
    </row>
    <row r="86" spans="1:103" x14ac:dyDescent="0.25">
      <c r="A86" s="97">
        <f t="shared" ref="A86:B92" si="23">A31</f>
        <v>1</v>
      </c>
      <c r="B86" s="31">
        <f t="shared" si="23"/>
        <v>2013</v>
      </c>
      <c r="C86" s="158"/>
      <c r="D86" s="159" t="str">
        <f t="shared" si="22"/>
        <v/>
      </c>
      <c r="E86" s="159" t="str">
        <f t="shared" si="22"/>
        <v/>
      </c>
      <c r="F86" s="159" t="str">
        <f t="shared" si="22"/>
        <v/>
      </c>
      <c r="G86" s="159" t="str">
        <f t="shared" si="22"/>
        <v/>
      </c>
      <c r="H86" s="159" t="str">
        <f t="shared" si="22"/>
        <v/>
      </c>
      <c r="I86" s="159" t="str">
        <f t="shared" si="22"/>
        <v/>
      </c>
      <c r="J86" s="159" t="str">
        <f t="shared" si="22"/>
        <v/>
      </c>
      <c r="K86" s="159" t="str">
        <f t="shared" si="22"/>
        <v/>
      </c>
      <c r="L86" s="159" t="str">
        <f t="shared" si="22"/>
        <v/>
      </c>
      <c r="M86" s="159" t="str">
        <f t="shared" si="22"/>
        <v/>
      </c>
      <c r="N86" s="159" t="str">
        <f t="shared" si="22"/>
        <v/>
      </c>
      <c r="O86" s="159" t="str">
        <f t="shared" si="22"/>
        <v/>
      </c>
      <c r="P86" s="159" t="str">
        <f t="shared" si="22"/>
        <v/>
      </c>
      <c r="Q86" s="159" t="str">
        <f t="shared" si="22"/>
        <v/>
      </c>
      <c r="R86" s="159" t="str">
        <f t="shared" si="22"/>
        <v/>
      </c>
      <c r="S86" s="159" t="str">
        <f t="shared" si="22"/>
        <v/>
      </c>
      <c r="T86" s="159" t="str">
        <f t="shared" si="22"/>
        <v/>
      </c>
      <c r="U86" s="159" t="str">
        <f t="shared" si="22"/>
        <v/>
      </c>
      <c r="V86" s="159" t="str">
        <f t="shared" si="22"/>
        <v/>
      </c>
      <c r="W86" s="159" t="str">
        <f t="shared" si="22"/>
        <v/>
      </c>
      <c r="X86" s="159" t="str">
        <f t="shared" si="22"/>
        <v/>
      </c>
      <c r="Y86" s="159" t="str">
        <f t="shared" si="22"/>
        <v/>
      </c>
      <c r="Z86" s="159" t="str">
        <f t="shared" si="22"/>
        <v/>
      </c>
      <c r="AA86" s="159" t="str">
        <f t="shared" si="22"/>
        <v/>
      </c>
      <c r="AB86" s="159" t="str">
        <f t="shared" si="22"/>
        <v/>
      </c>
      <c r="AC86" s="159" t="str">
        <f t="shared" si="22"/>
        <v/>
      </c>
      <c r="AD86" s="159" t="str">
        <f t="shared" si="22"/>
        <v/>
      </c>
      <c r="AE86" s="159" t="str">
        <f t="shared" si="22"/>
        <v/>
      </c>
      <c r="AF86" s="159" t="str">
        <f t="shared" si="22"/>
        <v/>
      </c>
      <c r="AG86" s="159" t="str">
        <f t="shared" si="22"/>
        <v/>
      </c>
      <c r="AH86" s="159" t="str">
        <f t="shared" si="22"/>
        <v/>
      </c>
      <c r="AI86" s="159" t="str">
        <f t="shared" si="22"/>
        <v/>
      </c>
      <c r="AJ86" s="159" t="str">
        <f t="shared" si="22"/>
        <v/>
      </c>
      <c r="AK86" s="159" t="str">
        <f t="shared" si="22"/>
        <v/>
      </c>
      <c r="AL86" s="159" t="str">
        <f t="shared" si="22"/>
        <v/>
      </c>
      <c r="AM86" s="159" t="str">
        <f t="shared" si="22"/>
        <v/>
      </c>
      <c r="AN86" s="159" t="str">
        <f t="shared" si="22"/>
        <v/>
      </c>
      <c r="AO86" s="159" t="str">
        <f t="shared" si="22"/>
        <v/>
      </c>
      <c r="AP86" s="159" t="str">
        <f t="shared" si="22"/>
        <v/>
      </c>
      <c r="AQ86" s="159" t="str">
        <f t="shared" si="22"/>
        <v/>
      </c>
      <c r="AR86" s="159" t="str">
        <f t="shared" si="22"/>
        <v/>
      </c>
      <c r="AS86" s="159" t="str">
        <f t="shared" si="22"/>
        <v/>
      </c>
      <c r="AT86" s="159" t="str">
        <f t="shared" si="22"/>
        <v/>
      </c>
      <c r="AU86" s="159" t="str">
        <f t="shared" si="22"/>
        <v/>
      </c>
      <c r="AV86" s="159" t="str">
        <f t="shared" si="22"/>
        <v/>
      </c>
      <c r="AW86" s="159" t="str">
        <f t="shared" si="22"/>
        <v/>
      </c>
      <c r="AX86" s="159" t="str">
        <f t="shared" si="22"/>
        <v/>
      </c>
      <c r="AY86" s="159" t="str">
        <f t="shared" si="22"/>
        <v/>
      </c>
      <c r="AZ86" s="159" t="str">
        <f t="shared" si="22"/>
        <v/>
      </c>
      <c r="BA86" s="159" t="str">
        <f t="shared" si="22"/>
        <v/>
      </c>
      <c r="BB86" s="159" t="str">
        <f t="shared" si="22"/>
        <v/>
      </c>
      <c r="BC86" s="159" t="str">
        <f t="shared" si="22"/>
        <v/>
      </c>
      <c r="BD86" s="159" t="str">
        <f t="shared" si="22"/>
        <v/>
      </c>
      <c r="BE86" s="159" t="str">
        <f t="shared" si="22"/>
        <v/>
      </c>
      <c r="BF86" s="159" t="str">
        <f t="shared" si="22"/>
        <v/>
      </c>
      <c r="BG86" s="159" t="str">
        <f t="shared" si="22"/>
        <v/>
      </c>
      <c r="BH86" s="159" t="str">
        <f t="shared" si="22"/>
        <v/>
      </c>
      <c r="BI86" s="159" t="str">
        <f t="shared" si="22"/>
        <v/>
      </c>
      <c r="BJ86" s="159" t="str">
        <f t="shared" si="22"/>
        <v/>
      </c>
      <c r="BK86" s="159" t="str">
        <f t="shared" si="22"/>
        <v/>
      </c>
      <c r="BL86" s="159" t="str">
        <f t="shared" si="22"/>
        <v/>
      </c>
      <c r="BM86" s="159" t="str">
        <f t="shared" si="22"/>
        <v/>
      </c>
      <c r="BN86" s="159" t="str">
        <f t="shared" si="22"/>
        <v/>
      </c>
      <c r="BO86" s="159" t="str">
        <f t="shared" si="22"/>
        <v/>
      </c>
      <c r="BP86" s="159" t="str">
        <f t="shared" si="18"/>
        <v/>
      </c>
      <c r="BQ86" s="159" t="str">
        <f t="shared" si="18"/>
        <v/>
      </c>
      <c r="BR86" s="159" t="str">
        <f t="shared" si="18"/>
        <v/>
      </c>
      <c r="BS86" s="159" t="str">
        <f t="shared" si="18"/>
        <v/>
      </c>
      <c r="BT86" s="159" t="str">
        <f t="shared" si="18"/>
        <v/>
      </c>
      <c r="BU86" s="159" t="str">
        <f t="shared" si="18"/>
        <v/>
      </c>
      <c r="BV86" s="159" t="str">
        <f t="shared" si="18"/>
        <v/>
      </c>
      <c r="BW86" s="159" t="str">
        <f t="shared" si="18"/>
        <v/>
      </c>
      <c r="BX86" s="159" t="str">
        <f t="shared" si="18"/>
        <v/>
      </c>
      <c r="BY86" s="159" t="str">
        <f t="shared" si="18"/>
        <v/>
      </c>
      <c r="BZ86" s="159" t="str">
        <f t="shared" si="18"/>
        <v/>
      </c>
      <c r="CA86" s="159" t="str">
        <f t="shared" si="18"/>
        <v/>
      </c>
      <c r="CB86" s="159" t="str">
        <f t="shared" si="18"/>
        <v/>
      </c>
      <c r="CC86" s="159" t="str">
        <f t="shared" si="18"/>
        <v/>
      </c>
      <c r="CD86" s="159" t="str">
        <f t="shared" si="18"/>
        <v/>
      </c>
      <c r="CE86" s="159" t="str">
        <f t="shared" ref="CE86:CS86" si="24">IFERROR(IF(CE59=1,CE31/CD31,""),"")</f>
        <v/>
      </c>
      <c r="CF86" s="159" t="str">
        <f t="shared" si="24"/>
        <v/>
      </c>
      <c r="CG86" s="159" t="str">
        <f t="shared" si="24"/>
        <v/>
      </c>
      <c r="CH86" s="159" t="str">
        <f t="shared" si="24"/>
        <v/>
      </c>
      <c r="CI86" s="159" t="str">
        <f t="shared" si="24"/>
        <v/>
      </c>
      <c r="CJ86" s="159" t="str">
        <f t="shared" si="24"/>
        <v/>
      </c>
      <c r="CK86" s="159" t="str">
        <f t="shared" si="24"/>
        <v/>
      </c>
      <c r="CL86" s="159" t="str">
        <f t="shared" si="24"/>
        <v/>
      </c>
      <c r="CM86" s="159" t="str">
        <f t="shared" si="24"/>
        <v/>
      </c>
      <c r="CN86" s="159" t="str">
        <f t="shared" si="24"/>
        <v/>
      </c>
      <c r="CO86" s="159" t="str">
        <f t="shared" si="24"/>
        <v/>
      </c>
      <c r="CP86" s="159" t="str">
        <f t="shared" si="24"/>
        <v/>
      </c>
      <c r="CQ86" s="159" t="str">
        <f t="shared" si="24"/>
        <v/>
      </c>
      <c r="CR86" s="159" t="str">
        <f t="shared" si="24"/>
        <v/>
      </c>
      <c r="CS86" s="159" t="str">
        <f t="shared" si="24"/>
        <v/>
      </c>
      <c r="CT86" s="226" t="s">
        <v>54</v>
      </c>
      <c r="CU86" s="42"/>
      <c r="CV86" s="42"/>
      <c r="CW86" s="44"/>
    </row>
    <row r="87" spans="1:103" x14ac:dyDescent="0.25">
      <c r="A87" s="97">
        <f t="shared" si="23"/>
        <v>1</v>
      </c>
      <c r="B87" s="31">
        <f t="shared" si="23"/>
        <v>2014</v>
      </c>
      <c r="C87" s="158"/>
      <c r="D87" s="159">
        <f t="shared" si="22"/>
        <v>4.6924373662168604</v>
      </c>
      <c r="E87" s="159">
        <f>IFERROR(IF(E60=1,E32/D32,""),"")</f>
        <v>1</v>
      </c>
      <c r="F87" s="159">
        <f t="shared" si="22"/>
        <v>1.0517203312045589</v>
      </c>
      <c r="G87" s="159">
        <f t="shared" si="22"/>
        <v>0.98422838748282548</v>
      </c>
      <c r="H87" s="159">
        <f>IFERROR(IF(H60=1,H32/G32,""),"")</f>
        <v>0.92343507028096095</v>
      </c>
      <c r="I87" s="159" t="str">
        <f t="shared" si="22"/>
        <v/>
      </c>
      <c r="J87" s="159" t="str">
        <f t="shared" si="22"/>
        <v/>
      </c>
      <c r="K87" s="159" t="str">
        <f t="shared" si="22"/>
        <v/>
      </c>
      <c r="L87" s="159" t="str">
        <f t="shared" si="22"/>
        <v/>
      </c>
      <c r="M87" s="159" t="str">
        <f t="shared" si="22"/>
        <v/>
      </c>
      <c r="N87" s="159" t="str">
        <f t="shared" si="22"/>
        <v/>
      </c>
      <c r="O87" s="159" t="str">
        <f t="shared" si="22"/>
        <v/>
      </c>
      <c r="P87" s="159" t="str">
        <f t="shared" si="22"/>
        <v/>
      </c>
      <c r="Q87" s="159" t="str">
        <f t="shared" si="22"/>
        <v/>
      </c>
      <c r="R87" s="159" t="str">
        <f t="shared" si="22"/>
        <v/>
      </c>
      <c r="S87" s="159" t="str">
        <f t="shared" si="22"/>
        <v/>
      </c>
      <c r="T87" s="159" t="str">
        <f t="shared" si="22"/>
        <v/>
      </c>
      <c r="U87" s="159" t="str">
        <f t="shared" si="22"/>
        <v/>
      </c>
      <c r="V87" s="159" t="str">
        <f t="shared" si="22"/>
        <v/>
      </c>
      <c r="W87" s="159" t="str">
        <f t="shared" si="22"/>
        <v/>
      </c>
      <c r="X87" s="159" t="str">
        <f t="shared" si="22"/>
        <v/>
      </c>
      <c r="Y87" s="159" t="str">
        <f t="shared" si="22"/>
        <v/>
      </c>
      <c r="Z87" s="159" t="str">
        <f t="shared" si="22"/>
        <v/>
      </c>
      <c r="AA87" s="159" t="str">
        <f t="shared" si="22"/>
        <v/>
      </c>
      <c r="AB87" s="159" t="str">
        <f t="shared" si="22"/>
        <v/>
      </c>
      <c r="AC87" s="159" t="str">
        <f t="shared" si="22"/>
        <v/>
      </c>
      <c r="AD87" s="159" t="str">
        <f t="shared" si="22"/>
        <v/>
      </c>
      <c r="AE87" s="159" t="str">
        <f t="shared" si="22"/>
        <v/>
      </c>
      <c r="AF87" s="159" t="str">
        <f t="shared" si="22"/>
        <v/>
      </c>
      <c r="AG87" s="159" t="str">
        <f t="shared" si="22"/>
        <v/>
      </c>
      <c r="AH87" s="159" t="str">
        <f t="shared" si="22"/>
        <v/>
      </c>
      <c r="AI87" s="159" t="str">
        <f t="shared" si="22"/>
        <v/>
      </c>
      <c r="AJ87" s="159" t="str">
        <f t="shared" si="22"/>
        <v/>
      </c>
      <c r="AK87" s="159" t="str">
        <f t="shared" si="22"/>
        <v/>
      </c>
      <c r="AL87" s="159" t="str">
        <f t="shared" si="22"/>
        <v/>
      </c>
      <c r="AM87" s="159" t="str">
        <f t="shared" si="22"/>
        <v/>
      </c>
      <c r="AN87" s="159" t="str">
        <f t="shared" si="22"/>
        <v/>
      </c>
      <c r="AO87" s="159" t="str">
        <f t="shared" si="22"/>
        <v/>
      </c>
      <c r="AP87" s="159" t="str">
        <f t="shared" si="22"/>
        <v/>
      </c>
      <c r="AQ87" s="159" t="str">
        <f t="shared" si="22"/>
        <v/>
      </c>
      <c r="AR87" s="159" t="str">
        <f t="shared" si="22"/>
        <v/>
      </c>
      <c r="AS87" s="159" t="str">
        <f t="shared" si="22"/>
        <v/>
      </c>
      <c r="AT87" s="159" t="str">
        <f t="shared" si="22"/>
        <v/>
      </c>
      <c r="AU87" s="159" t="str">
        <f t="shared" si="22"/>
        <v/>
      </c>
      <c r="AV87" s="159" t="str">
        <f t="shared" si="22"/>
        <v/>
      </c>
      <c r="AW87" s="159" t="str">
        <f t="shared" si="22"/>
        <v/>
      </c>
      <c r="AX87" s="159" t="str">
        <f t="shared" si="22"/>
        <v/>
      </c>
      <c r="AY87" s="159" t="str">
        <f t="shared" si="22"/>
        <v/>
      </c>
      <c r="AZ87" s="159" t="str">
        <f t="shared" si="22"/>
        <v/>
      </c>
      <c r="BA87" s="159" t="str">
        <f t="shared" si="22"/>
        <v/>
      </c>
      <c r="BB87" s="159" t="str">
        <f t="shared" si="22"/>
        <v/>
      </c>
      <c r="BC87" s="159" t="str">
        <f t="shared" si="22"/>
        <v/>
      </c>
      <c r="BD87" s="159" t="str">
        <f t="shared" si="22"/>
        <v/>
      </c>
      <c r="BE87" s="159" t="str">
        <f t="shared" si="22"/>
        <v/>
      </c>
      <c r="BF87" s="159" t="str">
        <f t="shared" si="22"/>
        <v/>
      </c>
      <c r="BG87" s="159" t="str">
        <f t="shared" si="22"/>
        <v/>
      </c>
      <c r="BH87" s="159" t="str">
        <f t="shared" si="22"/>
        <v/>
      </c>
      <c r="BI87" s="159" t="str">
        <f t="shared" si="22"/>
        <v/>
      </c>
      <c r="BJ87" s="159" t="str">
        <f t="shared" si="22"/>
        <v/>
      </c>
      <c r="BK87" s="159" t="str">
        <f t="shared" si="22"/>
        <v/>
      </c>
      <c r="BL87" s="159" t="str">
        <f t="shared" si="22"/>
        <v/>
      </c>
      <c r="BM87" s="159" t="str">
        <f t="shared" si="22"/>
        <v/>
      </c>
      <c r="BN87" s="159" t="str">
        <f t="shared" si="22"/>
        <v/>
      </c>
      <c r="BO87" s="159" t="str">
        <f t="shared" si="22"/>
        <v/>
      </c>
      <c r="BP87" s="159" t="str">
        <f t="shared" ref="BP87:CS92" si="25">IFERROR(IF(BP60=1,BP32/BO32,""),"")</f>
        <v/>
      </c>
      <c r="BQ87" s="159" t="str">
        <f t="shared" si="25"/>
        <v/>
      </c>
      <c r="BR87" s="159" t="str">
        <f t="shared" si="25"/>
        <v/>
      </c>
      <c r="BS87" s="159" t="str">
        <f t="shared" si="25"/>
        <v/>
      </c>
      <c r="BT87" s="159" t="str">
        <f t="shared" si="25"/>
        <v/>
      </c>
      <c r="BU87" s="159" t="str">
        <f t="shared" si="25"/>
        <v/>
      </c>
      <c r="BV87" s="159" t="str">
        <f t="shared" si="25"/>
        <v/>
      </c>
      <c r="BW87" s="159" t="str">
        <f t="shared" si="25"/>
        <v/>
      </c>
      <c r="BX87" s="159" t="str">
        <f t="shared" si="25"/>
        <v/>
      </c>
      <c r="BY87" s="159" t="str">
        <f t="shared" si="25"/>
        <v/>
      </c>
      <c r="BZ87" s="159" t="str">
        <f t="shared" si="25"/>
        <v/>
      </c>
      <c r="CA87" s="159" t="str">
        <f t="shared" si="25"/>
        <v/>
      </c>
      <c r="CB87" s="159" t="str">
        <f t="shared" si="25"/>
        <v/>
      </c>
      <c r="CC87" s="159" t="str">
        <f t="shared" si="25"/>
        <v/>
      </c>
      <c r="CD87" s="159" t="str">
        <f t="shared" si="25"/>
        <v/>
      </c>
      <c r="CE87" s="159" t="str">
        <f t="shared" si="25"/>
        <v/>
      </c>
      <c r="CF87" s="159" t="str">
        <f t="shared" si="25"/>
        <v/>
      </c>
      <c r="CG87" s="159" t="str">
        <f t="shared" si="25"/>
        <v/>
      </c>
      <c r="CH87" s="159" t="str">
        <f t="shared" si="25"/>
        <v/>
      </c>
      <c r="CI87" s="159" t="str">
        <f t="shared" si="25"/>
        <v/>
      </c>
      <c r="CJ87" s="159" t="str">
        <f t="shared" si="25"/>
        <v/>
      </c>
      <c r="CK87" s="159" t="str">
        <f t="shared" si="25"/>
        <v/>
      </c>
      <c r="CL87" s="159" t="str">
        <f t="shared" si="25"/>
        <v/>
      </c>
      <c r="CM87" s="159" t="str">
        <f t="shared" si="25"/>
        <v/>
      </c>
      <c r="CN87" s="159" t="str">
        <f t="shared" si="25"/>
        <v/>
      </c>
      <c r="CO87" s="159" t="str">
        <f t="shared" si="25"/>
        <v/>
      </c>
      <c r="CP87" s="159" t="str">
        <f t="shared" si="25"/>
        <v/>
      </c>
      <c r="CQ87" s="159" t="str">
        <f t="shared" si="25"/>
        <v/>
      </c>
      <c r="CR87" s="159" t="str">
        <f t="shared" si="25"/>
        <v/>
      </c>
      <c r="CS87" s="159" t="str">
        <f t="shared" si="25"/>
        <v/>
      </c>
      <c r="CT87" s="226" t="s">
        <v>54</v>
      </c>
      <c r="CU87" s="42"/>
      <c r="CV87" s="42"/>
    </row>
    <row r="88" spans="1:103" x14ac:dyDescent="0.25">
      <c r="A88" s="97">
        <f t="shared" si="23"/>
        <v>1</v>
      </c>
      <c r="B88" s="31">
        <f t="shared" si="23"/>
        <v>2015</v>
      </c>
      <c r="C88" s="158"/>
      <c r="D88" s="159" t="str">
        <f t="shared" si="22"/>
        <v/>
      </c>
      <c r="E88" s="159" t="str">
        <f t="shared" si="22"/>
        <v/>
      </c>
      <c r="F88" s="159" t="str">
        <f t="shared" si="22"/>
        <v/>
      </c>
      <c r="G88" s="159" t="str">
        <f>IFERROR(IF(G61=1,G33/F33,""),"")</f>
        <v/>
      </c>
      <c r="H88" s="159" t="str">
        <f t="shared" si="22"/>
        <v/>
      </c>
      <c r="I88" s="159" t="str">
        <f t="shared" si="22"/>
        <v/>
      </c>
      <c r="J88" s="159" t="str">
        <f t="shared" si="22"/>
        <v/>
      </c>
      <c r="K88" s="159" t="str">
        <f t="shared" si="22"/>
        <v/>
      </c>
      <c r="L88" s="159" t="str">
        <f t="shared" si="22"/>
        <v/>
      </c>
      <c r="M88" s="159" t="str">
        <f t="shared" si="22"/>
        <v/>
      </c>
      <c r="N88" s="159" t="str">
        <f t="shared" si="22"/>
        <v/>
      </c>
      <c r="O88" s="159" t="str">
        <f t="shared" si="22"/>
        <v/>
      </c>
      <c r="P88" s="159" t="str">
        <f t="shared" si="22"/>
        <v/>
      </c>
      <c r="Q88" s="159" t="str">
        <f t="shared" si="22"/>
        <v/>
      </c>
      <c r="R88" s="159" t="str">
        <f t="shared" si="22"/>
        <v/>
      </c>
      <c r="S88" s="159" t="str">
        <f t="shared" si="22"/>
        <v/>
      </c>
      <c r="T88" s="159" t="str">
        <f t="shared" si="22"/>
        <v/>
      </c>
      <c r="U88" s="159" t="str">
        <f t="shared" si="22"/>
        <v/>
      </c>
      <c r="V88" s="159" t="str">
        <f t="shared" si="22"/>
        <v/>
      </c>
      <c r="W88" s="159" t="str">
        <f t="shared" si="22"/>
        <v/>
      </c>
      <c r="X88" s="159" t="str">
        <f t="shared" si="22"/>
        <v/>
      </c>
      <c r="Y88" s="159" t="str">
        <f t="shared" si="22"/>
        <v/>
      </c>
      <c r="Z88" s="159" t="str">
        <f t="shared" si="22"/>
        <v/>
      </c>
      <c r="AA88" s="159" t="str">
        <f t="shared" si="22"/>
        <v/>
      </c>
      <c r="AB88" s="159" t="str">
        <f t="shared" si="22"/>
        <v/>
      </c>
      <c r="AC88" s="159" t="str">
        <f t="shared" si="22"/>
        <v/>
      </c>
      <c r="AD88" s="159" t="str">
        <f t="shared" si="22"/>
        <v/>
      </c>
      <c r="AE88" s="159" t="str">
        <f t="shared" si="22"/>
        <v/>
      </c>
      <c r="AF88" s="159" t="str">
        <f t="shared" si="22"/>
        <v/>
      </c>
      <c r="AG88" s="159" t="str">
        <f t="shared" si="22"/>
        <v/>
      </c>
      <c r="AH88" s="159" t="str">
        <f t="shared" si="22"/>
        <v/>
      </c>
      <c r="AI88" s="159" t="str">
        <f t="shared" si="22"/>
        <v/>
      </c>
      <c r="AJ88" s="159" t="str">
        <f t="shared" si="22"/>
        <v/>
      </c>
      <c r="AK88" s="159" t="str">
        <f t="shared" si="22"/>
        <v/>
      </c>
      <c r="AL88" s="159" t="str">
        <f t="shared" si="22"/>
        <v/>
      </c>
      <c r="AM88" s="159" t="str">
        <f t="shared" si="22"/>
        <v/>
      </c>
      <c r="AN88" s="159" t="str">
        <f t="shared" si="22"/>
        <v/>
      </c>
      <c r="AO88" s="159" t="str">
        <f t="shared" si="22"/>
        <v/>
      </c>
      <c r="AP88" s="159" t="str">
        <f t="shared" si="22"/>
        <v/>
      </c>
      <c r="AQ88" s="159" t="str">
        <f t="shared" si="22"/>
        <v/>
      </c>
      <c r="AR88" s="159" t="str">
        <f t="shared" si="22"/>
        <v/>
      </c>
      <c r="AS88" s="159" t="str">
        <f t="shared" si="22"/>
        <v/>
      </c>
      <c r="AT88" s="159" t="str">
        <f t="shared" si="22"/>
        <v/>
      </c>
      <c r="AU88" s="159" t="str">
        <f t="shared" si="22"/>
        <v/>
      </c>
      <c r="AV88" s="159" t="str">
        <f t="shared" si="22"/>
        <v/>
      </c>
      <c r="AW88" s="159" t="str">
        <f t="shared" si="22"/>
        <v/>
      </c>
      <c r="AX88" s="159" t="str">
        <f t="shared" si="22"/>
        <v/>
      </c>
      <c r="AY88" s="159" t="str">
        <f t="shared" si="22"/>
        <v/>
      </c>
      <c r="AZ88" s="159" t="str">
        <f t="shared" si="22"/>
        <v/>
      </c>
      <c r="BA88" s="159" t="str">
        <f t="shared" si="22"/>
        <v/>
      </c>
      <c r="BB88" s="159" t="str">
        <f t="shared" si="22"/>
        <v/>
      </c>
      <c r="BC88" s="159" t="str">
        <f t="shared" si="22"/>
        <v/>
      </c>
      <c r="BD88" s="159" t="str">
        <f t="shared" si="22"/>
        <v/>
      </c>
      <c r="BE88" s="159" t="str">
        <f t="shared" si="22"/>
        <v/>
      </c>
      <c r="BF88" s="159" t="str">
        <f t="shared" si="22"/>
        <v/>
      </c>
      <c r="BG88" s="159" t="str">
        <f t="shared" si="22"/>
        <v/>
      </c>
      <c r="BH88" s="159" t="str">
        <f t="shared" si="22"/>
        <v/>
      </c>
      <c r="BI88" s="159" t="str">
        <f t="shared" si="22"/>
        <v/>
      </c>
      <c r="BJ88" s="159" t="str">
        <f t="shared" si="22"/>
        <v/>
      </c>
      <c r="BK88" s="159" t="str">
        <f t="shared" si="22"/>
        <v/>
      </c>
      <c r="BL88" s="159" t="str">
        <f t="shared" si="22"/>
        <v/>
      </c>
      <c r="BM88" s="159" t="str">
        <f t="shared" si="22"/>
        <v/>
      </c>
      <c r="BN88" s="159" t="str">
        <f t="shared" si="22"/>
        <v/>
      </c>
      <c r="BO88" s="159" t="str">
        <f t="shared" si="22"/>
        <v/>
      </c>
      <c r="BP88" s="159" t="str">
        <f t="shared" si="25"/>
        <v/>
      </c>
      <c r="BQ88" s="159" t="str">
        <f t="shared" si="25"/>
        <v/>
      </c>
      <c r="BR88" s="159" t="str">
        <f t="shared" si="25"/>
        <v/>
      </c>
      <c r="BS88" s="159" t="str">
        <f t="shared" si="25"/>
        <v/>
      </c>
      <c r="BT88" s="159" t="str">
        <f t="shared" si="25"/>
        <v/>
      </c>
      <c r="BU88" s="159" t="str">
        <f t="shared" si="25"/>
        <v/>
      </c>
      <c r="BV88" s="159" t="str">
        <f t="shared" si="25"/>
        <v/>
      </c>
      <c r="BW88" s="159" t="str">
        <f t="shared" si="25"/>
        <v/>
      </c>
      <c r="BX88" s="159" t="str">
        <f t="shared" si="25"/>
        <v/>
      </c>
      <c r="BY88" s="159" t="str">
        <f t="shared" si="25"/>
        <v/>
      </c>
      <c r="BZ88" s="159" t="str">
        <f t="shared" si="25"/>
        <v/>
      </c>
      <c r="CA88" s="159" t="str">
        <f t="shared" si="25"/>
        <v/>
      </c>
      <c r="CB88" s="159" t="str">
        <f t="shared" si="25"/>
        <v/>
      </c>
      <c r="CC88" s="159" t="str">
        <f t="shared" si="25"/>
        <v/>
      </c>
      <c r="CD88" s="159" t="str">
        <f t="shared" si="25"/>
        <v/>
      </c>
      <c r="CE88" s="159" t="str">
        <f t="shared" si="25"/>
        <v/>
      </c>
      <c r="CF88" s="159" t="str">
        <f t="shared" si="25"/>
        <v/>
      </c>
      <c r="CG88" s="159" t="str">
        <f t="shared" si="25"/>
        <v/>
      </c>
      <c r="CH88" s="159" t="str">
        <f t="shared" si="25"/>
        <v/>
      </c>
      <c r="CI88" s="159" t="str">
        <f t="shared" si="25"/>
        <v/>
      </c>
      <c r="CJ88" s="159" t="str">
        <f t="shared" si="25"/>
        <v/>
      </c>
      <c r="CK88" s="159" t="str">
        <f t="shared" si="25"/>
        <v/>
      </c>
      <c r="CL88" s="159" t="str">
        <f t="shared" si="25"/>
        <v/>
      </c>
      <c r="CM88" s="159" t="str">
        <f t="shared" si="25"/>
        <v/>
      </c>
      <c r="CN88" s="159" t="str">
        <f t="shared" si="25"/>
        <v/>
      </c>
      <c r="CO88" s="159" t="str">
        <f t="shared" si="25"/>
        <v/>
      </c>
      <c r="CP88" s="159" t="str">
        <f t="shared" si="25"/>
        <v/>
      </c>
      <c r="CQ88" s="159" t="str">
        <f t="shared" si="25"/>
        <v/>
      </c>
      <c r="CR88" s="159" t="str">
        <f t="shared" si="25"/>
        <v/>
      </c>
      <c r="CS88" s="159" t="str">
        <f t="shared" si="25"/>
        <v/>
      </c>
      <c r="CT88" s="226" t="s">
        <v>54</v>
      </c>
      <c r="CU88" s="42"/>
      <c r="CV88" s="42"/>
    </row>
    <row r="89" spans="1:103" x14ac:dyDescent="0.25">
      <c r="A89" s="97">
        <f t="shared" si="23"/>
        <v>1</v>
      </c>
      <c r="B89" s="31">
        <f t="shared" si="23"/>
        <v>2016</v>
      </c>
      <c r="C89" s="158"/>
      <c r="D89" s="159">
        <f t="shared" si="22"/>
        <v>3.3469268968055701</v>
      </c>
      <c r="E89" s="159">
        <f t="shared" si="22"/>
        <v>1.1702769095404855</v>
      </c>
      <c r="F89" s="159">
        <f t="shared" si="22"/>
        <v>0.88653483742011874</v>
      </c>
      <c r="G89" s="159" t="str">
        <f t="shared" ref="G89:BO89" si="26">IFERROR(IF(G62=1,G34/F34,""),"")</f>
        <v/>
      </c>
      <c r="H89" s="159" t="str">
        <f t="shared" si="26"/>
        <v/>
      </c>
      <c r="I89" s="159" t="str">
        <f t="shared" si="26"/>
        <v/>
      </c>
      <c r="J89" s="159" t="str">
        <f t="shared" si="26"/>
        <v/>
      </c>
      <c r="K89" s="159" t="str">
        <f t="shared" si="26"/>
        <v/>
      </c>
      <c r="L89" s="159" t="str">
        <f t="shared" si="26"/>
        <v/>
      </c>
      <c r="M89" s="159" t="str">
        <f t="shared" si="26"/>
        <v/>
      </c>
      <c r="N89" s="159" t="str">
        <f t="shared" si="26"/>
        <v/>
      </c>
      <c r="O89" s="159" t="str">
        <f t="shared" si="26"/>
        <v/>
      </c>
      <c r="P89" s="159" t="str">
        <f t="shared" si="26"/>
        <v/>
      </c>
      <c r="Q89" s="159" t="str">
        <f t="shared" si="26"/>
        <v/>
      </c>
      <c r="R89" s="159" t="str">
        <f t="shared" si="26"/>
        <v/>
      </c>
      <c r="S89" s="159" t="str">
        <f t="shared" si="26"/>
        <v/>
      </c>
      <c r="T89" s="159" t="str">
        <f t="shared" si="26"/>
        <v/>
      </c>
      <c r="U89" s="159" t="str">
        <f t="shared" si="26"/>
        <v/>
      </c>
      <c r="V89" s="159" t="str">
        <f t="shared" si="26"/>
        <v/>
      </c>
      <c r="W89" s="159" t="str">
        <f t="shared" si="26"/>
        <v/>
      </c>
      <c r="X89" s="159" t="str">
        <f t="shared" si="26"/>
        <v/>
      </c>
      <c r="Y89" s="159" t="str">
        <f t="shared" si="26"/>
        <v/>
      </c>
      <c r="Z89" s="159" t="str">
        <f t="shared" si="26"/>
        <v/>
      </c>
      <c r="AA89" s="159" t="str">
        <f t="shared" si="26"/>
        <v/>
      </c>
      <c r="AB89" s="159" t="str">
        <f t="shared" si="26"/>
        <v/>
      </c>
      <c r="AC89" s="159" t="str">
        <f t="shared" si="26"/>
        <v/>
      </c>
      <c r="AD89" s="159" t="str">
        <f t="shared" si="26"/>
        <v/>
      </c>
      <c r="AE89" s="159" t="str">
        <f t="shared" si="26"/>
        <v/>
      </c>
      <c r="AF89" s="159" t="str">
        <f t="shared" si="26"/>
        <v/>
      </c>
      <c r="AG89" s="159" t="str">
        <f t="shared" si="26"/>
        <v/>
      </c>
      <c r="AH89" s="159" t="str">
        <f t="shared" si="26"/>
        <v/>
      </c>
      <c r="AI89" s="159" t="str">
        <f t="shared" si="26"/>
        <v/>
      </c>
      <c r="AJ89" s="159" t="str">
        <f t="shared" si="26"/>
        <v/>
      </c>
      <c r="AK89" s="159" t="str">
        <f t="shared" si="26"/>
        <v/>
      </c>
      <c r="AL89" s="159" t="str">
        <f t="shared" si="26"/>
        <v/>
      </c>
      <c r="AM89" s="159" t="str">
        <f t="shared" si="26"/>
        <v/>
      </c>
      <c r="AN89" s="159" t="str">
        <f t="shared" si="26"/>
        <v/>
      </c>
      <c r="AO89" s="159" t="str">
        <f t="shared" si="26"/>
        <v/>
      </c>
      <c r="AP89" s="159" t="str">
        <f t="shared" si="26"/>
        <v/>
      </c>
      <c r="AQ89" s="159" t="str">
        <f t="shared" si="26"/>
        <v/>
      </c>
      <c r="AR89" s="159" t="str">
        <f t="shared" si="26"/>
        <v/>
      </c>
      <c r="AS89" s="159" t="str">
        <f t="shared" si="26"/>
        <v/>
      </c>
      <c r="AT89" s="159" t="str">
        <f t="shared" si="26"/>
        <v/>
      </c>
      <c r="AU89" s="159" t="str">
        <f t="shared" si="26"/>
        <v/>
      </c>
      <c r="AV89" s="159" t="str">
        <f t="shared" si="26"/>
        <v/>
      </c>
      <c r="AW89" s="159" t="str">
        <f t="shared" si="26"/>
        <v/>
      </c>
      <c r="AX89" s="159" t="str">
        <f t="shared" si="26"/>
        <v/>
      </c>
      <c r="AY89" s="159" t="str">
        <f t="shared" si="26"/>
        <v/>
      </c>
      <c r="AZ89" s="159" t="str">
        <f t="shared" si="26"/>
        <v/>
      </c>
      <c r="BA89" s="159" t="str">
        <f t="shared" si="26"/>
        <v/>
      </c>
      <c r="BB89" s="159" t="str">
        <f t="shared" si="26"/>
        <v/>
      </c>
      <c r="BC89" s="159" t="str">
        <f t="shared" si="26"/>
        <v/>
      </c>
      <c r="BD89" s="159" t="str">
        <f t="shared" si="26"/>
        <v/>
      </c>
      <c r="BE89" s="159" t="str">
        <f t="shared" si="26"/>
        <v/>
      </c>
      <c r="BF89" s="159" t="str">
        <f t="shared" si="26"/>
        <v/>
      </c>
      <c r="BG89" s="159" t="str">
        <f t="shared" si="26"/>
        <v/>
      </c>
      <c r="BH89" s="159" t="str">
        <f t="shared" si="26"/>
        <v/>
      </c>
      <c r="BI89" s="159" t="str">
        <f t="shared" si="26"/>
        <v/>
      </c>
      <c r="BJ89" s="159" t="str">
        <f t="shared" si="26"/>
        <v/>
      </c>
      <c r="BK89" s="159" t="str">
        <f t="shared" si="26"/>
        <v/>
      </c>
      <c r="BL89" s="159" t="str">
        <f t="shared" si="26"/>
        <v/>
      </c>
      <c r="BM89" s="159" t="str">
        <f t="shared" si="26"/>
        <v/>
      </c>
      <c r="BN89" s="159" t="str">
        <f t="shared" si="26"/>
        <v/>
      </c>
      <c r="BO89" s="159" t="str">
        <f t="shared" si="26"/>
        <v/>
      </c>
      <c r="BP89" s="159" t="str">
        <f t="shared" si="25"/>
        <v/>
      </c>
      <c r="BQ89" s="159" t="str">
        <f t="shared" si="25"/>
        <v/>
      </c>
      <c r="BR89" s="159" t="str">
        <f t="shared" si="25"/>
        <v/>
      </c>
      <c r="BS89" s="159" t="str">
        <f t="shared" si="25"/>
        <v/>
      </c>
      <c r="BT89" s="159" t="str">
        <f t="shared" si="25"/>
        <v/>
      </c>
      <c r="BU89" s="159" t="str">
        <f t="shared" si="25"/>
        <v/>
      </c>
      <c r="BV89" s="159" t="str">
        <f t="shared" si="25"/>
        <v/>
      </c>
      <c r="BW89" s="159" t="str">
        <f t="shared" si="25"/>
        <v/>
      </c>
      <c r="BX89" s="159" t="str">
        <f t="shared" si="25"/>
        <v/>
      </c>
      <c r="BY89" s="159" t="str">
        <f t="shared" si="25"/>
        <v/>
      </c>
      <c r="BZ89" s="159" t="str">
        <f t="shared" si="25"/>
        <v/>
      </c>
      <c r="CA89" s="159" t="str">
        <f t="shared" si="25"/>
        <v/>
      </c>
      <c r="CB89" s="159" t="str">
        <f t="shared" si="25"/>
        <v/>
      </c>
      <c r="CC89" s="159" t="str">
        <f t="shared" si="25"/>
        <v/>
      </c>
      <c r="CD89" s="159" t="str">
        <f t="shared" si="25"/>
        <v/>
      </c>
      <c r="CE89" s="159" t="str">
        <f t="shared" si="25"/>
        <v/>
      </c>
      <c r="CF89" s="159" t="str">
        <f t="shared" si="25"/>
        <v/>
      </c>
      <c r="CG89" s="159" t="str">
        <f t="shared" si="25"/>
        <v/>
      </c>
      <c r="CH89" s="159" t="str">
        <f t="shared" si="25"/>
        <v/>
      </c>
      <c r="CI89" s="159" t="str">
        <f t="shared" si="25"/>
        <v/>
      </c>
      <c r="CJ89" s="159" t="str">
        <f t="shared" si="25"/>
        <v/>
      </c>
      <c r="CK89" s="159" t="str">
        <f t="shared" si="25"/>
        <v/>
      </c>
      <c r="CL89" s="159" t="str">
        <f t="shared" si="25"/>
        <v/>
      </c>
      <c r="CM89" s="159" t="str">
        <f t="shared" si="25"/>
        <v/>
      </c>
      <c r="CN89" s="159" t="str">
        <f t="shared" si="25"/>
        <v/>
      </c>
      <c r="CO89" s="159" t="str">
        <f t="shared" si="25"/>
        <v/>
      </c>
      <c r="CP89" s="159" t="str">
        <f t="shared" si="25"/>
        <v/>
      </c>
      <c r="CQ89" s="159" t="str">
        <f t="shared" si="25"/>
        <v/>
      </c>
      <c r="CR89" s="159" t="str">
        <f t="shared" si="25"/>
        <v/>
      </c>
      <c r="CS89" s="159" t="str">
        <f t="shared" si="25"/>
        <v/>
      </c>
      <c r="CT89" s="226" t="s">
        <v>54</v>
      </c>
      <c r="CU89" s="42"/>
      <c r="CV89" s="42"/>
    </row>
    <row r="90" spans="1:103" x14ac:dyDescent="0.25">
      <c r="A90" s="97">
        <f t="shared" si="23"/>
        <v>1</v>
      </c>
      <c r="B90" s="31">
        <f t="shared" si="23"/>
        <v>2017</v>
      </c>
      <c r="C90" s="158"/>
      <c r="D90" s="159" t="str">
        <f t="shared" ref="D90:BO92" si="27">IFERROR(IF(D63=1,D35/C35,""),"")</f>
        <v/>
      </c>
      <c r="E90" s="159">
        <f t="shared" si="27"/>
        <v>96.275680881671661</v>
      </c>
      <c r="F90" s="159" t="str">
        <f t="shared" si="27"/>
        <v/>
      </c>
      <c r="G90" s="159" t="str">
        <f t="shared" si="27"/>
        <v/>
      </c>
      <c r="H90" s="159" t="str">
        <f t="shared" si="27"/>
        <v/>
      </c>
      <c r="I90" s="159" t="str">
        <f t="shared" si="27"/>
        <v/>
      </c>
      <c r="J90" s="159" t="str">
        <f t="shared" si="27"/>
        <v/>
      </c>
      <c r="K90" s="159" t="str">
        <f t="shared" si="27"/>
        <v/>
      </c>
      <c r="L90" s="159" t="str">
        <f t="shared" si="27"/>
        <v/>
      </c>
      <c r="M90" s="159" t="str">
        <f t="shared" si="27"/>
        <v/>
      </c>
      <c r="N90" s="159" t="str">
        <f t="shared" si="27"/>
        <v/>
      </c>
      <c r="O90" s="159" t="str">
        <f t="shared" si="27"/>
        <v/>
      </c>
      <c r="P90" s="159" t="str">
        <f t="shared" si="27"/>
        <v/>
      </c>
      <c r="Q90" s="159" t="str">
        <f t="shared" si="27"/>
        <v/>
      </c>
      <c r="R90" s="159" t="str">
        <f t="shared" si="27"/>
        <v/>
      </c>
      <c r="S90" s="159" t="str">
        <f t="shared" si="27"/>
        <v/>
      </c>
      <c r="T90" s="159" t="str">
        <f t="shared" si="27"/>
        <v/>
      </c>
      <c r="U90" s="159" t="str">
        <f t="shared" si="27"/>
        <v/>
      </c>
      <c r="V90" s="159" t="str">
        <f t="shared" si="27"/>
        <v/>
      </c>
      <c r="W90" s="159" t="str">
        <f t="shared" si="27"/>
        <v/>
      </c>
      <c r="X90" s="159" t="str">
        <f t="shared" si="27"/>
        <v/>
      </c>
      <c r="Y90" s="159" t="str">
        <f t="shared" si="27"/>
        <v/>
      </c>
      <c r="Z90" s="159" t="str">
        <f t="shared" si="27"/>
        <v/>
      </c>
      <c r="AA90" s="159" t="str">
        <f t="shared" si="27"/>
        <v/>
      </c>
      <c r="AB90" s="159" t="str">
        <f t="shared" si="27"/>
        <v/>
      </c>
      <c r="AC90" s="159" t="str">
        <f t="shared" si="27"/>
        <v/>
      </c>
      <c r="AD90" s="159" t="str">
        <f t="shared" si="27"/>
        <v/>
      </c>
      <c r="AE90" s="159" t="str">
        <f t="shared" si="27"/>
        <v/>
      </c>
      <c r="AF90" s="159" t="str">
        <f t="shared" si="27"/>
        <v/>
      </c>
      <c r="AG90" s="159" t="str">
        <f t="shared" si="27"/>
        <v/>
      </c>
      <c r="AH90" s="159" t="str">
        <f t="shared" si="27"/>
        <v/>
      </c>
      <c r="AI90" s="159" t="str">
        <f t="shared" si="27"/>
        <v/>
      </c>
      <c r="AJ90" s="159" t="str">
        <f t="shared" si="27"/>
        <v/>
      </c>
      <c r="AK90" s="159" t="str">
        <f t="shared" si="27"/>
        <v/>
      </c>
      <c r="AL90" s="159" t="str">
        <f t="shared" si="27"/>
        <v/>
      </c>
      <c r="AM90" s="159" t="str">
        <f t="shared" si="27"/>
        <v/>
      </c>
      <c r="AN90" s="159" t="str">
        <f t="shared" si="27"/>
        <v/>
      </c>
      <c r="AO90" s="159" t="str">
        <f t="shared" si="27"/>
        <v/>
      </c>
      <c r="AP90" s="159" t="str">
        <f t="shared" si="27"/>
        <v/>
      </c>
      <c r="AQ90" s="159" t="str">
        <f t="shared" si="27"/>
        <v/>
      </c>
      <c r="AR90" s="159" t="str">
        <f t="shared" si="27"/>
        <v/>
      </c>
      <c r="AS90" s="159" t="str">
        <f t="shared" si="27"/>
        <v/>
      </c>
      <c r="AT90" s="159" t="str">
        <f t="shared" si="27"/>
        <v/>
      </c>
      <c r="AU90" s="159" t="str">
        <f t="shared" si="27"/>
        <v/>
      </c>
      <c r="AV90" s="159" t="str">
        <f t="shared" si="27"/>
        <v/>
      </c>
      <c r="AW90" s="159" t="str">
        <f t="shared" si="27"/>
        <v/>
      </c>
      <c r="AX90" s="159" t="str">
        <f t="shared" si="27"/>
        <v/>
      </c>
      <c r="AY90" s="159" t="str">
        <f t="shared" si="27"/>
        <v/>
      </c>
      <c r="AZ90" s="159" t="str">
        <f t="shared" si="27"/>
        <v/>
      </c>
      <c r="BA90" s="159" t="str">
        <f t="shared" si="27"/>
        <v/>
      </c>
      <c r="BB90" s="159" t="str">
        <f t="shared" si="27"/>
        <v/>
      </c>
      <c r="BC90" s="159" t="str">
        <f t="shared" si="27"/>
        <v/>
      </c>
      <c r="BD90" s="159" t="str">
        <f t="shared" si="27"/>
        <v/>
      </c>
      <c r="BE90" s="159" t="str">
        <f t="shared" si="27"/>
        <v/>
      </c>
      <c r="BF90" s="159" t="str">
        <f t="shared" si="27"/>
        <v/>
      </c>
      <c r="BG90" s="159" t="str">
        <f t="shared" si="27"/>
        <v/>
      </c>
      <c r="BH90" s="159" t="str">
        <f t="shared" si="27"/>
        <v/>
      </c>
      <c r="BI90" s="159" t="str">
        <f t="shared" si="27"/>
        <v/>
      </c>
      <c r="BJ90" s="159" t="str">
        <f t="shared" si="27"/>
        <v/>
      </c>
      <c r="BK90" s="159" t="str">
        <f t="shared" si="27"/>
        <v/>
      </c>
      <c r="BL90" s="159" t="str">
        <f t="shared" si="27"/>
        <v/>
      </c>
      <c r="BM90" s="159" t="str">
        <f t="shared" si="27"/>
        <v/>
      </c>
      <c r="BN90" s="159" t="str">
        <f t="shared" si="27"/>
        <v/>
      </c>
      <c r="BO90" s="159" t="str">
        <f t="shared" si="27"/>
        <v/>
      </c>
      <c r="BP90" s="159" t="str">
        <f t="shared" si="25"/>
        <v/>
      </c>
      <c r="BQ90" s="159" t="str">
        <f t="shared" si="25"/>
        <v/>
      </c>
      <c r="BR90" s="159" t="str">
        <f t="shared" si="25"/>
        <v/>
      </c>
      <c r="BS90" s="159" t="str">
        <f t="shared" si="25"/>
        <v/>
      </c>
      <c r="BT90" s="159" t="str">
        <f t="shared" si="25"/>
        <v/>
      </c>
      <c r="BU90" s="159" t="str">
        <f t="shared" si="25"/>
        <v/>
      </c>
      <c r="BV90" s="159" t="str">
        <f t="shared" si="25"/>
        <v/>
      </c>
      <c r="BW90" s="159" t="str">
        <f t="shared" si="25"/>
        <v/>
      </c>
      <c r="BX90" s="159" t="str">
        <f t="shared" si="25"/>
        <v/>
      </c>
      <c r="BY90" s="159" t="str">
        <f t="shared" si="25"/>
        <v/>
      </c>
      <c r="BZ90" s="159" t="str">
        <f t="shared" si="25"/>
        <v/>
      </c>
      <c r="CA90" s="159" t="str">
        <f t="shared" si="25"/>
        <v/>
      </c>
      <c r="CB90" s="159" t="str">
        <f t="shared" si="25"/>
        <v/>
      </c>
      <c r="CC90" s="159" t="str">
        <f t="shared" si="25"/>
        <v/>
      </c>
      <c r="CD90" s="159" t="str">
        <f t="shared" si="25"/>
        <v/>
      </c>
      <c r="CE90" s="159" t="str">
        <f t="shared" si="25"/>
        <v/>
      </c>
      <c r="CF90" s="159" t="str">
        <f t="shared" si="25"/>
        <v/>
      </c>
      <c r="CG90" s="159" t="str">
        <f t="shared" si="25"/>
        <v/>
      </c>
      <c r="CH90" s="159" t="str">
        <f t="shared" si="25"/>
        <v/>
      </c>
      <c r="CI90" s="159" t="str">
        <f t="shared" si="25"/>
        <v/>
      </c>
      <c r="CJ90" s="159" t="str">
        <f t="shared" si="25"/>
        <v/>
      </c>
      <c r="CK90" s="159" t="str">
        <f t="shared" si="25"/>
        <v/>
      </c>
      <c r="CL90" s="159" t="str">
        <f t="shared" si="25"/>
        <v/>
      </c>
      <c r="CM90" s="159" t="str">
        <f t="shared" si="25"/>
        <v/>
      </c>
      <c r="CN90" s="159" t="str">
        <f t="shared" si="25"/>
        <v/>
      </c>
      <c r="CO90" s="159" t="str">
        <f t="shared" si="25"/>
        <v/>
      </c>
      <c r="CP90" s="159" t="str">
        <f t="shared" si="25"/>
        <v/>
      </c>
      <c r="CQ90" s="159" t="str">
        <f t="shared" si="25"/>
        <v/>
      </c>
      <c r="CR90" s="159" t="str">
        <f t="shared" si="25"/>
        <v/>
      </c>
      <c r="CS90" s="159" t="str">
        <f t="shared" si="25"/>
        <v/>
      </c>
      <c r="CT90" s="226" t="s">
        <v>54</v>
      </c>
      <c r="CU90" s="42"/>
      <c r="CV90" s="42"/>
      <c r="CW90" s="44"/>
    </row>
    <row r="91" spans="1:103" x14ac:dyDescent="0.25">
      <c r="A91" s="97">
        <f t="shared" si="23"/>
        <v>1</v>
      </c>
      <c r="B91" s="31">
        <f t="shared" si="23"/>
        <v>2018</v>
      </c>
      <c r="C91" s="158"/>
      <c r="D91" s="159">
        <f t="shared" si="27"/>
        <v>0.57428775958700207</v>
      </c>
      <c r="E91" s="159" t="str">
        <f t="shared" si="27"/>
        <v/>
      </c>
      <c r="F91" s="159" t="str">
        <f t="shared" si="27"/>
        <v/>
      </c>
      <c r="G91" s="159" t="str">
        <f t="shared" si="27"/>
        <v/>
      </c>
      <c r="H91" s="159" t="str">
        <f t="shared" si="27"/>
        <v/>
      </c>
      <c r="I91" s="159" t="str">
        <f t="shared" si="27"/>
        <v/>
      </c>
      <c r="J91" s="159" t="str">
        <f t="shared" si="27"/>
        <v/>
      </c>
      <c r="K91" s="159" t="str">
        <f t="shared" si="27"/>
        <v/>
      </c>
      <c r="L91" s="159" t="str">
        <f t="shared" si="27"/>
        <v/>
      </c>
      <c r="M91" s="159" t="str">
        <f t="shared" si="27"/>
        <v/>
      </c>
      <c r="N91" s="159" t="str">
        <f t="shared" si="27"/>
        <v/>
      </c>
      <c r="O91" s="159" t="str">
        <f t="shared" si="27"/>
        <v/>
      </c>
      <c r="P91" s="159" t="str">
        <f t="shared" si="27"/>
        <v/>
      </c>
      <c r="Q91" s="159" t="str">
        <f t="shared" si="27"/>
        <v/>
      </c>
      <c r="R91" s="159" t="str">
        <f t="shared" si="27"/>
        <v/>
      </c>
      <c r="S91" s="159" t="str">
        <f t="shared" si="27"/>
        <v/>
      </c>
      <c r="T91" s="159" t="str">
        <f t="shared" si="27"/>
        <v/>
      </c>
      <c r="U91" s="159" t="str">
        <f t="shared" si="27"/>
        <v/>
      </c>
      <c r="V91" s="159" t="str">
        <f t="shared" si="27"/>
        <v/>
      </c>
      <c r="W91" s="159" t="str">
        <f t="shared" si="27"/>
        <v/>
      </c>
      <c r="X91" s="159" t="str">
        <f t="shared" si="27"/>
        <v/>
      </c>
      <c r="Y91" s="159" t="str">
        <f t="shared" si="27"/>
        <v/>
      </c>
      <c r="Z91" s="159" t="str">
        <f t="shared" si="27"/>
        <v/>
      </c>
      <c r="AA91" s="159" t="str">
        <f t="shared" si="27"/>
        <v/>
      </c>
      <c r="AB91" s="159" t="str">
        <f t="shared" si="27"/>
        <v/>
      </c>
      <c r="AC91" s="159" t="str">
        <f t="shared" si="27"/>
        <v/>
      </c>
      <c r="AD91" s="159" t="str">
        <f t="shared" si="27"/>
        <v/>
      </c>
      <c r="AE91" s="159" t="str">
        <f t="shared" si="27"/>
        <v/>
      </c>
      <c r="AF91" s="159" t="str">
        <f t="shared" si="27"/>
        <v/>
      </c>
      <c r="AG91" s="159" t="str">
        <f t="shared" si="27"/>
        <v/>
      </c>
      <c r="AH91" s="159" t="str">
        <f t="shared" si="27"/>
        <v/>
      </c>
      <c r="AI91" s="159" t="str">
        <f t="shared" si="27"/>
        <v/>
      </c>
      <c r="AJ91" s="159" t="str">
        <f t="shared" si="27"/>
        <v/>
      </c>
      <c r="AK91" s="159" t="str">
        <f t="shared" si="27"/>
        <v/>
      </c>
      <c r="AL91" s="159" t="str">
        <f t="shared" si="27"/>
        <v/>
      </c>
      <c r="AM91" s="159" t="str">
        <f t="shared" si="27"/>
        <v/>
      </c>
      <c r="AN91" s="159" t="str">
        <f t="shared" si="27"/>
        <v/>
      </c>
      <c r="AO91" s="159" t="str">
        <f t="shared" si="27"/>
        <v/>
      </c>
      <c r="AP91" s="159" t="str">
        <f t="shared" si="27"/>
        <v/>
      </c>
      <c r="AQ91" s="159" t="str">
        <f t="shared" si="27"/>
        <v/>
      </c>
      <c r="AR91" s="159" t="str">
        <f t="shared" si="27"/>
        <v/>
      </c>
      <c r="AS91" s="159" t="str">
        <f t="shared" si="27"/>
        <v/>
      </c>
      <c r="AT91" s="159" t="str">
        <f t="shared" si="27"/>
        <v/>
      </c>
      <c r="AU91" s="159" t="str">
        <f t="shared" si="27"/>
        <v/>
      </c>
      <c r="AV91" s="159" t="str">
        <f t="shared" si="27"/>
        <v/>
      </c>
      <c r="AW91" s="159" t="str">
        <f t="shared" si="27"/>
        <v/>
      </c>
      <c r="AX91" s="159" t="str">
        <f t="shared" si="27"/>
        <v/>
      </c>
      <c r="AY91" s="159" t="str">
        <f t="shared" si="27"/>
        <v/>
      </c>
      <c r="AZ91" s="159" t="str">
        <f t="shared" si="27"/>
        <v/>
      </c>
      <c r="BA91" s="159" t="str">
        <f t="shared" si="27"/>
        <v/>
      </c>
      <c r="BB91" s="159" t="str">
        <f t="shared" si="27"/>
        <v/>
      </c>
      <c r="BC91" s="159" t="str">
        <f t="shared" si="27"/>
        <v/>
      </c>
      <c r="BD91" s="159" t="str">
        <f t="shared" si="27"/>
        <v/>
      </c>
      <c r="BE91" s="159" t="str">
        <f t="shared" si="27"/>
        <v/>
      </c>
      <c r="BF91" s="159" t="str">
        <f t="shared" si="27"/>
        <v/>
      </c>
      <c r="BG91" s="159" t="str">
        <f t="shared" si="27"/>
        <v/>
      </c>
      <c r="BH91" s="159" t="str">
        <f t="shared" si="27"/>
        <v/>
      </c>
      <c r="BI91" s="159" t="str">
        <f t="shared" si="27"/>
        <v/>
      </c>
      <c r="BJ91" s="159" t="str">
        <f t="shared" si="27"/>
        <v/>
      </c>
      <c r="BK91" s="159" t="str">
        <f t="shared" si="27"/>
        <v/>
      </c>
      <c r="BL91" s="159" t="str">
        <f t="shared" si="27"/>
        <v/>
      </c>
      <c r="BM91" s="159" t="str">
        <f t="shared" si="27"/>
        <v/>
      </c>
      <c r="BN91" s="159" t="str">
        <f t="shared" si="27"/>
        <v/>
      </c>
      <c r="BO91" s="159" t="str">
        <f t="shared" si="27"/>
        <v/>
      </c>
      <c r="BP91" s="159" t="str">
        <f t="shared" si="25"/>
        <v/>
      </c>
      <c r="BQ91" s="159" t="str">
        <f t="shared" si="25"/>
        <v/>
      </c>
      <c r="BR91" s="159" t="str">
        <f t="shared" si="25"/>
        <v/>
      </c>
      <c r="BS91" s="159" t="str">
        <f t="shared" si="25"/>
        <v/>
      </c>
      <c r="BT91" s="159" t="str">
        <f t="shared" si="25"/>
        <v/>
      </c>
      <c r="BU91" s="159" t="str">
        <f t="shared" si="25"/>
        <v/>
      </c>
      <c r="BV91" s="159" t="str">
        <f t="shared" si="25"/>
        <v/>
      </c>
      <c r="BW91" s="159" t="str">
        <f t="shared" si="25"/>
        <v/>
      </c>
      <c r="BX91" s="159" t="str">
        <f t="shared" si="25"/>
        <v/>
      </c>
      <c r="BY91" s="159" t="str">
        <f t="shared" si="25"/>
        <v/>
      </c>
      <c r="BZ91" s="159" t="str">
        <f t="shared" si="25"/>
        <v/>
      </c>
      <c r="CA91" s="159" t="str">
        <f t="shared" si="25"/>
        <v/>
      </c>
      <c r="CB91" s="159" t="str">
        <f t="shared" si="25"/>
        <v/>
      </c>
      <c r="CC91" s="159" t="str">
        <f t="shared" si="25"/>
        <v/>
      </c>
      <c r="CD91" s="159" t="str">
        <f t="shared" si="25"/>
        <v/>
      </c>
      <c r="CE91" s="159" t="str">
        <f t="shared" si="25"/>
        <v/>
      </c>
      <c r="CF91" s="159" t="str">
        <f t="shared" si="25"/>
        <v/>
      </c>
      <c r="CG91" s="159" t="str">
        <f t="shared" si="25"/>
        <v/>
      </c>
      <c r="CH91" s="159" t="str">
        <f t="shared" si="25"/>
        <v/>
      </c>
      <c r="CI91" s="159" t="str">
        <f t="shared" si="25"/>
        <v/>
      </c>
      <c r="CJ91" s="159" t="str">
        <f t="shared" si="25"/>
        <v/>
      </c>
      <c r="CK91" s="159" t="str">
        <f t="shared" si="25"/>
        <v/>
      </c>
      <c r="CL91" s="159" t="str">
        <f t="shared" si="25"/>
        <v/>
      </c>
      <c r="CM91" s="159" t="str">
        <f t="shared" si="25"/>
        <v/>
      </c>
      <c r="CN91" s="159" t="str">
        <f t="shared" si="25"/>
        <v/>
      </c>
      <c r="CO91" s="159" t="str">
        <f t="shared" si="25"/>
        <v/>
      </c>
      <c r="CP91" s="159" t="str">
        <f t="shared" si="25"/>
        <v/>
      </c>
      <c r="CQ91" s="159" t="str">
        <f t="shared" si="25"/>
        <v/>
      </c>
      <c r="CR91" s="159" t="str">
        <f t="shared" si="25"/>
        <v/>
      </c>
      <c r="CS91" s="159" t="str">
        <f t="shared" si="25"/>
        <v/>
      </c>
      <c r="CT91" s="226" t="s">
        <v>54</v>
      </c>
      <c r="CU91" s="42"/>
      <c r="CV91" s="42"/>
      <c r="CW91" s="44"/>
    </row>
    <row r="92" spans="1:103" x14ac:dyDescent="0.25">
      <c r="A92" s="97">
        <f t="shared" si="23"/>
        <v>1</v>
      </c>
      <c r="B92" s="80">
        <f t="shared" si="23"/>
        <v>2019</v>
      </c>
      <c r="C92" s="161"/>
      <c r="D92" s="162" t="str">
        <f>IFERROR(IF(D65=1,D37/C37,""),"")</f>
        <v/>
      </c>
      <c r="E92" s="162" t="str">
        <f t="shared" si="27"/>
        <v/>
      </c>
      <c r="F92" s="162" t="str">
        <f t="shared" si="27"/>
        <v/>
      </c>
      <c r="G92" s="162" t="str">
        <f t="shared" si="27"/>
        <v/>
      </c>
      <c r="H92" s="162" t="str">
        <f t="shared" si="27"/>
        <v/>
      </c>
      <c r="I92" s="162" t="str">
        <f t="shared" si="27"/>
        <v/>
      </c>
      <c r="J92" s="162" t="str">
        <f t="shared" si="27"/>
        <v/>
      </c>
      <c r="K92" s="162" t="str">
        <f t="shared" si="27"/>
        <v/>
      </c>
      <c r="L92" s="162" t="str">
        <f t="shared" si="27"/>
        <v/>
      </c>
      <c r="M92" s="162" t="str">
        <f t="shared" si="27"/>
        <v/>
      </c>
      <c r="N92" s="162" t="str">
        <f t="shared" si="27"/>
        <v/>
      </c>
      <c r="O92" s="162" t="str">
        <f t="shared" si="27"/>
        <v/>
      </c>
      <c r="P92" s="162" t="str">
        <f t="shared" si="27"/>
        <v/>
      </c>
      <c r="Q92" s="162" t="str">
        <f t="shared" si="27"/>
        <v/>
      </c>
      <c r="R92" s="162" t="str">
        <f t="shared" si="27"/>
        <v/>
      </c>
      <c r="S92" s="162" t="str">
        <f t="shared" si="27"/>
        <v/>
      </c>
      <c r="T92" s="162" t="str">
        <f t="shared" si="27"/>
        <v/>
      </c>
      <c r="U92" s="162" t="str">
        <f t="shared" si="27"/>
        <v/>
      </c>
      <c r="V92" s="162" t="str">
        <f t="shared" si="27"/>
        <v/>
      </c>
      <c r="W92" s="162" t="str">
        <f t="shared" si="27"/>
        <v/>
      </c>
      <c r="X92" s="162" t="str">
        <f t="shared" si="27"/>
        <v/>
      </c>
      <c r="Y92" s="162" t="str">
        <f t="shared" si="27"/>
        <v/>
      </c>
      <c r="Z92" s="162" t="str">
        <f t="shared" si="27"/>
        <v/>
      </c>
      <c r="AA92" s="162" t="str">
        <f t="shared" si="27"/>
        <v/>
      </c>
      <c r="AB92" s="162" t="str">
        <f t="shared" si="27"/>
        <v/>
      </c>
      <c r="AC92" s="162" t="str">
        <f t="shared" si="27"/>
        <v/>
      </c>
      <c r="AD92" s="162" t="str">
        <f t="shared" si="27"/>
        <v/>
      </c>
      <c r="AE92" s="162" t="str">
        <f t="shared" si="27"/>
        <v/>
      </c>
      <c r="AF92" s="162" t="str">
        <f t="shared" si="27"/>
        <v/>
      </c>
      <c r="AG92" s="162" t="str">
        <f t="shared" si="27"/>
        <v/>
      </c>
      <c r="AH92" s="162" t="str">
        <f t="shared" si="27"/>
        <v/>
      </c>
      <c r="AI92" s="162" t="str">
        <f t="shared" si="27"/>
        <v/>
      </c>
      <c r="AJ92" s="162" t="str">
        <f t="shared" si="27"/>
        <v/>
      </c>
      <c r="AK92" s="162" t="str">
        <f t="shared" si="27"/>
        <v/>
      </c>
      <c r="AL92" s="162" t="str">
        <f t="shared" si="27"/>
        <v/>
      </c>
      <c r="AM92" s="162" t="str">
        <f t="shared" si="27"/>
        <v/>
      </c>
      <c r="AN92" s="162" t="str">
        <f t="shared" si="27"/>
        <v/>
      </c>
      <c r="AO92" s="162" t="str">
        <f t="shared" si="27"/>
        <v/>
      </c>
      <c r="AP92" s="162" t="str">
        <f t="shared" si="27"/>
        <v/>
      </c>
      <c r="AQ92" s="162" t="str">
        <f t="shared" si="27"/>
        <v/>
      </c>
      <c r="AR92" s="162" t="str">
        <f t="shared" si="27"/>
        <v/>
      </c>
      <c r="AS92" s="162" t="str">
        <f t="shared" si="27"/>
        <v/>
      </c>
      <c r="AT92" s="162" t="str">
        <f t="shared" si="27"/>
        <v/>
      </c>
      <c r="AU92" s="162" t="str">
        <f t="shared" si="27"/>
        <v/>
      </c>
      <c r="AV92" s="162" t="str">
        <f t="shared" si="27"/>
        <v/>
      </c>
      <c r="AW92" s="162" t="str">
        <f t="shared" si="27"/>
        <v/>
      </c>
      <c r="AX92" s="162" t="str">
        <f t="shared" si="27"/>
        <v/>
      </c>
      <c r="AY92" s="162" t="str">
        <f t="shared" si="27"/>
        <v/>
      </c>
      <c r="AZ92" s="162" t="str">
        <f t="shared" si="27"/>
        <v/>
      </c>
      <c r="BA92" s="162" t="str">
        <f t="shared" si="27"/>
        <v/>
      </c>
      <c r="BB92" s="162" t="str">
        <f t="shared" si="27"/>
        <v/>
      </c>
      <c r="BC92" s="162" t="str">
        <f t="shared" si="27"/>
        <v/>
      </c>
      <c r="BD92" s="162" t="str">
        <f t="shared" si="27"/>
        <v/>
      </c>
      <c r="BE92" s="162" t="str">
        <f t="shared" si="27"/>
        <v/>
      </c>
      <c r="BF92" s="162" t="str">
        <f t="shared" si="27"/>
        <v/>
      </c>
      <c r="BG92" s="162" t="str">
        <f t="shared" si="27"/>
        <v/>
      </c>
      <c r="BH92" s="162" t="str">
        <f t="shared" si="27"/>
        <v/>
      </c>
      <c r="BI92" s="162" t="str">
        <f t="shared" si="27"/>
        <v/>
      </c>
      <c r="BJ92" s="162" t="str">
        <f t="shared" si="27"/>
        <v/>
      </c>
      <c r="BK92" s="162" t="str">
        <f t="shared" si="27"/>
        <v/>
      </c>
      <c r="BL92" s="162" t="str">
        <f t="shared" si="27"/>
        <v/>
      </c>
      <c r="BM92" s="162" t="str">
        <f t="shared" si="27"/>
        <v/>
      </c>
      <c r="BN92" s="162" t="str">
        <f t="shared" si="27"/>
        <v/>
      </c>
      <c r="BO92" s="162" t="str">
        <f t="shared" si="27"/>
        <v/>
      </c>
      <c r="BP92" s="162" t="str">
        <f t="shared" si="25"/>
        <v/>
      </c>
      <c r="BQ92" s="162" t="str">
        <f t="shared" si="25"/>
        <v/>
      </c>
      <c r="BR92" s="162" t="str">
        <f t="shared" si="25"/>
        <v/>
      </c>
      <c r="BS92" s="162" t="str">
        <f t="shared" si="25"/>
        <v/>
      </c>
      <c r="BT92" s="162" t="str">
        <f t="shared" si="25"/>
        <v/>
      </c>
      <c r="BU92" s="162" t="str">
        <f t="shared" si="25"/>
        <v/>
      </c>
      <c r="BV92" s="162" t="str">
        <f t="shared" si="25"/>
        <v/>
      </c>
      <c r="BW92" s="162" t="str">
        <f t="shared" si="25"/>
        <v/>
      </c>
      <c r="BX92" s="162" t="str">
        <f t="shared" si="25"/>
        <v/>
      </c>
      <c r="BY92" s="162" t="str">
        <f t="shared" si="25"/>
        <v/>
      </c>
      <c r="BZ92" s="162" t="str">
        <f t="shared" si="25"/>
        <v/>
      </c>
      <c r="CA92" s="162" t="str">
        <f t="shared" si="25"/>
        <v/>
      </c>
      <c r="CB92" s="162" t="str">
        <f t="shared" si="25"/>
        <v/>
      </c>
      <c r="CC92" s="162" t="str">
        <f t="shared" si="25"/>
        <v/>
      </c>
      <c r="CD92" s="162" t="str">
        <f t="shared" si="25"/>
        <v/>
      </c>
      <c r="CE92" s="162" t="str">
        <f t="shared" si="25"/>
        <v/>
      </c>
      <c r="CF92" s="162" t="str">
        <f t="shared" si="25"/>
        <v/>
      </c>
      <c r="CG92" s="162" t="str">
        <f t="shared" si="25"/>
        <v/>
      </c>
      <c r="CH92" s="162" t="str">
        <f t="shared" si="25"/>
        <v/>
      </c>
      <c r="CI92" s="162" t="str">
        <f t="shared" si="25"/>
        <v/>
      </c>
      <c r="CJ92" s="162" t="str">
        <f t="shared" si="25"/>
        <v/>
      </c>
      <c r="CK92" s="162" t="str">
        <f t="shared" si="25"/>
        <v/>
      </c>
      <c r="CL92" s="162" t="str">
        <f t="shared" si="25"/>
        <v/>
      </c>
      <c r="CM92" s="162" t="str">
        <f t="shared" si="25"/>
        <v/>
      </c>
      <c r="CN92" s="162" t="str">
        <f t="shared" si="25"/>
        <v/>
      </c>
      <c r="CO92" s="162" t="str">
        <f t="shared" si="25"/>
        <v/>
      </c>
      <c r="CP92" s="162" t="str">
        <f t="shared" si="25"/>
        <v/>
      </c>
      <c r="CQ92" s="162" t="str">
        <f t="shared" si="25"/>
        <v/>
      </c>
      <c r="CR92" s="162" t="str">
        <f t="shared" si="25"/>
        <v/>
      </c>
      <c r="CS92" s="162" t="str">
        <f t="shared" si="25"/>
        <v/>
      </c>
      <c r="CT92" s="227" t="s">
        <v>54</v>
      </c>
      <c r="CU92" s="42"/>
      <c r="CV92" s="42"/>
      <c r="CW92" s="44"/>
    </row>
    <row r="93" spans="1:103" hidden="1" x14ac:dyDescent="0.25">
      <c r="A93" s="97">
        <v>0</v>
      </c>
      <c r="B93" s="25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U93" s="42"/>
      <c r="CV93" s="42"/>
      <c r="CW93" s="44"/>
    </row>
    <row r="94" spans="1:103" hidden="1" x14ac:dyDescent="0.25">
      <c r="A94" s="97">
        <v>0</v>
      </c>
      <c r="B94" s="19" t="s">
        <v>50</v>
      </c>
    </row>
    <row r="95" spans="1:103" hidden="1" x14ac:dyDescent="0.25">
      <c r="A95" s="97">
        <v>0</v>
      </c>
      <c r="B95" s="21" t="s">
        <v>2</v>
      </c>
      <c r="C95" s="163"/>
      <c r="D95" s="164" t="str">
        <f t="shared" ref="D95:BO95" si="28">D68</f>
        <v>2 / 1</v>
      </c>
      <c r="E95" s="164" t="str">
        <f t="shared" si="28"/>
        <v>3 / 2</v>
      </c>
      <c r="F95" s="164" t="str">
        <f t="shared" si="28"/>
        <v>4 / 3</v>
      </c>
      <c r="G95" s="164" t="str">
        <f t="shared" si="28"/>
        <v>5 / 4</v>
      </c>
      <c r="H95" s="164" t="str">
        <f t="shared" si="28"/>
        <v>6 / 5</v>
      </c>
      <c r="I95" s="164" t="str">
        <f t="shared" si="28"/>
        <v>7 / 6</v>
      </c>
      <c r="J95" s="164" t="str">
        <f t="shared" si="28"/>
        <v>8 / 7</v>
      </c>
      <c r="K95" s="164" t="str">
        <f t="shared" si="28"/>
        <v>9 / 8</v>
      </c>
      <c r="L95" s="164" t="str">
        <f t="shared" si="28"/>
        <v>10 / 9</v>
      </c>
      <c r="M95" s="164" t="str">
        <f t="shared" si="28"/>
        <v>11 / 10</v>
      </c>
      <c r="N95" s="164" t="str">
        <f t="shared" si="28"/>
        <v>12 / 11</v>
      </c>
      <c r="O95" s="164" t="str">
        <f t="shared" si="28"/>
        <v>13 / 12</v>
      </c>
      <c r="P95" s="164" t="str">
        <f t="shared" si="28"/>
        <v>14 / 13</v>
      </c>
      <c r="Q95" s="164" t="str">
        <f t="shared" si="28"/>
        <v>15 / 14</v>
      </c>
      <c r="R95" s="164" t="str">
        <f t="shared" si="28"/>
        <v>16 / 15</v>
      </c>
      <c r="S95" s="164" t="str">
        <f t="shared" si="28"/>
        <v>17 / 16</v>
      </c>
      <c r="T95" s="164" t="str">
        <f t="shared" si="28"/>
        <v>18 / 17</v>
      </c>
      <c r="U95" s="164" t="str">
        <f t="shared" si="28"/>
        <v>19 / 18</v>
      </c>
      <c r="V95" s="164" t="str">
        <f t="shared" si="28"/>
        <v>20 / 19</v>
      </c>
      <c r="W95" s="164" t="str">
        <f t="shared" si="28"/>
        <v>21 / 20</v>
      </c>
      <c r="X95" s="164" t="str">
        <f t="shared" si="28"/>
        <v>22 / 21</v>
      </c>
      <c r="Y95" s="164" t="str">
        <f t="shared" si="28"/>
        <v>23 / 22</v>
      </c>
      <c r="Z95" s="164" t="str">
        <f t="shared" si="28"/>
        <v>24 / 23</v>
      </c>
      <c r="AA95" s="164" t="str">
        <f t="shared" si="28"/>
        <v>25 / 24</v>
      </c>
      <c r="AB95" s="164" t="str">
        <f t="shared" si="28"/>
        <v>26 / 25</v>
      </c>
      <c r="AC95" s="164" t="str">
        <f t="shared" si="28"/>
        <v>27 / 26</v>
      </c>
      <c r="AD95" s="164" t="str">
        <f t="shared" si="28"/>
        <v>28 / 27</v>
      </c>
      <c r="AE95" s="164" t="str">
        <f t="shared" si="28"/>
        <v>29 / 28</v>
      </c>
      <c r="AF95" s="164" t="str">
        <f t="shared" si="28"/>
        <v>30 / 29</v>
      </c>
      <c r="AG95" s="164" t="str">
        <f t="shared" si="28"/>
        <v>31 / 30</v>
      </c>
      <c r="AH95" s="164" t="str">
        <f t="shared" si="28"/>
        <v>32 / 31</v>
      </c>
      <c r="AI95" s="164" t="str">
        <f t="shared" si="28"/>
        <v>33 / 32</v>
      </c>
      <c r="AJ95" s="164" t="str">
        <f t="shared" si="28"/>
        <v>34 / 33</v>
      </c>
      <c r="AK95" s="164" t="str">
        <f t="shared" si="28"/>
        <v>35 / 34</v>
      </c>
      <c r="AL95" s="164" t="str">
        <f t="shared" si="28"/>
        <v>36 / 35</v>
      </c>
      <c r="AM95" s="164" t="str">
        <f t="shared" si="28"/>
        <v>37 / 36</v>
      </c>
      <c r="AN95" s="164" t="str">
        <f t="shared" si="28"/>
        <v>38 / 37</v>
      </c>
      <c r="AO95" s="164" t="str">
        <f t="shared" si="28"/>
        <v>39 / 38</v>
      </c>
      <c r="AP95" s="164" t="str">
        <f t="shared" si="28"/>
        <v>40 / 39</v>
      </c>
      <c r="AQ95" s="164" t="str">
        <f t="shared" si="28"/>
        <v>41 / 40</v>
      </c>
      <c r="AR95" s="164" t="str">
        <f t="shared" si="28"/>
        <v>42 / 41</v>
      </c>
      <c r="AS95" s="164" t="str">
        <f t="shared" si="28"/>
        <v>43 / 42</v>
      </c>
      <c r="AT95" s="164" t="str">
        <f t="shared" si="28"/>
        <v>44 / 43</v>
      </c>
      <c r="AU95" s="164" t="str">
        <f t="shared" si="28"/>
        <v>45 / 44</v>
      </c>
      <c r="AV95" s="164" t="str">
        <f t="shared" si="28"/>
        <v>46 / 45</v>
      </c>
      <c r="AW95" s="164" t="str">
        <f t="shared" si="28"/>
        <v>47 / 46</v>
      </c>
      <c r="AX95" s="164" t="str">
        <f t="shared" si="28"/>
        <v>48 / 47</v>
      </c>
      <c r="AY95" s="164" t="str">
        <f t="shared" si="28"/>
        <v>49 / 48</v>
      </c>
      <c r="AZ95" s="164" t="str">
        <f t="shared" si="28"/>
        <v>50 / 49</v>
      </c>
      <c r="BA95" s="164" t="str">
        <f t="shared" si="28"/>
        <v>51 / 50</v>
      </c>
      <c r="BB95" s="164" t="str">
        <f t="shared" si="28"/>
        <v>52 / 51</v>
      </c>
      <c r="BC95" s="164" t="str">
        <f t="shared" si="28"/>
        <v>53 / 52</v>
      </c>
      <c r="BD95" s="164" t="str">
        <f t="shared" si="28"/>
        <v>54 / 53</v>
      </c>
      <c r="BE95" s="164" t="str">
        <f t="shared" si="28"/>
        <v>55 / 54</v>
      </c>
      <c r="BF95" s="164" t="str">
        <f t="shared" si="28"/>
        <v>56 / 55</v>
      </c>
      <c r="BG95" s="164" t="str">
        <f t="shared" si="28"/>
        <v>57 / 56</v>
      </c>
      <c r="BH95" s="164" t="str">
        <f t="shared" si="28"/>
        <v>58 / 57</v>
      </c>
      <c r="BI95" s="164" t="str">
        <f t="shared" si="28"/>
        <v>59 / 58</v>
      </c>
      <c r="BJ95" s="164" t="str">
        <f t="shared" si="28"/>
        <v>60 / 59</v>
      </c>
      <c r="BK95" s="164" t="str">
        <f t="shared" si="28"/>
        <v>61 / 60</v>
      </c>
      <c r="BL95" s="164" t="str">
        <f t="shared" si="28"/>
        <v>62 / 61</v>
      </c>
      <c r="BM95" s="164" t="str">
        <f t="shared" si="28"/>
        <v>63 / 62</v>
      </c>
      <c r="BN95" s="164" t="str">
        <f t="shared" si="28"/>
        <v>64 / 63</v>
      </c>
      <c r="BO95" s="164" t="str">
        <f t="shared" si="28"/>
        <v>65 / 64</v>
      </c>
      <c r="BP95" s="164" t="str">
        <f t="shared" ref="BP95:CS95" si="29">BP68</f>
        <v>66 / 65</v>
      </c>
      <c r="BQ95" s="164" t="str">
        <f t="shared" si="29"/>
        <v>67 / 66</v>
      </c>
      <c r="BR95" s="164" t="str">
        <f t="shared" si="29"/>
        <v>68 / 67</v>
      </c>
      <c r="BS95" s="164" t="str">
        <f t="shared" si="29"/>
        <v>69 / 68</v>
      </c>
      <c r="BT95" s="164" t="str">
        <f t="shared" si="29"/>
        <v>70 / 69</v>
      </c>
      <c r="BU95" s="164" t="str">
        <f t="shared" si="29"/>
        <v>71 / 70</v>
      </c>
      <c r="BV95" s="164" t="str">
        <f t="shared" si="29"/>
        <v>72 / 71</v>
      </c>
      <c r="BW95" s="164" t="str">
        <f t="shared" si="29"/>
        <v>73 / 72</v>
      </c>
      <c r="BX95" s="164" t="str">
        <f t="shared" si="29"/>
        <v>74 / 73</v>
      </c>
      <c r="BY95" s="164" t="str">
        <f t="shared" si="29"/>
        <v>75 / 74</v>
      </c>
      <c r="BZ95" s="164" t="str">
        <f t="shared" si="29"/>
        <v>76 / 75</v>
      </c>
      <c r="CA95" s="164" t="str">
        <f t="shared" si="29"/>
        <v>77 / 76</v>
      </c>
      <c r="CB95" s="164" t="str">
        <f t="shared" si="29"/>
        <v>78 / 77</v>
      </c>
      <c r="CC95" s="164" t="str">
        <f t="shared" si="29"/>
        <v>79 / 78</v>
      </c>
      <c r="CD95" s="164" t="str">
        <f t="shared" si="29"/>
        <v>80 / 79</v>
      </c>
      <c r="CE95" s="164" t="str">
        <f t="shared" si="29"/>
        <v>81 / 80</v>
      </c>
      <c r="CF95" s="164" t="str">
        <f t="shared" si="29"/>
        <v>82 / 81</v>
      </c>
      <c r="CG95" s="164" t="str">
        <f t="shared" si="29"/>
        <v>83 / 82</v>
      </c>
      <c r="CH95" s="164" t="str">
        <f t="shared" si="29"/>
        <v>84 / 83</v>
      </c>
      <c r="CI95" s="164" t="str">
        <f t="shared" si="29"/>
        <v>85 / 84</v>
      </c>
      <c r="CJ95" s="164" t="str">
        <f t="shared" si="29"/>
        <v>86 / 85</v>
      </c>
      <c r="CK95" s="164" t="str">
        <f t="shared" si="29"/>
        <v>87 / 86</v>
      </c>
      <c r="CL95" s="164" t="str">
        <f t="shared" si="29"/>
        <v>88 / 87</v>
      </c>
      <c r="CM95" s="164" t="str">
        <f t="shared" si="29"/>
        <v>89 / 88</v>
      </c>
      <c r="CN95" s="164" t="str">
        <f t="shared" si="29"/>
        <v>90 / 89</v>
      </c>
      <c r="CO95" s="164" t="str">
        <f t="shared" si="29"/>
        <v>91 / 90</v>
      </c>
      <c r="CP95" s="164" t="str">
        <f t="shared" si="29"/>
        <v>92 / 91</v>
      </c>
      <c r="CQ95" s="164" t="str">
        <f t="shared" si="29"/>
        <v>93 / 92</v>
      </c>
      <c r="CR95" s="164" t="str">
        <f t="shared" si="29"/>
        <v>94 / 93</v>
      </c>
      <c r="CS95" s="165" t="str">
        <f t="shared" si="29"/>
        <v>95 / 94</v>
      </c>
      <c r="CT95" s="11" t="s">
        <v>54</v>
      </c>
    </row>
    <row r="96" spans="1:103" hidden="1" x14ac:dyDescent="0.25">
      <c r="A96" s="97">
        <v>0</v>
      </c>
      <c r="B96" s="31">
        <f t="shared" ref="B96:B119" si="30">B42</f>
        <v>1996</v>
      </c>
      <c r="C96" s="101"/>
      <c r="D96" s="166"/>
      <c r="E96" s="166"/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6"/>
      <c r="BD96" s="166"/>
      <c r="BE96" s="166"/>
      <c r="BF96" s="166"/>
      <c r="BG96" s="166"/>
      <c r="BH96" s="166"/>
      <c r="BI96" s="166"/>
      <c r="BJ96" s="166"/>
      <c r="BK96" s="166"/>
      <c r="BL96" s="166"/>
      <c r="BM96" s="166"/>
      <c r="BN96" s="166"/>
      <c r="BO96" s="166"/>
      <c r="BP96" s="166"/>
      <c r="BQ96" s="166"/>
      <c r="BR96" s="166"/>
      <c r="BS96" s="166"/>
      <c r="BT96" s="166"/>
      <c r="BU96" s="166"/>
      <c r="BV96" s="166"/>
      <c r="BW96" s="166"/>
      <c r="BX96" s="166"/>
      <c r="BY96" s="166"/>
      <c r="BZ96" s="166"/>
      <c r="CA96" s="166"/>
      <c r="CB96" s="166"/>
      <c r="CC96" s="166"/>
      <c r="CD96" s="166"/>
      <c r="CE96" s="166"/>
      <c r="CF96" s="166"/>
      <c r="CG96" s="166"/>
      <c r="CH96" s="166"/>
      <c r="CI96" s="166"/>
      <c r="CJ96" s="166"/>
      <c r="CK96" s="166"/>
      <c r="CL96" s="166"/>
      <c r="CM96" s="166"/>
      <c r="CN96" s="166"/>
      <c r="CO96" s="166"/>
      <c r="CP96" s="166"/>
      <c r="CQ96" s="166"/>
      <c r="CR96" s="166"/>
      <c r="CS96" s="160"/>
      <c r="CT96" s="85" t="s">
        <v>54</v>
      </c>
    </row>
    <row r="97" spans="1:98" hidden="1" x14ac:dyDescent="0.25">
      <c r="A97" s="97">
        <v>0</v>
      </c>
      <c r="B97" s="31">
        <f t="shared" si="30"/>
        <v>1997</v>
      </c>
      <c r="C97" s="101"/>
      <c r="D97" s="166"/>
      <c r="E97" s="166"/>
      <c r="F97" s="166"/>
      <c r="G97" s="166"/>
      <c r="H97" s="166"/>
      <c r="I97" s="166"/>
      <c r="J97" s="166"/>
      <c r="K97" s="166"/>
      <c r="L97" s="166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6"/>
      <c r="BD97" s="166"/>
      <c r="BE97" s="166"/>
      <c r="BF97" s="166"/>
      <c r="BG97" s="166"/>
      <c r="BH97" s="166"/>
      <c r="BI97" s="166"/>
      <c r="BJ97" s="166"/>
      <c r="BK97" s="166"/>
      <c r="BL97" s="166"/>
      <c r="BM97" s="166"/>
      <c r="BN97" s="166"/>
      <c r="BO97" s="166"/>
      <c r="BP97" s="166"/>
      <c r="BQ97" s="166"/>
      <c r="BR97" s="166"/>
      <c r="BS97" s="166"/>
      <c r="BT97" s="166"/>
      <c r="BU97" s="166"/>
      <c r="BV97" s="166"/>
      <c r="BW97" s="166"/>
      <c r="BX97" s="166"/>
      <c r="BY97" s="166"/>
      <c r="BZ97" s="166"/>
      <c r="CA97" s="166"/>
      <c r="CB97" s="166"/>
      <c r="CC97" s="166"/>
      <c r="CD97" s="166"/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66"/>
      <c r="CR97" s="166"/>
      <c r="CS97" s="160"/>
      <c r="CT97" s="85" t="s">
        <v>54</v>
      </c>
    </row>
    <row r="98" spans="1:98" hidden="1" x14ac:dyDescent="0.25">
      <c r="A98" s="97">
        <v>0</v>
      </c>
      <c r="B98" s="31">
        <f t="shared" si="30"/>
        <v>1998</v>
      </c>
      <c r="C98" s="101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6"/>
      <c r="P98" s="166"/>
      <c r="Q98" s="166"/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166"/>
      <c r="AO98" s="166"/>
      <c r="AP98" s="166"/>
      <c r="AQ98" s="166"/>
      <c r="AR98" s="166"/>
      <c r="AS98" s="166"/>
      <c r="AT98" s="166"/>
      <c r="AU98" s="166"/>
      <c r="AV98" s="166"/>
      <c r="AW98" s="166"/>
      <c r="AX98" s="166"/>
      <c r="AY98" s="166"/>
      <c r="AZ98" s="166"/>
      <c r="BA98" s="166"/>
      <c r="BB98" s="166"/>
      <c r="BC98" s="166"/>
      <c r="BD98" s="166"/>
      <c r="BE98" s="166"/>
      <c r="BF98" s="166"/>
      <c r="BG98" s="166"/>
      <c r="BH98" s="166"/>
      <c r="BI98" s="166"/>
      <c r="BJ98" s="166"/>
      <c r="BK98" s="166"/>
      <c r="BL98" s="166"/>
      <c r="BM98" s="166"/>
      <c r="BN98" s="166"/>
      <c r="BO98" s="166"/>
      <c r="BP98" s="166"/>
      <c r="BQ98" s="166"/>
      <c r="BR98" s="166"/>
      <c r="BS98" s="166"/>
      <c r="BT98" s="166"/>
      <c r="BU98" s="166"/>
      <c r="BV98" s="166"/>
      <c r="BW98" s="166"/>
      <c r="BX98" s="166"/>
      <c r="BY98" s="166"/>
      <c r="BZ98" s="166"/>
      <c r="CA98" s="166"/>
      <c r="CB98" s="166"/>
      <c r="CC98" s="166"/>
      <c r="CD98" s="166"/>
      <c r="CE98" s="166"/>
      <c r="CF98" s="166"/>
      <c r="CG98" s="166"/>
      <c r="CH98" s="166"/>
      <c r="CI98" s="166"/>
      <c r="CJ98" s="166"/>
      <c r="CK98" s="166"/>
      <c r="CL98" s="166"/>
      <c r="CM98" s="166"/>
      <c r="CN98" s="166"/>
      <c r="CO98" s="166"/>
      <c r="CP98" s="166"/>
      <c r="CQ98" s="166"/>
      <c r="CR98" s="166"/>
      <c r="CS98" s="160"/>
      <c r="CT98" s="85" t="s">
        <v>54</v>
      </c>
    </row>
    <row r="99" spans="1:98" hidden="1" x14ac:dyDescent="0.25">
      <c r="A99" s="97">
        <v>0</v>
      </c>
      <c r="B99" s="31">
        <f t="shared" si="30"/>
        <v>1999</v>
      </c>
      <c r="C99" s="101"/>
      <c r="D99" s="166"/>
      <c r="E99" s="166"/>
      <c r="F99" s="166"/>
      <c r="G99" s="166"/>
      <c r="H99" s="166"/>
      <c r="I99" s="166"/>
      <c r="J99" s="166"/>
      <c r="K99" s="166"/>
      <c r="L99" s="166"/>
      <c r="M99" s="166"/>
      <c r="N99" s="166"/>
      <c r="O99" s="166"/>
      <c r="P99" s="166"/>
      <c r="Q99" s="166"/>
      <c r="R99" s="166"/>
      <c r="S99" s="166"/>
      <c r="T99" s="166"/>
      <c r="U99" s="166"/>
      <c r="V99" s="166"/>
      <c r="W99" s="166"/>
      <c r="X99" s="166"/>
      <c r="Y99" s="166"/>
      <c r="Z99" s="166"/>
      <c r="AA99" s="166"/>
      <c r="AB99" s="166"/>
      <c r="AC99" s="166"/>
      <c r="AD99" s="166"/>
      <c r="AE99" s="166"/>
      <c r="AF99" s="166"/>
      <c r="AG99" s="166"/>
      <c r="AH99" s="166"/>
      <c r="AI99" s="166"/>
      <c r="AJ99" s="166"/>
      <c r="AK99" s="166"/>
      <c r="AL99" s="166"/>
      <c r="AM99" s="166"/>
      <c r="AN99" s="166"/>
      <c r="AO99" s="166"/>
      <c r="AP99" s="166"/>
      <c r="AQ99" s="166"/>
      <c r="AR99" s="166"/>
      <c r="AS99" s="166"/>
      <c r="AT99" s="166"/>
      <c r="AU99" s="166"/>
      <c r="AV99" s="166"/>
      <c r="AW99" s="166"/>
      <c r="AX99" s="166"/>
      <c r="AY99" s="166"/>
      <c r="AZ99" s="166"/>
      <c r="BA99" s="166"/>
      <c r="BB99" s="166"/>
      <c r="BC99" s="166"/>
      <c r="BD99" s="166"/>
      <c r="BE99" s="166"/>
      <c r="BF99" s="166"/>
      <c r="BG99" s="166"/>
      <c r="BH99" s="166"/>
      <c r="BI99" s="166"/>
      <c r="BJ99" s="166"/>
      <c r="BK99" s="166"/>
      <c r="BL99" s="166"/>
      <c r="BM99" s="166"/>
      <c r="BN99" s="166"/>
      <c r="BO99" s="166"/>
      <c r="BP99" s="166"/>
      <c r="BQ99" s="166"/>
      <c r="BR99" s="166"/>
      <c r="BS99" s="166"/>
      <c r="BT99" s="166"/>
      <c r="BU99" s="166"/>
      <c r="BV99" s="166"/>
      <c r="BW99" s="166"/>
      <c r="BX99" s="166"/>
      <c r="BY99" s="166"/>
      <c r="BZ99" s="166"/>
      <c r="CA99" s="166"/>
      <c r="CB99" s="166"/>
      <c r="CC99" s="166"/>
      <c r="CD99" s="166"/>
      <c r="CE99" s="166"/>
      <c r="CF99" s="166"/>
      <c r="CG99" s="166"/>
      <c r="CH99" s="166"/>
      <c r="CI99" s="166"/>
      <c r="CJ99" s="166"/>
      <c r="CK99" s="166"/>
      <c r="CL99" s="166"/>
      <c r="CM99" s="166"/>
      <c r="CN99" s="166"/>
      <c r="CO99" s="166"/>
      <c r="CP99" s="166"/>
      <c r="CQ99" s="166"/>
      <c r="CR99" s="166"/>
      <c r="CS99" s="160"/>
      <c r="CT99" s="85" t="s">
        <v>54</v>
      </c>
    </row>
    <row r="100" spans="1:98" hidden="1" x14ac:dyDescent="0.25">
      <c r="A100" s="97">
        <v>0</v>
      </c>
      <c r="B100" s="31">
        <f t="shared" si="30"/>
        <v>2000</v>
      </c>
      <c r="C100" s="101"/>
      <c r="D100" s="166"/>
      <c r="E100" s="166"/>
      <c r="F100" s="16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6"/>
      <c r="AU100" s="166"/>
      <c r="AV100" s="166"/>
      <c r="AW100" s="166"/>
      <c r="AX100" s="166"/>
      <c r="AY100" s="166"/>
      <c r="AZ100" s="166"/>
      <c r="BA100" s="166"/>
      <c r="BB100" s="166"/>
      <c r="BC100" s="166"/>
      <c r="BD100" s="166"/>
      <c r="BE100" s="166"/>
      <c r="BF100" s="166"/>
      <c r="BG100" s="166"/>
      <c r="BH100" s="166"/>
      <c r="BI100" s="166"/>
      <c r="BJ100" s="166"/>
      <c r="BK100" s="166"/>
      <c r="BL100" s="166"/>
      <c r="BM100" s="166"/>
      <c r="BN100" s="166"/>
      <c r="BO100" s="166"/>
      <c r="BP100" s="166"/>
      <c r="BQ100" s="166"/>
      <c r="BR100" s="166"/>
      <c r="BS100" s="166"/>
      <c r="BT100" s="166"/>
      <c r="BU100" s="166"/>
      <c r="BV100" s="166"/>
      <c r="BW100" s="166"/>
      <c r="BX100" s="166"/>
      <c r="BY100" s="166"/>
      <c r="BZ100" s="166"/>
      <c r="CA100" s="166"/>
      <c r="CB100" s="166"/>
      <c r="CC100" s="166"/>
      <c r="CD100" s="166"/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66"/>
      <c r="CR100" s="166"/>
      <c r="CS100" s="160"/>
      <c r="CT100" s="85" t="s">
        <v>54</v>
      </c>
    </row>
    <row r="101" spans="1:98" hidden="1" x14ac:dyDescent="0.25">
      <c r="A101" s="97">
        <v>0</v>
      </c>
      <c r="B101" s="31">
        <f t="shared" si="30"/>
        <v>2001</v>
      </c>
      <c r="C101" s="101"/>
      <c r="D101" s="166"/>
      <c r="E101" s="166"/>
      <c r="F101" s="166"/>
      <c r="G101" s="166"/>
      <c r="H101" s="166"/>
      <c r="I101" s="166"/>
      <c r="J101" s="166"/>
      <c r="K101" s="166"/>
      <c r="L101" s="166"/>
      <c r="M101" s="166"/>
      <c r="N101" s="166"/>
      <c r="O101" s="166"/>
      <c r="P101" s="166"/>
      <c r="Q101" s="166"/>
      <c r="R101" s="166"/>
      <c r="S101" s="166"/>
      <c r="T101" s="166"/>
      <c r="U101" s="166"/>
      <c r="V101" s="166"/>
      <c r="W101" s="166"/>
      <c r="X101" s="166"/>
      <c r="Y101" s="166"/>
      <c r="Z101" s="166"/>
      <c r="AA101" s="166"/>
      <c r="AB101" s="166"/>
      <c r="AC101" s="166"/>
      <c r="AD101" s="166"/>
      <c r="AE101" s="166"/>
      <c r="AF101" s="166"/>
      <c r="AG101" s="166"/>
      <c r="AH101" s="166"/>
      <c r="AI101" s="166"/>
      <c r="AJ101" s="166"/>
      <c r="AK101" s="166"/>
      <c r="AL101" s="166"/>
      <c r="AM101" s="166"/>
      <c r="AN101" s="166"/>
      <c r="AO101" s="166"/>
      <c r="AP101" s="166"/>
      <c r="AQ101" s="166"/>
      <c r="AR101" s="166"/>
      <c r="AS101" s="166"/>
      <c r="AT101" s="166"/>
      <c r="AU101" s="166"/>
      <c r="AV101" s="166"/>
      <c r="AW101" s="166"/>
      <c r="AX101" s="166"/>
      <c r="AY101" s="166"/>
      <c r="AZ101" s="166"/>
      <c r="BA101" s="166"/>
      <c r="BB101" s="166"/>
      <c r="BC101" s="166"/>
      <c r="BD101" s="166"/>
      <c r="BE101" s="166"/>
      <c r="BF101" s="166"/>
      <c r="BG101" s="166"/>
      <c r="BH101" s="166"/>
      <c r="BI101" s="166"/>
      <c r="BJ101" s="166"/>
      <c r="BK101" s="166"/>
      <c r="BL101" s="166"/>
      <c r="BM101" s="166"/>
      <c r="BN101" s="166"/>
      <c r="BO101" s="166"/>
      <c r="BP101" s="166"/>
      <c r="BQ101" s="166"/>
      <c r="BR101" s="166"/>
      <c r="BS101" s="166"/>
      <c r="BT101" s="166"/>
      <c r="BU101" s="166"/>
      <c r="BV101" s="166"/>
      <c r="BW101" s="166"/>
      <c r="BX101" s="166"/>
      <c r="BY101" s="166"/>
      <c r="BZ101" s="166"/>
      <c r="CA101" s="166"/>
      <c r="CB101" s="166"/>
      <c r="CC101" s="166"/>
      <c r="CD101" s="166"/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66"/>
      <c r="CR101" s="166"/>
      <c r="CS101" s="160"/>
      <c r="CT101" s="85" t="s">
        <v>54</v>
      </c>
    </row>
    <row r="102" spans="1:98" hidden="1" x14ac:dyDescent="0.25">
      <c r="A102" s="97">
        <v>0</v>
      </c>
      <c r="B102" s="31">
        <f t="shared" si="30"/>
        <v>2002</v>
      </c>
      <c r="C102" s="101"/>
      <c r="D102" s="166"/>
      <c r="E102" s="166"/>
      <c r="F102" s="166"/>
      <c r="G102" s="166"/>
      <c r="H102" s="166"/>
      <c r="I102" s="166"/>
      <c r="J102" s="166"/>
      <c r="K102" s="166"/>
      <c r="L102" s="166"/>
      <c r="M102" s="166"/>
      <c r="N102" s="166"/>
      <c r="O102" s="166"/>
      <c r="P102" s="166"/>
      <c r="Q102" s="166"/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166"/>
      <c r="AO102" s="166"/>
      <c r="AP102" s="166"/>
      <c r="AQ102" s="166"/>
      <c r="AR102" s="166"/>
      <c r="AS102" s="166"/>
      <c r="AT102" s="166"/>
      <c r="AU102" s="166"/>
      <c r="AV102" s="166"/>
      <c r="AW102" s="166"/>
      <c r="AX102" s="166"/>
      <c r="AY102" s="166"/>
      <c r="AZ102" s="166"/>
      <c r="BA102" s="166"/>
      <c r="BB102" s="166"/>
      <c r="BC102" s="166"/>
      <c r="BD102" s="166"/>
      <c r="BE102" s="166"/>
      <c r="BF102" s="166"/>
      <c r="BG102" s="166"/>
      <c r="BH102" s="166"/>
      <c r="BI102" s="166"/>
      <c r="BJ102" s="166"/>
      <c r="BK102" s="166"/>
      <c r="BL102" s="166"/>
      <c r="BM102" s="166"/>
      <c r="BN102" s="166"/>
      <c r="BO102" s="166"/>
      <c r="BP102" s="166"/>
      <c r="BQ102" s="166"/>
      <c r="BR102" s="166"/>
      <c r="BS102" s="166"/>
      <c r="BT102" s="166"/>
      <c r="BU102" s="166"/>
      <c r="BV102" s="166"/>
      <c r="BW102" s="166"/>
      <c r="BX102" s="166"/>
      <c r="BY102" s="166"/>
      <c r="BZ102" s="166"/>
      <c r="CA102" s="166"/>
      <c r="CB102" s="166"/>
      <c r="CC102" s="166"/>
      <c r="CD102" s="166"/>
      <c r="CE102" s="166"/>
      <c r="CF102" s="166"/>
      <c r="CG102" s="166"/>
      <c r="CH102" s="166"/>
      <c r="CI102" s="166"/>
      <c r="CJ102" s="166"/>
      <c r="CK102" s="166"/>
      <c r="CL102" s="166"/>
      <c r="CM102" s="166"/>
      <c r="CN102" s="166"/>
      <c r="CO102" s="166"/>
      <c r="CP102" s="166"/>
      <c r="CQ102" s="166"/>
      <c r="CR102" s="166"/>
      <c r="CS102" s="160"/>
      <c r="CT102" s="85" t="s">
        <v>54</v>
      </c>
    </row>
    <row r="103" spans="1:98" hidden="1" x14ac:dyDescent="0.25">
      <c r="A103" s="97">
        <v>0</v>
      </c>
      <c r="B103" s="31">
        <f t="shared" si="30"/>
        <v>2003</v>
      </c>
      <c r="C103" s="101"/>
      <c r="D103" s="166"/>
      <c r="E103" s="166"/>
      <c r="F103" s="166"/>
      <c r="G103" s="166"/>
      <c r="H103" s="166"/>
      <c r="I103" s="166"/>
      <c r="J103" s="166"/>
      <c r="K103" s="166"/>
      <c r="L103" s="166"/>
      <c r="M103" s="166"/>
      <c r="N103" s="166"/>
      <c r="O103" s="166"/>
      <c r="P103" s="166"/>
      <c r="Q103" s="166"/>
      <c r="R103" s="166"/>
      <c r="S103" s="166"/>
      <c r="T103" s="166"/>
      <c r="U103" s="166"/>
      <c r="V103" s="166"/>
      <c r="W103" s="166"/>
      <c r="X103" s="166"/>
      <c r="Y103" s="166"/>
      <c r="Z103" s="166"/>
      <c r="AA103" s="166"/>
      <c r="AB103" s="166"/>
      <c r="AC103" s="166"/>
      <c r="AD103" s="166"/>
      <c r="AE103" s="166"/>
      <c r="AF103" s="166"/>
      <c r="AG103" s="166"/>
      <c r="AH103" s="166"/>
      <c r="AI103" s="166"/>
      <c r="AJ103" s="166"/>
      <c r="AK103" s="166"/>
      <c r="AL103" s="166"/>
      <c r="AM103" s="166"/>
      <c r="AN103" s="166"/>
      <c r="AO103" s="166"/>
      <c r="AP103" s="166"/>
      <c r="AQ103" s="166"/>
      <c r="AR103" s="166"/>
      <c r="AS103" s="166"/>
      <c r="AT103" s="166"/>
      <c r="AU103" s="166"/>
      <c r="AV103" s="166"/>
      <c r="AW103" s="166"/>
      <c r="AX103" s="166"/>
      <c r="AY103" s="166"/>
      <c r="AZ103" s="166"/>
      <c r="BA103" s="166"/>
      <c r="BB103" s="166"/>
      <c r="BC103" s="166"/>
      <c r="BD103" s="166"/>
      <c r="BE103" s="166"/>
      <c r="BF103" s="166"/>
      <c r="BG103" s="166"/>
      <c r="BH103" s="166"/>
      <c r="BI103" s="166"/>
      <c r="BJ103" s="166"/>
      <c r="BK103" s="166"/>
      <c r="BL103" s="166"/>
      <c r="BM103" s="166"/>
      <c r="BN103" s="166"/>
      <c r="BO103" s="166"/>
      <c r="BP103" s="166"/>
      <c r="BQ103" s="166"/>
      <c r="BR103" s="166"/>
      <c r="BS103" s="166"/>
      <c r="BT103" s="166"/>
      <c r="BU103" s="166"/>
      <c r="BV103" s="166"/>
      <c r="BW103" s="166"/>
      <c r="BX103" s="166"/>
      <c r="BY103" s="166"/>
      <c r="BZ103" s="166"/>
      <c r="CA103" s="166"/>
      <c r="CB103" s="166"/>
      <c r="CC103" s="166"/>
      <c r="CD103" s="166"/>
      <c r="CE103" s="166"/>
      <c r="CF103" s="166"/>
      <c r="CG103" s="166"/>
      <c r="CH103" s="166"/>
      <c r="CI103" s="166"/>
      <c r="CJ103" s="166"/>
      <c r="CK103" s="166"/>
      <c r="CL103" s="166"/>
      <c r="CM103" s="166"/>
      <c r="CN103" s="166"/>
      <c r="CO103" s="166"/>
      <c r="CP103" s="166"/>
      <c r="CQ103" s="166"/>
      <c r="CR103" s="166"/>
      <c r="CS103" s="160"/>
      <c r="CT103" s="85" t="s">
        <v>54</v>
      </c>
    </row>
    <row r="104" spans="1:98" hidden="1" x14ac:dyDescent="0.25">
      <c r="A104" s="97">
        <v>0</v>
      </c>
      <c r="B104" s="31">
        <f t="shared" si="30"/>
        <v>2004</v>
      </c>
      <c r="C104" s="101"/>
      <c r="D104" s="166"/>
      <c r="E104" s="166"/>
      <c r="F104" s="166"/>
      <c r="G104" s="166"/>
      <c r="H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66"/>
      <c r="Y104" s="166"/>
      <c r="Z104" s="166"/>
      <c r="AA104" s="166"/>
      <c r="AB104" s="16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  <c r="AN104" s="166"/>
      <c r="AO104" s="166"/>
      <c r="AP104" s="166"/>
      <c r="AQ104" s="166"/>
      <c r="AR104" s="166"/>
      <c r="AS104" s="166"/>
      <c r="AT104" s="166"/>
      <c r="AU104" s="166"/>
      <c r="AV104" s="166"/>
      <c r="AW104" s="166"/>
      <c r="AX104" s="166"/>
      <c r="AY104" s="166"/>
      <c r="AZ104" s="166"/>
      <c r="BA104" s="166"/>
      <c r="BB104" s="166"/>
      <c r="BC104" s="166"/>
      <c r="BD104" s="166"/>
      <c r="BE104" s="166"/>
      <c r="BF104" s="166"/>
      <c r="BG104" s="166"/>
      <c r="BH104" s="166"/>
      <c r="BI104" s="166"/>
      <c r="BJ104" s="166"/>
      <c r="BK104" s="166"/>
      <c r="BL104" s="166"/>
      <c r="BM104" s="166"/>
      <c r="BN104" s="166"/>
      <c r="BO104" s="166"/>
      <c r="BP104" s="166"/>
      <c r="BQ104" s="166"/>
      <c r="BR104" s="166"/>
      <c r="BS104" s="166"/>
      <c r="BT104" s="166"/>
      <c r="BU104" s="166"/>
      <c r="BV104" s="166"/>
      <c r="BW104" s="166"/>
      <c r="BX104" s="166"/>
      <c r="BY104" s="166"/>
      <c r="BZ104" s="166"/>
      <c r="CA104" s="166"/>
      <c r="CB104" s="166"/>
      <c r="CC104" s="166"/>
      <c r="CD104" s="166"/>
      <c r="CE104" s="166"/>
      <c r="CF104" s="166"/>
      <c r="CG104" s="166"/>
      <c r="CH104" s="166"/>
      <c r="CI104" s="166"/>
      <c r="CJ104" s="166"/>
      <c r="CK104" s="166"/>
      <c r="CL104" s="166"/>
      <c r="CM104" s="166"/>
      <c r="CN104" s="166"/>
      <c r="CO104" s="166"/>
      <c r="CP104" s="166"/>
      <c r="CQ104" s="166"/>
      <c r="CR104" s="166"/>
      <c r="CS104" s="160"/>
      <c r="CT104" s="85" t="s">
        <v>54</v>
      </c>
    </row>
    <row r="105" spans="1:98" hidden="1" x14ac:dyDescent="0.25">
      <c r="A105" s="97">
        <v>0</v>
      </c>
      <c r="B105" s="31">
        <f t="shared" si="30"/>
        <v>2005</v>
      </c>
      <c r="C105" s="101"/>
      <c r="D105" s="166"/>
      <c r="E105" s="166"/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66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0"/>
      <c r="CT105" s="85" t="s">
        <v>54</v>
      </c>
    </row>
    <row r="106" spans="1:98" hidden="1" x14ac:dyDescent="0.25">
      <c r="A106" s="97">
        <v>0</v>
      </c>
      <c r="B106" s="31">
        <f t="shared" si="30"/>
        <v>2006</v>
      </c>
      <c r="C106" s="101"/>
      <c r="D106" s="166"/>
      <c r="E106" s="166"/>
      <c r="F106" s="166"/>
      <c r="G106" s="166"/>
      <c r="H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66"/>
      <c r="Y106" s="166"/>
      <c r="Z106" s="166"/>
      <c r="AA106" s="166"/>
      <c r="AB106" s="16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  <c r="AN106" s="166"/>
      <c r="AO106" s="166"/>
      <c r="AP106" s="166"/>
      <c r="AQ106" s="166"/>
      <c r="AR106" s="166"/>
      <c r="AS106" s="166"/>
      <c r="AT106" s="166"/>
      <c r="AU106" s="166"/>
      <c r="AV106" s="166"/>
      <c r="AW106" s="166"/>
      <c r="AX106" s="166"/>
      <c r="AY106" s="166"/>
      <c r="AZ106" s="166"/>
      <c r="BA106" s="166"/>
      <c r="BB106" s="166"/>
      <c r="BC106" s="166"/>
      <c r="BD106" s="166"/>
      <c r="BE106" s="166"/>
      <c r="BF106" s="166"/>
      <c r="BG106" s="166"/>
      <c r="BH106" s="166"/>
      <c r="BI106" s="166"/>
      <c r="BJ106" s="166"/>
      <c r="BK106" s="166"/>
      <c r="BL106" s="166"/>
      <c r="BM106" s="166"/>
      <c r="BN106" s="166"/>
      <c r="BO106" s="166"/>
      <c r="BP106" s="166"/>
      <c r="BQ106" s="166"/>
      <c r="BR106" s="166"/>
      <c r="BS106" s="166"/>
      <c r="BT106" s="166"/>
      <c r="BU106" s="166"/>
      <c r="BV106" s="166"/>
      <c r="BW106" s="166"/>
      <c r="BX106" s="166"/>
      <c r="BY106" s="166"/>
      <c r="BZ106" s="166"/>
      <c r="CA106" s="166"/>
      <c r="CB106" s="166"/>
      <c r="CC106" s="166"/>
      <c r="CD106" s="166"/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66"/>
      <c r="CR106" s="166"/>
      <c r="CS106" s="160"/>
      <c r="CT106" s="85" t="s">
        <v>54</v>
      </c>
    </row>
    <row r="107" spans="1:98" hidden="1" x14ac:dyDescent="0.25">
      <c r="A107" s="97">
        <v>0</v>
      </c>
      <c r="B107" s="31">
        <f t="shared" si="30"/>
        <v>2007</v>
      </c>
      <c r="C107" s="101"/>
      <c r="D107" s="166"/>
      <c r="E107" s="166"/>
      <c r="F107" s="166"/>
      <c r="G107" s="166"/>
      <c r="H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66"/>
      <c r="Y107" s="166"/>
      <c r="Z107" s="166"/>
      <c r="AA107" s="166"/>
      <c r="AB107" s="16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  <c r="AN107" s="166"/>
      <c r="AO107" s="166"/>
      <c r="AP107" s="166"/>
      <c r="AQ107" s="166"/>
      <c r="AR107" s="166"/>
      <c r="AS107" s="166"/>
      <c r="AT107" s="166"/>
      <c r="AU107" s="166"/>
      <c r="AV107" s="166"/>
      <c r="AW107" s="166"/>
      <c r="AX107" s="166"/>
      <c r="AY107" s="166"/>
      <c r="AZ107" s="166"/>
      <c r="BA107" s="166"/>
      <c r="BB107" s="166"/>
      <c r="BC107" s="166"/>
      <c r="BD107" s="166"/>
      <c r="BE107" s="166"/>
      <c r="BF107" s="166"/>
      <c r="BG107" s="166"/>
      <c r="BH107" s="166"/>
      <c r="BI107" s="166"/>
      <c r="BJ107" s="166"/>
      <c r="BK107" s="166"/>
      <c r="BL107" s="166"/>
      <c r="BM107" s="166"/>
      <c r="BN107" s="166"/>
      <c r="BO107" s="166"/>
      <c r="BP107" s="166"/>
      <c r="BQ107" s="166"/>
      <c r="BR107" s="166"/>
      <c r="BS107" s="166"/>
      <c r="BT107" s="166"/>
      <c r="BU107" s="166"/>
      <c r="BV107" s="166"/>
      <c r="BW107" s="166"/>
      <c r="BX107" s="166"/>
      <c r="BY107" s="166"/>
      <c r="BZ107" s="166"/>
      <c r="CA107" s="166"/>
      <c r="CB107" s="166"/>
      <c r="CC107" s="166"/>
      <c r="CD107" s="166"/>
      <c r="CE107" s="166"/>
      <c r="CF107" s="166"/>
      <c r="CG107" s="166"/>
      <c r="CH107" s="166"/>
      <c r="CI107" s="166"/>
      <c r="CJ107" s="166"/>
      <c r="CK107" s="166"/>
      <c r="CL107" s="166"/>
      <c r="CM107" s="166"/>
      <c r="CN107" s="166"/>
      <c r="CO107" s="166"/>
      <c r="CP107" s="166"/>
      <c r="CQ107" s="166"/>
      <c r="CR107" s="166"/>
      <c r="CS107" s="160"/>
      <c r="CT107" s="85" t="s">
        <v>54</v>
      </c>
    </row>
    <row r="108" spans="1:98" hidden="1" x14ac:dyDescent="0.25">
      <c r="A108" s="97">
        <v>0</v>
      </c>
      <c r="B108" s="31">
        <f t="shared" si="30"/>
        <v>2008</v>
      </c>
      <c r="C108" s="101"/>
      <c r="D108" s="166"/>
      <c r="E108" s="166"/>
      <c r="F108" s="166"/>
      <c r="G108" s="166"/>
      <c r="H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66"/>
      <c r="Y108" s="166"/>
      <c r="Z108" s="166"/>
      <c r="AA108" s="166"/>
      <c r="AB108" s="16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  <c r="AN108" s="166"/>
      <c r="AO108" s="166"/>
      <c r="AP108" s="166"/>
      <c r="AQ108" s="166"/>
      <c r="AR108" s="166"/>
      <c r="AS108" s="166"/>
      <c r="AT108" s="166"/>
      <c r="AU108" s="166"/>
      <c r="AV108" s="166"/>
      <c r="AW108" s="166"/>
      <c r="AX108" s="166"/>
      <c r="AY108" s="166"/>
      <c r="AZ108" s="166"/>
      <c r="BA108" s="166"/>
      <c r="BB108" s="166"/>
      <c r="BC108" s="166"/>
      <c r="BD108" s="166"/>
      <c r="BE108" s="166"/>
      <c r="BF108" s="166"/>
      <c r="BG108" s="166"/>
      <c r="BH108" s="166"/>
      <c r="BI108" s="166"/>
      <c r="BJ108" s="166"/>
      <c r="BK108" s="166"/>
      <c r="BL108" s="166"/>
      <c r="BM108" s="166"/>
      <c r="BN108" s="166"/>
      <c r="BO108" s="166"/>
      <c r="BP108" s="166"/>
      <c r="BQ108" s="166"/>
      <c r="BR108" s="166"/>
      <c r="BS108" s="166"/>
      <c r="BT108" s="166"/>
      <c r="BU108" s="166"/>
      <c r="BV108" s="166"/>
      <c r="BW108" s="166"/>
      <c r="BX108" s="166"/>
      <c r="BY108" s="166"/>
      <c r="BZ108" s="166"/>
      <c r="CA108" s="166"/>
      <c r="CB108" s="166"/>
      <c r="CC108" s="166"/>
      <c r="CD108" s="166"/>
      <c r="CE108" s="166"/>
      <c r="CF108" s="166"/>
      <c r="CG108" s="166"/>
      <c r="CH108" s="166"/>
      <c r="CI108" s="166"/>
      <c r="CJ108" s="166"/>
      <c r="CK108" s="166"/>
      <c r="CL108" s="166"/>
      <c r="CM108" s="166"/>
      <c r="CN108" s="166"/>
      <c r="CO108" s="166"/>
      <c r="CP108" s="166"/>
      <c r="CQ108" s="166"/>
      <c r="CR108" s="166"/>
      <c r="CS108" s="160"/>
      <c r="CT108" s="85" t="s">
        <v>54</v>
      </c>
    </row>
    <row r="109" spans="1:98" hidden="1" x14ac:dyDescent="0.25">
      <c r="A109" s="97">
        <v>0</v>
      </c>
      <c r="B109" s="31">
        <f t="shared" si="30"/>
        <v>2009</v>
      </c>
      <c r="C109" s="101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0"/>
      <c r="CT109" s="85" t="s">
        <v>54</v>
      </c>
    </row>
    <row r="110" spans="1:98" hidden="1" x14ac:dyDescent="0.25">
      <c r="A110" s="97">
        <v>0</v>
      </c>
      <c r="B110" s="31">
        <f t="shared" si="30"/>
        <v>2010</v>
      </c>
      <c r="C110" s="101"/>
      <c r="D110" s="166"/>
      <c r="E110" s="166"/>
      <c r="F110" s="166"/>
      <c r="G110" s="166"/>
      <c r="H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66"/>
      <c r="Y110" s="166"/>
      <c r="Z110" s="166"/>
      <c r="AA110" s="166"/>
      <c r="AB110" s="16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  <c r="AN110" s="166"/>
      <c r="AO110" s="166"/>
      <c r="AP110" s="166"/>
      <c r="AQ110" s="166"/>
      <c r="AR110" s="166"/>
      <c r="AS110" s="166"/>
      <c r="AT110" s="166"/>
      <c r="AU110" s="166"/>
      <c r="AV110" s="166"/>
      <c r="AW110" s="166"/>
      <c r="AX110" s="166"/>
      <c r="AY110" s="166"/>
      <c r="AZ110" s="166"/>
      <c r="BA110" s="166"/>
      <c r="BB110" s="166"/>
      <c r="BC110" s="166"/>
      <c r="BD110" s="166"/>
      <c r="BE110" s="166"/>
      <c r="BF110" s="166"/>
      <c r="BG110" s="166"/>
      <c r="BH110" s="166"/>
      <c r="BI110" s="166"/>
      <c r="BJ110" s="166"/>
      <c r="BK110" s="166"/>
      <c r="BL110" s="166"/>
      <c r="BM110" s="166"/>
      <c r="BN110" s="166"/>
      <c r="BO110" s="166"/>
      <c r="BP110" s="166"/>
      <c r="BQ110" s="166"/>
      <c r="BR110" s="166"/>
      <c r="BS110" s="166"/>
      <c r="BT110" s="166"/>
      <c r="BU110" s="166"/>
      <c r="BV110" s="166"/>
      <c r="BW110" s="166"/>
      <c r="BX110" s="166"/>
      <c r="BY110" s="166"/>
      <c r="BZ110" s="166"/>
      <c r="CA110" s="166"/>
      <c r="CB110" s="166"/>
      <c r="CC110" s="166"/>
      <c r="CD110" s="166"/>
      <c r="CE110" s="166"/>
      <c r="CF110" s="166"/>
      <c r="CG110" s="166"/>
      <c r="CH110" s="166"/>
      <c r="CI110" s="166"/>
      <c r="CJ110" s="166"/>
      <c r="CK110" s="166"/>
      <c r="CL110" s="166"/>
      <c r="CM110" s="166"/>
      <c r="CN110" s="166"/>
      <c r="CO110" s="166"/>
      <c r="CP110" s="166"/>
      <c r="CQ110" s="166"/>
      <c r="CR110" s="166"/>
      <c r="CS110" s="160"/>
      <c r="CT110" s="85" t="s">
        <v>54</v>
      </c>
    </row>
    <row r="111" spans="1:98" hidden="1" x14ac:dyDescent="0.25">
      <c r="A111" s="97">
        <v>0</v>
      </c>
      <c r="B111" s="31">
        <f t="shared" si="30"/>
        <v>2011</v>
      </c>
      <c r="C111" s="101"/>
      <c r="D111" s="166"/>
      <c r="E111" s="166"/>
      <c r="F111" s="166"/>
      <c r="G111" s="166"/>
      <c r="H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66"/>
      <c r="Y111" s="166"/>
      <c r="Z111" s="166"/>
      <c r="AA111" s="166"/>
      <c r="AB111" s="16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  <c r="AN111" s="166"/>
      <c r="AO111" s="166"/>
      <c r="AP111" s="166"/>
      <c r="AQ111" s="166"/>
      <c r="AR111" s="166"/>
      <c r="AS111" s="166"/>
      <c r="AT111" s="166"/>
      <c r="AU111" s="166"/>
      <c r="AV111" s="166"/>
      <c r="AW111" s="166"/>
      <c r="AX111" s="166"/>
      <c r="AY111" s="166"/>
      <c r="AZ111" s="166"/>
      <c r="BA111" s="166"/>
      <c r="BB111" s="166"/>
      <c r="BC111" s="166"/>
      <c r="BD111" s="166"/>
      <c r="BE111" s="166"/>
      <c r="BF111" s="166"/>
      <c r="BG111" s="166"/>
      <c r="BH111" s="166"/>
      <c r="BI111" s="166"/>
      <c r="BJ111" s="166"/>
      <c r="BK111" s="166"/>
      <c r="BL111" s="166"/>
      <c r="BM111" s="166"/>
      <c r="BN111" s="166"/>
      <c r="BO111" s="166"/>
      <c r="BP111" s="166"/>
      <c r="BQ111" s="166"/>
      <c r="BR111" s="166"/>
      <c r="BS111" s="166"/>
      <c r="BT111" s="166"/>
      <c r="BU111" s="166"/>
      <c r="BV111" s="166"/>
      <c r="BW111" s="166"/>
      <c r="BX111" s="166"/>
      <c r="BY111" s="166"/>
      <c r="BZ111" s="166"/>
      <c r="CA111" s="166"/>
      <c r="CB111" s="166"/>
      <c r="CC111" s="166"/>
      <c r="CD111" s="166"/>
      <c r="CE111" s="166"/>
      <c r="CF111" s="166"/>
      <c r="CG111" s="166"/>
      <c r="CH111" s="166"/>
      <c r="CI111" s="166"/>
      <c r="CJ111" s="166"/>
      <c r="CK111" s="166"/>
      <c r="CL111" s="166"/>
      <c r="CM111" s="166"/>
      <c r="CN111" s="166"/>
      <c r="CO111" s="166"/>
      <c r="CP111" s="166"/>
      <c r="CQ111" s="166"/>
      <c r="CR111" s="166"/>
      <c r="CS111" s="160"/>
      <c r="CT111" s="85" t="s">
        <v>54</v>
      </c>
    </row>
    <row r="112" spans="1:98" hidden="1" x14ac:dyDescent="0.25">
      <c r="A112" s="97">
        <v>0</v>
      </c>
      <c r="B112" s="31">
        <f t="shared" si="30"/>
        <v>2012</v>
      </c>
      <c r="C112" s="101"/>
      <c r="D112" s="166"/>
      <c r="E112" s="166"/>
      <c r="F112" s="166"/>
      <c r="G112" s="166"/>
      <c r="H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66"/>
      <c r="Y112" s="166"/>
      <c r="Z112" s="166"/>
      <c r="AA112" s="166"/>
      <c r="AB112" s="16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  <c r="AN112" s="166"/>
      <c r="AO112" s="166"/>
      <c r="AP112" s="166"/>
      <c r="AQ112" s="166"/>
      <c r="AR112" s="166"/>
      <c r="AS112" s="166"/>
      <c r="AT112" s="166"/>
      <c r="AU112" s="166"/>
      <c r="AV112" s="166"/>
      <c r="AW112" s="166"/>
      <c r="AX112" s="166"/>
      <c r="AY112" s="166"/>
      <c r="AZ112" s="166"/>
      <c r="BA112" s="166"/>
      <c r="BB112" s="166"/>
      <c r="BC112" s="166"/>
      <c r="BD112" s="166"/>
      <c r="BE112" s="166"/>
      <c r="BF112" s="166"/>
      <c r="BG112" s="166"/>
      <c r="BH112" s="166"/>
      <c r="BI112" s="166"/>
      <c r="BJ112" s="166"/>
      <c r="BK112" s="166"/>
      <c r="BL112" s="166"/>
      <c r="BM112" s="166"/>
      <c r="BN112" s="166"/>
      <c r="BO112" s="166"/>
      <c r="BP112" s="166"/>
      <c r="BQ112" s="166"/>
      <c r="BR112" s="166"/>
      <c r="BS112" s="166"/>
      <c r="BT112" s="166"/>
      <c r="BU112" s="166"/>
      <c r="BV112" s="166"/>
      <c r="BW112" s="166"/>
      <c r="BX112" s="166"/>
      <c r="BY112" s="166"/>
      <c r="BZ112" s="166"/>
      <c r="CA112" s="166"/>
      <c r="CB112" s="166"/>
      <c r="CC112" s="166"/>
      <c r="CD112" s="166"/>
      <c r="CE112" s="166"/>
      <c r="CF112" s="166"/>
      <c r="CG112" s="166"/>
      <c r="CH112" s="166"/>
      <c r="CI112" s="166"/>
      <c r="CJ112" s="166"/>
      <c r="CK112" s="166"/>
      <c r="CL112" s="166"/>
      <c r="CM112" s="166"/>
      <c r="CN112" s="166"/>
      <c r="CO112" s="166"/>
      <c r="CP112" s="166"/>
      <c r="CQ112" s="166"/>
      <c r="CR112" s="166"/>
      <c r="CS112" s="160"/>
      <c r="CT112" s="85" t="s">
        <v>54</v>
      </c>
    </row>
    <row r="113" spans="1:98" hidden="1" x14ac:dyDescent="0.25">
      <c r="A113" s="97">
        <v>0</v>
      </c>
      <c r="B113" s="31">
        <f t="shared" si="30"/>
        <v>2013</v>
      </c>
      <c r="C113" s="101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59"/>
      <c r="AU113" s="159"/>
      <c r="AV113" s="159"/>
      <c r="AW113" s="159"/>
      <c r="AX113" s="159"/>
      <c r="AY113" s="159"/>
      <c r="AZ113" s="159"/>
      <c r="BA113" s="159"/>
      <c r="BB113" s="159"/>
      <c r="BC113" s="159"/>
      <c r="BD113" s="159"/>
      <c r="BE113" s="159"/>
      <c r="BF113" s="159"/>
      <c r="BG113" s="159"/>
      <c r="BH113" s="159"/>
      <c r="BI113" s="159"/>
      <c r="BJ113" s="159"/>
      <c r="BK113" s="159"/>
      <c r="BL113" s="159"/>
      <c r="BM113" s="159"/>
      <c r="BN113" s="159"/>
      <c r="BO113" s="159"/>
      <c r="BP113" s="159"/>
      <c r="BQ113" s="159"/>
      <c r="BR113" s="159"/>
      <c r="BS113" s="159"/>
      <c r="BT113" s="159"/>
      <c r="BU113" s="159"/>
      <c r="BV113" s="159"/>
      <c r="BW113" s="159"/>
      <c r="BX113" s="159"/>
      <c r="BY113" s="159"/>
      <c r="BZ113" s="159"/>
      <c r="CA113" s="159"/>
      <c r="CB113" s="159"/>
      <c r="CC113" s="159"/>
      <c r="CD113" s="159"/>
      <c r="CE113" s="159"/>
      <c r="CF113" s="159"/>
      <c r="CG113" s="159"/>
      <c r="CH113" s="159"/>
      <c r="CI113" s="159"/>
      <c r="CJ113" s="159"/>
      <c r="CK113" s="159"/>
      <c r="CL113" s="159"/>
      <c r="CM113" s="159"/>
      <c r="CN113" s="159"/>
      <c r="CO113" s="159"/>
      <c r="CP113" s="159"/>
      <c r="CQ113" s="159"/>
      <c r="CR113" s="159"/>
      <c r="CS113" s="167"/>
      <c r="CT113" s="11" t="s">
        <v>54</v>
      </c>
    </row>
    <row r="114" spans="1:98" hidden="1" x14ac:dyDescent="0.25">
      <c r="A114" s="97">
        <v>0</v>
      </c>
      <c r="B114" s="31">
        <f t="shared" si="30"/>
        <v>2014</v>
      </c>
      <c r="C114" s="101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9"/>
      <c r="AR114" s="159"/>
      <c r="AS114" s="159"/>
      <c r="AT114" s="159"/>
      <c r="AU114" s="159"/>
      <c r="AV114" s="159"/>
      <c r="AW114" s="159"/>
      <c r="AX114" s="159"/>
      <c r="AY114" s="159"/>
      <c r="AZ114" s="159"/>
      <c r="BA114" s="159"/>
      <c r="BB114" s="159"/>
      <c r="BC114" s="159"/>
      <c r="BD114" s="159"/>
      <c r="BE114" s="159"/>
      <c r="BF114" s="159"/>
      <c r="BG114" s="159"/>
      <c r="BH114" s="159"/>
      <c r="BI114" s="159"/>
      <c r="BJ114" s="159"/>
      <c r="BK114" s="159"/>
      <c r="BL114" s="159"/>
      <c r="BM114" s="159"/>
      <c r="BN114" s="159"/>
      <c r="BO114" s="159"/>
      <c r="BP114" s="159"/>
      <c r="BQ114" s="159"/>
      <c r="BR114" s="159"/>
      <c r="BS114" s="159"/>
      <c r="BT114" s="159"/>
      <c r="BU114" s="159"/>
      <c r="BV114" s="159"/>
      <c r="BW114" s="159"/>
      <c r="BX114" s="159"/>
      <c r="BY114" s="159"/>
      <c r="BZ114" s="159"/>
      <c r="CA114" s="159"/>
      <c r="CB114" s="159"/>
      <c r="CC114" s="159"/>
      <c r="CD114" s="159"/>
      <c r="CE114" s="159"/>
      <c r="CF114" s="159"/>
      <c r="CG114" s="159"/>
      <c r="CH114" s="159"/>
      <c r="CI114" s="159"/>
      <c r="CJ114" s="159"/>
      <c r="CK114" s="159"/>
      <c r="CL114" s="159"/>
      <c r="CM114" s="159"/>
      <c r="CN114" s="159"/>
      <c r="CO114" s="159"/>
      <c r="CP114" s="159"/>
      <c r="CQ114" s="159"/>
      <c r="CR114" s="159"/>
      <c r="CS114" s="167"/>
      <c r="CT114" s="11" t="s">
        <v>54</v>
      </c>
    </row>
    <row r="115" spans="1:98" hidden="1" x14ac:dyDescent="0.25">
      <c r="A115" s="97">
        <v>0</v>
      </c>
      <c r="B115" s="31">
        <f t="shared" si="30"/>
        <v>2015</v>
      </c>
      <c r="C115" s="101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  <c r="AI115" s="159"/>
      <c r="AJ115" s="159"/>
      <c r="AK115" s="159"/>
      <c r="AL115" s="159"/>
      <c r="AM115" s="159"/>
      <c r="AN115" s="159"/>
      <c r="AO115" s="159"/>
      <c r="AP115" s="159"/>
      <c r="AQ115" s="159"/>
      <c r="AR115" s="159"/>
      <c r="AS115" s="159"/>
      <c r="AT115" s="159"/>
      <c r="AU115" s="159"/>
      <c r="AV115" s="159"/>
      <c r="AW115" s="159"/>
      <c r="AX115" s="159"/>
      <c r="AY115" s="159"/>
      <c r="AZ115" s="159"/>
      <c r="BA115" s="159"/>
      <c r="BB115" s="159"/>
      <c r="BC115" s="159"/>
      <c r="BD115" s="159"/>
      <c r="BE115" s="159"/>
      <c r="BF115" s="159"/>
      <c r="BG115" s="159"/>
      <c r="BH115" s="159"/>
      <c r="BI115" s="159"/>
      <c r="BJ115" s="159"/>
      <c r="BK115" s="159"/>
      <c r="BL115" s="159"/>
      <c r="BM115" s="159"/>
      <c r="BN115" s="159"/>
      <c r="BO115" s="159"/>
      <c r="BP115" s="159"/>
      <c r="BQ115" s="159"/>
      <c r="BR115" s="159"/>
      <c r="BS115" s="159"/>
      <c r="BT115" s="159"/>
      <c r="BU115" s="159"/>
      <c r="BV115" s="159"/>
      <c r="BW115" s="159"/>
      <c r="BX115" s="159"/>
      <c r="BY115" s="159"/>
      <c r="BZ115" s="159"/>
      <c r="CA115" s="159"/>
      <c r="CB115" s="159"/>
      <c r="CC115" s="159"/>
      <c r="CD115" s="159"/>
      <c r="CE115" s="159"/>
      <c r="CF115" s="159"/>
      <c r="CG115" s="159"/>
      <c r="CH115" s="159"/>
      <c r="CI115" s="159"/>
      <c r="CJ115" s="159"/>
      <c r="CK115" s="159"/>
      <c r="CL115" s="159"/>
      <c r="CM115" s="159"/>
      <c r="CN115" s="159"/>
      <c r="CO115" s="159"/>
      <c r="CP115" s="159"/>
      <c r="CQ115" s="159"/>
      <c r="CR115" s="159"/>
      <c r="CS115" s="167"/>
      <c r="CT115" s="11" t="s">
        <v>54</v>
      </c>
    </row>
    <row r="116" spans="1:98" hidden="1" x14ac:dyDescent="0.25">
      <c r="A116" s="97">
        <v>0</v>
      </c>
      <c r="B116" s="31">
        <f t="shared" si="30"/>
        <v>2016</v>
      </c>
      <c r="C116" s="101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9"/>
      <c r="AR116" s="159"/>
      <c r="AS116" s="159"/>
      <c r="AT116" s="159"/>
      <c r="AU116" s="159"/>
      <c r="AV116" s="159"/>
      <c r="AW116" s="159"/>
      <c r="AX116" s="159"/>
      <c r="AY116" s="159"/>
      <c r="AZ116" s="159"/>
      <c r="BA116" s="159"/>
      <c r="BB116" s="159"/>
      <c r="BC116" s="159"/>
      <c r="BD116" s="159"/>
      <c r="BE116" s="159"/>
      <c r="BF116" s="159"/>
      <c r="BG116" s="159"/>
      <c r="BH116" s="159"/>
      <c r="BI116" s="159"/>
      <c r="BJ116" s="159"/>
      <c r="BK116" s="159"/>
      <c r="BL116" s="159"/>
      <c r="BM116" s="159"/>
      <c r="BN116" s="159"/>
      <c r="BO116" s="159"/>
      <c r="BP116" s="159"/>
      <c r="BQ116" s="159"/>
      <c r="BR116" s="159"/>
      <c r="BS116" s="159"/>
      <c r="BT116" s="159"/>
      <c r="BU116" s="159"/>
      <c r="BV116" s="159"/>
      <c r="BW116" s="159"/>
      <c r="BX116" s="159"/>
      <c r="BY116" s="159"/>
      <c r="BZ116" s="159"/>
      <c r="CA116" s="159"/>
      <c r="CB116" s="159"/>
      <c r="CC116" s="159"/>
      <c r="CD116" s="159"/>
      <c r="CE116" s="159"/>
      <c r="CF116" s="159"/>
      <c r="CG116" s="159"/>
      <c r="CH116" s="159"/>
      <c r="CI116" s="159"/>
      <c r="CJ116" s="159"/>
      <c r="CK116" s="159"/>
      <c r="CL116" s="159"/>
      <c r="CM116" s="159"/>
      <c r="CN116" s="159"/>
      <c r="CO116" s="159"/>
      <c r="CP116" s="159"/>
      <c r="CQ116" s="159"/>
      <c r="CR116" s="159"/>
      <c r="CS116" s="167"/>
      <c r="CT116" s="11" t="s">
        <v>54</v>
      </c>
    </row>
    <row r="117" spans="1:98" hidden="1" x14ac:dyDescent="0.25">
      <c r="A117" s="97">
        <v>0</v>
      </c>
      <c r="B117" s="31">
        <f t="shared" si="30"/>
        <v>2017</v>
      </c>
      <c r="C117" s="101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AV117" s="159"/>
      <c r="AW117" s="159"/>
      <c r="AX117" s="159"/>
      <c r="AY117" s="159"/>
      <c r="AZ117" s="159"/>
      <c r="BA117" s="159"/>
      <c r="BB117" s="159"/>
      <c r="BC117" s="159"/>
      <c r="BD117" s="159"/>
      <c r="BE117" s="159"/>
      <c r="BF117" s="159"/>
      <c r="BG117" s="159"/>
      <c r="BH117" s="159"/>
      <c r="BI117" s="159"/>
      <c r="BJ117" s="159"/>
      <c r="BK117" s="159"/>
      <c r="BL117" s="159"/>
      <c r="BM117" s="159"/>
      <c r="BN117" s="159"/>
      <c r="BO117" s="159"/>
      <c r="BP117" s="159"/>
      <c r="BQ117" s="159"/>
      <c r="BR117" s="159"/>
      <c r="BS117" s="159"/>
      <c r="BT117" s="159"/>
      <c r="BU117" s="159"/>
      <c r="BV117" s="159"/>
      <c r="BW117" s="159"/>
      <c r="BX117" s="159"/>
      <c r="BY117" s="159"/>
      <c r="BZ117" s="159"/>
      <c r="CA117" s="159"/>
      <c r="CB117" s="159"/>
      <c r="CC117" s="159"/>
      <c r="CD117" s="159"/>
      <c r="CE117" s="159"/>
      <c r="CF117" s="159"/>
      <c r="CG117" s="159"/>
      <c r="CH117" s="159"/>
      <c r="CI117" s="159"/>
      <c r="CJ117" s="159"/>
      <c r="CK117" s="159"/>
      <c r="CL117" s="159"/>
      <c r="CM117" s="159"/>
      <c r="CN117" s="159"/>
      <c r="CO117" s="159"/>
      <c r="CP117" s="159"/>
      <c r="CQ117" s="159"/>
      <c r="CR117" s="159"/>
      <c r="CS117" s="167"/>
      <c r="CT117" s="11" t="s">
        <v>54</v>
      </c>
    </row>
    <row r="118" spans="1:98" hidden="1" x14ac:dyDescent="0.25">
      <c r="A118" s="97">
        <v>0</v>
      </c>
      <c r="B118" s="31">
        <f t="shared" si="30"/>
        <v>2018</v>
      </c>
      <c r="C118" s="101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9"/>
      <c r="AR118" s="159"/>
      <c r="AS118" s="159"/>
      <c r="AT118" s="159"/>
      <c r="AU118" s="159"/>
      <c r="AV118" s="159"/>
      <c r="AW118" s="159"/>
      <c r="AX118" s="159"/>
      <c r="AY118" s="159"/>
      <c r="AZ118" s="159"/>
      <c r="BA118" s="159"/>
      <c r="BB118" s="159"/>
      <c r="BC118" s="159"/>
      <c r="BD118" s="159"/>
      <c r="BE118" s="159"/>
      <c r="BF118" s="159"/>
      <c r="BG118" s="159"/>
      <c r="BH118" s="159"/>
      <c r="BI118" s="159"/>
      <c r="BJ118" s="159"/>
      <c r="BK118" s="159"/>
      <c r="BL118" s="159"/>
      <c r="BM118" s="159"/>
      <c r="BN118" s="159"/>
      <c r="BO118" s="159"/>
      <c r="BP118" s="159"/>
      <c r="BQ118" s="159"/>
      <c r="BR118" s="159"/>
      <c r="BS118" s="159"/>
      <c r="BT118" s="159"/>
      <c r="BU118" s="159"/>
      <c r="BV118" s="159"/>
      <c r="BW118" s="159"/>
      <c r="BX118" s="159"/>
      <c r="BY118" s="159"/>
      <c r="BZ118" s="159"/>
      <c r="CA118" s="159"/>
      <c r="CB118" s="159"/>
      <c r="CC118" s="159"/>
      <c r="CD118" s="159"/>
      <c r="CE118" s="159"/>
      <c r="CF118" s="159"/>
      <c r="CG118" s="159"/>
      <c r="CH118" s="159"/>
      <c r="CI118" s="159"/>
      <c r="CJ118" s="159"/>
      <c r="CK118" s="159"/>
      <c r="CL118" s="159"/>
      <c r="CM118" s="159"/>
      <c r="CN118" s="159"/>
      <c r="CO118" s="159"/>
      <c r="CP118" s="159"/>
      <c r="CQ118" s="159"/>
      <c r="CR118" s="159"/>
      <c r="CS118" s="167"/>
      <c r="CT118" s="11" t="s">
        <v>54</v>
      </c>
    </row>
    <row r="119" spans="1:98" hidden="1" x14ac:dyDescent="0.25">
      <c r="A119" s="97">
        <v>0</v>
      </c>
      <c r="B119" s="80">
        <f t="shared" si="30"/>
        <v>2019</v>
      </c>
      <c r="C119" s="168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9"/>
      <c r="CT119" s="11" t="s">
        <v>54</v>
      </c>
    </row>
    <row r="120" spans="1:98" x14ac:dyDescent="0.25">
      <c r="A120" s="97">
        <v>1</v>
      </c>
      <c r="D120" s="42"/>
      <c r="E120" s="42"/>
      <c r="F120" s="42"/>
      <c r="G120" s="42"/>
      <c r="H120" s="42"/>
      <c r="I120" s="42"/>
    </row>
    <row r="121" spans="1:98" hidden="1" x14ac:dyDescent="0.25">
      <c r="A121" s="97">
        <f>A94</f>
        <v>0</v>
      </c>
      <c r="B121" s="19" t="s">
        <v>51</v>
      </c>
      <c r="E121" s="86">
        <f>MAX(D123:CS146)</f>
        <v>0</v>
      </c>
    </row>
    <row r="122" spans="1:98" hidden="1" x14ac:dyDescent="0.25">
      <c r="A122" s="97">
        <f>A95</f>
        <v>0</v>
      </c>
      <c r="B122" s="21" t="s">
        <v>2</v>
      </c>
      <c r="C122" s="163"/>
      <c r="D122" s="164" t="str">
        <f>D95</f>
        <v>2 / 1</v>
      </c>
      <c r="E122" s="164" t="str">
        <f t="shared" ref="E122:BP122" si="31">E95</f>
        <v>3 / 2</v>
      </c>
      <c r="F122" s="164" t="str">
        <f t="shared" si="31"/>
        <v>4 / 3</v>
      </c>
      <c r="G122" s="164" t="str">
        <f t="shared" si="31"/>
        <v>5 / 4</v>
      </c>
      <c r="H122" s="164" t="str">
        <f t="shared" si="31"/>
        <v>6 / 5</v>
      </c>
      <c r="I122" s="164" t="str">
        <f t="shared" si="31"/>
        <v>7 / 6</v>
      </c>
      <c r="J122" s="164" t="str">
        <f t="shared" si="31"/>
        <v>8 / 7</v>
      </c>
      <c r="K122" s="164" t="str">
        <f t="shared" si="31"/>
        <v>9 / 8</v>
      </c>
      <c r="L122" s="164" t="str">
        <f t="shared" si="31"/>
        <v>10 / 9</v>
      </c>
      <c r="M122" s="164" t="str">
        <f t="shared" si="31"/>
        <v>11 / 10</v>
      </c>
      <c r="N122" s="164" t="str">
        <f t="shared" si="31"/>
        <v>12 / 11</v>
      </c>
      <c r="O122" s="164" t="str">
        <f t="shared" si="31"/>
        <v>13 / 12</v>
      </c>
      <c r="P122" s="164" t="str">
        <f t="shared" si="31"/>
        <v>14 / 13</v>
      </c>
      <c r="Q122" s="164" t="str">
        <f t="shared" si="31"/>
        <v>15 / 14</v>
      </c>
      <c r="R122" s="164" t="str">
        <f t="shared" si="31"/>
        <v>16 / 15</v>
      </c>
      <c r="S122" s="164" t="str">
        <f t="shared" si="31"/>
        <v>17 / 16</v>
      </c>
      <c r="T122" s="164" t="str">
        <f t="shared" si="31"/>
        <v>18 / 17</v>
      </c>
      <c r="U122" s="164" t="str">
        <f t="shared" si="31"/>
        <v>19 / 18</v>
      </c>
      <c r="V122" s="164" t="str">
        <f t="shared" si="31"/>
        <v>20 / 19</v>
      </c>
      <c r="W122" s="164" t="str">
        <f t="shared" si="31"/>
        <v>21 / 20</v>
      </c>
      <c r="X122" s="164" t="str">
        <f t="shared" si="31"/>
        <v>22 / 21</v>
      </c>
      <c r="Y122" s="164" t="str">
        <f t="shared" si="31"/>
        <v>23 / 22</v>
      </c>
      <c r="Z122" s="164" t="str">
        <f t="shared" si="31"/>
        <v>24 / 23</v>
      </c>
      <c r="AA122" s="164" t="str">
        <f t="shared" si="31"/>
        <v>25 / 24</v>
      </c>
      <c r="AB122" s="164" t="str">
        <f t="shared" si="31"/>
        <v>26 / 25</v>
      </c>
      <c r="AC122" s="164" t="str">
        <f t="shared" si="31"/>
        <v>27 / 26</v>
      </c>
      <c r="AD122" s="164" t="str">
        <f t="shared" si="31"/>
        <v>28 / 27</v>
      </c>
      <c r="AE122" s="164" t="str">
        <f t="shared" si="31"/>
        <v>29 / 28</v>
      </c>
      <c r="AF122" s="164" t="str">
        <f t="shared" si="31"/>
        <v>30 / 29</v>
      </c>
      <c r="AG122" s="164" t="str">
        <f t="shared" si="31"/>
        <v>31 / 30</v>
      </c>
      <c r="AH122" s="164" t="str">
        <f t="shared" si="31"/>
        <v>32 / 31</v>
      </c>
      <c r="AI122" s="164" t="str">
        <f t="shared" si="31"/>
        <v>33 / 32</v>
      </c>
      <c r="AJ122" s="164" t="str">
        <f t="shared" si="31"/>
        <v>34 / 33</v>
      </c>
      <c r="AK122" s="164" t="str">
        <f t="shared" si="31"/>
        <v>35 / 34</v>
      </c>
      <c r="AL122" s="164" t="str">
        <f t="shared" si="31"/>
        <v>36 / 35</v>
      </c>
      <c r="AM122" s="164" t="str">
        <f t="shared" si="31"/>
        <v>37 / 36</v>
      </c>
      <c r="AN122" s="164" t="str">
        <f t="shared" si="31"/>
        <v>38 / 37</v>
      </c>
      <c r="AO122" s="164" t="str">
        <f t="shared" si="31"/>
        <v>39 / 38</v>
      </c>
      <c r="AP122" s="164" t="str">
        <f t="shared" si="31"/>
        <v>40 / 39</v>
      </c>
      <c r="AQ122" s="164" t="str">
        <f t="shared" si="31"/>
        <v>41 / 40</v>
      </c>
      <c r="AR122" s="164" t="str">
        <f t="shared" si="31"/>
        <v>42 / 41</v>
      </c>
      <c r="AS122" s="164" t="str">
        <f t="shared" si="31"/>
        <v>43 / 42</v>
      </c>
      <c r="AT122" s="164" t="str">
        <f t="shared" si="31"/>
        <v>44 / 43</v>
      </c>
      <c r="AU122" s="164" t="str">
        <f t="shared" si="31"/>
        <v>45 / 44</v>
      </c>
      <c r="AV122" s="164" t="str">
        <f t="shared" si="31"/>
        <v>46 / 45</v>
      </c>
      <c r="AW122" s="164" t="str">
        <f t="shared" si="31"/>
        <v>47 / 46</v>
      </c>
      <c r="AX122" s="164" t="str">
        <f t="shared" si="31"/>
        <v>48 / 47</v>
      </c>
      <c r="AY122" s="164" t="str">
        <f t="shared" si="31"/>
        <v>49 / 48</v>
      </c>
      <c r="AZ122" s="164" t="str">
        <f t="shared" si="31"/>
        <v>50 / 49</v>
      </c>
      <c r="BA122" s="164" t="str">
        <f t="shared" si="31"/>
        <v>51 / 50</v>
      </c>
      <c r="BB122" s="164" t="str">
        <f t="shared" si="31"/>
        <v>52 / 51</v>
      </c>
      <c r="BC122" s="164" t="str">
        <f t="shared" si="31"/>
        <v>53 / 52</v>
      </c>
      <c r="BD122" s="164" t="str">
        <f t="shared" si="31"/>
        <v>54 / 53</v>
      </c>
      <c r="BE122" s="164" t="str">
        <f t="shared" si="31"/>
        <v>55 / 54</v>
      </c>
      <c r="BF122" s="164" t="str">
        <f t="shared" si="31"/>
        <v>56 / 55</v>
      </c>
      <c r="BG122" s="164" t="str">
        <f t="shared" si="31"/>
        <v>57 / 56</v>
      </c>
      <c r="BH122" s="164" t="str">
        <f t="shared" si="31"/>
        <v>58 / 57</v>
      </c>
      <c r="BI122" s="164" t="str">
        <f t="shared" si="31"/>
        <v>59 / 58</v>
      </c>
      <c r="BJ122" s="164" t="str">
        <f t="shared" si="31"/>
        <v>60 / 59</v>
      </c>
      <c r="BK122" s="164" t="str">
        <f t="shared" si="31"/>
        <v>61 / 60</v>
      </c>
      <c r="BL122" s="164" t="str">
        <f t="shared" si="31"/>
        <v>62 / 61</v>
      </c>
      <c r="BM122" s="164" t="str">
        <f t="shared" si="31"/>
        <v>63 / 62</v>
      </c>
      <c r="BN122" s="164" t="str">
        <f t="shared" si="31"/>
        <v>64 / 63</v>
      </c>
      <c r="BO122" s="164" t="str">
        <f t="shared" si="31"/>
        <v>65 / 64</v>
      </c>
      <c r="BP122" s="164" t="str">
        <f t="shared" si="31"/>
        <v>66 / 65</v>
      </c>
      <c r="BQ122" s="164" t="str">
        <f t="shared" ref="BQ122:CS122" si="32">BQ95</f>
        <v>67 / 66</v>
      </c>
      <c r="BR122" s="164" t="str">
        <f t="shared" si="32"/>
        <v>68 / 67</v>
      </c>
      <c r="BS122" s="164" t="str">
        <f t="shared" si="32"/>
        <v>69 / 68</v>
      </c>
      <c r="BT122" s="164" t="str">
        <f t="shared" si="32"/>
        <v>70 / 69</v>
      </c>
      <c r="BU122" s="164" t="str">
        <f t="shared" si="32"/>
        <v>71 / 70</v>
      </c>
      <c r="BV122" s="164" t="str">
        <f t="shared" si="32"/>
        <v>72 / 71</v>
      </c>
      <c r="BW122" s="164" t="str">
        <f t="shared" si="32"/>
        <v>73 / 72</v>
      </c>
      <c r="BX122" s="164" t="str">
        <f t="shared" si="32"/>
        <v>74 / 73</v>
      </c>
      <c r="BY122" s="164" t="str">
        <f t="shared" si="32"/>
        <v>75 / 74</v>
      </c>
      <c r="BZ122" s="164" t="str">
        <f t="shared" si="32"/>
        <v>76 / 75</v>
      </c>
      <c r="CA122" s="164" t="str">
        <f t="shared" si="32"/>
        <v>77 / 76</v>
      </c>
      <c r="CB122" s="164" t="str">
        <f t="shared" si="32"/>
        <v>78 / 77</v>
      </c>
      <c r="CC122" s="164" t="str">
        <f t="shared" si="32"/>
        <v>79 / 78</v>
      </c>
      <c r="CD122" s="164" t="str">
        <f t="shared" si="32"/>
        <v>80 / 79</v>
      </c>
      <c r="CE122" s="164" t="str">
        <f t="shared" si="32"/>
        <v>81 / 80</v>
      </c>
      <c r="CF122" s="164" t="str">
        <f t="shared" si="32"/>
        <v>82 / 81</v>
      </c>
      <c r="CG122" s="164" t="str">
        <f t="shared" si="32"/>
        <v>83 / 82</v>
      </c>
      <c r="CH122" s="164" t="str">
        <f t="shared" si="32"/>
        <v>84 / 83</v>
      </c>
      <c r="CI122" s="164" t="str">
        <f t="shared" si="32"/>
        <v>85 / 84</v>
      </c>
      <c r="CJ122" s="164" t="str">
        <f t="shared" si="32"/>
        <v>86 / 85</v>
      </c>
      <c r="CK122" s="164" t="str">
        <f t="shared" si="32"/>
        <v>87 / 86</v>
      </c>
      <c r="CL122" s="164" t="str">
        <f t="shared" si="32"/>
        <v>88 / 87</v>
      </c>
      <c r="CM122" s="164" t="str">
        <f t="shared" si="32"/>
        <v>89 / 88</v>
      </c>
      <c r="CN122" s="164" t="str">
        <f t="shared" si="32"/>
        <v>90 / 89</v>
      </c>
      <c r="CO122" s="164" t="str">
        <f t="shared" si="32"/>
        <v>91 / 90</v>
      </c>
      <c r="CP122" s="164" t="str">
        <f t="shared" si="32"/>
        <v>92 / 91</v>
      </c>
      <c r="CQ122" s="164" t="str">
        <f t="shared" si="32"/>
        <v>93 / 92</v>
      </c>
      <c r="CR122" s="164" t="str">
        <f t="shared" si="32"/>
        <v>94 / 93</v>
      </c>
      <c r="CS122" s="165" t="str">
        <f t="shared" si="32"/>
        <v>95 / 94</v>
      </c>
      <c r="CT122" s="11" t="s">
        <v>54</v>
      </c>
    </row>
    <row r="123" spans="1:98" hidden="1" x14ac:dyDescent="0.25">
      <c r="A123" s="97">
        <f>A94</f>
        <v>0</v>
      </c>
      <c r="B123" s="31">
        <f t="shared" ref="B123:B146" si="33">B150</f>
        <v>1996</v>
      </c>
      <c r="C123" s="101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  <c r="CD123" s="33"/>
      <c r="CE123" s="33"/>
      <c r="CF123" s="33"/>
      <c r="CG123" s="33"/>
      <c r="CH123" s="33"/>
      <c r="CI123" s="33"/>
      <c r="CJ123" s="33"/>
      <c r="CK123" s="33"/>
      <c r="CL123" s="33"/>
      <c r="CM123" s="33"/>
      <c r="CN123" s="33"/>
      <c r="CO123" s="33"/>
      <c r="CP123" s="33"/>
      <c r="CQ123" s="33"/>
      <c r="CR123" s="33"/>
      <c r="CS123" s="32"/>
      <c r="CT123" s="85" t="s">
        <v>54</v>
      </c>
    </row>
    <row r="124" spans="1:98" hidden="1" x14ac:dyDescent="0.25">
      <c r="A124" s="97">
        <f>A95</f>
        <v>0</v>
      </c>
      <c r="B124" s="31">
        <f t="shared" si="33"/>
        <v>1997</v>
      </c>
      <c r="C124" s="101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  <c r="CD124" s="33"/>
      <c r="CE124" s="33"/>
      <c r="CF124" s="33"/>
      <c r="CG124" s="33"/>
      <c r="CH124" s="33"/>
      <c r="CI124" s="33"/>
      <c r="CJ124" s="33"/>
      <c r="CK124" s="33"/>
      <c r="CL124" s="33"/>
      <c r="CM124" s="33"/>
      <c r="CN124" s="33"/>
      <c r="CO124" s="33"/>
      <c r="CP124" s="33"/>
      <c r="CQ124" s="33"/>
      <c r="CR124" s="33"/>
      <c r="CS124" s="32"/>
      <c r="CT124" s="85" t="s">
        <v>54</v>
      </c>
    </row>
    <row r="125" spans="1:98" hidden="1" x14ac:dyDescent="0.25">
      <c r="A125" s="97">
        <f>A96</f>
        <v>0</v>
      </c>
      <c r="B125" s="31">
        <f t="shared" si="33"/>
        <v>1998</v>
      </c>
      <c r="C125" s="101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2"/>
      <c r="CT125" s="85" t="s">
        <v>54</v>
      </c>
    </row>
    <row r="126" spans="1:98" hidden="1" x14ac:dyDescent="0.25">
      <c r="A126" s="97">
        <f>A97</f>
        <v>0</v>
      </c>
      <c r="B126" s="31">
        <f t="shared" si="33"/>
        <v>1999</v>
      </c>
      <c r="C126" s="101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2"/>
      <c r="CT126" s="85" t="s">
        <v>54</v>
      </c>
    </row>
    <row r="127" spans="1:98" hidden="1" x14ac:dyDescent="0.25">
      <c r="A127" s="97">
        <f>A98</f>
        <v>0</v>
      </c>
      <c r="B127" s="31">
        <f t="shared" si="33"/>
        <v>2000</v>
      </c>
      <c r="C127" s="101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2"/>
      <c r="CT127" s="85" t="s">
        <v>54</v>
      </c>
    </row>
    <row r="128" spans="1:98" hidden="1" x14ac:dyDescent="0.25">
      <c r="A128" s="97">
        <f t="shared" ref="A128:A144" si="34">A101</f>
        <v>0</v>
      </c>
      <c r="B128" s="31">
        <f t="shared" si="33"/>
        <v>2001</v>
      </c>
      <c r="C128" s="101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2"/>
      <c r="CT128" s="85" t="s">
        <v>54</v>
      </c>
    </row>
    <row r="129" spans="1:98" hidden="1" x14ac:dyDescent="0.25">
      <c r="A129" s="97">
        <f t="shared" si="34"/>
        <v>0</v>
      </c>
      <c r="B129" s="31">
        <f t="shared" si="33"/>
        <v>2002</v>
      </c>
      <c r="C129" s="101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2"/>
      <c r="CT129" s="85" t="s">
        <v>54</v>
      </c>
    </row>
    <row r="130" spans="1:98" hidden="1" x14ac:dyDescent="0.25">
      <c r="A130" s="97">
        <f t="shared" si="34"/>
        <v>0</v>
      </c>
      <c r="B130" s="31">
        <f t="shared" si="33"/>
        <v>2003</v>
      </c>
      <c r="C130" s="101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2"/>
      <c r="CT130" s="85" t="s">
        <v>54</v>
      </c>
    </row>
    <row r="131" spans="1:98" hidden="1" x14ac:dyDescent="0.25">
      <c r="A131" s="97">
        <f t="shared" si="34"/>
        <v>0</v>
      </c>
      <c r="B131" s="31">
        <f t="shared" si="33"/>
        <v>2004</v>
      </c>
      <c r="C131" s="101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2"/>
      <c r="CT131" s="85" t="s">
        <v>54</v>
      </c>
    </row>
    <row r="132" spans="1:98" hidden="1" x14ac:dyDescent="0.25">
      <c r="A132" s="97">
        <f t="shared" si="34"/>
        <v>0</v>
      </c>
      <c r="B132" s="31">
        <f t="shared" si="33"/>
        <v>2005</v>
      </c>
      <c r="C132" s="101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2"/>
      <c r="CT132" s="85" t="s">
        <v>54</v>
      </c>
    </row>
    <row r="133" spans="1:98" hidden="1" x14ac:dyDescent="0.25">
      <c r="A133" s="97">
        <f t="shared" si="34"/>
        <v>0</v>
      </c>
      <c r="B133" s="31">
        <f t="shared" si="33"/>
        <v>2006</v>
      </c>
      <c r="C133" s="101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2"/>
      <c r="CT133" s="85" t="s">
        <v>54</v>
      </c>
    </row>
    <row r="134" spans="1:98" hidden="1" x14ac:dyDescent="0.25">
      <c r="A134" s="97">
        <f t="shared" si="34"/>
        <v>0</v>
      </c>
      <c r="B134" s="31">
        <f t="shared" si="33"/>
        <v>2007</v>
      </c>
      <c r="C134" s="101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2"/>
      <c r="CT134" s="85" t="s">
        <v>54</v>
      </c>
    </row>
    <row r="135" spans="1:98" hidden="1" x14ac:dyDescent="0.25">
      <c r="A135" s="97">
        <f t="shared" si="34"/>
        <v>0</v>
      </c>
      <c r="B135" s="31">
        <f t="shared" si="33"/>
        <v>2008</v>
      </c>
      <c r="C135" s="101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2"/>
      <c r="CT135" s="85" t="s">
        <v>54</v>
      </c>
    </row>
    <row r="136" spans="1:98" hidden="1" x14ac:dyDescent="0.25">
      <c r="A136" s="97">
        <f t="shared" si="34"/>
        <v>0</v>
      </c>
      <c r="B136" s="31">
        <f t="shared" si="33"/>
        <v>2009</v>
      </c>
      <c r="C136" s="101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2"/>
      <c r="CT136" s="85" t="s">
        <v>54</v>
      </c>
    </row>
    <row r="137" spans="1:98" hidden="1" x14ac:dyDescent="0.25">
      <c r="A137" s="97">
        <f t="shared" si="34"/>
        <v>0</v>
      </c>
      <c r="B137" s="31">
        <f t="shared" si="33"/>
        <v>2010</v>
      </c>
      <c r="C137" s="101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2"/>
      <c r="CT137" s="85" t="s">
        <v>54</v>
      </c>
    </row>
    <row r="138" spans="1:98" hidden="1" x14ac:dyDescent="0.25">
      <c r="A138" s="97">
        <f t="shared" si="34"/>
        <v>0</v>
      </c>
      <c r="B138" s="31">
        <f t="shared" si="33"/>
        <v>2011</v>
      </c>
      <c r="C138" s="101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2"/>
      <c r="CT138" s="85" t="s">
        <v>54</v>
      </c>
    </row>
    <row r="139" spans="1:98" hidden="1" x14ac:dyDescent="0.25">
      <c r="A139" s="97">
        <f t="shared" si="34"/>
        <v>0</v>
      </c>
      <c r="B139" s="31">
        <f t="shared" si="33"/>
        <v>2012</v>
      </c>
      <c r="C139" s="101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2"/>
      <c r="CT139" s="85" t="s">
        <v>54</v>
      </c>
    </row>
    <row r="140" spans="1:98" hidden="1" x14ac:dyDescent="0.25">
      <c r="A140" s="97">
        <f t="shared" si="34"/>
        <v>0</v>
      </c>
      <c r="B140" s="31">
        <f t="shared" si="33"/>
        <v>2013</v>
      </c>
      <c r="C140" s="101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2"/>
      <c r="CT140" s="11" t="s">
        <v>54</v>
      </c>
    </row>
    <row r="141" spans="1:98" hidden="1" x14ac:dyDescent="0.25">
      <c r="A141" s="97">
        <f t="shared" si="34"/>
        <v>0</v>
      </c>
      <c r="B141" s="31">
        <f t="shared" si="33"/>
        <v>2014</v>
      </c>
      <c r="C141" s="101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2"/>
      <c r="CT141" s="11" t="s">
        <v>54</v>
      </c>
    </row>
    <row r="142" spans="1:98" hidden="1" x14ac:dyDescent="0.25">
      <c r="A142" s="97">
        <f t="shared" si="34"/>
        <v>0</v>
      </c>
      <c r="B142" s="31">
        <f t="shared" si="33"/>
        <v>2015</v>
      </c>
      <c r="C142" s="101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2"/>
      <c r="CT142" s="11" t="s">
        <v>54</v>
      </c>
    </row>
    <row r="143" spans="1:98" hidden="1" x14ac:dyDescent="0.25">
      <c r="A143" s="97">
        <f t="shared" si="34"/>
        <v>0</v>
      </c>
      <c r="B143" s="31">
        <f t="shared" si="33"/>
        <v>2016</v>
      </c>
      <c r="C143" s="101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2"/>
      <c r="CT143" s="11" t="s">
        <v>54</v>
      </c>
    </row>
    <row r="144" spans="1:98" hidden="1" x14ac:dyDescent="0.25">
      <c r="A144" s="97">
        <f t="shared" si="34"/>
        <v>0</v>
      </c>
      <c r="B144" s="31">
        <f t="shared" si="33"/>
        <v>2017</v>
      </c>
      <c r="C144" s="101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2"/>
      <c r="CT144" s="11" t="s">
        <v>54</v>
      </c>
    </row>
    <row r="145" spans="1:98" ht="15.75" hidden="1" customHeight="1" x14ac:dyDescent="0.25">
      <c r="A145" s="97">
        <v>0</v>
      </c>
      <c r="B145" s="31">
        <f t="shared" si="33"/>
        <v>2018</v>
      </c>
      <c r="C145" s="101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2"/>
      <c r="CT145" s="11" t="s">
        <v>54</v>
      </c>
    </row>
    <row r="146" spans="1:98" ht="15.75" hidden="1" customHeight="1" x14ac:dyDescent="0.25">
      <c r="A146" s="97">
        <f>A118</f>
        <v>0</v>
      </c>
      <c r="B146" s="80">
        <f t="shared" si="33"/>
        <v>2019</v>
      </c>
      <c r="C146" s="168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J146" s="36"/>
      <c r="AK146" s="36"/>
      <c r="AL146" s="36"/>
      <c r="AM146" s="36"/>
      <c r="AN146" s="36"/>
      <c r="AO146" s="36"/>
      <c r="AP146" s="36"/>
      <c r="AQ146" s="36"/>
      <c r="AR146" s="36"/>
      <c r="AS146" s="36"/>
      <c r="AT146" s="36"/>
      <c r="AU146" s="36"/>
      <c r="AV146" s="36"/>
      <c r="AW146" s="36"/>
      <c r="AX146" s="36"/>
      <c r="AY146" s="36"/>
      <c r="AZ146" s="36"/>
      <c r="BA146" s="36"/>
      <c r="BB146" s="36"/>
      <c r="BC146" s="36"/>
      <c r="BD146" s="36"/>
      <c r="BE146" s="36"/>
      <c r="BF146" s="36"/>
      <c r="BG146" s="36"/>
      <c r="BH146" s="36"/>
      <c r="BI146" s="36"/>
      <c r="BJ146" s="36"/>
      <c r="BK146" s="36"/>
      <c r="BL146" s="36"/>
      <c r="BM146" s="36"/>
      <c r="BN146" s="36"/>
      <c r="BO146" s="36"/>
      <c r="BP146" s="36"/>
      <c r="BQ146" s="36"/>
      <c r="BR146" s="36"/>
      <c r="BS146" s="36"/>
      <c r="BT146" s="36"/>
      <c r="BU146" s="36"/>
      <c r="BV146" s="36"/>
      <c r="BW146" s="36"/>
      <c r="BX146" s="36"/>
      <c r="BY146" s="36"/>
      <c r="BZ146" s="36"/>
      <c r="CA146" s="36"/>
      <c r="CB146" s="36"/>
      <c r="CC146" s="36"/>
      <c r="CD146" s="36"/>
      <c r="CE146" s="36"/>
      <c r="CF146" s="36"/>
      <c r="CG146" s="36"/>
      <c r="CH146" s="36"/>
      <c r="CI146" s="36"/>
      <c r="CJ146" s="36"/>
      <c r="CK146" s="36"/>
      <c r="CL146" s="36"/>
      <c r="CM146" s="36"/>
      <c r="CN146" s="36"/>
      <c r="CO146" s="36"/>
      <c r="CP146" s="36"/>
      <c r="CQ146" s="36"/>
      <c r="CR146" s="36"/>
      <c r="CS146" s="37"/>
      <c r="CT146" s="11" t="s">
        <v>54</v>
      </c>
    </row>
    <row r="147" spans="1:98" ht="15.75" hidden="1" customHeight="1" x14ac:dyDescent="0.25">
      <c r="A147" s="97">
        <f>A119</f>
        <v>0</v>
      </c>
      <c r="B147" s="25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</row>
    <row r="148" spans="1:98" hidden="1" x14ac:dyDescent="0.25">
      <c r="A148" s="97">
        <f>A14</f>
        <v>0</v>
      </c>
      <c r="B148" s="19" t="s">
        <v>53</v>
      </c>
    </row>
    <row r="149" spans="1:98" hidden="1" x14ac:dyDescent="0.25">
      <c r="A149" s="97">
        <v>0</v>
      </c>
      <c r="B149" s="170" t="str">
        <f>B68</f>
        <v>UY</v>
      </c>
      <c r="C149" s="163"/>
      <c r="D149" s="164" t="str">
        <f t="shared" ref="D149:BO149" si="35">D68</f>
        <v>2 / 1</v>
      </c>
      <c r="E149" s="164" t="str">
        <f t="shared" si="35"/>
        <v>3 / 2</v>
      </c>
      <c r="F149" s="164" t="str">
        <f t="shared" si="35"/>
        <v>4 / 3</v>
      </c>
      <c r="G149" s="164" t="str">
        <f t="shared" si="35"/>
        <v>5 / 4</v>
      </c>
      <c r="H149" s="164" t="str">
        <f t="shared" si="35"/>
        <v>6 / 5</v>
      </c>
      <c r="I149" s="164" t="str">
        <f t="shared" si="35"/>
        <v>7 / 6</v>
      </c>
      <c r="J149" s="164" t="str">
        <f t="shared" si="35"/>
        <v>8 / 7</v>
      </c>
      <c r="K149" s="164" t="str">
        <f t="shared" si="35"/>
        <v>9 / 8</v>
      </c>
      <c r="L149" s="164" t="str">
        <f t="shared" si="35"/>
        <v>10 / 9</v>
      </c>
      <c r="M149" s="164" t="str">
        <f t="shared" si="35"/>
        <v>11 / 10</v>
      </c>
      <c r="N149" s="164" t="str">
        <f t="shared" si="35"/>
        <v>12 / 11</v>
      </c>
      <c r="O149" s="164" t="str">
        <f t="shared" si="35"/>
        <v>13 / 12</v>
      </c>
      <c r="P149" s="164" t="str">
        <f t="shared" si="35"/>
        <v>14 / 13</v>
      </c>
      <c r="Q149" s="164" t="str">
        <f t="shared" si="35"/>
        <v>15 / 14</v>
      </c>
      <c r="R149" s="164" t="str">
        <f t="shared" si="35"/>
        <v>16 / 15</v>
      </c>
      <c r="S149" s="164" t="str">
        <f t="shared" si="35"/>
        <v>17 / 16</v>
      </c>
      <c r="T149" s="164" t="str">
        <f t="shared" si="35"/>
        <v>18 / 17</v>
      </c>
      <c r="U149" s="164" t="str">
        <f t="shared" si="35"/>
        <v>19 / 18</v>
      </c>
      <c r="V149" s="164" t="str">
        <f t="shared" si="35"/>
        <v>20 / 19</v>
      </c>
      <c r="W149" s="164" t="str">
        <f t="shared" si="35"/>
        <v>21 / 20</v>
      </c>
      <c r="X149" s="164" t="str">
        <f t="shared" si="35"/>
        <v>22 / 21</v>
      </c>
      <c r="Y149" s="164" t="str">
        <f t="shared" si="35"/>
        <v>23 / 22</v>
      </c>
      <c r="Z149" s="164" t="str">
        <f t="shared" si="35"/>
        <v>24 / 23</v>
      </c>
      <c r="AA149" s="164" t="str">
        <f t="shared" si="35"/>
        <v>25 / 24</v>
      </c>
      <c r="AB149" s="164" t="str">
        <f t="shared" si="35"/>
        <v>26 / 25</v>
      </c>
      <c r="AC149" s="164" t="str">
        <f t="shared" si="35"/>
        <v>27 / 26</v>
      </c>
      <c r="AD149" s="164" t="str">
        <f t="shared" si="35"/>
        <v>28 / 27</v>
      </c>
      <c r="AE149" s="164" t="str">
        <f t="shared" si="35"/>
        <v>29 / 28</v>
      </c>
      <c r="AF149" s="164" t="str">
        <f t="shared" si="35"/>
        <v>30 / 29</v>
      </c>
      <c r="AG149" s="164" t="str">
        <f t="shared" si="35"/>
        <v>31 / 30</v>
      </c>
      <c r="AH149" s="164" t="str">
        <f t="shared" si="35"/>
        <v>32 / 31</v>
      </c>
      <c r="AI149" s="164" t="str">
        <f t="shared" si="35"/>
        <v>33 / 32</v>
      </c>
      <c r="AJ149" s="164" t="str">
        <f t="shared" si="35"/>
        <v>34 / 33</v>
      </c>
      <c r="AK149" s="164" t="str">
        <f t="shared" si="35"/>
        <v>35 / 34</v>
      </c>
      <c r="AL149" s="164" t="str">
        <f t="shared" si="35"/>
        <v>36 / 35</v>
      </c>
      <c r="AM149" s="164" t="str">
        <f t="shared" si="35"/>
        <v>37 / 36</v>
      </c>
      <c r="AN149" s="164" t="str">
        <f t="shared" si="35"/>
        <v>38 / 37</v>
      </c>
      <c r="AO149" s="164" t="str">
        <f t="shared" si="35"/>
        <v>39 / 38</v>
      </c>
      <c r="AP149" s="164" t="str">
        <f t="shared" si="35"/>
        <v>40 / 39</v>
      </c>
      <c r="AQ149" s="164" t="str">
        <f t="shared" si="35"/>
        <v>41 / 40</v>
      </c>
      <c r="AR149" s="164" t="str">
        <f t="shared" si="35"/>
        <v>42 / 41</v>
      </c>
      <c r="AS149" s="164" t="str">
        <f t="shared" si="35"/>
        <v>43 / 42</v>
      </c>
      <c r="AT149" s="164" t="str">
        <f t="shared" si="35"/>
        <v>44 / 43</v>
      </c>
      <c r="AU149" s="164" t="str">
        <f t="shared" si="35"/>
        <v>45 / 44</v>
      </c>
      <c r="AV149" s="164" t="str">
        <f t="shared" si="35"/>
        <v>46 / 45</v>
      </c>
      <c r="AW149" s="164" t="str">
        <f t="shared" si="35"/>
        <v>47 / 46</v>
      </c>
      <c r="AX149" s="164" t="str">
        <f t="shared" si="35"/>
        <v>48 / 47</v>
      </c>
      <c r="AY149" s="164" t="str">
        <f t="shared" si="35"/>
        <v>49 / 48</v>
      </c>
      <c r="AZ149" s="164" t="str">
        <f t="shared" si="35"/>
        <v>50 / 49</v>
      </c>
      <c r="BA149" s="164" t="str">
        <f t="shared" si="35"/>
        <v>51 / 50</v>
      </c>
      <c r="BB149" s="164" t="str">
        <f t="shared" si="35"/>
        <v>52 / 51</v>
      </c>
      <c r="BC149" s="164" t="str">
        <f t="shared" si="35"/>
        <v>53 / 52</v>
      </c>
      <c r="BD149" s="164" t="str">
        <f t="shared" si="35"/>
        <v>54 / 53</v>
      </c>
      <c r="BE149" s="164" t="str">
        <f t="shared" si="35"/>
        <v>55 / 54</v>
      </c>
      <c r="BF149" s="164" t="str">
        <f t="shared" si="35"/>
        <v>56 / 55</v>
      </c>
      <c r="BG149" s="164" t="str">
        <f t="shared" si="35"/>
        <v>57 / 56</v>
      </c>
      <c r="BH149" s="164" t="str">
        <f t="shared" si="35"/>
        <v>58 / 57</v>
      </c>
      <c r="BI149" s="164" t="str">
        <f t="shared" si="35"/>
        <v>59 / 58</v>
      </c>
      <c r="BJ149" s="164" t="str">
        <f t="shared" si="35"/>
        <v>60 / 59</v>
      </c>
      <c r="BK149" s="164" t="str">
        <f t="shared" si="35"/>
        <v>61 / 60</v>
      </c>
      <c r="BL149" s="164" t="str">
        <f t="shared" si="35"/>
        <v>62 / 61</v>
      </c>
      <c r="BM149" s="164" t="str">
        <f t="shared" si="35"/>
        <v>63 / 62</v>
      </c>
      <c r="BN149" s="164" t="str">
        <f t="shared" si="35"/>
        <v>64 / 63</v>
      </c>
      <c r="BO149" s="164" t="str">
        <f t="shared" si="35"/>
        <v>65 / 64</v>
      </c>
      <c r="BP149" s="164" t="str">
        <f t="shared" ref="BP149:CS149" si="36">BP68</f>
        <v>66 / 65</v>
      </c>
      <c r="BQ149" s="164" t="str">
        <f t="shared" si="36"/>
        <v>67 / 66</v>
      </c>
      <c r="BR149" s="164" t="str">
        <f t="shared" si="36"/>
        <v>68 / 67</v>
      </c>
      <c r="BS149" s="164" t="str">
        <f t="shared" si="36"/>
        <v>69 / 68</v>
      </c>
      <c r="BT149" s="164" t="str">
        <f t="shared" si="36"/>
        <v>70 / 69</v>
      </c>
      <c r="BU149" s="164" t="str">
        <f t="shared" si="36"/>
        <v>71 / 70</v>
      </c>
      <c r="BV149" s="164" t="str">
        <f t="shared" si="36"/>
        <v>72 / 71</v>
      </c>
      <c r="BW149" s="164" t="str">
        <f t="shared" si="36"/>
        <v>73 / 72</v>
      </c>
      <c r="BX149" s="164" t="str">
        <f t="shared" si="36"/>
        <v>74 / 73</v>
      </c>
      <c r="BY149" s="164" t="str">
        <f t="shared" si="36"/>
        <v>75 / 74</v>
      </c>
      <c r="BZ149" s="164" t="str">
        <f t="shared" si="36"/>
        <v>76 / 75</v>
      </c>
      <c r="CA149" s="164" t="str">
        <f t="shared" si="36"/>
        <v>77 / 76</v>
      </c>
      <c r="CB149" s="164" t="str">
        <f t="shared" si="36"/>
        <v>78 / 77</v>
      </c>
      <c r="CC149" s="164" t="str">
        <f t="shared" si="36"/>
        <v>79 / 78</v>
      </c>
      <c r="CD149" s="164" t="str">
        <f t="shared" si="36"/>
        <v>80 / 79</v>
      </c>
      <c r="CE149" s="164" t="str">
        <f t="shared" si="36"/>
        <v>81 / 80</v>
      </c>
      <c r="CF149" s="164" t="str">
        <f t="shared" si="36"/>
        <v>82 / 81</v>
      </c>
      <c r="CG149" s="164" t="str">
        <f t="shared" si="36"/>
        <v>83 / 82</v>
      </c>
      <c r="CH149" s="164" t="str">
        <f t="shared" si="36"/>
        <v>84 / 83</v>
      </c>
      <c r="CI149" s="164" t="str">
        <f t="shared" si="36"/>
        <v>85 / 84</v>
      </c>
      <c r="CJ149" s="164" t="str">
        <f t="shared" si="36"/>
        <v>86 / 85</v>
      </c>
      <c r="CK149" s="164" t="str">
        <f t="shared" si="36"/>
        <v>87 / 86</v>
      </c>
      <c r="CL149" s="164" t="str">
        <f t="shared" si="36"/>
        <v>88 / 87</v>
      </c>
      <c r="CM149" s="164" t="str">
        <f t="shared" si="36"/>
        <v>89 / 88</v>
      </c>
      <c r="CN149" s="164" t="str">
        <f t="shared" si="36"/>
        <v>90 / 89</v>
      </c>
      <c r="CO149" s="164" t="str">
        <f t="shared" si="36"/>
        <v>91 / 90</v>
      </c>
      <c r="CP149" s="164" t="str">
        <f t="shared" si="36"/>
        <v>92 / 91</v>
      </c>
      <c r="CQ149" s="164" t="str">
        <f t="shared" si="36"/>
        <v>93 / 92</v>
      </c>
      <c r="CR149" s="164" t="str">
        <f t="shared" si="36"/>
        <v>94 / 93</v>
      </c>
      <c r="CS149" s="165" t="str">
        <f t="shared" si="36"/>
        <v>95 / 94</v>
      </c>
      <c r="CT149" s="11" t="s">
        <v>54</v>
      </c>
    </row>
    <row r="150" spans="1:98" hidden="1" x14ac:dyDescent="0.25">
      <c r="A150" s="97">
        <v>0</v>
      </c>
      <c r="B150" s="90">
        <f t="shared" ref="B150:B173" si="37">B14</f>
        <v>1996</v>
      </c>
      <c r="C150" s="101"/>
      <c r="D150" s="171">
        <f t="shared" ref="D150:AI150" si="38">IF(D123="",1,0)*IF(D96="",1,0)*SUM(D42)*IF(D69="",0,1)</f>
        <v>0</v>
      </c>
      <c r="E150" s="171">
        <f t="shared" si="38"/>
        <v>0</v>
      </c>
      <c r="F150" s="171">
        <f t="shared" si="38"/>
        <v>0</v>
      </c>
      <c r="G150" s="171">
        <f t="shared" si="38"/>
        <v>0</v>
      </c>
      <c r="H150" s="171">
        <f t="shared" si="38"/>
        <v>0</v>
      </c>
      <c r="I150" s="171">
        <f t="shared" si="38"/>
        <v>0</v>
      </c>
      <c r="J150" s="171">
        <f t="shared" si="38"/>
        <v>0</v>
      </c>
      <c r="K150" s="171">
        <f t="shared" si="38"/>
        <v>0</v>
      </c>
      <c r="L150" s="171">
        <f t="shared" si="38"/>
        <v>0</v>
      </c>
      <c r="M150" s="171">
        <f t="shared" si="38"/>
        <v>0</v>
      </c>
      <c r="N150" s="171">
        <f t="shared" si="38"/>
        <v>0</v>
      </c>
      <c r="O150" s="171">
        <f t="shared" si="38"/>
        <v>0</v>
      </c>
      <c r="P150" s="171">
        <f t="shared" si="38"/>
        <v>0</v>
      </c>
      <c r="Q150" s="171">
        <f t="shared" si="38"/>
        <v>0</v>
      </c>
      <c r="R150" s="171">
        <f t="shared" si="38"/>
        <v>0</v>
      </c>
      <c r="S150" s="171">
        <f t="shared" si="38"/>
        <v>0</v>
      </c>
      <c r="T150" s="171">
        <f t="shared" si="38"/>
        <v>0</v>
      </c>
      <c r="U150" s="171">
        <f t="shared" si="38"/>
        <v>0</v>
      </c>
      <c r="V150" s="171">
        <f t="shared" si="38"/>
        <v>0</v>
      </c>
      <c r="W150" s="171">
        <f t="shared" si="38"/>
        <v>0</v>
      </c>
      <c r="X150" s="171">
        <f t="shared" si="38"/>
        <v>0</v>
      </c>
      <c r="Y150" s="171">
        <f t="shared" si="38"/>
        <v>0</v>
      </c>
      <c r="Z150" s="171">
        <f t="shared" si="38"/>
        <v>0</v>
      </c>
      <c r="AA150" s="171">
        <f t="shared" si="38"/>
        <v>0</v>
      </c>
      <c r="AB150" s="171">
        <f t="shared" si="38"/>
        <v>0</v>
      </c>
      <c r="AC150" s="171">
        <f t="shared" si="38"/>
        <v>0</v>
      </c>
      <c r="AD150" s="171">
        <f t="shared" si="38"/>
        <v>0</v>
      </c>
      <c r="AE150" s="171">
        <f t="shared" si="38"/>
        <v>0</v>
      </c>
      <c r="AF150" s="171">
        <f t="shared" si="38"/>
        <v>0</v>
      </c>
      <c r="AG150" s="171">
        <f t="shared" si="38"/>
        <v>0</v>
      </c>
      <c r="AH150" s="171">
        <f t="shared" si="38"/>
        <v>0</v>
      </c>
      <c r="AI150" s="171">
        <f t="shared" si="38"/>
        <v>0</v>
      </c>
      <c r="AJ150" s="171">
        <f t="shared" ref="AJ150:CS154" si="39">IF(AJ123="",1,0)*IF(AJ96="",1,0)*SUM(AJ42)*IF(AJ69="",0,1)</f>
        <v>0</v>
      </c>
      <c r="AK150" s="171">
        <f t="shared" si="39"/>
        <v>0</v>
      </c>
      <c r="AL150" s="171">
        <f t="shared" si="39"/>
        <v>0</v>
      </c>
      <c r="AM150" s="171">
        <f t="shared" si="39"/>
        <v>0</v>
      </c>
      <c r="AN150" s="171">
        <f t="shared" si="39"/>
        <v>0</v>
      </c>
      <c r="AO150" s="171">
        <f t="shared" si="39"/>
        <v>0</v>
      </c>
      <c r="AP150" s="171">
        <f t="shared" si="39"/>
        <v>0</v>
      </c>
      <c r="AQ150" s="171">
        <f t="shared" si="39"/>
        <v>0</v>
      </c>
      <c r="AR150" s="171">
        <f t="shared" si="39"/>
        <v>0</v>
      </c>
      <c r="AS150" s="171">
        <f t="shared" si="39"/>
        <v>0</v>
      </c>
      <c r="AT150" s="171">
        <f t="shared" si="39"/>
        <v>0</v>
      </c>
      <c r="AU150" s="171">
        <f t="shared" si="39"/>
        <v>0</v>
      </c>
      <c r="AV150" s="171">
        <f t="shared" si="39"/>
        <v>0</v>
      </c>
      <c r="AW150" s="171">
        <f t="shared" si="39"/>
        <v>0</v>
      </c>
      <c r="AX150" s="171">
        <f t="shared" si="39"/>
        <v>0</v>
      </c>
      <c r="AY150" s="171">
        <f t="shared" si="39"/>
        <v>0</v>
      </c>
      <c r="AZ150" s="171">
        <f t="shared" si="39"/>
        <v>0</v>
      </c>
      <c r="BA150" s="171">
        <f t="shared" si="39"/>
        <v>0</v>
      </c>
      <c r="BB150" s="171">
        <f t="shared" si="39"/>
        <v>0</v>
      </c>
      <c r="BC150" s="171">
        <f t="shared" si="39"/>
        <v>0</v>
      </c>
      <c r="BD150" s="171">
        <f t="shared" si="39"/>
        <v>0</v>
      </c>
      <c r="BE150" s="171">
        <f t="shared" si="39"/>
        <v>0</v>
      </c>
      <c r="BF150" s="171">
        <f t="shared" si="39"/>
        <v>0</v>
      </c>
      <c r="BG150" s="171">
        <f t="shared" si="39"/>
        <v>0</v>
      </c>
      <c r="BH150" s="171">
        <f t="shared" si="39"/>
        <v>0</v>
      </c>
      <c r="BI150" s="171">
        <f t="shared" si="39"/>
        <v>0</v>
      </c>
      <c r="BJ150" s="171">
        <f t="shared" si="39"/>
        <v>0</v>
      </c>
      <c r="BK150" s="171">
        <f t="shared" si="39"/>
        <v>0</v>
      </c>
      <c r="BL150" s="171">
        <f t="shared" si="39"/>
        <v>0</v>
      </c>
      <c r="BM150" s="171">
        <f t="shared" si="39"/>
        <v>0</v>
      </c>
      <c r="BN150" s="171">
        <f t="shared" si="39"/>
        <v>0</v>
      </c>
      <c r="BO150" s="171">
        <f t="shared" si="39"/>
        <v>0</v>
      </c>
      <c r="BP150" s="171">
        <f t="shared" si="39"/>
        <v>0</v>
      </c>
      <c r="BQ150" s="171">
        <f t="shared" si="39"/>
        <v>0</v>
      </c>
      <c r="BR150" s="171">
        <f t="shared" si="39"/>
        <v>0</v>
      </c>
      <c r="BS150" s="171">
        <f t="shared" si="39"/>
        <v>0</v>
      </c>
      <c r="BT150" s="171">
        <f t="shared" si="39"/>
        <v>0</v>
      </c>
      <c r="BU150" s="171">
        <f t="shared" si="39"/>
        <v>0</v>
      </c>
      <c r="BV150" s="171">
        <f t="shared" si="39"/>
        <v>0</v>
      </c>
      <c r="BW150" s="171">
        <f t="shared" si="39"/>
        <v>0</v>
      </c>
      <c r="BX150" s="171">
        <f t="shared" si="39"/>
        <v>0</v>
      </c>
      <c r="BY150" s="171">
        <f t="shared" si="39"/>
        <v>0</v>
      </c>
      <c r="BZ150" s="171">
        <f t="shared" si="39"/>
        <v>0</v>
      </c>
      <c r="CA150" s="171">
        <f t="shared" si="39"/>
        <v>0</v>
      </c>
      <c r="CB150" s="171">
        <f t="shared" si="39"/>
        <v>0</v>
      </c>
      <c r="CC150" s="171">
        <f t="shared" si="39"/>
        <v>0</v>
      </c>
      <c r="CD150" s="171">
        <f t="shared" si="39"/>
        <v>0</v>
      </c>
      <c r="CE150" s="171">
        <f t="shared" si="39"/>
        <v>0</v>
      </c>
      <c r="CF150" s="171">
        <f t="shared" si="39"/>
        <v>0</v>
      </c>
      <c r="CG150" s="171">
        <f t="shared" si="39"/>
        <v>0</v>
      </c>
      <c r="CH150" s="171">
        <f t="shared" si="39"/>
        <v>0</v>
      </c>
      <c r="CI150" s="171">
        <f t="shared" si="39"/>
        <v>0</v>
      </c>
      <c r="CJ150" s="171">
        <f t="shared" si="39"/>
        <v>0</v>
      </c>
      <c r="CK150" s="171">
        <f t="shared" si="39"/>
        <v>0</v>
      </c>
      <c r="CL150" s="171">
        <f t="shared" si="39"/>
        <v>0</v>
      </c>
      <c r="CM150" s="171">
        <f t="shared" si="39"/>
        <v>0</v>
      </c>
      <c r="CN150" s="171">
        <f t="shared" si="39"/>
        <v>0</v>
      </c>
      <c r="CO150" s="171">
        <f t="shared" si="39"/>
        <v>0</v>
      </c>
      <c r="CP150" s="171">
        <f t="shared" si="39"/>
        <v>0</v>
      </c>
      <c r="CQ150" s="171">
        <f t="shared" si="39"/>
        <v>0</v>
      </c>
      <c r="CR150" s="171">
        <f t="shared" si="39"/>
        <v>0</v>
      </c>
      <c r="CS150" s="172">
        <f t="shared" si="39"/>
        <v>0</v>
      </c>
      <c r="CT150" s="85" t="s">
        <v>54</v>
      </c>
    </row>
    <row r="151" spans="1:98" hidden="1" x14ac:dyDescent="0.25">
      <c r="A151" s="97">
        <v>0</v>
      </c>
      <c r="B151" s="90">
        <f t="shared" si="37"/>
        <v>1997</v>
      </c>
      <c r="C151" s="101"/>
      <c r="D151" s="171">
        <f t="shared" ref="D151:AI158" si="40">IF(D124="",1,0)*IF(D97="",1,0)*SUM(D43)*IF(D70="",0,1)</f>
        <v>0</v>
      </c>
      <c r="E151" s="171">
        <f t="shared" si="40"/>
        <v>0</v>
      </c>
      <c r="F151" s="171">
        <f t="shared" si="40"/>
        <v>0</v>
      </c>
      <c r="G151" s="171">
        <f t="shared" si="40"/>
        <v>0</v>
      </c>
      <c r="H151" s="171">
        <f t="shared" si="40"/>
        <v>0</v>
      </c>
      <c r="I151" s="171">
        <f t="shared" si="40"/>
        <v>0</v>
      </c>
      <c r="J151" s="171">
        <f t="shared" si="40"/>
        <v>0</v>
      </c>
      <c r="K151" s="171">
        <f t="shared" si="40"/>
        <v>0</v>
      </c>
      <c r="L151" s="171">
        <f t="shared" si="40"/>
        <v>0</v>
      </c>
      <c r="M151" s="171">
        <f t="shared" si="40"/>
        <v>0</v>
      </c>
      <c r="N151" s="171">
        <f t="shared" si="40"/>
        <v>0</v>
      </c>
      <c r="O151" s="171">
        <f t="shared" si="40"/>
        <v>0</v>
      </c>
      <c r="P151" s="171">
        <f t="shared" si="40"/>
        <v>0</v>
      </c>
      <c r="Q151" s="171">
        <f t="shared" si="40"/>
        <v>0</v>
      </c>
      <c r="R151" s="171">
        <f t="shared" si="40"/>
        <v>0</v>
      </c>
      <c r="S151" s="171">
        <f t="shared" si="40"/>
        <v>0</v>
      </c>
      <c r="T151" s="171">
        <f t="shared" si="40"/>
        <v>0</v>
      </c>
      <c r="U151" s="171">
        <f t="shared" si="40"/>
        <v>0</v>
      </c>
      <c r="V151" s="171">
        <f t="shared" si="40"/>
        <v>0</v>
      </c>
      <c r="W151" s="171">
        <f t="shared" si="40"/>
        <v>0</v>
      </c>
      <c r="X151" s="171">
        <f t="shared" si="40"/>
        <v>0</v>
      </c>
      <c r="Y151" s="171">
        <f t="shared" si="40"/>
        <v>0</v>
      </c>
      <c r="Z151" s="171">
        <f t="shared" si="40"/>
        <v>0</v>
      </c>
      <c r="AA151" s="171">
        <f t="shared" si="40"/>
        <v>0</v>
      </c>
      <c r="AB151" s="171">
        <f t="shared" si="40"/>
        <v>0</v>
      </c>
      <c r="AC151" s="171">
        <f t="shared" si="40"/>
        <v>0</v>
      </c>
      <c r="AD151" s="171">
        <f t="shared" si="40"/>
        <v>0</v>
      </c>
      <c r="AE151" s="171">
        <f t="shared" si="40"/>
        <v>0</v>
      </c>
      <c r="AF151" s="171">
        <f t="shared" si="40"/>
        <v>0</v>
      </c>
      <c r="AG151" s="171">
        <f t="shared" si="40"/>
        <v>0</v>
      </c>
      <c r="AH151" s="171">
        <f t="shared" si="40"/>
        <v>0</v>
      </c>
      <c r="AI151" s="171">
        <f t="shared" si="40"/>
        <v>0</v>
      </c>
      <c r="AJ151" s="171">
        <f t="shared" si="39"/>
        <v>0</v>
      </c>
      <c r="AK151" s="171">
        <f t="shared" si="39"/>
        <v>0</v>
      </c>
      <c r="AL151" s="171">
        <f t="shared" si="39"/>
        <v>0</v>
      </c>
      <c r="AM151" s="171">
        <f t="shared" si="39"/>
        <v>0</v>
      </c>
      <c r="AN151" s="171">
        <f t="shared" si="39"/>
        <v>0</v>
      </c>
      <c r="AO151" s="171">
        <f t="shared" si="39"/>
        <v>0</v>
      </c>
      <c r="AP151" s="171">
        <f t="shared" si="39"/>
        <v>0</v>
      </c>
      <c r="AQ151" s="171">
        <f t="shared" si="39"/>
        <v>0</v>
      </c>
      <c r="AR151" s="171">
        <f t="shared" si="39"/>
        <v>0</v>
      </c>
      <c r="AS151" s="171">
        <f t="shared" si="39"/>
        <v>0</v>
      </c>
      <c r="AT151" s="171">
        <f t="shared" si="39"/>
        <v>0</v>
      </c>
      <c r="AU151" s="171">
        <f t="shared" si="39"/>
        <v>0</v>
      </c>
      <c r="AV151" s="171">
        <f t="shared" si="39"/>
        <v>0</v>
      </c>
      <c r="AW151" s="171">
        <f t="shared" si="39"/>
        <v>0</v>
      </c>
      <c r="AX151" s="171">
        <f t="shared" si="39"/>
        <v>0</v>
      </c>
      <c r="AY151" s="171">
        <f t="shared" si="39"/>
        <v>0</v>
      </c>
      <c r="AZ151" s="171">
        <f t="shared" si="39"/>
        <v>0</v>
      </c>
      <c r="BA151" s="171">
        <f t="shared" si="39"/>
        <v>0</v>
      </c>
      <c r="BB151" s="171">
        <f t="shared" si="39"/>
        <v>0</v>
      </c>
      <c r="BC151" s="171">
        <f t="shared" si="39"/>
        <v>0</v>
      </c>
      <c r="BD151" s="171">
        <f t="shared" si="39"/>
        <v>0</v>
      </c>
      <c r="BE151" s="171">
        <f t="shared" si="39"/>
        <v>0</v>
      </c>
      <c r="BF151" s="171">
        <f t="shared" si="39"/>
        <v>0</v>
      </c>
      <c r="BG151" s="171">
        <f t="shared" si="39"/>
        <v>0</v>
      </c>
      <c r="BH151" s="171">
        <f t="shared" si="39"/>
        <v>0</v>
      </c>
      <c r="BI151" s="171">
        <f t="shared" si="39"/>
        <v>0</v>
      </c>
      <c r="BJ151" s="171">
        <f t="shared" si="39"/>
        <v>0</v>
      </c>
      <c r="BK151" s="171">
        <f t="shared" si="39"/>
        <v>0</v>
      </c>
      <c r="BL151" s="171">
        <f t="shared" si="39"/>
        <v>0</v>
      </c>
      <c r="BM151" s="171">
        <f t="shared" si="39"/>
        <v>0</v>
      </c>
      <c r="BN151" s="171">
        <f t="shared" si="39"/>
        <v>0</v>
      </c>
      <c r="BO151" s="171">
        <f t="shared" si="39"/>
        <v>0</v>
      </c>
      <c r="BP151" s="171">
        <f t="shared" si="39"/>
        <v>0</v>
      </c>
      <c r="BQ151" s="171">
        <f t="shared" si="39"/>
        <v>0</v>
      </c>
      <c r="BR151" s="171">
        <f t="shared" si="39"/>
        <v>0</v>
      </c>
      <c r="BS151" s="171">
        <f t="shared" si="39"/>
        <v>0</v>
      </c>
      <c r="BT151" s="171">
        <f t="shared" si="39"/>
        <v>0</v>
      </c>
      <c r="BU151" s="171">
        <f t="shared" si="39"/>
        <v>0</v>
      </c>
      <c r="BV151" s="171">
        <f t="shared" si="39"/>
        <v>0</v>
      </c>
      <c r="BW151" s="171">
        <f t="shared" si="39"/>
        <v>0</v>
      </c>
      <c r="BX151" s="171">
        <f t="shared" si="39"/>
        <v>0</v>
      </c>
      <c r="BY151" s="171">
        <f t="shared" si="39"/>
        <v>0</v>
      </c>
      <c r="BZ151" s="171">
        <f t="shared" si="39"/>
        <v>0</v>
      </c>
      <c r="CA151" s="171">
        <f t="shared" si="39"/>
        <v>0</v>
      </c>
      <c r="CB151" s="171">
        <f t="shared" si="39"/>
        <v>0</v>
      </c>
      <c r="CC151" s="171">
        <f t="shared" si="39"/>
        <v>0</v>
      </c>
      <c r="CD151" s="171">
        <f t="shared" si="39"/>
        <v>0</v>
      </c>
      <c r="CE151" s="171">
        <f t="shared" si="39"/>
        <v>0</v>
      </c>
      <c r="CF151" s="171">
        <f t="shared" si="39"/>
        <v>0</v>
      </c>
      <c r="CG151" s="171">
        <f t="shared" si="39"/>
        <v>0</v>
      </c>
      <c r="CH151" s="171">
        <f t="shared" si="39"/>
        <v>0</v>
      </c>
      <c r="CI151" s="171">
        <f t="shared" si="39"/>
        <v>0</v>
      </c>
      <c r="CJ151" s="171">
        <f t="shared" si="39"/>
        <v>0</v>
      </c>
      <c r="CK151" s="171">
        <f t="shared" si="39"/>
        <v>0</v>
      </c>
      <c r="CL151" s="171">
        <f t="shared" si="39"/>
        <v>0</v>
      </c>
      <c r="CM151" s="171">
        <f t="shared" si="39"/>
        <v>0</v>
      </c>
      <c r="CN151" s="171">
        <f t="shared" si="39"/>
        <v>0</v>
      </c>
      <c r="CO151" s="171">
        <f t="shared" si="39"/>
        <v>0</v>
      </c>
      <c r="CP151" s="171">
        <f t="shared" si="39"/>
        <v>0</v>
      </c>
      <c r="CQ151" s="171">
        <f t="shared" si="39"/>
        <v>0</v>
      </c>
      <c r="CR151" s="171">
        <f t="shared" si="39"/>
        <v>0</v>
      </c>
      <c r="CS151" s="172">
        <f t="shared" si="39"/>
        <v>0</v>
      </c>
      <c r="CT151" s="85" t="s">
        <v>54</v>
      </c>
    </row>
    <row r="152" spans="1:98" hidden="1" x14ac:dyDescent="0.25">
      <c r="A152" s="97">
        <v>0</v>
      </c>
      <c r="B152" s="90">
        <f t="shared" si="37"/>
        <v>1998</v>
      </c>
      <c r="C152" s="101"/>
      <c r="D152" s="171">
        <f t="shared" si="40"/>
        <v>0</v>
      </c>
      <c r="E152" s="171">
        <f t="shared" si="40"/>
        <v>0</v>
      </c>
      <c r="F152" s="171">
        <f t="shared" si="40"/>
        <v>0</v>
      </c>
      <c r="G152" s="171">
        <f t="shared" si="40"/>
        <v>0</v>
      </c>
      <c r="H152" s="171">
        <f t="shared" si="40"/>
        <v>0</v>
      </c>
      <c r="I152" s="171">
        <f t="shared" si="40"/>
        <v>0</v>
      </c>
      <c r="J152" s="171">
        <f t="shared" si="40"/>
        <v>0</v>
      </c>
      <c r="K152" s="171">
        <f t="shared" si="40"/>
        <v>0</v>
      </c>
      <c r="L152" s="171">
        <f t="shared" si="40"/>
        <v>0</v>
      </c>
      <c r="M152" s="171">
        <f t="shared" si="40"/>
        <v>0</v>
      </c>
      <c r="N152" s="171">
        <f t="shared" si="40"/>
        <v>0</v>
      </c>
      <c r="O152" s="171">
        <f t="shared" si="40"/>
        <v>0</v>
      </c>
      <c r="P152" s="171">
        <f t="shared" si="40"/>
        <v>0</v>
      </c>
      <c r="Q152" s="171">
        <f t="shared" si="40"/>
        <v>0</v>
      </c>
      <c r="R152" s="171">
        <f t="shared" si="40"/>
        <v>0</v>
      </c>
      <c r="S152" s="171">
        <f t="shared" si="40"/>
        <v>0</v>
      </c>
      <c r="T152" s="171">
        <f t="shared" si="40"/>
        <v>0</v>
      </c>
      <c r="U152" s="171">
        <f t="shared" si="40"/>
        <v>0</v>
      </c>
      <c r="V152" s="171">
        <f t="shared" si="40"/>
        <v>0</v>
      </c>
      <c r="W152" s="171">
        <f t="shared" si="40"/>
        <v>0</v>
      </c>
      <c r="X152" s="171">
        <f t="shared" si="40"/>
        <v>0</v>
      </c>
      <c r="Y152" s="171">
        <f t="shared" si="40"/>
        <v>0</v>
      </c>
      <c r="Z152" s="171">
        <f t="shared" si="40"/>
        <v>0</v>
      </c>
      <c r="AA152" s="171">
        <f t="shared" si="40"/>
        <v>0</v>
      </c>
      <c r="AB152" s="171">
        <f t="shared" si="40"/>
        <v>0</v>
      </c>
      <c r="AC152" s="171">
        <f t="shared" si="40"/>
        <v>0</v>
      </c>
      <c r="AD152" s="171">
        <f t="shared" si="40"/>
        <v>0</v>
      </c>
      <c r="AE152" s="171">
        <f t="shared" si="40"/>
        <v>0</v>
      </c>
      <c r="AF152" s="171">
        <f t="shared" si="40"/>
        <v>0</v>
      </c>
      <c r="AG152" s="171">
        <f t="shared" si="40"/>
        <v>0</v>
      </c>
      <c r="AH152" s="171">
        <f t="shared" si="40"/>
        <v>0</v>
      </c>
      <c r="AI152" s="171">
        <f t="shared" si="40"/>
        <v>0</v>
      </c>
      <c r="AJ152" s="171">
        <f t="shared" si="39"/>
        <v>0</v>
      </c>
      <c r="AK152" s="171">
        <f t="shared" si="39"/>
        <v>0</v>
      </c>
      <c r="AL152" s="171">
        <f t="shared" si="39"/>
        <v>0</v>
      </c>
      <c r="AM152" s="171">
        <f t="shared" si="39"/>
        <v>0</v>
      </c>
      <c r="AN152" s="171">
        <f t="shared" si="39"/>
        <v>0</v>
      </c>
      <c r="AO152" s="171">
        <f t="shared" si="39"/>
        <v>0</v>
      </c>
      <c r="AP152" s="171">
        <f t="shared" si="39"/>
        <v>0</v>
      </c>
      <c r="AQ152" s="171">
        <f t="shared" si="39"/>
        <v>0</v>
      </c>
      <c r="AR152" s="171">
        <f t="shared" si="39"/>
        <v>0</v>
      </c>
      <c r="AS152" s="171">
        <f t="shared" si="39"/>
        <v>0</v>
      </c>
      <c r="AT152" s="171">
        <f t="shared" si="39"/>
        <v>0</v>
      </c>
      <c r="AU152" s="171">
        <f t="shared" si="39"/>
        <v>0</v>
      </c>
      <c r="AV152" s="171">
        <f t="shared" si="39"/>
        <v>0</v>
      </c>
      <c r="AW152" s="171">
        <f t="shared" si="39"/>
        <v>0</v>
      </c>
      <c r="AX152" s="171">
        <f t="shared" si="39"/>
        <v>0</v>
      </c>
      <c r="AY152" s="171">
        <f t="shared" si="39"/>
        <v>0</v>
      </c>
      <c r="AZ152" s="171">
        <f t="shared" si="39"/>
        <v>0</v>
      </c>
      <c r="BA152" s="171">
        <f t="shared" si="39"/>
        <v>0</v>
      </c>
      <c r="BB152" s="171">
        <f t="shared" si="39"/>
        <v>0</v>
      </c>
      <c r="BC152" s="171">
        <f t="shared" si="39"/>
        <v>0</v>
      </c>
      <c r="BD152" s="171">
        <f t="shared" si="39"/>
        <v>0</v>
      </c>
      <c r="BE152" s="171">
        <f t="shared" si="39"/>
        <v>0</v>
      </c>
      <c r="BF152" s="171">
        <f t="shared" si="39"/>
        <v>0</v>
      </c>
      <c r="BG152" s="171">
        <f t="shared" si="39"/>
        <v>0</v>
      </c>
      <c r="BH152" s="171">
        <f t="shared" si="39"/>
        <v>0</v>
      </c>
      <c r="BI152" s="171">
        <f t="shared" si="39"/>
        <v>0</v>
      </c>
      <c r="BJ152" s="171">
        <f t="shared" si="39"/>
        <v>0</v>
      </c>
      <c r="BK152" s="171">
        <f t="shared" si="39"/>
        <v>0</v>
      </c>
      <c r="BL152" s="171">
        <f t="shared" si="39"/>
        <v>0</v>
      </c>
      <c r="BM152" s="171">
        <f t="shared" si="39"/>
        <v>0</v>
      </c>
      <c r="BN152" s="171">
        <f t="shared" si="39"/>
        <v>0</v>
      </c>
      <c r="BO152" s="171">
        <f t="shared" si="39"/>
        <v>0</v>
      </c>
      <c r="BP152" s="171">
        <f t="shared" si="39"/>
        <v>0</v>
      </c>
      <c r="BQ152" s="171">
        <f t="shared" si="39"/>
        <v>0</v>
      </c>
      <c r="BR152" s="171">
        <f t="shared" si="39"/>
        <v>0</v>
      </c>
      <c r="BS152" s="171">
        <f t="shared" si="39"/>
        <v>0</v>
      </c>
      <c r="BT152" s="171">
        <f t="shared" si="39"/>
        <v>0</v>
      </c>
      <c r="BU152" s="171">
        <f t="shared" si="39"/>
        <v>0</v>
      </c>
      <c r="BV152" s="171">
        <f t="shared" si="39"/>
        <v>0</v>
      </c>
      <c r="BW152" s="171">
        <f t="shared" si="39"/>
        <v>0</v>
      </c>
      <c r="BX152" s="171">
        <f t="shared" si="39"/>
        <v>0</v>
      </c>
      <c r="BY152" s="171">
        <f t="shared" si="39"/>
        <v>0</v>
      </c>
      <c r="BZ152" s="171">
        <f t="shared" si="39"/>
        <v>0</v>
      </c>
      <c r="CA152" s="171">
        <f t="shared" si="39"/>
        <v>0</v>
      </c>
      <c r="CB152" s="171">
        <f t="shared" si="39"/>
        <v>0</v>
      </c>
      <c r="CC152" s="171">
        <f t="shared" si="39"/>
        <v>0</v>
      </c>
      <c r="CD152" s="171">
        <f t="shared" si="39"/>
        <v>0</v>
      </c>
      <c r="CE152" s="171">
        <f t="shared" si="39"/>
        <v>0</v>
      </c>
      <c r="CF152" s="171">
        <f t="shared" si="39"/>
        <v>0</v>
      </c>
      <c r="CG152" s="171">
        <f t="shared" si="39"/>
        <v>0</v>
      </c>
      <c r="CH152" s="171">
        <f t="shared" si="39"/>
        <v>0</v>
      </c>
      <c r="CI152" s="171">
        <f t="shared" si="39"/>
        <v>0</v>
      </c>
      <c r="CJ152" s="171">
        <f t="shared" si="39"/>
        <v>0</v>
      </c>
      <c r="CK152" s="171">
        <f t="shared" si="39"/>
        <v>0</v>
      </c>
      <c r="CL152" s="171">
        <f t="shared" si="39"/>
        <v>0</v>
      </c>
      <c r="CM152" s="171">
        <f t="shared" si="39"/>
        <v>0</v>
      </c>
      <c r="CN152" s="171">
        <f t="shared" si="39"/>
        <v>0</v>
      </c>
      <c r="CO152" s="171">
        <f t="shared" si="39"/>
        <v>0</v>
      </c>
      <c r="CP152" s="171">
        <f t="shared" si="39"/>
        <v>0</v>
      </c>
      <c r="CQ152" s="171">
        <f t="shared" si="39"/>
        <v>0</v>
      </c>
      <c r="CR152" s="171">
        <f t="shared" si="39"/>
        <v>0</v>
      </c>
      <c r="CS152" s="172">
        <f t="shared" si="39"/>
        <v>0</v>
      </c>
      <c r="CT152" s="85" t="s">
        <v>54</v>
      </c>
    </row>
    <row r="153" spans="1:98" hidden="1" x14ac:dyDescent="0.25">
      <c r="A153" s="97">
        <v>0</v>
      </c>
      <c r="B153" s="90">
        <f t="shared" si="37"/>
        <v>1999</v>
      </c>
      <c r="C153" s="101"/>
      <c r="D153" s="171">
        <f t="shared" si="40"/>
        <v>0</v>
      </c>
      <c r="E153" s="171">
        <f t="shared" si="40"/>
        <v>0</v>
      </c>
      <c r="F153" s="171">
        <f t="shared" si="40"/>
        <v>0</v>
      </c>
      <c r="G153" s="171">
        <f t="shared" si="40"/>
        <v>0</v>
      </c>
      <c r="H153" s="171">
        <f t="shared" si="40"/>
        <v>0</v>
      </c>
      <c r="I153" s="171">
        <f t="shared" si="40"/>
        <v>0</v>
      </c>
      <c r="J153" s="171">
        <f t="shared" si="40"/>
        <v>0</v>
      </c>
      <c r="K153" s="171">
        <f t="shared" si="40"/>
        <v>0</v>
      </c>
      <c r="L153" s="171">
        <f t="shared" si="40"/>
        <v>0</v>
      </c>
      <c r="M153" s="171">
        <f t="shared" si="40"/>
        <v>0</v>
      </c>
      <c r="N153" s="171">
        <f t="shared" si="40"/>
        <v>0</v>
      </c>
      <c r="O153" s="171">
        <f t="shared" si="40"/>
        <v>0</v>
      </c>
      <c r="P153" s="171">
        <f t="shared" si="40"/>
        <v>0</v>
      </c>
      <c r="Q153" s="171">
        <f t="shared" si="40"/>
        <v>0</v>
      </c>
      <c r="R153" s="171">
        <f t="shared" si="40"/>
        <v>0</v>
      </c>
      <c r="S153" s="171">
        <f t="shared" si="40"/>
        <v>0</v>
      </c>
      <c r="T153" s="171">
        <f t="shared" si="40"/>
        <v>0</v>
      </c>
      <c r="U153" s="171">
        <f t="shared" si="40"/>
        <v>0</v>
      </c>
      <c r="V153" s="171">
        <f t="shared" si="40"/>
        <v>0</v>
      </c>
      <c r="W153" s="171">
        <f t="shared" si="40"/>
        <v>0</v>
      </c>
      <c r="X153" s="171">
        <f t="shared" si="40"/>
        <v>0</v>
      </c>
      <c r="Y153" s="171">
        <f t="shared" si="40"/>
        <v>0</v>
      </c>
      <c r="Z153" s="171">
        <f t="shared" si="40"/>
        <v>0</v>
      </c>
      <c r="AA153" s="171">
        <f t="shared" si="40"/>
        <v>0</v>
      </c>
      <c r="AB153" s="171">
        <f t="shared" si="40"/>
        <v>0</v>
      </c>
      <c r="AC153" s="171">
        <f t="shared" si="40"/>
        <v>0</v>
      </c>
      <c r="AD153" s="171">
        <f t="shared" si="40"/>
        <v>0</v>
      </c>
      <c r="AE153" s="171">
        <f t="shared" si="40"/>
        <v>0</v>
      </c>
      <c r="AF153" s="171">
        <f t="shared" si="40"/>
        <v>0</v>
      </c>
      <c r="AG153" s="171">
        <f t="shared" si="40"/>
        <v>0</v>
      </c>
      <c r="AH153" s="171">
        <f t="shared" si="40"/>
        <v>0</v>
      </c>
      <c r="AI153" s="171">
        <f t="shared" si="40"/>
        <v>0</v>
      </c>
      <c r="AJ153" s="171">
        <f t="shared" si="39"/>
        <v>0</v>
      </c>
      <c r="AK153" s="171">
        <f t="shared" si="39"/>
        <v>0</v>
      </c>
      <c r="AL153" s="171">
        <f t="shared" si="39"/>
        <v>0</v>
      </c>
      <c r="AM153" s="171">
        <f t="shared" si="39"/>
        <v>0</v>
      </c>
      <c r="AN153" s="171">
        <f t="shared" si="39"/>
        <v>0</v>
      </c>
      <c r="AO153" s="171">
        <f t="shared" si="39"/>
        <v>0</v>
      </c>
      <c r="AP153" s="171">
        <f t="shared" si="39"/>
        <v>0</v>
      </c>
      <c r="AQ153" s="171">
        <f t="shared" si="39"/>
        <v>0</v>
      </c>
      <c r="AR153" s="171">
        <f t="shared" si="39"/>
        <v>0</v>
      </c>
      <c r="AS153" s="171">
        <f t="shared" si="39"/>
        <v>0</v>
      </c>
      <c r="AT153" s="171">
        <f t="shared" si="39"/>
        <v>0</v>
      </c>
      <c r="AU153" s="171">
        <f t="shared" si="39"/>
        <v>0</v>
      </c>
      <c r="AV153" s="171">
        <f t="shared" si="39"/>
        <v>0</v>
      </c>
      <c r="AW153" s="171">
        <f t="shared" si="39"/>
        <v>0</v>
      </c>
      <c r="AX153" s="171">
        <f t="shared" si="39"/>
        <v>0</v>
      </c>
      <c r="AY153" s="171">
        <f t="shared" si="39"/>
        <v>0</v>
      </c>
      <c r="AZ153" s="171">
        <f t="shared" si="39"/>
        <v>0</v>
      </c>
      <c r="BA153" s="171">
        <f t="shared" si="39"/>
        <v>0</v>
      </c>
      <c r="BB153" s="171">
        <f t="shared" si="39"/>
        <v>0</v>
      </c>
      <c r="BC153" s="171">
        <f t="shared" si="39"/>
        <v>0</v>
      </c>
      <c r="BD153" s="171">
        <f t="shared" si="39"/>
        <v>0</v>
      </c>
      <c r="BE153" s="171">
        <f t="shared" si="39"/>
        <v>0</v>
      </c>
      <c r="BF153" s="171">
        <f t="shared" si="39"/>
        <v>0</v>
      </c>
      <c r="BG153" s="171">
        <f t="shared" si="39"/>
        <v>0</v>
      </c>
      <c r="BH153" s="171">
        <f t="shared" si="39"/>
        <v>0</v>
      </c>
      <c r="BI153" s="171">
        <f t="shared" si="39"/>
        <v>0</v>
      </c>
      <c r="BJ153" s="171">
        <f t="shared" si="39"/>
        <v>0</v>
      </c>
      <c r="BK153" s="171">
        <f t="shared" si="39"/>
        <v>0</v>
      </c>
      <c r="BL153" s="171">
        <f t="shared" si="39"/>
        <v>0</v>
      </c>
      <c r="BM153" s="171">
        <f t="shared" si="39"/>
        <v>0</v>
      </c>
      <c r="BN153" s="171">
        <f t="shared" si="39"/>
        <v>0</v>
      </c>
      <c r="BO153" s="171">
        <f t="shared" si="39"/>
        <v>0</v>
      </c>
      <c r="BP153" s="171">
        <f t="shared" si="39"/>
        <v>0</v>
      </c>
      <c r="BQ153" s="171">
        <f t="shared" si="39"/>
        <v>0</v>
      </c>
      <c r="BR153" s="171">
        <f t="shared" si="39"/>
        <v>0</v>
      </c>
      <c r="BS153" s="171">
        <f t="shared" si="39"/>
        <v>0</v>
      </c>
      <c r="BT153" s="171">
        <f t="shared" si="39"/>
        <v>0</v>
      </c>
      <c r="BU153" s="171">
        <f t="shared" si="39"/>
        <v>0</v>
      </c>
      <c r="BV153" s="171">
        <f t="shared" si="39"/>
        <v>0</v>
      </c>
      <c r="BW153" s="171">
        <f t="shared" si="39"/>
        <v>0</v>
      </c>
      <c r="BX153" s="171">
        <f t="shared" si="39"/>
        <v>0</v>
      </c>
      <c r="BY153" s="171">
        <f t="shared" si="39"/>
        <v>0</v>
      </c>
      <c r="BZ153" s="171">
        <f t="shared" si="39"/>
        <v>0</v>
      </c>
      <c r="CA153" s="171">
        <f t="shared" si="39"/>
        <v>0</v>
      </c>
      <c r="CB153" s="171">
        <f t="shared" si="39"/>
        <v>0</v>
      </c>
      <c r="CC153" s="171">
        <f t="shared" si="39"/>
        <v>0</v>
      </c>
      <c r="CD153" s="171">
        <f t="shared" si="39"/>
        <v>0</v>
      </c>
      <c r="CE153" s="171">
        <f t="shared" si="39"/>
        <v>0</v>
      </c>
      <c r="CF153" s="171">
        <f t="shared" si="39"/>
        <v>0</v>
      </c>
      <c r="CG153" s="171">
        <f t="shared" si="39"/>
        <v>0</v>
      </c>
      <c r="CH153" s="171">
        <f t="shared" si="39"/>
        <v>0</v>
      </c>
      <c r="CI153" s="171">
        <f t="shared" si="39"/>
        <v>0</v>
      </c>
      <c r="CJ153" s="171">
        <f t="shared" si="39"/>
        <v>0</v>
      </c>
      <c r="CK153" s="171">
        <f t="shared" si="39"/>
        <v>0</v>
      </c>
      <c r="CL153" s="171">
        <f t="shared" si="39"/>
        <v>0</v>
      </c>
      <c r="CM153" s="171">
        <f t="shared" si="39"/>
        <v>0</v>
      </c>
      <c r="CN153" s="171">
        <f t="shared" si="39"/>
        <v>0</v>
      </c>
      <c r="CO153" s="171">
        <f t="shared" si="39"/>
        <v>0</v>
      </c>
      <c r="CP153" s="171">
        <f t="shared" si="39"/>
        <v>0</v>
      </c>
      <c r="CQ153" s="171">
        <f t="shared" si="39"/>
        <v>0</v>
      </c>
      <c r="CR153" s="171">
        <f t="shared" si="39"/>
        <v>0</v>
      </c>
      <c r="CS153" s="172">
        <f t="shared" si="39"/>
        <v>0</v>
      </c>
      <c r="CT153" s="85" t="s">
        <v>54</v>
      </c>
    </row>
    <row r="154" spans="1:98" hidden="1" x14ac:dyDescent="0.25">
      <c r="A154" s="97">
        <v>0</v>
      </c>
      <c r="B154" s="90">
        <f t="shared" si="37"/>
        <v>2000</v>
      </c>
      <c r="C154" s="101"/>
      <c r="D154" s="171">
        <f t="shared" si="40"/>
        <v>0</v>
      </c>
      <c r="E154" s="171">
        <f t="shared" si="40"/>
        <v>0</v>
      </c>
      <c r="F154" s="171">
        <f t="shared" si="40"/>
        <v>0</v>
      </c>
      <c r="G154" s="171">
        <f t="shared" si="40"/>
        <v>0</v>
      </c>
      <c r="H154" s="171">
        <f t="shared" si="40"/>
        <v>0</v>
      </c>
      <c r="I154" s="171">
        <f t="shared" si="40"/>
        <v>0</v>
      </c>
      <c r="J154" s="171">
        <f t="shared" si="40"/>
        <v>0</v>
      </c>
      <c r="K154" s="171">
        <f t="shared" si="40"/>
        <v>0</v>
      </c>
      <c r="L154" s="171">
        <f t="shared" si="40"/>
        <v>0</v>
      </c>
      <c r="M154" s="171">
        <f t="shared" si="40"/>
        <v>0</v>
      </c>
      <c r="N154" s="171">
        <f t="shared" si="40"/>
        <v>0</v>
      </c>
      <c r="O154" s="171">
        <f t="shared" si="40"/>
        <v>0</v>
      </c>
      <c r="P154" s="171">
        <f t="shared" si="40"/>
        <v>0</v>
      </c>
      <c r="Q154" s="171">
        <f t="shared" si="40"/>
        <v>0</v>
      </c>
      <c r="R154" s="171">
        <f t="shared" si="40"/>
        <v>0</v>
      </c>
      <c r="S154" s="171">
        <f t="shared" si="40"/>
        <v>0</v>
      </c>
      <c r="T154" s="171">
        <f t="shared" si="40"/>
        <v>0</v>
      </c>
      <c r="U154" s="171">
        <f t="shared" si="40"/>
        <v>0</v>
      </c>
      <c r="V154" s="171">
        <f t="shared" si="40"/>
        <v>0</v>
      </c>
      <c r="W154" s="171">
        <f t="shared" si="40"/>
        <v>0</v>
      </c>
      <c r="X154" s="171">
        <f t="shared" si="40"/>
        <v>0</v>
      </c>
      <c r="Y154" s="171">
        <f t="shared" si="40"/>
        <v>0</v>
      </c>
      <c r="Z154" s="171">
        <f t="shared" si="40"/>
        <v>0</v>
      </c>
      <c r="AA154" s="171">
        <f t="shared" si="40"/>
        <v>0</v>
      </c>
      <c r="AB154" s="171">
        <f t="shared" si="40"/>
        <v>0</v>
      </c>
      <c r="AC154" s="171">
        <f t="shared" si="40"/>
        <v>0</v>
      </c>
      <c r="AD154" s="171">
        <f t="shared" si="40"/>
        <v>0</v>
      </c>
      <c r="AE154" s="171">
        <f t="shared" si="40"/>
        <v>0</v>
      </c>
      <c r="AF154" s="171">
        <f t="shared" si="40"/>
        <v>0</v>
      </c>
      <c r="AG154" s="171">
        <f t="shared" si="40"/>
        <v>0</v>
      </c>
      <c r="AH154" s="171">
        <f t="shared" si="40"/>
        <v>0</v>
      </c>
      <c r="AI154" s="171">
        <f t="shared" si="40"/>
        <v>0</v>
      </c>
      <c r="AJ154" s="171">
        <f t="shared" si="39"/>
        <v>0</v>
      </c>
      <c r="AK154" s="171">
        <f t="shared" si="39"/>
        <v>0</v>
      </c>
      <c r="AL154" s="171">
        <f t="shared" si="39"/>
        <v>0</v>
      </c>
      <c r="AM154" s="171">
        <f t="shared" si="39"/>
        <v>0</v>
      </c>
      <c r="AN154" s="171">
        <f t="shared" si="39"/>
        <v>0</v>
      </c>
      <c r="AO154" s="171">
        <f t="shared" si="39"/>
        <v>0</v>
      </c>
      <c r="AP154" s="171">
        <f t="shared" si="39"/>
        <v>0</v>
      </c>
      <c r="AQ154" s="171">
        <f t="shared" ref="AQ154:CS161" si="41">IF(AQ127="",1,0)*IF(AQ100="",1,0)*SUM(AQ46)*IF(AQ73="",0,1)</f>
        <v>0</v>
      </c>
      <c r="AR154" s="171">
        <f t="shared" si="41"/>
        <v>0</v>
      </c>
      <c r="AS154" s="171">
        <f t="shared" si="41"/>
        <v>0</v>
      </c>
      <c r="AT154" s="171">
        <f t="shared" si="41"/>
        <v>0</v>
      </c>
      <c r="AU154" s="171">
        <f t="shared" si="41"/>
        <v>0</v>
      </c>
      <c r="AV154" s="171">
        <f t="shared" si="41"/>
        <v>0</v>
      </c>
      <c r="AW154" s="171">
        <f t="shared" si="41"/>
        <v>0</v>
      </c>
      <c r="AX154" s="171">
        <f t="shared" si="41"/>
        <v>0</v>
      </c>
      <c r="AY154" s="171">
        <f t="shared" si="41"/>
        <v>0</v>
      </c>
      <c r="AZ154" s="171">
        <f t="shared" si="41"/>
        <v>0</v>
      </c>
      <c r="BA154" s="171">
        <f t="shared" si="41"/>
        <v>0</v>
      </c>
      <c r="BB154" s="171">
        <f t="shared" si="41"/>
        <v>0</v>
      </c>
      <c r="BC154" s="171">
        <f t="shared" si="41"/>
        <v>0</v>
      </c>
      <c r="BD154" s="171">
        <f t="shared" si="41"/>
        <v>0</v>
      </c>
      <c r="BE154" s="171">
        <f t="shared" si="41"/>
        <v>0</v>
      </c>
      <c r="BF154" s="171">
        <f t="shared" si="41"/>
        <v>0</v>
      </c>
      <c r="BG154" s="171">
        <f t="shared" si="41"/>
        <v>0</v>
      </c>
      <c r="BH154" s="171">
        <f t="shared" si="41"/>
        <v>0</v>
      </c>
      <c r="BI154" s="171">
        <f t="shared" si="41"/>
        <v>0</v>
      </c>
      <c r="BJ154" s="171">
        <f t="shared" si="41"/>
        <v>0</v>
      </c>
      <c r="BK154" s="171">
        <f t="shared" si="41"/>
        <v>0</v>
      </c>
      <c r="BL154" s="171">
        <f t="shared" si="41"/>
        <v>0</v>
      </c>
      <c r="BM154" s="171">
        <f t="shared" si="41"/>
        <v>0</v>
      </c>
      <c r="BN154" s="171">
        <f t="shared" si="41"/>
        <v>0</v>
      </c>
      <c r="BO154" s="171">
        <f t="shared" si="41"/>
        <v>0</v>
      </c>
      <c r="BP154" s="171">
        <f t="shared" si="41"/>
        <v>0</v>
      </c>
      <c r="BQ154" s="171">
        <f t="shared" si="41"/>
        <v>0</v>
      </c>
      <c r="BR154" s="171">
        <f t="shared" si="41"/>
        <v>0</v>
      </c>
      <c r="BS154" s="171">
        <f t="shared" si="41"/>
        <v>0</v>
      </c>
      <c r="BT154" s="171">
        <f t="shared" si="41"/>
        <v>0</v>
      </c>
      <c r="BU154" s="171">
        <f t="shared" si="41"/>
        <v>0</v>
      </c>
      <c r="BV154" s="171">
        <f t="shared" si="41"/>
        <v>0</v>
      </c>
      <c r="BW154" s="171">
        <f t="shared" si="41"/>
        <v>0</v>
      </c>
      <c r="BX154" s="171">
        <f t="shared" si="41"/>
        <v>0</v>
      </c>
      <c r="BY154" s="171">
        <f t="shared" si="41"/>
        <v>0</v>
      </c>
      <c r="BZ154" s="171">
        <f t="shared" si="41"/>
        <v>0</v>
      </c>
      <c r="CA154" s="171">
        <f t="shared" si="41"/>
        <v>0</v>
      </c>
      <c r="CB154" s="171">
        <f t="shared" si="41"/>
        <v>0</v>
      </c>
      <c r="CC154" s="171">
        <f t="shared" si="41"/>
        <v>0</v>
      </c>
      <c r="CD154" s="171">
        <f t="shared" si="41"/>
        <v>0</v>
      </c>
      <c r="CE154" s="171">
        <f t="shared" si="41"/>
        <v>0</v>
      </c>
      <c r="CF154" s="171">
        <f t="shared" si="41"/>
        <v>0</v>
      </c>
      <c r="CG154" s="171">
        <f t="shared" si="41"/>
        <v>0</v>
      </c>
      <c r="CH154" s="171">
        <f t="shared" si="41"/>
        <v>0</v>
      </c>
      <c r="CI154" s="171">
        <f t="shared" si="41"/>
        <v>0</v>
      </c>
      <c r="CJ154" s="171">
        <f t="shared" si="41"/>
        <v>0</v>
      </c>
      <c r="CK154" s="171">
        <f t="shared" si="41"/>
        <v>0</v>
      </c>
      <c r="CL154" s="171">
        <f t="shared" si="41"/>
        <v>0</v>
      </c>
      <c r="CM154" s="171">
        <f t="shared" si="41"/>
        <v>0</v>
      </c>
      <c r="CN154" s="171">
        <f t="shared" si="41"/>
        <v>0</v>
      </c>
      <c r="CO154" s="171">
        <f t="shared" si="41"/>
        <v>0</v>
      </c>
      <c r="CP154" s="171">
        <f t="shared" si="41"/>
        <v>0</v>
      </c>
      <c r="CQ154" s="171">
        <f t="shared" si="41"/>
        <v>0</v>
      </c>
      <c r="CR154" s="171">
        <f t="shared" si="41"/>
        <v>0</v>
      </c>
      <c r="CS154" s="172">
        <f t="shared" si="41"/>
        <v>0</v>
      </c>
      <c r="CT154" s="85" t="s">
        <v>54</v>
      </c>
    </row>
    <row r="155" spans="1:98" hidden="1" x14ac:dyDescent="0.25">
      <c r="A155" s="97">
        <v>0</v>
      </c>
      <c r="B155" s="90">
        <f t="shared" si="37"/>
        <v>2001</v>
      </c>
      <c r="C155" s="101"/>
      <c r="D155" s="171">
        <f t="shared" si="40"/>
        <v>0</v>
      </c>
      <c r="E155" s="171">
        <f t="shared" si="40"/>
        <v>0</v>
      </c>
      <c r="F155" s="171">
        <f t="shared" si="40"/>
        <v>0</v>
      </c>
      <c r="G155" s="171">
        <f t="shared" si="40"/>
        <v>0</v>
      </c>
      <c r="H155" s="171">
        <f t="shared" si="40"/>
        <v>0</v>
      </c>
      <c r="I155" s="171">
        <f t="shared" si="40"/>
        <v>0</v>
      </c>
      <c r="J155" s="171">
        <f t="shared" si="40"/>
        <v>0</v>
      </c>
      <c r="K155" s="171">
        <f t="shared" si="40"/>
        <v>0</v>
      </c>
      <c r="L155" s="171">
        <f t="shared" si="40"/>
        <v>0</v>
      </c>
      <c r="M155" s="171">
        <f t="shared" si="40"/>
        <v>0</v>
      </c>
      <c r="N155" s="171">
        <f t="shared" si="40"/>
        <v>0</v>
      </c>
      <c r="O155" s="171">
        <f t="shared" si="40"/>
        <v>0</v>
      </c>
      <c r="P155" s="171">
        <f t="shared" si="40"/>
        <v>0</v>
      </c>
      <c r="Q155" s="171">
        <f t="shared" si="40"/>
        <v>0</v>
      </c>
      <c r="R155" s="171">
        <f t="shared" si="40"/>
        <v>0</v>
      </c>
      <c r="S155" s="171">
        <f t="shared" si="40"/>
        <v>0</v>
      </c>
      <c r="T155" s="171">
        <f t="shared" si="40"/>
        <v>0</v>
      </c>
      <c r="U155" s="171">
        <f t="shared" si="40"/>
        <v>0</v>
      </c>
      <c r="V155" s="171">
        <f t="shared" si="40"/>
        <v>0</v>
      </c>
      <c r="W155" s="171">
        <f t="shared" si="40"/>
        <v>0</v>
      </c>
      <c r="X155" s="171">
        <f t="shared" si="40"/>
        <v>0</v>
      </c>
      <c r="Y155" s="171">
        <f t="shared" si="40"/>
        <v>0</v>
      </c>
      <c r="Z155" s="171">
        <f t="shared" si="40"/>
        <v>0</v>
      </c>
      <c r="AA155" s="171">
        <f t="shared" si="40"/>
        <v>0</v>
      </c>
      <c r="AB155" s="171">
        <f t="shared" si="40"/>
        <v>0</v>
      </c>
      <c r="AC155" s="171">
        <f t="shared" si="40"/>
        <v>0</v>
      </c>
      <c r="AD155" s="171">
        <f t="shared" si="40"/>
        <v>0</v>
      </c>
      <c r="AE155" s="171">
        <f t="shared" si="40"/>
        <v>0</v>
      </c>
      <c r="AF155" s="171">
        <f t="shared" si="40"/>
        <v>0</v>
      </c>
      <c r="AG155" s="171">
        <f t="shared" si="40"/>
        <v>0</v>
      </c>
      <c r="AH155" s="171">
        <f t="shared" si="40"/>
        <v>0</v>
      </c>
      <c r="AI155" s="171">
        <f t="shared" si="40"/>
        <v>0</v>
      </c>
      <c r="AJ155" s="171">
        <f t="shared" ref="AJ155:BO162" si="42">IF(AJ128="",1,0)*IF(AJ101="",1,0)*SUM(AJ47)*IF(AJ74="",0,1)</f>
        <v>0</v>
      </c>
      <c r="AK155" s="171">
        <f t="shared" si="42"/>
        <v>0</v>
      </c>
      <c r="AL155" s="171">
        <f t="shared" si="42"/>
        <v>0</v>
      </c>
      <c r="AM155" s="171">
        <f t="shared" si="42"/>
        <v>0</v>
      </c>
      <c r="AN155" s="171">
        <f t="shared" si="42"/>
        <v>0</v>
      </c>
      <c r="AO155" s="171">
        <f t="shared" si="42"/>
        <v>0</v>
      </c>
      <c r="AP155" s="171">
        <f t="shared" si="42"/>
        <v>0</v>
      </c>
      <c r="AQ155" s="171">
        <f t="shared" si="42"/>
        <v>0</v>
      </c>
      <c r="AR155" s="171">
        <f t="shared" si="42"/>
        <v>0</v>
      </c>
      <c r="AS155" s="171">
        <f t="shared" si="42"/>
        <v>0</v>
      </c>
      <c r="AT155" s="171">
        <f t="shared" si="42"/>
        <v>0</v>
      </c>
      <c r="AU155" s="171">
        <f t="shared" si="42"/>
        <v>0</v>
      </c>
      <c r="AV155" s="171">
        <f t="shared" si="42"/>
        <v>0</v>
      </c>
      <c r="AW155" s="171">
        <f t="shared" si="42"/>
        <v>0</v>
      </c>
      <c r="AX155" s="171">
        <f t="shared" si="42"/>
        <v>0</v>
      </c>
      <c r="AY155" s="171">
        <f t="shared" si="42"/>
        <v>0</v>
      </c>
      <c r="AZ155" s="171">
        <f t="shared" si="42"/>
        <v>0</v>
      </c>
      <c r="BA155" s="171">
        <f t="shared" si="42"/>
        <v>0</v>
      </c>
      <c r="BB155" s="171">
        <f t="shared" si="42"/>
        <v>0</v>
      </c>
      <c r="BC155" s="171">
        <f t="shared" si="42"/>
        <v>0</v>
      </c>
      <c r="BD155" s="171">
        <f t="shared" si="42"/>
        <v>0</v>
      </c>
      <c r="BE155" s="171">
        <f t="shared" si="42"/>
        <v>0</v>
      </c>
      <c r="BF155" s="171">
        <f t="shared" si="42"/>
        <v>0</v>
      </c>
      <c r="BG155" s="171">
        <f t="shared" si="42"/>
        <v>0</v>
      </c>
      <c r="BH155" s="171">
        <f t="shared" si="42"/>
        <v>0</v>
      </c>
      <c r="BI155" s="171">
        <f t="shared" si="42"/>
        <v>0</v>
      </c>
      <c r="BJ155" s="171">
        <f t="shared" si="42"/>
        <v>0</v>
      </c>
      <c r="BK155" s="171">
        <f t="shared" si="42"/>
        <v>0</v>
      </c>
      <c r="BL155" s="171">
        <f t="shared" si="42"/>
        <v>0</v>
      </c>
      <c r="BM155" s="171">
        <f t="shared" si="42"/>
        <v>0</v>
      </c>
      <c r="BN155" s="171">
        <f t="shared" si="42"/>
        <v>0</v>
      </c>
      <c r="BO155" s="171">
        <f t="shared" si="42"/>
        <v>0</v>
      </c>
      <c r="BP155" s="171">
        <f t="shared" si="41"/>
        <v>0</v>
      </c>
      <c r="BQ155" s="171">
        <f t="shared" si="41"/>
        <v>0</v>
      </c>
      <c r="BR155" s="171">
        <f t="shared" si="41"/>
        <v>0</v>
      </c>
      <c r="BS155" s="171">
        <f t="shared" si="41"/>
        <v>0</v>
      </c>
      <c r="BT155" s="171">
        <f t="shared" si="41"/>
        <v>0</v>
      </c>
      <c r="BU155" s="171">
        <f t="shared" si="41"/>
        <v>0</v>
      </c>
      <c r="BV155" s="171">
        <f t="shared" si="41"/>
        <v>0</v>
      </c>
      <c r="BW155" s="171">
        <f t="shared" si="41"/>
        <v>0</v>
      </c>
      <c r="BX155" s="171">
        <f t="shared" si="41"/>
        <v>0</v>
      </c>
      <c r="BY155" s="171">
        <f t="shared" si="41"/>
        <v>0</v>
      </c>
      <c r="BZ155" s="171">
        <f t="shared" si="41"/>
        <v>0</v>
      </c>
      <c r="CA155" s="171">
        <f t="shared" si="41"/>
        <v>0</v>
      </c>
      <c r="CB155" s="171">
        <f t="shared" si="41"/>
        <v>0</v>
      </c>
      <c r="CC155" s="171">
        <f t="shared" si="41"/>
        <v>0</v>
      </c>
      <c r="CD155" s="171">
        <f t="shared" si="41"/>
        <v>0</v>
      </c>
      <c r="CE155" s="171">
        <f t="shared" si="41"/>
        <v>0</v>
      </c>
      <c r="CF155" s="171">
        <f t="shared" si="41"/>
        <v>0</v>
      </c>
      <c r="CG155" s="171">
        <f t="shared" si="41"/>
        <v>0</v>
      </c>
      <c r="CH155" s="171">
        <f t="shared" si="41"/>
        <v>0</v>
      </c>
      <c r="CI155" s="171">
        <f t="shared" si="41"/>
        <v>0</v>
      </c>
      <c r="CJ155" s="171">
        <f t="shared" si="41"/>
        <v>0</v>
      </c>
      <c r="CK155" s="171">
        <f t="shared" si="41"/>
        <v>0</v>
      </c>
      <c r="CL155" s="171">
        <f t="shared" si="41"/>
        <v>0</v>
      </c>
      <c r="CM155" s="171">
        <f t="shared" si="41"/>
        <v>0</v>
      </c>
      <c r="CN155" s="171">
        <f t="shared" si="41"/>
        <v>0</v>
      </c>
      <c r="CO155" s="171">
        <f t="shared" si="41"/>
        <v>0</v>
      </c>
      <c r="CP155" s="171">
        <f t="shared" si="41"/>
        <v>0</v>
      </c>
      <c r="CQ155" s="171">
        <f t="shared" si="41"/>
        <v>0</v>
      </c>
      <c r="CR155" s="171">
        <f t="shared" si="41"/>
        <v>0</v>
      </c>
      <c r="CS155" s="172">
        <f t="shared" si="41"/>
        <v>0</v>
      </c>
      <c r="CT155" s="85" t="s">
        <v>54</v>
      </c>
    </row>
    <row r="156" spans="1:98" hidden="1" x14ac:dyDescent="0.25">
      <c r="A156" s="97">
        <v>0</v>
      </c>
      <c r="B156" s="90">
        <f t="shared" si="37"/>
        <v>2002</v>
      </c>
      <c r="C156" s="101"/>
      <c r="D156" s="171">
        <f t="shared" si="40"/>
        <v>0</v>
      </c>
      <c r="E156" s="171">
        <f t="shared" si="40"/>
        <v>0</v>
      </c>
      <c r="F156" s="171">
        <f t="shared" si="40"/>
        <v>0</v>
      </c>
      <c r="G156" s="171">
        <f t="shared" si="40"/>
        <v>0</v>
      </c>
      <c r="H156" s="171">
        <f t="shared" si="40"/>
        <v>0</v>
      </c>
      <c r="I156" s="171">
        <f t="shared" si="40"/>
        <v>0</v>
      </c>
      <c r="J156" s="171">
        <f t="shared" si="40"/>
        <v>0</v>
      </c>
      <c r="K156" s="171">
        <f t="shared" si="40"/>
        <v>0</v>
      </c>
      <c r="L156" s="171">
        <f t="shared" si="40"/>
        <v>0</v>
      </c>
      <c r="M156" s="171">
        <f t="shared" si="40"/>
        <v>0</v>
      </c>
      <c r="N156" s="171">
        <f t="shared" si="40"/>
        <v>0</v>
      </c>
      <c r="O156" s="171">
        <f t="shared" si="40"/>
        <v>0</v>
      </c>
      <c r="P156" s="171">
        <f t="shared" si="40"/>
        <v>0</v>
      </c>
      <c r="Q156" s="171">
        <f t="shared" si="40"/>
        <v>0</v>
      </c>
      <c r="R156" s="171">
        <f t="shared" si="40"/>
        <v>0</v>
      </c>
      <c r="S156" s="171">
        <f t="shared" si="40"/>
        <v>0</v>
      </c>
      <c r="T156" s="171">
        <f t="shared" si="40"/>
        <v>0</v>
      </c>
      <c r="U156" s="171">
        <f t="shared" si="40"/>
        <v>0</v>
      </c>
      <c r="V156" s="171">
        <f t="shared" si="40"/>
        <v>0</v>
      </c>
      <c r="W156" s="171">
        <f t="shared" si="40"/>
        <v>0</v>
      </c>
      <c r="X156" s="171">
        <f t="shared" si="40"/>
        <v>0</v>
      </c>
      <c r="Y156" s="171">
        <f t="shared" si="40"/>
        <v>0</v>
      </c>
      <c r="Z156" s="171">
        <f t="shared" si="40"/>
        <v>0</v>
      </c>
      <c r="AA156" s="171">
        <f t="shared" si="40"/>
        <v>0</v>
      </c>
      <c r="AB156" s="171">
        <f t="shared" si="40"/>
        <v>0</v>
      </c>
      <c r="AC156" s="171">
        <f t="shared" si="40"/>
        <v>0</v>
      </c>
      <c r="AD156" s="171">
        <f t="shared" si="40"/>
        <v>0</v>
      </c>
      <c r="AE156" s="171">
        <f t="shared" si="40"/>
        <v>0</v>
      </c>
      <c r="AF156" s="171">
        <f t="shared" si="40"/>
        <v>0</v>
      </c>
      <c r="AG156" s="171">
        <f t="shared" si="40"/>
        <v>0</v>
      </c>
      <c r="AH156" s="171">
        <f t="shared" si="40"/>
        <v>0</v>
      </c>
      <c r="AI156" s="171">
        <f t="shared" si="40"/>
        <v>0</v>
      </c>
      <c r="AJ156" s="171">
        <f t="shared" si="42"/>
        <v>0</v>
      </c>
      <c r="AK156" s="171">
        <f t="shared" si="42"/>
        <v>0</v>
      </c>
      <c r="AL156" s="171">
        <f t="shared" si="42"/>
        <v>0</v>
      </c>
      <c r="AM156" s="171">
        <f t="shared" si="42"/>
        <v>0</v>
      </c>
      <c r="AN156" s="171">
        <f t="shared" si="42"/>
        <v>0</v>
      </c>
      <c r="AO156" s="171">
        <f t="shared" si="42"/>
        <v>0</v>
      </c>
      <c r="AP156" s="171">
        <f t="shared" si="42"/>
        <v>0</v>
      </c>
      <c r="AQ156" s="171">
        <f t="shared" si="42"/>
        <v>0</v>
      </c>
      <c r="AR156" s="171">
        <f t="shared" si="42"/>
        <v>0</v>
      </c>
      <c r="AS156" s="171">
        <f t="shared" si="42"/>
        <v>0</v>
      </c>
      <c r="AT156" s="171">
        <f t="shared" si="42"/>
        <v>0</v>
      </c>
      <c r="AU156" s="171">
        <f t="shared" si="42"/>
        <v>0</v>
      </c>
      <c r="AV156" s="171">
        <f t="shared" si="42"/>
        <v>0</v>
      </c>
      <c r="AW156" s="171">
        <f t="shared" si="42"/>
        <v>0</v>
      </c>
      <c r="AX156" s="171">
        <f t="shared" si="42"/>
        <v>0</v>
      </c>
      <c r="AY156" s="171">
        <f t="shared" si="42"/>
        <v>0</v>
      </c>
      <c r="AZ156" s="171">
        <f t="shared" si="42"/>
        <v>0</v>
      </c>
      <c r="BA156" s="171">
        <f t="shared" si="42"/>
        <v>0</v>
      </c>
      <c r="BB156" s="171">
        <f t="shared" si="42"/>
        <v>0</v>
      </c>
      <c r="BC156" s="171">
        <f t="shared" si="42"/>
        <v>0</v>
      </c>
      <c r="BD156" s="171">
        <f t="shared" si="42"/>
        <v>0</v>
      </c>
      <c r="BE156" s="171">
        <f t="shared" si="42"/>
        <v>0</v>
      </c>
      <c r="BF156" s="171">
        <f t="shared" si="42"/>
        <v>0</v>
      </c>
      <c r="BG156" s="171">
        <f t="shared" si="42"/>
        <v>0</v>
      </c>
      <c r="BH156" s="171">
        <f t="shared" si="42"/>
        <v>0</v>
      </c>
      <c r="BI156" s="171">
        <f t="shared" si="42"/>
        <v>0</v>
      </c>
      <c r="BJ156" s="171">
        <f t="shared" si="42"/>
        <v>0</v>
      </c>
      <c r="BK156" s="171">
        <f t="shared" si="42"/>
        <v>0</v>
      </c>
      <c r="BL156" s="171">
        <f t="shared" si="42"/>
        <v>0</v>
      </c>
      <c r="BM156" s="171">
        <f t="shared" si="42"/>
        <v>0</v>
      </c>
      <c r="BN156" s="171">
        <f t="shared" si="42"/>
        <v>0</v>
      </c>
      <c r="BO156" s="171">
        <f t="shared" si="42"/>
        <v>0</v>
      </c>
      <c r="BP156" s="171">
        <f t="shared" si="41"/>
        <v>0</v>
      </c>
      <c r="BQ156" s="171">
        <f t="shared" si="41"/>
        <v>0</v>
      </c>
      <c r="BR156" s="171">
        <f t="shared" si="41"/>
        <v>0</v>
      </c>
      <c r="BS156" s="171">
        <f t="shared" si="41"/>
        <v>0</v>
      </c>
      <c r="BT156" s="171">
        <f t="shared" si="41"/>
        <v>0</v>
      </c>
      <c r="BU156" s="171">
        <f t="shared" si="41"/>
        <v>0</v>
      </c>
      <c r="BV156" s="171">
        <f t="shared" si="41"/>
        <v>0</v>
      </c>
      <c r="BW156" s="171">
        <f t="shared" si="41"/>
        <v>0</v>
      </c>
      <c r="BX156" s="171">
        <f t="shared" si="41"/>
        <v>0</v>
      </c>
      <c r="BY156" s="171">
        <f t="shared" si="41"/>
        <v>0</v>
      </c>
      <c r="BZ156" s="171">
        <f t="shared" si="41"/>
        <v>0</v>
      </c>
      <c r="CA156" s="171">
        <f t="shared" si="41"/>
        <v>0</v>
      </c>
      <c r="CB156" s="171">
        <f t="shared" si="41"/>
        <v>0</v>
      </c>
      <c r="CC156" s="171">
        <f t="shared" si="41"/>
        <v>0</v>
      </c>
      <c r="CD156" s="171">
        <f t="shared" si="41"/>
        <v>0</v>
      </c>
      <c r="CE156" s="171">
        <f t="shared" si="41"/>
        <v>0</v>
      </c>
      <c r="CF156" s="171">
        <f t="shared" si="41"/>
        <v>0</v>
      </c>
      <c r="CG156" s="171">
        <f t="shared" si="41"/>
        <v>0</v>
      </c>
      <c r="CH156" s="171">
        <f t="shared" si="41"/>
        <v>0</v>
      </c>
      <c r="CI156" s="171">
        <f t="shared" si="41"/>
        <v>0</v>
      </c>
      <c r="CJ156" s="171">
        <f t="shared" si="41"/>
        <v>0</v>
      </c>
      <c r="CK156" s="171">
        <f t="shared" si="41"/>
        <v>0</v>
      </c>
      <c r="CL156" s="171">
        <f t="shared" si="41"/>
        <v>0</v>
      </c>
      <c r="CM156" s="171">
        <f t="shared" si="41"/>
        <v>0</v>
      </c>
      <c r="CN156" s="171">
        <f t="shared" si="41"/>
        <v>0</v>
      </c>
      <c r="CO156" s="171">
        <f t="shared" si="41"/>
        <v>0</v>
      </c>
      <c r="CP156" s="171">
        <f t="shared" si="41"/>
        <v>0</v>
      </c>
      <c r="CQ156" s="171">
        <f t="shared" si="41"/>
        <v>0</v>
      </c>
      <c r="CR156" s="171">
        <f t="shared" si="41"/>
        <v>0</v>
      </c>
      <c r="CS156" s="172">
        <f t="shared" si="41"/>
        <v>0</v>
      </c>
      <c r="CT156" s="85" t="s">
        <v>54</v>
      </c>
    </row>
    <row r="157" spans="1:98" hidden="1" x14ac:dyDescent="0.25">
      <c r="A157" s="97">
        <v>0</v>
      </c>
      <c r="B157" s="90">
        <f t="shared" si="37"/>
        <v>2003</v>
      </c>
      <c r="C157" s="101"/>
      <c r="D157" s="171">
        <f t="shared" si="40"/>
        <v>0</v>
      </c>
      <c r="E157" s="171">
        <f t="shared" si="40"/>
        <v>0</v>
      </c>
      <c r="F157" s="171">
        <f t="shared" si="40"/>
        <v>0</v>
      </c>
      <c r="G157" s="171">
        <f t="shared" si="40"/>
        <v>0</v>
      </c>
      <c r="H157" s="171">
        <f t="shared" si="40"/>
        <v>0</v>
      </c>
      <c r="I157" s="171">
        <f t="shared" si="40"/>
        <v>0</v>
      </c>
      <c r="J157" s="171">
        <f t="shared" si="40"/>
        <v>0</v>
      </c>
      <c r="K157" s="171">
        <f t="shared" si="40"/>
        <v>0</v>
      </c>
      <c r="L157" s="171">
        <f t="shared" si="40"/>
        <v>0</v>
      </c>
      <c r="M157" s="171">
        <f t="shared" si="40"/>
        <v>0</v>
      </c>
      <c r="N157" s="171">
        <f t="shared" si="40"/>
        <v>0</v>
      </c>
      <c r="O157" s="171">
        <f t="shared" si="40"/>
        <v>0</v>
      </c>
      <c r="P157" s="171">
        <f t="shared" si="40"/>
        <v>0</v>
      </c>
      <c r="Q157" s="171">
        <f t="shared" si="40"/>
        <v>0</v>
      </c>
      <c r="R157" s="171">
        <f t="shared" si="40"/>
        <v>0</v>
      </c>
      <c r="S157" s="171">
        <f t="shared" si="40"/>
        <v>0</v>
      </c>
      <c r="T157" s="171">
        <f t="shared" si="40"/>
        <v>0</v>
      </c>
      <c r="U157" s="171">
        <f t="shared" si="40"/>
        <v>0</v>
      </c>
      <c r="V157" s="171">
        <f t="shared" si="40"/>
        <v>0</v>
      </c>
      <c r="W157" s="171">
        <f t="shared" si="40"/>
        <v>0</v>
      </c>
      <c r="X157" s="171">
        <f t="shared" si="40"/>
        <v>0</v>
      </c>
      <c r="Y157" s="171">
        <f t="shared" si="40"/>
        <v>0</v>
      </c>
      <c r="Z157" s="171">
        <f t="shared" si="40"/>
        <v>0</v>
      </c>
      <c r="AA157" s="171">
        <f t="shared" si="40"/>
        <v>0</v>
      </c>
      <c r="AB157" s="171">
        <f t="shared" si="40"/>
        <v>0</v>
      </c>
      <c r="AC157" s="171">
        <f t="shared" si="40"/>
        <v>0</v>
      </c>
      <c r="AD157" s="171">
        <f t="shared" si="40"/>
        <v>0</v>
      </c>
      <c r="AE157" s="171">
        <f t="shared" si="40"/>
        <v>0</v>
      </c>
      <c r="AF157" s="171">
        <f t="shared" si="40"/>
        <v>0</v>
      </c>
      <c r="AG157" s="171">
        <f t="shared" si="40"/>
        <v>0</v>
      </c>
      <c r="AH157" s="171">
        <f t="shared" si="40"/>
        <v>0</v>
      </c>
      <c r="AI157" s="171">
        <f t="shared" si="40"/>
        <v>0</v>
      </c>
      <c r="AJ157" s="171">
        <f t="shared" si="42"/>
        <v>0</v>
      </c>
      <c r="AK157" s="171">
        <f t="shared" si="42"/>
        <v>0</v>
      </c>
      <c r="AL157" s="171">
        <f t="shared" si="42"/>
        <v>0</v>
      </c>
      <c r="AM157" s="171">
        <f t="shared" si="42"/>
        <v>0</v>
      </c>
      <c r="AN157" s="171">
        <f t="shared" si="42"/>
        <v>0</v>
      </c>
      <c r="AO157" s="171">
        <f t="shared" si="42"/>
        <v>0</v>
      </c>
      <c r="AP157" s="171">
        <f t="shared" si="42"/>
        <v>0</v>
      </c>
      <c r="AQ157" s="171">
        <f t="shared" si="42"/>
        <v>0</v>
      </c>
      <c r="AR157" s="171">
        <f t="shared" si="42"/>
        <v>0</v>
      </c>
      <c r="AS157" s="171">
        <f t="shared" si="42"/>
        <v>0</v>
      </c>
      <c r="AT157" s="171">
        <f t="shared" si="42"/>
        <v>0</v>
      </c>
      <c r="AU157" s="171">
        <f t="shared" si="42"/>
        <v>0</v>
      </c>
      <c r="AV157" s="171">
        <f t="shared" si="42"/>
        <v>0</v>
      </c>
      <c r="AW157" s="171">
        <f t="shared" si="42"/>
        <v>0</v>
      </c>
      <c r="AX157" s="171">
        <f t="shared" si="42"/>
        <v>0</v>
      </c>
      <c r="AY157" s="171">
        <f t="shared" si="42"/>
        <v>0</v>
      </c>
      <c r="AZ157" s="171">
        <f t="shared" si="42"/>
        <v>0</v>
      </c>
      <c r="BA157" s="171">
        <f t="shared" si="42"/>
        <v>0</v>
      </c>
      <c r="BB157" s="171">
        <f t="shared" si="42"/>
        <v>0</v>
      </c>
      <c r="BC157" s="171">
        <f t="shared" si="42"/>
        <v>0</v>
      </c>
      <c r="BD157" s="171">
        <f t="shared" si="42"/>
        <v>0</v>
      </c>
      <c r="BE157" s="171">
        <f t="shared" si="42"/>
        <v>0</v>
      </c>
      <c r="BF157" s="171">
        <f t="shared" si="42"/>
        <v>0</v>
      </c>
      <c r="BG157" s="171">
        <f t="shared" si="42"/>
        <v>0</v>
      </c>
      <c r="BH157" s="171">
        <f t="shared" si="42"/>
        <v>0</v>
      </c>
      <c r="BI157" s="171">
        <f t="shared" si="42"/>
        <v>0</v>
      </c>
      <c r="BJ157" s="171">
        <f t="shared" si="42"/>
        <v>0</v>
      </c>
      <c r="BK157" s="171">
        <f t="shared" si="42"/>
        <v>0</v>
      </c>
      <c r="BL157" s="171">
        <f t="shared" si="42"/>
        <v>0</v>
      </c>
      <c r="BM157" s="171">
        <f t="shared" si="42"/>
        <v>0</v>
      </c>
      <c r="BN157" s="171">
        <f t="shared" si="42"/>
        <v>0</v>
      </c>
      <c r="BO157" s="171">
        <f t="shared" si="42"/>
        <v>0</v>
      </c>
      <c r="BP157" s="171">
        <f t="shared" si="41"/>
        <v>0</v>
      </c>
      <c r="BQ157" s="171">
        <f t="shared" si="41"/>
        <v>0</v>
      </c>
      <c r="BR157" s="171">
        <f t="shared" si="41"/>
        <v>0</v>
      </c>
      <c r="BS157" s="171">
        <f t="shared" si="41"/>
        <v>0</v>
      </c>
      <c r="BT157" s="171">
        <f t="shared" si="41"/>
        <v>0</v>
      </c>
      <c r="BU157" s="171">
        <f t="shared" si="41"/>
        <v>0</v>
      </c>
      <c r="BV157" s="171">
        <f t="shared" si="41"/>
        <v>0</v>
      </c>
      <c r="BW157" s="171">
        <f t="shared" si="41"/>
        <v>0</v>
      </c>
      <c r="BX157" s="171">
        <f t="shared" si="41"/>
        <v>0</v>
      </c>
      <c r="BY157" s="171">
        <f t="shared" si="41"/>
        <v>0</v>
      </c>
      <c r="BZ157" s="171">
        <f t="shared" si="41"/>
        <v>0</v>
      </c>
      <c r="CA157" s="171">
        <f t="shared" si="41"/>
        <v>0</v>
      </c>
      <c r="CB157" s="171">
        <f t="shared" si="41"/>
        <v>0</v>
      </c>
      <c r="CC157" s="171">
        <f t="shared" si="41"/>
        <v>0</v>
      </c>
      <c r="CD157" s="171">
        <f t="shared" si="41"/>
        <v>0</v>
      </c>
      <c r="CE157" s="171">
        <f t="shared" si="41"/>
        <v>0</v>
      </c>
      <c r="CF157" s="171">
        <f t="shared" si="41"/>
        <v>0</v>
      </c>
      <c r="CG157" s="171">
        <f t="shared" si="41"/>
        <v>0</v>
      </c>
      <c r="CH157" s="171">
        <f t="shared" si="41"/>
        <v>0</v>
      </c>
      <c r="CI157" s="171">
        <f t="shared" si="41"/>
        <v>0</v>
      </c>
      <c r="CJ157" s="171">
        <f t="shared" si="41"/>
        <v>0</v>
      </c>
      <c r="CK157" s="171">
        <f t="shared" si="41"/>
        <v>0</v>
      </c>
      <c r="CL157" s="171">
        <f t="shared" si="41"/>
        <v>0</v>
      </c>
      <c r="CM157" s="171">
        <f t="shared" si="41"/>
        <v>0</v>
      </c>
      <c r="CN157" s="171">
        <f t="shared" si="41"/>
        <v>0</v>
      </c>
      <c r="CO157" s="171">
        <f t="shared" si="41"/>
        <v>0</v>
      </c>
      <c r="CP157" s="171">
        <f t="shared" si="41"/>
        <v>0</v>
      </c>
      <c r="CQ157" s="171">
        <f t="shared" si="41"/>
        <v>0</v>
      </c>
      <c r="CR157" s="171">
        <f t="shared" si="41"/>
        <v>0</v>
      </c>
      <c r="CS157" s="172">
        <f t="shared" si="41"/>
        <v>0</v>
      </c>
      <c r="CT157" s="85" t="s">
        <v>54</v>
      </c>
    </row>
    <row r="158" spans="1:98" hidden="1" x14ac:dyDescent="0.25">
      <c r="A158" s="97">
        <v>0</v>
      </c>
      <c r="B158" s="90">
        <f t="shared" si="37"/>
        <v>2004</v>
      </c>
      <c r="C158" s="101"/>
      <c r="D158" s="171">
        <f t="shared" si="40"/>
        <v>0</v>
      </c>
      <c r="E158" s="171">
        <f t="shared" si="40"/>
        <v>0</v>
      </c>
      <c r="F158" s="171">
        <f t="shared" si="40"/>
        <v>0</v>
      </c>
      <c r="G158" s="171">
        <f t="shared" si="40"/>
        <v>0</v>
      </c>
      <c r="H158" s="171">
        <f t="shared" si="40"/>
        <v>0</v>
      </c>
      <c r="I158" s="171">
        <f t="shared" si="40"/>
        <v>0</v>
      </c>
      <c r="J158" s="171">
        <f t="shared" si="40"/>
        <v>0</v>
      </c>
      <c r="K158" s="171">
        <f t="shared" si="40"/>
        <v>0</v>
      </c>
      <c r="L158" s="171">
        <f t="shared" si="40"/>
        <v>0</v>
      </c>
      <c r="M158" s="171">
        <f t="shared" si="40"/>
        <v>0</v>
      </c>
      <c r="N158" s="171">
        <f t="shared" si="40"/>
        <v>0</v>
      </c>
      <c r="O158" s="171">
        <f t="shared" si="40"/>
        <v>0</v>
      </c>
      <c r="P158" s="171">
        <f t="shared" si="40"/>
        <v>0</v>
      </c>
      <c r="Q158" s="171">
        <f t="shared" si="40"/>
        <v>0</v>
      </c>
      <c r="R158" s="171">
        <f t="shared" si="40"/>
        <v>0</v>
      </c>
      <c r="S158" s="171">
        <f t="shared" si="40"/>
        <v>0</v>
      </c>
      <c r="T158" s="171">
        <f t="shared" si="40"/>
        <v>0</v>
      </c>
      <c r="U158" s="171">
        <f t="shared" si="40"/>
        <v>0</v>
      </c>
      <c r="V158" s="171">
        <f t="shared" si="40"/>
        <v>0</v>
      </c>
      <c r="W158" s="171">
        <f t="shared" si="40"/>
        <v>0</v>
      </c>
      <c r="X158" s="171">
        <f t="shared" si="40"/>
        <v>0</v>
      </c>
      <c r="Y158" s="171">
        <f t="shared" si="40"/>
        <v>0</v>
      </c>
      <c r="Z158" s="171">
        <f t="shared" si="40"/>
        <v>0</v>
      </c>
      <c r="AA158" s="171">
        <f t="shared" si="40"/>
        <v>0</v>
      </c>
      <c r="AB158" s="171">
        <f t="shared" si="40"/>
        <v>0</v>
      </c>
      <c r="AC158" s="171">
        <f t="shared" si="40"/>
        <v>0</v>
      </c>
      <c r="AD158" s="171">
        <f t="shared" si="40"/>
        <v>0</v>
      </c>
      <c r="AE158" s="171">
        <f t="shared" si="40"/>
        <v>0</v>
      </c>
      <c r="AF158" s="171">
        <f t="shared" si="40"/>
        <v>0</v>
      </c>
      <c r="AG158" s="171">
        <f t="shared" si="40"/>
        <v>0</v>
      </c>
      <c r="AH158" s="171">
        <f t="shared" si="40"/>
        <v>0</v>
      </c>
      <c r="AI158" s="171">
        <f t="shared" ref="AI158" si="43">IF(AI131="",1,0)*IF(AI104="",1,0)*SUM(AI50)*IF(AI77="",0,1)</f>
        <v>0</v>
      </c>
      <c r="AJ158" s="171">
        <f t="shared" si="42"/>
        <v>0</v>
      </c>
      <c r="AK158" s="171">
        <f t="shared" si="42"/>
        <v>0</v>
      </c>
      <c r="AL158" s="171">
        <f t="shared" si="42"/>
        <v>0</v>
      </c>
      <c r="AM158" s="171">
        <f t="shared" si="42"/>
        <v>0</v>
      </c>
      <c r="AN158" s="171">
        <f t="shared" si="42"/>
        <v>0</v>
      </c>
      <c r="AO158" s="171">
        <f t="shared" si="42"/>
        <v>0</v>
      </c>
      <c r="AP158" s="171">
        <f t="shared" si="42"/>
        <v>0</v>
      </c>
      <c r="AQ158" s="171">
        <f t="shared" si="42"/>
        <v>0</v>
      </c>
      <c r="AR158" s="171">
        <f t="shared" si="42"/>
        <v>0</v>
      </c>
      <c r="AS158" s="171">
        <f t="shared" si="42"/>
        <v>0</v>
      </c>
      <c r="AT158" s="171">
        <f t="shared" si="42"/>
        <v>0</v>
      </c>
      <c r="AU158" s="171">
        <f t="shared" si="42"/>
        <v>0</v>
      </c>
      <c r="AV158" s="171">
        <f t="shared" si="42"/>
        <v>0</v>
      </c>
      <c r="AW158" s="171">
        <f t="shared" si="42"/>
        <v>0</v>
      </c>
      <c r="AX158" s="171">
        <f t="shared" si="42"/>
        <v>0</v>
      </c>
      <c r="AY158" s="171">
        <f t="shared" si="42"/>
        <v>0</v>
      </c>
      <c r="AZ158" s="171">
        <f t="shared" si="42"/>
        <v>0</v>
      </c>
      <c r="BA158" s="171">
        <f t="shared" si="42"/>
        <v>0</v>
      </c>
      <c r="BB158" s="171">
        <f t="shared" si="42"/>
        <v>0</v>
      </c>
      <c r="BC158" s="171">
        <f t="shared" si="42"/>
        <v>0</v>
      </c>
      <c r="BD158" s="171">
        <f t="shared" si="42"/>
        <v>0</v>
      </c>
      <c r="BE158" s="171">
        <f t="shared" si="42"/>
        <v>0</v>
      </c>
      <c r="BF158" s="171">
        <f t="shared" si="42"/>
        <v>0</v>
      </c>
      <c r="BG158" s="171">
        <f t="shared" si="42"/>
        <v>0</v>
      </c>
      <c r="BH158" s="171">
        <f t="shared" si="42"/>
        <v>0</v>
      </c>
      <c r="BI158" s="171">
        <f t="shared" si="42"/>
        <v>0</v>
      </c>
      <c r="BJ158" s="171">
        <f t="shared" si="42"/>
        <v>0</v>
      </c>
      <c r="BK158" s="171">
        <f t="shared" si="42"/>
        <v>0</v>
      </c>
      <c r="BL158" s="171">
        <f t="shared" si="42"/>
        <v>0</v>
      </c>
      <c r="BM158" s="171">
        <f t="shared" si="42"/>
        <v>0</v>
      </c>
      <c r="BN158" s="171">
        <f t="shared" si="42"/>
        <v>0</v>
      </c>
      <c r="BO158" s="171">
        <f t="shared" si="42"/>
        <v>0</v>
      </c>
      <c r="BP158" s="171">
        <f t="shared" si="41"/>
        <v>0</v>
      </c>
      <c r="BQ158" s="171">
        <f t="shared" si="41"/>
        <v>0</v>
      </c>
      <c r="BR158" s="171">
        <f t="shared" si="41"/>
        <v>0</v>
      </c>
      <c r="BS158" s="171">
        <f t="shared" si="41"/>
        <v>0</v>
      </c>
      <c r="BT158" s="171">
        <f t="shared" si="41"/>
        <v>0</v>
      </c>
      <c r="BU158" s="171">
        <f t="shared" si="41"/>
        <v>0</v>
      </c>
      <c r="BV158" s="171">
        <f t="shared" si="41"/>
        <v>0</v>
      </c>
      <c r="BW158" s="171">
        <f t="shared" si="41"/>
        <v>0</v>
      </c>
      <c r="BX158" s="171">
        <f t="shared" si="41"/>
        <v>0</v>
      </c>
      <c r="BY158" s="171">
        <f t="shared" si="41"/>
        <v>0</v>
      </c>
      <c r="BZ158" s="171">
        <f t="shared" si="41"/>
        <v>0</v>
      </c>
      <c r="CA158" s="171">
        <f t="shared" si="41"/>
        <v>0</v>
      </c>
      <c r="CB158" s="171">
        <f t="shared" si="41"/>
        <v>0</v>
      </c>
      <c r="CC158" s="171">
        <f t="shared" si="41"/>
        <v>0</v>
      </c>
      <c r="CD158" s="171">
        <f t="shared" si="41"/>
        <v>0</v>
      </c>
      <c r="CE158" s="171">
        <f t="shared" si="41"/>
        <v>0</v>
      </c>
      <c r="CF158" s="171">
        <f t="shared" si="41"/>
        <v>0</v>
      </c>
      <c r="CG158" s="171">
        <f t="shared" si="41"/>
        <v>0</v>
      </c>
      <c r="CH158" s="171">
        <f t="shared" si="41"/>
        <v>0</v>
      </c>
      <c r="CI158" s="171">
        <f t="shared" si="41"/>
        <v>0</v>
      </c>
      <c r="CJ158" s="171">
        <f t="shared" si="41"/>
        <v>0</v>
      </c>
      <c r="CK158" s="171">
        <f t="shared" si="41"/>
        <v>0</v>
      </c>
      <c r="CL158" s="171">
        <f t="shared" si="41"/>
        <v>0</v>
      </c>
      <c r="CM158" s="171">
        <f t="shared" si="41"/>
        <v>0</v>
      </c>
      <c r="CN158" s="171">
        <f t="shared" si="41"/>
        <v>0</v>
      </c>
      <c r="CO158" s="171">
        <f t="shared" si="41"/>
        <v>0</v>
      </c>
      <c r="CP158" s="171">
        <f t="shared" si="41"/>
        <v>0</v>
      </c>
      <c r="CQ158" s="171">
        <f t="shared" si="41"/>
        <v>0</v>
      </c>
      <c r="CR158" s="171">
        <f t="shared" si="41"/>
        <v>0</v>
      </c>
      <c r="CS158" s="172">
        <f t="shared" si="41"/>
        <v>0</v>
      </c>
      <c r="CT158" s="85" t="s">
        <v>54</v>
      </c>
    </row>
    <row r="159" spans="1:98" hidden="1" x14ac:dyDescent="0.25">
      <c r="A159" s="97">
        <v>0</v>
      </c>
      <c r="B159" s="90">
        <f t="shared" si="37"/>
        <v>2005</v>
      </c>
      <c r="C159" s="101"/>
      <c r="D159" s="171">
        <f t="shared" ref="D159:AI166" si="44">IF(D132="",1,0)*IF(D105="",1,0)*SUM(D51)*IF(D78="",0,1)</f>
        <v>0</v>
      </c>
      <c r="E159" s="171">
        <f t="shared" si="44"/>
        <v>0</v>
      </c>
      <c r="F159" s="171">
        <f t="shared" si="44"/>
        <v>0</v>
      </c>
      <c r="G159" s="171">
        <f t="shared" si="44"/>
        <v>0</v>
      </c>
      <c r="H159" s="171">
        <f t="shared" si="44"/>
        <v>0</v>
      </c>
      <c r="I159" s="171">
        <f t="shared" si="44"/>
        <v>0</v>
      </c>
      <c r="J159" s="171">
        <f t="shared" si="44"/>
        <v>0</v>
      </c>
      <c r="K159" s="171">
        <f t="shared" si="44"/>
        <v>0</v>
      </c>
      <c r="L159" s="171">
        <f t="shared" si="44"/>
        <v>0</v>
      </c>
      <c r="M159" s="171">
        <f t="shared" si="44"/>
        <v>0</v>
      </c>
      <c r="N159" s="171">
        <f t="shared" si="44"/>
        <v>0</v>
      </c>
      <c r="O159" s="171">
        <f t="shared" si="44"/>
        <v>0</v>
      </c>
      <c r="P159" s="171">
        <f t="shared" si="44"/>
        <v>0</v>
      </c>
      <c r="Q159" s="171">
        <f t="shared" si="44"/>
        <v>0</v>
      </c>
      <c r="R159" s="171">
        <f t="shared" si="44"/>
        <v>0</v>
      </c>
      <c r="S159" s="171">
        <f t="shared" si="44"/>
        <v>0</v>
      </c>
      <c r="T159" s="171">
        <f t="shared" si="44"/>
        <v>0</v>
      </c>
      <c r="U159" s="171">
        <f t="shared" si="44"/>
        <v>0</v>
      </c>
      <c r="V159" s="171">
        <f t="shared" si="44"/>
        <v>0</v>
      </c>
      <c r="W159" s="171">
        <f t="shared" si="44"/>
        <v>0</v>
      </c>
      <c r="X159" s="171">
        <f t="shared" si="44"/>
        <v>0</v>
      </c>
      <c r="Y159" s="171">
        <f t="shared" si="44"/>
        <v>0</v>
      </c>
      <c r="Z159" s="171">
        <f t="shared" si="44"/>
        <v>0</v>
      </c>
      <c r="AA159" s="171">
        <f t="shared" si="44"/>
        <v>0</v>
      </c>
      <c r="AB159" s="171">
        <f t="shared" si="44"/>
        <v>0</v>
      </c>
      <c r="AC159" s="171">
        <f t="shared" si="44"/>
        <v>0</v>
      </c>
      <c r="AD159" s="171">
        <f t="shared" si="44"/>
        <v>0</v>
      </c>
      <c r="AE159" s="171">
        <f t="shared" si="44"/>
        <v>0</v>
      </c>
      <c r="AF159" s="171">
        <f t="shared" si="44"/>
        <v>0</v>
      </c>
      <c r="AG159" s="171">
        <f t="shared" si="44"/>
        <v>0</v>
      </c>
      <c r="AH159" s="171">
        <f t="shared" si="44"/>
        <v>0</v>
      </c>
      <c r="AI159" s="171">
        <f t="shared" si="44"/>
        <v>0</v>
      </c>
      <c r="AJ159" s="171">
        <f t="shared" si="42"/>
        <v>0</v>
      </c>
      <c r="AK159" s="171">
        <f t="shared" si="42"/>
        <v>0</v>
      </c>
      <c r="AL159" s="171">
        <f t="shared" si="42"/>
        <v>0</v>
      </c>
      <c r="AM159" s="171">
        <f t="shared" si="42"/>
        <v>0</v>
      </c>
      <c r="AN159" s="171">
        <f t="shared" si="42"/>
        <v>0</v>
      </c>
      <c r="AO159" s="171">
        <f t="shared" si="42"/>
        <v>0</v>
      </c>
      <c r="AP159" s="171">
        <f t="shared" si="42"/>
        <v>0</v>
      </c>
      <c r="AQ159" s="171">
        <f t="shared" si="42"/>
        <v>0</v>
      </c>
      <c r="AR159" s="171">
        <f t="shared" si="42"/>
        <v>0</v>
      </c>
      <c r="AS159" s="171">
        <f t="shared" si="42"/>
        <v>0</v>
      </c>
      <c r="AT159" s="171">
        <f t="shared" si="42"/>
        <v>0</v>
      </c>
      <c r="AU159" s="171">
        <f t="shared" si="42"/>
        <v>0</v>
      </c>
      <c r="AV159" s="171">
        <f t="shared" si="42"/>
        <v>0</v>
      </c>
      <c r="AW159" s="171">
        <f t="shared" si="42"/>
        <v>0</v>
      </c>
      <c r="AX159" s="171">
        <f t="shared" si="42"/>
        <v>0</v>
      </c>
      <c r="AY159" s="171">
        <f t="shared" si="42"/>
        <v>0</v>
      </c>
      <c r="AZ159" s="171">
        <f t="shared" si="42"/>
        <v>0</v>
      </c>
      <c r="BA159" s="171">
        <f t="shared" si="42"/>
        <v>0</v>
      </c>
      <c r="BB159" s="171">
        <f t="shared" si="42"/>
        <v>0</v>
      </c>
      <c r="BC159" s="171">
        <f t="shared" si="42"/>
        <v>0</v>
      </c>
      <c r="BD159" s="171">
        <f t="shared" si="42"/>
        <v>0</v>
      </c>
      <c r="BE159" s="171">
        <f t="shared" si="42"/>
        <v>0</v>
      </c>
      <c r="BF159" s="171">
        <f t="shared" si="42"/>
        <v>0</v>
      </c>
      <c r="BG159" s="171">
        <f t="shared" si="42"/>
        <v>0</v>
      </c>
      <c r="BH159" s="171">
        <f t="shared" si="42"/>
        <v>0</v>
      </c>
      <c r="BI159" s="171">
        <f t="shared" si="42"/>
        <v>0</v>
      </c>
      <c r="BJ159" s="171">
        <f t="shared" si="42"/>
        <v>0</v>
      </c>
      <c r="BK159" s="171">
        <f t="shared" si="42"/>
        <v>0</v>
      </c>
      <c r="BL159" s="171">
        <f t="shared" si="42"/>
        <v>0</v>
      </c>
      <c r="BM159" s="171">
        <f t="shared" si="42"/>
        <v>0</v>
      </c>
      <c r="BN159" s="171">
        <f t="shared" si="42"/>
        <v>0</v>
      </c>
      <c r="BO159" s="171">
        <f t="shared" si="42"/>
        <v>0</v>
      </c>
      <c r="BP159" s="171">
        <f t="shared" si="41"/>
        <v>0</v>
      </c>
      <c r="BQ159" s="171">
        <f t="shared" si="41"/>
        <v>0</v>
      </c>
      <c r="BR159" s="171">
        <f t="shared" si="41"/>
        <v>0</v>
      </c>
      <c r="BS159" s="171">
        <f t="shared" si="41"/>
        <v>0</v>
      </c>
      <c r="BT159" s="171">
        <f t="shared" si="41"/>
        <v>0</v>
      </c>
      <c r="BU159" s="171">
        <f t="shared" si="41"/>
        <v>0</v>
      </c>
      <c r="BV159" s="171">
        <f t="shared" si="41"/>
        <v>0</v>
      </c>
      <c r="BW159" s="171">
        <f t="shared" si="41"/>
        <v>0</v>
      </c>
      <c r="BX159" s="171">
        <f t="shared" si="41"/>
        <v>0</v>
      </c>
      <c r="BY159" s="171">
        <f t="shared" si="41"/>
        <v>0</v>
      </c>
      <c r="BZ159" s="171">
        <f t="shared" si="41"/>
        <v>0</v>
      </c>
      <c r="CA159" s="171">
        <f t="shared" si="41"/>
        <v>0</v>
      </c>
      <c r="CB159" s="171">
        <f t="shared" si="41"/>
        <v>0</v>
      </c>
      <c r="CC159" s="171">
        <f t="shared" si="41"/>
        <v>0</v>
      </c>
      <c r="CD159" s="171">
        <f t="shared" si="41"/>
        <v>0</v>
      </c>
      <c r="CE159" s="171">
        <f t="shared" si="41"/>
        <v>0</v>
      </c>
      <c r="CF159" s="171">
        <f t="shared" si="41"/>
        <v>0</v>
      </c>
      <c r="CG159" s="171">
        <f t="shared" si="41"/>
        <v>0</v>
      </c>
      <c r="CH159" s="171">
        <f t="shared" si="41"/>
        <v>0</v>
      </c>
      <c r="CI159" s="171">
        <f t="shared" si="41"/>
        <v>0</v>
      </c>
      <c r="CJ159" s="171">
        <f t="shared" si="41"/>
        <v>0</v>
      </c>
      <c r="CK159" s="171">
        <f t="shared" si="41"/>
        <v>0</v>
      </c>
      <c r="CL159" s="171">
        <f t="shared" si="41"/>
        <v>0</v>
      </c>
      <c r="CM159" s="171">
        <f t="shared" si="41"/>
        <v>0</v>
      </c>
      <c r="CN159" s="171">
        <f t="shared" si="41"/>
        <v>0</v>
      </c>
      <c r="CO159" s="171">
        <f t="shared" si="41"/>
        <v>0</v>
      </c>
      <c r="CP159" s="171">
        <f t="shared" si="41"/>
        <v>0</v>
      </c>
      <c r="CQ159" s="171">
        <f t="shared" si="41"/>
        <v>0</v>
      </c>
      <c r="CR159" s="171">
        <f t="shared" si="41"/>
        <v>0</v>
      </c>
      <c r="CS159" s="172">
        <f t="shared" si="41"/>
        <v>0</v>
      </c>
      <c r="CT159" s="85" t="s">
        <v>54</v>
      </c>
    </row>
    <row r="160" spans="1:98" hidden="1" x14ac:dyDescent="0.25">
      <c r="A160" s="97">
        <v>0</v>
      </c>
      <c r="B160" s="90">
        <f t="shared" si="37"/>
        <v>2006</v>
      </c>
      <c r="C160" s="101"/>
      <c r="D160" s="171">
        <f t="shared" si="44"/>
        <v>0</v>
      </c>
      <c r="E160" s="171">
        <f t="shared" si="44"/>
        <v>0</v>
      </c>
      <c r="F160" s="171">
        <f t="shared" si="44"/>
        <v>0</v>
      </c>
      <c r="G160" s="171">
        <f t="shared" si="44"/>
        <v>0</v>
      </c>
      <c r="H160" s="171">
        <f t="shared" si="44"/>
        <v>0</v>
      </c>
      <c r="I160" s="171">
        <f t="shared" si="44"/>
        <v>0</v>
      </c>
      <c r="J160" s="171">
        <f t="shared" si="44"/>
        <v>0</v>
      </c>
      <c r="K160" s="171">
        <f t="shared" si="44"/>
        <v>0</v>
      </c>
      <c r="L160" s="171">
        <f t="shared" si="44"/>
        <v>0</v>
      </c>
      <c r="M160" s="171">
        <f t="shared" si="44"/>
        <v>0</v>
      </c>
      <c r="N160" s="171">
        <f t="shared" si="44"/>
        <v>0</v>
      </c>
      <c r="O160" s="171">
        <f t="shared" si="44"/>
        <v>0</v>
      </c>
      <c r="P160" s="171">
        <f t="shared" si="44"/>
        <v>0</v>
      </c>
      <c r="Q160" s="171">
        <f t="shared" si="44"/>
        <v>0</v>
      </c>
      <c r="R160" s="171">
        <f t="shared" si="44"/>
        <v>0</v>
      </c>
      <c r="S160" s="171">
        <f t="shared" si="44"/>
        <v>0</v>
      </c>
      <c r="T160" s="171">
        <f t="shared" si="44"/>
        <v>0</v>
      </c>
      <c r="U160" s="171">
        <f t="shared" si="44"/>
        <v>0</v>
      </c>
      <c r="V160" s="171">
        <f t="shared" si="44"/>
        <v>0</v>
      </c>
      <c r="W160" s="171">
        <f t="shared" si="44"/>
        <v>0</v>
      </c>
      <c r="X160" s="171">
        <f t="shared" si="44"/>
        <v>0</v>
      </c>
      <c r="Y160" s="171">
        <f t="shared" si="44"/>
        <v>0</v>
      </c>
      <c r="Z160" s="171">
        <f t="shared" si="44"/>
        <v>0</v>
      </c>
      <c r="AA160" s="171">
        <f t="shared" si="44"/>
        <v>0</v>
      </c>
      <c r="AB160" s="171">
        <f t="shared" si="44"/>
        <v>0</v>
      </c>
      <c r="AC160" s="171">
        <f t="shared" si="44"/>
        <v>0</v>
      </c>
      <c r="AD160" s="171">
        <f t="shared" si="44"/>
        <v>0</v>
      </c>
      <c r="AE160" s="171">
        <f t="shared" si="44"/>
        <v>0</v>
      </c>
      <c r="AF160" s="171">
        <f t="shared" si="44"/>
        <v>0</v>
      </c>
      <c r="AG160" s="171">
        <f t="shared" si="44"/>
        <v>0</v>
      </c>
      <c r="AH160" s="171">
        <f t="shared" si="44"/>
        <v>0</v>
      </c>
      <c r="AI160" s="171">
        <f t="shared" si="44"/>
        <v>0</v>
      </c>
      <c r="AJ160" s="171">
        <f t="shared" si="42"/>
        <v>0</v>
      </c>
      <c r="AK160" s="171">
        <f t="shared" si="42"/>
        <v>0</v>
      </c>
      <c r="AL160" s="171">
        <f t="shared" si="42"/>
        <v>0</v>
      </c>
      <c r="AM160" s="171">
        <f t="shared" si="42"/>
        <v>0</v>
      </c>
      <c r="AN160" s="171">
        <f t="shared" si="42"/>
        <v>0</v>
      </c>
      <c r="AO160" s="171">
        <f t="shared" si="42"/>
        <v>0</v>
      </c>
      <c r="AP160" s="171">
        <f t="shared" si="42"/>
        <v>0</v>
      </c>
      <c r="AQ160" s="171">
        <f t="shared" si="42"/>
        <v>0</v>
      </c>
      <c r="AR160" s="171">
        <f t="shared" si="42"/>
        <v>0</v>
      </c>
      <c r="AS160" s="171">
        <f t="shared" si="42"/>
        <v>0</v>
      </c>
      <c r="AT160" s="171">
        <f t="shared" si="42"/>
        <v>0</v>
      </c>
      <c r="AU160" s="171">
        <f t="shared" si="42"/>
        <v>0</v>
      </c>
      <c r="AV160" s="171">
        <f t="shared" si="42"/>
        <v>0</v>
      </c>
      <c r="AW160" s="171">
        <f t="shared" si="42"/>
        <v>0</v>
      </c>
      <c r="AX160" s="171">
        <f t="shared" si="42"/>
        <v>0</v>
      </c>
      <c r="AY160" s="171">
        <f t="shared" si="42"/>
        <v>0</v>
      </c>
      <c r="AZ160" s="171">
        <f t="shared" si="42"/>
        <v>0</v>
      </c>
      <c r="BA160" s="171">
        <f t="shared" si="42"/>
        <v>0</v>
      </c>
      <c r="BB160" s="171">
        <f t="shared" si="42"/>
        <v>0</v>
      </c>
      <c r="BC160" s="171">
        <f t="shared" si="42"/>
        <v>0</v>
      </c>
      <c r="BD160" s="171">
        <f t="shared" si="42"/>
        <v>0</v>
      </c>
      <c r="BE160" s="171">
        <f t="shared" si="42"/>
        <v>0</v>
      </c>
      <c r="BF160" s="171">
        <f t="shared" si="42"/>
        <v>0</v>
      </c>
      <c r="BG160" s="171">
        <f t="shared" si="42"/>
        <v>0</v>
      </c>
      <c r="BH160" s="171">
        <f t="shared" si="42"/>
        <v>0</v>
      </c>
      <c r="BI160" s="171">
        <f t="shared" si="42"/>
        <v>0</v>
      </c>
      <c r="BJ160" s="171">
        <f t="shared" si="42"/>
        <v>0</v>
      </c>
      <c r="BK160" s="171">
        <f t="shared" si="42"/>
        <v>0</v>
      </c>
      <c r="BL160" s="171">
        <f t="shared" si="42"/>
        <v>0</v>
      </c>
      <c r="BM160" s="171">
        <f t="shared" si="42"/>
        <v>0</v>
      </c>
      <c r="BN160" s="171">
        <f t="shared" si="42"/>
        <v>0</v>
      </c>
      <c r="BO160" s="171">
        <f t="shared" si="42"/>
        <v>0</v>
      </c>
      <c r="BP160" s="171">
        <f t="shared" si="41"/>
        <v>0</v>
      </c>
      <c r="BQ160" s="171">
        <f t="shared" si="41"/>
        <v>0</v>
      </c>
      <c r="BR160" s="171">
        <f t="shared" si="41"/>
        <v>0</v>
      </c>
      <c r="BS160" s="171">
        <f t="shared" si="41"/>
        <v>0</v>
      </c>
      <c r="BT160" s="171">
        <f t="shared" si="41"/>
        <v>0</v>
      </c>
      <c r="BU160" s="171">
        <f t="shared" si="41"/>
        <v>0</v>
      </c>
      <c r="BV160" s="171">
        <f t="shared" si="41"/>
        <v>0</v>
      </c>
      <c r="BW160" s="171">
        <f t="shared" si="41"/>
        <v>0</v>
      </c>
      <c r="BX160" s="171">
        <f t="shared" si="41"/>
        <v>0</v>
      </c>
      <c r="BY160" s="171">
        <f t="shared" si="41"/>
        <v>0</v>
      </c>
      <c r="BZ160" s="171">
        <f t="shared" si="41"/>
        <v>0</v>
      </c>
      <c r="CA160" s="171">
        <f t="shared" si="41"/>
        <v>0</v>
      </c>
      <c r="CB160" s="171">
        <f t="shared" si="41"/>
        <v>0</v>
      </c>
      <c r="CC160" s="171">
        <f t="shared" si="41"/>
        <v>0</v>
      </c>
      <c r="CD160" s="171">
        <f t="shared" si="41"/>
        <v>0</v>
      </c>
      <c r="CE160" s="171">
        <f t="shared" si="41"/>
        <v>0</v>
      </c>
      <c r="CF160" s="171">
        <f t="shared" si="41"/>
        <v>0</v>
      </c>
      <c r="CG160" s="171">
        <f t="shared" si="41"/>
        <v>0</v>
      </c>
      <c r="CH160" s="171">
        <f t="shared" si="41"/>
        <v>0</v>
      </c>
      <c r="CI160" s="171">
        <f t="shared" si="41"/>
        <v>0</v>
      </c>
      <c r="CJ160" s="171">
        <f t="shared" si="41"/>
        <v>0</v>
      </c>
      <c r="CK160" s="171">
        <f t="shared" si="41"/>
        <v>0</v>
      </c>
      <c r="CL160" s="171">
        <f t="shared" si="41"/>
        <v>0</v>
      </c>
      <c r="CM160" s="171">
        <f t="shared" si="41"/>
        <v>0</v>
      </c>
      <c r="CN160" s="171">
        <f t="shared" si="41"/>
        <v>0</v>
      </c>
      <c r="CO160" s="171">
        <f t="shared" si="41"/>
        <v>0</v>
      </c>
      <c r="CP160" s="171">
        <f t="shared" si="41"/>
        <v>0</v>
      </c>
      <c r="CQ160" s="171">
        <f t="shared" si="41"/>
        <v>0</v>
      </c>
      <c r="CR160" s="171">
        <f t="shared" si="41"/>
        <v>0</v>
      </c>
      <c r="CS160" s="172">
        <f t="shared" si="41"/>
        <v>0</v>
      </c>
      <c r="CT160" s="85" t="s">
        <v>54</v>
      </c>
    </row>
    <row r="161" spans="1:98" hidden="1" x14ac:dyDescent="0.25">
      <c r="A161" s="97">
        <v>0</v>
      </c>
      <c r="B161" s="90">
        <f t="shared" si="37"/>
        <v>2007</v>
      </c>
      <c r="C161" s="101"/>
      <c r="D161" s="171">
        <f t="shared" si="44"/>
        <v>0</v>
      </c>
      <c r="E161" s="171">
        <f t="shared" si="44"/>
        <v>0</v>
      </c>
      <c r="F161" s="171">
        <f t="shared" si="44"/>
        <v>0</v>
      </c>
      <c r="G161" s="171">
        <f t="shared" si="44"/>
        <v>0</v>
      </c>
      <c r="H161" s="171">
        <f t="shared" si="44"/>
        <v>0</v>
      </c>
      <c r="I161" s="171">
        <f t="shared" si="44"/>
        <v>0</v>
      </c>
      <c r="J161" s="171">
        <f t="shared" si="44"/>
        <v>0</v>
      </c>
      <c r="K161" s="171">
        <f t="shared" si="44"/>
        <v>0</v>
      </c>
      <c r="L161" s="171">
        <f t="shared" si="44"/>
        <v>0</v>
      </c>
      <c r="M161" s="171">
        <f t="shared" si="44"/>
        <v>0</v>
      </c>
      <c r="N161" s="171">
        <f t="shared" si="44"/>
        <v>0</v>
      </c>
      <c r="O161" s="171">
        <f t="shared" si="44"/>
        <v>0</v>
      </c>
      <c r="P161" s="171">
        <f t="shared" si="44"/>
        <v>0</v>
      </c>
      <c r="Q161" s="171">
        <f t="shared" si="44"/>
        <v>0</v>
      </c>
      <c r="R161" s="171">
        <f t="shared" si="44"/>
        <v>0</v>
      </c>
      <c r="S161" s="171">
        <f t="shared" si="44"/>
        <v>0</v>
      </c>
      <c r="T161" s="171">
        <f t="shared" si="44"/>
        <v>0</v>
      </c>
      <c r="U161" s="171">
        <f t="shared" si="44"/>
        <v>0</v>
      </c>
      <c r="V161" s="171">
        <f t="shared" si="44"/>
        <v>0</v>
      </c>
      <c r="W161" s="171">
        <f t="shared" si="44"/>
        <v>0</v>
      </c>
      <c r="X161" s="171">
        <f t="shared" si="44"/>
        <v>0</v>
      </c>
      <c r="Y161" s="171">
        <f t="shared" si="44"/>
        <v>0</v>
      </c>
      <c r="Z161" s="171">
        <f t="shared" si="44"/>
        <v>0</v>
      </c>
      <c r="AA161" s="171">
        <f t="shared" si="44"/>
        <v>0</v>
      </c>
      <c r="AB161" s="171">
        <f t="shared" si="44"/>
        <v>0</v>
      </c>
      <c r="AC161" s="171">
        <f t="shared" si="44"/>
        <v>0</v>
      </c>
      <c r="AD161" s="171">
        <f t="shared" si="44"/>
        <v>0</v>
      </c>
      <c r="AE161" s="171">
        <f t="shared" si="44"/>
        <v>0</v>
      </c>
      <c r="AF161" s="171">
        <f t="shared" si="44"/>
        <v>0</v>
      </c>
      <c r="AG161" s="171">
        <f t="shared" si="44"/>
        <v>0</v>
      </c>
      <c r="AH161" s="171">
        <f t="shared" si="44"/>
        <v>0</v>
      </c>
      <c r="AI161" s="171">
        <f t="shared" si="44"/>
        <v>0</v>
      </c>
      <c r="AJ161" s="171">
        <f t="shared" si="42"/>
        <v>0</v>
      </c>
      <c r="AK161" s="171">
        <f t="shared" si="42"/>
        <v>0</v>
      </c>
      <c r="AL161" s="171">
        <f t="shared" si="42"/>
        <v>0</v>
      </c>
      <c r="AM161" s="171">
        <f t="shared" si="42"/>
        <v>0</v>
      </c>
      <c r="AN161" s="171">
        <f t="shared" si="42"/>
        <v>0</v>
      </c>
      <c r="AO161" s="171">
        <f t="shared" si="42"/>
        <v>0</v>
      </c>
      <c r="AP161" s="171">
        <f t="shared" si="42"/>
        <v>0</v>
      </c>
      <c r="AQ161" s="171">
        <f t="shared" si="42"/>
        <v>0</v>
      </c>
      <c r="AR161" s="171">
        <f t="shared" si="42"/>
        <v>0</v>
      </c>
      <c r="AS161" s="171">
        <f t="shared" si="42"/>
        <v>0</v>
      </c>
      <c r="AT161" s="171">
        <f t="shared" si="42"/>
        <v>0</v>
      </c>
      <c r="AU161" s="171">
        <f t="shared" si="42"/>
        <v>0</v>
      </c>
      <c r="AV161" s="171">
        <f t="shared" si="42"/>
        <v>0</v>
      </c>
      <c r="AW161" s="171">
        <f t="shared" si="42"/>
        <v>0</v>
      </c>
      <c r="AX161" s="171">
        <f t="shared" si="42"/>
        <v>0</v>
      </c>
      <c r="AY161" s="171">
        <f t="shared" si="42"/>
        <v>0</v>
      </c>
      <c r="AZ161" s="171">
        <f t="shared" si="42"/>
        <v>0</v>
      </c>
      <c r="BA161" s="171">
        <f t="shared" si="42"/>
        <v>0</v>
      </c>
      <c r="BB161" s="171">
        <f t="shared" si="42"/>
        <v>0</v>
      </c>
      <c r="BC161" s="171">
        <f t="shared" si="42"/>
        <v>0</v>
      </c>
      <c r="BD161" s="171">
        <f t="shared" si="42"/>
        <v>0</v>
      </c>
      <c r="BE161" s="171">
        <f t="shared" si="42"/>
        <v>0</v>
      </c>
      <c r="BF161" s="171">
        <f t="shared" si="42"/>
        <v>0</v>
      </c>
      <c r="BG161" s="171">
        <f t="shared" si="42"/>
        <v>0</v>
      </c>
      <c r="BH161" s="171">
        <f t="shared" si="42"/>
        <v>0</v>
      </c>
      <c r="BI161" s="171">
        <f t="shared" si="42"/>
        <v>0</v>
      </c>
      <c r="BJ161" s="171">
        <f t="shared" si="42"/>
        <v>0</v>
      </c>
      <c r="BK161" s="171">
        <f t="shared" si="42"/>
        <v>0</v>
      </c>
      <c r="BL161" s="171">
        <f t="shared" si="42"/>
        <v>0</v>
      </c>
      <c r="BM161" s="171">
        <f t="shared" si="42"/>
        <v>0</v>
      </c>
      <c r="BN161" s="171">
        <f t="shared" si="42"/>
        <v>0</v>
      </c>
      <c r="BO161" s="171">
        <f t="shared" si="42"/>
        <v>0</v>
      </c>
      <c r="BP161" s="171">
        <f t="shared" si="41"/>
        <v>0</v>
      </c>
      <c r="BQ161" s="171">
        <f t="shared" si="41"/>
        <v>0</v>
      </c>
      <c r="BR161" s="171">
        <f t="shared" si="41"/>
        <v>0</v>
      </c>
      <c r="BS161" s="171">
        <f t="shared" si="41"/>
        <v>0</v>
      </c>
      <c r="BT161" s="171">
        <f t="shared" si="41"/>
        <v>0</v>
      </c>
      <c r="BU161" s="171">
        <f t="shared" si="41"/>
        <v>0</v>
      </c>
      <c r="BV161" s="171">
        <f t="shared" si="41"/>
        <v>0</v>
      </c>
      <c r="BW161" s="171">
        <f t="shared" si="41"/>
        <v>0</v>
      </c>
      <c r="BX161" s="171">
        <f t="shared" si="41"/>
        <v>0</v>
      </c>
      <c r="BY161" s="171">
        <f t="shared" si="41"/>
        <v>0</v>
      </c>
      <c r="BZ161" s="171">
        <f t="shared" si="41"/>
        <v>0</v>
      </c>
      <c r="CA161" s="171">
        <f t="shared" si="41"/>
        <v>0</v>
      </c>
      <c r="CB161" s="171">
        <f t="shared" si="41"/>
        <v>0</v>
      </c>
      <c r="CC161" s="171">
        <f t="shared" si="41"/>
        <v>0</v>
      </c>
      <c r="CD161" s="171">
        <f t="shared" si="41"/>
        <v>0</v>
      </c>
      <c r="CE161" s="171">
        <f t="shared" si="41"/>
        <v>0</v>
      </c>
      <c r="CF161" s="171">
        <f t="shared" si="41"/>
        <v>0</v>
      </c>
      <c r="CG161" s="171">
        <f t="shared" si="41"/>
        <v>0</v>
      </c>
      <c r="CH161" s="171">
        <f t="shared" si="41"/>
        <v>0</v>
      </c>
      <c r="CI161" s="171">
        <f t="shared" si="41"/>
        <v>0</v>
      </c>
      <c r="CJ161" s="171">
        <f t="shared" ref="CJ161:CS161" si="45">IF(CJ134="",1,0)*IF(CJ107="",1,0)*SUM(CJ53)*IF(CJ80="",0,1)</f>
        <v>0</v>
      </c>
      <c r="CK161" s="171">
        <f t="shared" si="45"/>
        <v>0</v>
      </c>
      <c r="CL161" s="171">
        <f t="shared" si="45"/>
        <v>0</v>
      </c>
      <c r="CM161" s="171">
        <f t="shared" si="45"/>
        <v>0</v>
      </c>
      <c r="CN161" s="171">
        <f t="shared" si="45"/>
        <v>0</v>
      </c>
      <c r="CO161" s="171">
        <f t="shared" si="45"/>
        <v>0</v>
      </c>
      <c r="CP161" s="171">
        <f t="shared" si="45"/>
        <v>0</v>
      </c>
      <c r="CQ161" s="171">
        <f t="shared" si="45"/>
        <v>0</v>
      </c>
      <c r="CR161" s="171">
        <f t="shared" si="45"/>
        <v>0</v>
      </c>
      <c r="CS161" s="172">
        <f t="shared" si="45"/>
        <v>0</v>
      </c>
      <c r="CT161" s="85" t="s">
        <v>54</v>
      </c>
    </row>
    <row r="162" spans="1:98" hidden="1" x14ac:dyDescent="0.25">
      <c r="A162" s="97">
        <v>0</v>
      </c>
      <c r="B162" s="90">
        <f t="shared" si="37"/>
        <v>2008</v>
      </c>
      <c r="C162" s="101"/>
      <c r="D162" s="171">
        <f t="shared" si="44"/>
        <v>0</v>
      </c>
      <c r="E162" s="171">
        <f t="shared" si="44"/>
        <v>0</v>
      </c>
      <c r="F162" s="171">
        <f t="shared" si="44"/>
        <v>0</v>
      </c>
      <c r="G162" s="171">
        <f t="shared" si="44"/>
        <v>0</v>
      </c>
      <c r="H162" s="171">
        <f t="shared" si="44"/>
        <v>0</v>
      </c>
      <c r="I162" s="171">
        <f t="shared" si="44"/>
        <v>0</v>
      </c>
      <c r="J162" s="171">
        <f t="shared" si="44"/>
        <v>0</v>
      </c>
      <c r="K162" s="171">
        <f t="shared" si="44"/>
        <v>0</v>
      </c>
      <c r="L162" s="171">
        <f t="shared" si="44"/>
        <v>0</v>
      </c>
      <c r="M162" s="171">
        <f t="shared" si="44"/>
        <v>0</v>
      </c>
      <c r="N162" s="171">
        <f t="shared" si="44"/>
        <v>0</v>
      </c>
      <c r="O162" s="171">
        <f t="shared" si="44"/>
        <v>0</v>
      </c>
      <c r="P162" s="171">
        <f t="shared" si="44"/>
        <v>0</v>
      </c>
      <c r="Q162" s="171">
        <f t="shared" si="44"/>
        <v>0</v>
      </c>
      <c r="R162" s="171">
        <f t="shared" si="44"/>
        <v>0</v>
      </c>
      <c r="S162" s="171">
        <f t="shared" si="44"/>
        <v>0</v>
      </c>
      <c r="T162" s="171">
        <f t="shared" si="44"/>
        <v>0</v>
      </c>
      <c r="U162" s="171">
        <f t="shared" si="44"/>
        <v>0</v>
      </c>
      <c r="V162" s="171">
        <f t="shared" si="44"/>
        <v>0</v>
      </c>
      <c r="W162" s="171">
        <f t="shared" si="44"/>
        <v>0</v>
      </c>
      <c r="X162" s="171">
        <f t="shared" si="44"/>
        <v>0</v>
      </c>
      <c r="Y162" s="171">
        <f t="shared" si="44"/>
        <v>0</v>
      </c>
      <c r="Z162" s="171">
        <f t="shared" si="44"/>
        <v>0</v>
      </c>
      <c r="AA162" s="171">
        <f t="shared" si="44"/>
        <v>0</v>
      </c>
      <c r="AB162" s="171">
        <f t="shared" si="44"/>
        <v>0</v>
      </c>
      <c r="AC162" s="171">
        <f t="shared" si="44"/>
        <v>0</v>
      </c>
      <c r="AD162" s="171">
        <f t="shared" si="44"/>
        <v>0</v>
      </c>
      <c r="AE162" s="171">
        <f t="shared" si="44"/>
        <v>0</v>
      </c>
      <c r="AF162" s="171">
        <f t="shared" si="44"/>
        <v>0</v>
      </c>
      <c r="AG162" s="171">
        <f t="shared" si="44"/>
        <v>0</v>
      </c>
      <c r="AH162" s="171">
        <f t="shared" si="44"/>
        <v>0</v>
      </c>
      <c r="AI162" s="171">
        <f t="shared" si="44"/>
        <v>0</v>
      </c>
      <c r="AJ162" s="171">
        <f t="shared" si="42"/>
        <v>0</v>
      </c>
      <c r="AK162" s="171">
        <f t="shared" si="42"/>
        <v>0</v>
      </c>
      <c r="AL162" s="171">
        <f t="shared" si="42"/>
        <v>0</v>
      </c>
      <c r="AM162" s="171">
        <f t="shared" si="42"/>
        <v>0</v>
      </c>
      <c r="AN162" s="171">
        <f t="shared" si="42"/>
        <v>0</v>
      </c>
      <c r="AO162" s="171">
        <f t="shared" si="42"/>
        <v>0</v>
      </c>
      <c r="AP162" s="171">
        <f t="shared" si="42"/>
        <v>0</v>
      </c>
      <c r="AQ162" s="171">
        <f t="shared" si="42"/>
        <v>0</v>
      </c>
      <c r="AR162" s="171">
        <f t="shared" si="42"/>
        <v>0</v>
      </c>
      <c r="AS162" s="171">
        <f t="shared" si="42"/>
        <v>0</v>
      </c>
      <c r="AT162" s="171">
        <f t="shared" si="42"/>
        <v>0</v>
      </c>
      <c r="AU162" s="171">
        <f t="shared" si="42"/>
        <v>0</v>
      </c>
      <c r="AV162" s="171">
        <f t="shared" si="42"/>
        <v>0</v>
      </c>
      <c r="AW162" s="171">
        <f t="shared" si="42"/>
        <v>0</v>
      </c>
      <c r="AX162" s="171">
        <f t="shared" si="42"/>
        <v>0</v>
      </c>
      <c r="AY162" s="171">
        <f t="shared" si="42"/>
        <v>0</v>
      </c>
      <c r="AZ162" s="171">
        <f t="shared" si="42"/>
        <v>0</v>
      </c>
      <c r="BA162" s="171">
        <f t="shared" si="42"/>
        <v>0</v>
      </c>
      <c r="BB162" s="171">
        <f t="shared" si="42"/>
        <v>0</v>
      </c>
      <c r="BC162" s="171">
        <f t="shared" si="42"/>
        <v>0</v>
      </c>
      <c r="BD162" s="171">
        <f t="shared" si="42"/>
        <v>0</v>
      </c>
      <c r="BE162" s="171">
        <f t="shared" si="42"/>
        <v>0</v>
      </c>
      <c r="BF162" s="171">
        <f t="shared" si="42"/>
        <v>0</v>
      </c>
      <c r="BG162" s="171">
        <f t="shared" si="42"/>
        <v>0</v>
      </c>
      <c r="BH162" s="171">
        <f t="shared" si="42"/>
        <v>0</v>
      </c>
      <c r="BI162" s="171">
        <f t="shared" si="42"/>
        <v>0</v>
      </c>
      <c r="BJ162" s="171">
        <f t="shared" si="42"/>
        <v>0</v>
      </c>
      <c r="BK162" s="171">
        <f t="shared" si="42"/>
        <v>0</v>
      </c>
      <c r="BL162" s="171">
        <f t="shared" si="42"/>
        <v>0</v>
      </c>
      <c r="BM162" s="171">
        <f t="shared" si="42"/>
        <v>0</v>
      </c>
      <c r="BN162" s="171">
        <f t="shared" si="42"/>
        <v>0</v>
      </c>
      <c r="BO162" s="171">
        <f t="shared" ref="BO162:CS170" si="46">IF(BO135="",1,0)*IF(BO108="",1,0)*SUM(BO54)*IF(BO81="",0,1)</f>
        <v>0</v>
      </c>
      <c r="BP162" s="171">
        <f t="shared" si="46"/>
        <v>0</v>
      </c>
      <c r="BQ162" s="171">
        <f t="shared" si="46"/>
        <v>0</v>
      </c>
      <c r="BR162" s="171">
        <f t="shared" si="46"/>
        <v>0</v>
      </c>
      <c r="BS162" s="171">
        <f t="shared" si="46"/>
        <v>0</v>
      </c>
      <c r="BT162" s="171">
        <f t="shared" si="46"/>
        <v>0</v>
      </c>
      <c r="BU162" s="171">
        <f t="shared" si="46"/>
        <v>0</v>
      </c>
      <c r="BV162" s="171">
        <f t="shared" si="46"/>
        <v>0</v>
      </c>
      <c r="BW162" s="171">
        <f t="shared" si="46"/>
        <v>0</v>
      </c>
      <c r="BX162" s="171">
        <f t="shared" si="46"/>
        <v>0</v>
      </c>
      <c r="BY162" s="171">
        <f t="shared" si="46"/>
        <v>0</v>
      </c>
      <c r="BZ162" s="171">
        <f t="shared" si="46"/>
        <v>0</v>
      </c>
      <c r="CA162" s="171">
        <f t="shared" si="46"/>
        <v>0</v>
      </c>
      <c r="CB162" s="171">
        <f t="shared" si="46"/>
        <v>0</v>
      </c>
      <c r="CC162" s="171">
        <f t="shared" si="46"/>
        <v>0</v>
      </c>
      <c r="CD162" s="171">
        <f t="shared" si="46"/>
        <v>0</v>
      </c>
      <c r="CE162" s="171">
        <f t="shared" si="46"/>
        <v>0</v>
      </c>
      <c r="CF162" s="171">
        <f t="shared" si="46"/>
        <v>0</v>
      </c>
      <c r="CG162" s="171">
        <f t="shared" si="46"/>
        <v>0</v>
      </c>
      <c r="CH162" s="171">
        <f t="shared" si="46"/>
        <v>0</v>
      </c>
      <c r="CI162" s="171">
        <f t="shared" si="46"/>
        <v>0</v>
      </c>
      <c r="CJ162" s="171">
        <f t="shared" si="46"/>
        <v>0</v>
      </c>
      <c r="CK162" s="171">
        <f t="shared" si="46"/>
        <v>0</v>
      </c>
      <c r="CL162" s="171">
        <f t="shared" si="46"/>
        <v>0</v>
      </c>
      <c r="CM162" s="171">
        <f t="shared" si="46"/>
        <v>0</v>
      </c>
      <c r="CN162" s="171">
        <f t="shared" si="46"/>
        <v>0</v>
      </c>
      <c r="CO162" s="171">
        <f t="shared" si="46"/>
        <v>0</v>
      </c>
      <c r="CP162" s="171">
        <f t="shared" si="46"/>
        <v>0</v>
      </c>
      <c r="CQ162" s="171">
        <f t="shared" si="46"/>
        <v>0</v>
      </c>
      <c r="CR162" s="171">
        <f t="shared" si="46"/>
        <v>0</v>
      </c>
      <c r="CS162" s="172">
        <f t="shared" si="46"/>
        <v>0</v>
      </c>
      <c r="CT162" s="85" t="s">
        <v>54</v>
      </c>
    </row>
    <row r="163" spans="1:98" hidden="1" x14ac:dyDescent="0.25">
      <c r="A163" s="97">
        <v>0</v>
      </c>
      <c r="B163" s="90">
        <f t="shared" si="37"/>
        <v>2009</v>
      </c>
      <c r="C163" s="101"/>
      <c r="D163" s="171">
        <f t="shared" si="44"/>
        <v>0</v>
      </c>
      <c r="E163" s="171">
        <f t="shared" si="44"/>
        <v>0</v>
      </c>
      <c r="F163" s="171">
        <f t="shared" si="44"/>
        <v>0</v>
      </c>
      <c r="G163" s="171">
        <f t="shared" si="44"/>
        <v>0</v>
      </c>
      <c r="H163" s="171">
        <f t="shared" si="44"/>
        <v>0</v>
      </c>
      <c r="I163" s="171">
        <f t="shared" si="44"/>
        <v>0</v>
      </c>
      <c r="J163" s="171">
        <f t="shared" si="44"/>
        <v>0</v>
      </c>
      <c r="K163" s="171">
        <f t="shared" si="44"/>
        <v>0</v>
      </c>
      <c r="L163" s="171">
        <f t="shared" si="44"/>
        <v>0</v>
      </c>
      <c r="M163" s="171">
        <f t="shared" si="44"/>
        <v>0</v>
      </c>
      <c r="N163" s="171">
        <f t="shared" si="44"/>
        <v>0</v>
      </c>
      <c r="O163" s="171">
        <f t="shared" si="44"/>
        <v>0</v>
      </c>
      <c r="P163" s="171">
        <f t="shared" si="44"/>
        <v>0</v>
      </c>
      <c r="Q163" s="171">
        <f t="shared" si="44"/>
        <v>0</v>
      </c>
      <c r="R163" s="171">
        <f t="shared" si="44"/>
        <v>0</v>
      </c>
      <c r="S163" s="171">
        <f t="shared" si="44"/>
        <v>0</v>
      </c>
      <c r="T163" s="171">
        <f t="shared" si="44"/>
        <v>0</v>
      </c>
      <c r="U163" s="171">
        <f t="shared" si="44"/>
        <v>0</v>
      </c>
      <c r="V163" s="171">
        <f t="shared" si="44"/>
        <v>0</v>
      </c>
      <c r="W163" s="171">
        <f t="shared" si="44"/>
        <v>0</v>
      </c>
      <c r="X163" s="171">
        <f t="shared" si="44"/>
        <v>0</v>
      </c>
      <c r="Y163" s="171">
        <f t="shared" si="44"/>
        <v>0</v>
      </c>
      <c r="Z163" s="171">
        <f t="shared" si="44"/>
        <v>0</v>
      </c>
      <c r="AA163" s="171">
        <f t="shared" si="44"/>
        <v>0</v>
      </c>
      <c r="AB163" s="171">
        <f t="shared" si="44"/>
        <v>0</v>
      </c>
      <c r="AC163" s="171">
        <f t="shared" si="44"/>
        <v>0</v>
      </c>
      <c r="AD163" s="171">
        <f t="shared" si="44"/>
        <v>0</v>
      </c>
      <c r="AE163" s="171">
        <f t="shared" si="44"/>
        <v>0</v>
      </c>
      <c r="AF163" s="171">
        <f t="shared" si="44"/>
        <v>0</v>
      </c>
      <c r="AG163" s="171">
        <f t="shared" si="44"/>
        <v>0</v>
      </c>
      <c r="AH163" s="171">
        <f t="shared" si="44"/>
        <v>0</v>
      </c>
      <c r="AI163" s="171">
        <f t="shared" si="44"/>
        <v>0</v>
      </c>
      <c r="AJ163" s="171">
        <f t="shared" ref="AJ163:BO170" si="47">IF(AJ136="",1,0)*IF(AJ109="",1,0)*SUM(AJ55)*IF(AJ82="",0,1)</f>
        <v>0</v>
      </c>
      <c r="AK163" s="171">
        <f t="shared" si="47"/>
        <v>0</v>
      </c>
      <c r="AL163" s="171">
        <f t="shared" si="47"/>
        <v>0</v>
      </c>
      <c r="AM163" s="171">
        <f t="shared" si="47"/>
        <v>0</v>
      </c>
      <c r="AN163" s="171">
        <f t="shared" si="47"/>
        <v>0</v>
      </c>
      <c r="AO163" s="171">
        <f t="shared" si="47"/>
        <v>0</v>
      </c>
      <c r="AP163" s="171">
        <f t="shared" si="47"/>
        <v>0</v>
      </c>
      <c r="AQ163" s="171">
        <f t="shared" si="47"/>
        <v>0</v>
      </c>
      <c r="AR163" s="171">
        <f t="shared" si="47"/>
        <v>0</v>
      </c>
      <c r="AS163" s="171">
        <f t="shared" si="47"/>
        <v>0</v>
      </c>
      <c r="AT163" s="171">
        <f t="shared" si="47"/>
        <v>0</v>
      </c>
      <c r="AU163" s="171">
        <f t="shared" si="47"/>
        <v>0</v>
      </c>
      <c r="AV163" s="171">
        <f t="shared" si="47"/>
        <v>0</v>
      </c>
      <c r="AW163" s="171">
        <f t="shared" si="47"/>
        <v>0</v>
      </c>
      <c r="AX163" s="171">
        <f t="shared" si="47"/>
        <v>0</v>
      </c>
      <c r="AY163" s="171">
        <f t="shared" si="47"/>
        <v>0</v>
      </c>
      <c r="AZ163" s="171">
        <f t="shared" si="47"/>
        <v>0</v>
      </c>
      <c r="BA163" s="171">
        <f t="shared" si="47"/>
        <v>0</v>
      </c>
      <c r="BB163" s="171">
        <f t="shared" si="47"/>
        <v>0</v>
      </c>
      <c r="BC163" s="171">
        <f t="shared" si="47"/>
        <v>0</v>
      </c>
      <c r="BD163" s="171">
        <f t="shared" si="47"/>
        <v>0</v>
      </c>
      <c r="BE163" s="171">
        <f t="shared" si="47"/>
        <v>0</v>
      </c>
      <c r="BF163" s="171">
        <f t="shared" si="47"/>
        <v>0</v>
      </c>
      <c r="BG163" s="171">
        <f t="shared" si="47"/>
        <v>0</v>
      </c>
      <c r="BH163" s="171">
        <f t="shared" si="47"/>
        <v>0</v>
      </c>
      <c r="BI163" s="171">
        <f t="shared" si="47"/>
        <v>0</v>
      </c>
      <c r="BJ163" s="171">
        <f t="shared" si="47"/>
        <v>0</v>
      </c>
      <c r="BK163" s="171">
        <f t="shared" si="47"/>
        <v>0</v>
      </c>
      <c r="BL163" s="171">
        <f t="shared" si="47"/>
        <v>0</v>
      </c>
      <c r="BM163" s="171">
        <f t="shared" si="47"/>
        <v>0</v>
      </c>
      <c r="BN163" s="171">
        <f t="shared" si="47"/>
        <v>0</v>
      </c>
      <c r="BO163" s="171">
        <f t="shared" si="47"/>
        <v>0</v>
      </c>
      <c r="BP163" s="171">
        <f t="shared" si="46"/>
        <v>0</v>
      </c>
      <c r="BQ163" s="171">
        <f t="shared" si="46"/>
        <v>0</v>
      </c>
      <c r="BR163" s="171">
        <f t="shared" si="46"/>
        <v>0</v>
      </c>
      <c r="BS163" s="171">
        <f t="shared" si="46"/>
        <v>0</v>
      </c>
      <c r="BT163" s="171">
        <f t="shared" si="46"/>
        <v>0</v>
      </c>
      <c r="BU163" s="171">
        <f t="shared" si="46"/>
        <v>0</v>
      </c>
      <c r="BV163" s="171">
        <f t="shared" si="46"/>
        <v>0</v>
      </c>
      <c r="BW163" s="171">
        <f t="shared" si="46"/>
        <v>0</v>
      </c>
      <c r="BX163" s="171">
        <f t="shared" si="46"/>
        <v>0</v>
      </c>
      <c r="BY163" s="171">
        <f t="shared" si="46"/>
        <v>0</v>
      </c>
      <c r="BZ163" s="171">
        <f t="shared" si="46"/>
        <v>0</v>
      </c>
      <c r="CA163" s="171">
        <f t="shared" si="46"/>
        <v>0</v>
      </c>
      <c r="CB163" s="171">
        <f t="shared" si="46"/>
        <v>0</v>
      </c>
      <c r="CC163" s="171">
        <f t="shared" si="46"/>
        <v>0</v>
      </c>
      <c r="CD163" s="171">
        <f t="shared" si="46"/>
        <v>0</v>
      </c>
      <c r="CE163" s="171">
        <f t="shared" si="46"/>
        <v>0</v>
      </c>
      <c r="CF163" s="171">
        <f t="shared" si="46"/>
        <v>0</v>
      </c>
      <c r="CG163" s="171">
        <f t="shared" si="46"/>
        <v>0</v>
      </c>
      <c r="CH163" s="171">
        <f t="shared" si="46"/>
        <v>0</v>
      </c>
      <c r="CI163" s="171">
        <f t="shared" si="46"/>
        <v>0</v>
      </c>
      <c r="CJ163" s="171">
        <f t="shared" si="46"/>
        <v>0</v>
      </c>
      <c r="CK163" s="171">
        <f t="shared" si="46"/>
        <v>0</v>
      </c>
      <c r="CL163" s="171">
        <f t="shared" si="46"/>
        <v>0</v>
      </c>
      <c r="CM163" s="171">
        <f t="shared" si="46"/>
        <v>0</v>
      </c>
      <c r="CN163" s="171">
        <f t="shared" si="46"/>
        <v>0</v>
      </c>
      <c r="CO163" s="171">
        <f t="shared" si="46"/>
        <v>0</v>
      </c>
      <c r="CP163" s="171">
        <f t="shared" si="46"/>
        <v>0</v>
      </c>
      <c r="CQ163" s="171">
        <f t="shared" si="46"/>
        <v>0</v>
      </c>
      <c r="CR163" s="171">
        <f t="shared" si="46"/>
        <v>0</v>
      </c>
      <c r="CS163" s="172">
        <f t="shared" si="46"/>
        <v>0</v>
      </c>
      <c r="CT163" s="85" t="s">
        <v>54</v>
      </c>
    </row>
    <row r="164" spans="1:98" hidden="1" x14ac:dyDescent="0.25">
      <c r="A164" s="97">
        <v>0</v>
      </c>
      <c r="B164" s="90">
        <f t="shared" si="37"/>
        <v>2010</v>
      </c>
      <c r="C164" s="101"/>
      <c r="D164" s="171">
        <f t="shared" si="44"/>
        <v>1</v>
      </c>
      <c r="E164" s="171">
        <f t="shared" si="44"/>
        <v>1</v>
      </c>
      <c r="F164" s="171">
        <f t="shared" si="44"/>
        <v>1</v>
      </c>
      <c r="G164" s="171">
        <f t="shared" si="44"/>
        <v>1</v>
      </c>
      <c r="H164" s="171">
        <f t="shared" si="44"/>
        <v>1</v>
      </c>
      <c r="I164" s="171">
        <f t="shared" si="44"/>
        <v>1</v>
      </c>
      <c r="J164" s="171">
        <f t="shared" si="44"/>
        <v>1</v>
      </c>
      <c r="K164" s="171">
        <f t="shared" si="44"/>
        <v>1</v>
      </c>
      <c r="L164" s="171">
        <f t="shared" si="44"/>
        <v>1</v>
      </c>
      <c r="M164" s="171">
        <f t="shared" si="44"/>
        <v>0</v>
      </c>
      <c r="N164" s="171">
        <f t="shared" si="44"/>
        <v>0</v>
      </c>
      <c r="O164" s="171">
        <f t="shared" si="44"/>
        <v>0</v>
      </c>
      <c r="P164" s="171">
        <f t="shared" si="44"/>
        <v>0</v>
      </c>
      <c r="Q164" s="171">
        <f t="shared" si="44"/>
        <v>0</v>
      </c>
      <c r="R164" s="171">
        <f t="shared" si="44"/>
        <v>0</v>
      </c>
      <c r="S164" s="171">
        <f t="shared" si="44"/>
        <v>0</v>
      </c>
      <c r="T164" s="171">
        <f t="shared" si="44"/>
        <v>0</v>
      </c>
      <c r="U164" s="171">
        <f t="shared" si="44"/>
        <v>0</v>
      </c>
      <c r="V164" s="171">
        <f t="shared" si="44"/>
        <v>0</v>
      </c>
      <c r="W164" s="171">
        <f t="shared" si="44"/>
        <v>0</v>
      </c>
      <c r="X164" s="171">
        <f t="shared" si="44"/>
        <v>0</v>
      </c>
      <c r="Y164" s="171">
        <f t="shared" si="44"/>
        <v>0</v>
      </c>
      <c r="Z164" s="171">
        <f t="shared" si="44"/>
        <v>0</v>
      </c>
      <c r="AA164" s="171">
        <f t="shared" si="44"/>
        <v>0</v>
      </c>
      <c r="AB164" s="171">
        <f t="shared" si="44"/>
        <v>0</v>
      </c>
      <c r="AC164" s="171">
        <f t="shared" si="44"/>
        <v>0</v>
      </c>
      <c r="AD164" s="171">
        <f t="shared" si="44"/>
        <v>0</v>
      </c>
      <c r="AE164" s="171">
        <f t="shared" si="44"/>
        <v>0</v>
      </c>
      <c r="AF164" s="171">
        <f t="shared" si="44"/>
        <v>0</v>
      </c>
      <c r="AG164" s="171">
        <f t="shared" si="44"/>
        <v>0</v>
      </c>
      <c r="AH164" s="171">
        <f t="shared" si="44"/>
        <v>0</v>
      </c>
      <c r="AI164" s="171">
        <f t="shared" si="44"/>
        <v>0</v>
      </c>
      <c r="AJ164" s="171">
        <f t="shared" si="47"/>
        <v>0</v>
      </c>
      <c r="AK164" s="171">
        <f t="shared" si="47"/>
        <v>0</v>
      </c>
      <c r="AL164" s="171">
        <f t="shared" si="47"/>
        <v>0</v>
      </c>
      <c r="AM164" s="171">
        <f t="shared" si="47"/>
        <v>0</v>
      </c>
      <c r="AN164" s="171">
        <f t="shared" si="47"/>
        <v>0</v>
      </c>
      <c r="AO164" s="171">
        <f t="shared" si="47"/>
        <v>0</v>
      </c>
      <c r="AP164" s="171">
        <f t="shared" si="47"/>
        <v>0</v>
      </c>
      <c r="AQ164" s="171">
        <f t="shared" si="47"/>
        <v>0</v>
      </c>
      <c r="AR164" s="171">
        <f t="shared" si="47"/>
        <v>0</v>
      </c>
      <c r="AS164" s="171">
        <f t="shared" si="47"/>
        <v>0</v>
      </c>
      <c r="AT164" s="171">
        <f t="shared" si="47"/>
        <v>0</v>
      </c>
      <c r="AU164" s="171">
        <f t="shared" si="47"/>
        <v>0</v>
      </c>
      <c r="AV164" s="171">
        <f t="shared" si="47"/>
        <v>0</v>
      </c>
      <c r="AW164" s="171">
        <f t="shared" si="47"/>
        <v>0</v>
      </c>
      <c r="AX164" s="171">
        <f t="shared" si="47"/>
        <v>0</v>
      </c>
      <c r="AY164" s="171">
        <f t="shared" si="47"/>
        <v>0</v>
      </c>
      <c r="AZ164" s="171">
        <f t="shared" si="47"/>
        <v>0</v>
      </c>
      <c r="BA164" s="171">
        <f t="shared" si="47"/>
        <v>0</v>
      </c>
      <c r="BB164" s="171">
        <f t="shared" si="47"/>
        <v>0</v>
      </c>
      <c r="BC164" s="171">
        <f t="shared" si="47"/>
        <v>0</v>
      </c>
      <c r="BD164" s="171">
        <f t="shared" si="47"/>
        <v>0</v>
      </c>
      <c r="BE164" s="171">
        <f t="shared" si="47"/>
        <v>0</v>
      </c>
      <c r="BF164" s="171">
        <f t="shared" si="47"/>
        <v>0</v>
      </c>
      <c r="BG164" s="171">
        <f t="shared" si="47"/>
        <v>0</v>
      </c>
      <c r="BH164" s="171">
        <f t="shared" si="47"/>
        <v>0</v>
      </c>
      <c r="BI164" s="171">
        <f t="shared" si="47"/>
        <v>0</v>
      </c>
      <c r="BJ164" s="171">
        <f t="shared" si="47"/>
        <v>0</v>
      </c>
      <c r="BK164" s="171">
        <f t="shared" si="47"/>
        <v>0</v>
      </c>
      <c r="BL164" s="171">
        <f t="shared" si="47"/>
        <v>0</v>
      </c>
      <c r="BM164" s="171">
        <f t="shared" si="47"/>
        <v>0</v>
      </c>
      <c r="BN164" s="171">
        <f t="shared" si="47"/>
        <v>0</v>
      </c>
      <c r="BO164" s="171">
        <f t="shared" si="47"/>
        <v>0</v>
      </c>
      <c r="BP164" s="171">
        <f t="shared" si="46"/>
        <v>0</v>
      </c>
      <c r="BQ164" s="171">
        <f t="shared" si="46"/>
        <v>0</v>
      </c>
      <c r="BR164" s="171">
        <f t="shared" si="46"/>
        <v>0</v>
      </c>
      <c r="BS164" s="171">
        <f t="shared" si="46"/>
        <v>0</v>
      </c>
      <c r="BT164" s="171">
        <f t="shared" si="46"/>
        <v>0</v>
      </c>
      <c r="BU164" s="171">
        <f t="shared" si="46"/>
        <v>0</v>
      </c>
      <c r="BV164" s="171">
        <f t="shared" si="46"/>
        <v>0</v>
      </c>
      <c r="BW164" s="171">
        <f t="shared" si="46"/>
        <v>0</v>
      </c>
      <c r="BX164" s="171">
        <f t="shared" si="46"/>
        <v>0</v>
      </c>
      <c r="BY164" s="171">
        <f t="shared" si="46"/>
        <v>0</v>
      </c>
      <c r="BZ164" s="171">
        <f t="shared" si="46"/>
        <v>0</v>
      </c>
      <c r="CA164" s="171">
        <f t="shared" si="46"/>
        <v>0</v>
      </c>
      <c r="CB164" s="171">
        <f t="shared" si="46"/>
        <v>0</v>
      </c>
      <c r="CC164" s="171">
        <f t="shared" si="46"/>
        <v>0</v>
      </c>
      <c r="CD164" s="171">
        <f t="shared" si="46"/>
        <v>0</v>
      </c>
      <c r="CE164" s="171">
        <f t="shared" si="46"/>
        <v>0</v>
      </c>
      <c r="CF164" s="171">
        <f t="shared" si="46"/>
        <v>0</v>
      </c>
      <c r="CG164" s="171">
        <f t="shared" si="46"/>
        <v>0</v>
      </c>
      <c r="CH164" s="171">
        <f t="shared" si="46"/>
        <v>0</v>
      </c>
      <c r="CI164" s="171">
        <f t="shared" si="46"/>
        <v>0</v>
      </c>
      <c r="CJ164" s="171">
        <f t="shared" si="46"/>
        <v>0</v>
      </c>
      <c r="CK164" s="171">
        <f t="shared" si="46"/>
        <v>0</v>
      </c>
      <c r="CL164" s="171">
        <f t="shared" si="46"/>
        <v>0</v>
      </c>
      <c r="CM164" s="171">
        <f t="shared" si="46"/>
        <v>0</v>
      </c>
      <c r="CN164" s="171">
        <f t="shared" si="46"/>
        <v>0</v>
      </c>
      <c r="CO164" s="171">
        <f t="shared" si="46"/>
        <v>0</v>
      </c>
      <c r="CP164" s="171">
        <f t="shared" si="46"/>
        <v>0</v>
      </c>
      <c r="CQ164" s="171">
        <f t="shared" si="46"/>
        <v>0</v>
      </c>
      <c r="CR164" s="171">
        <f t="shared" si="46"/>
        <v>0</v>
      </c>
      <c r="CS164" s="172">
        <f t="shared" si="46"/>
        <v>0</v>
      </c>
      <c r="CT164" s="85" t="s">
        <v>54</v>
      </c>
    </row>
    <row r="165" spans="1:98" hidden="1" x14ac:dyDescent="0.25">
      <c r="A165" s="97">
        <v>0</v>
      </c>
      <c r="B165" s="90">
        <f t="shared" si="37"/>
        <v>2011</v>
      </c>
      <c r="C165" s="101"/>
      <c r="D165" s="171">
        <f t="shared" si="44"/>
        <v>0</v>
      </c>
      <c r="E165" s="171">
        <f t="shared" si="44"/>
        <v>1</v>
      </c>
      <c r="F165" s="171">
        <f t="shared" si="44"/>
        <v>1</v>
      </c>
      <c r="G165" s="171">
        <f t="shared" si="44"/>
        <v>1</v>
      </c>
      <c r="H165" s="171">
        <f t="shared" si="44"/>
        <v>1</v>
      </c>
      <c r="I165" s="171">
        <f t="shared" si="44"/>
        <v>1</v>
      </c>
      <c r="J165" s="171">
        <f t="shared" si="44"/>
        <v>1</v>
      </c>
      <c r="K165" s="171">
        <f t="shared" si="44"/>
        <v>1</v>
      </c>
      <c r="L165" s="171">
        <f t="shared" si="44"/>
        <v>0</v>
      </c>
      <c r="M165" s="171">
        <f t="shared" si="44"/>
        <v>0</v>
      </c>
      <c r="N165" s="171">
        <f t="shared" si="44"/>
        <v>0</v>
      </c>
      <c r="O165" s="171">
        <f t="shared" si="44"/>
        <v>0</v>
      </c>
      <c r="P165" s="171">
        <f t="shared" si="44"/>
        <v>0</v>
      </c>
      <c r="Q165" s="171">
        <f t="shared" si="44"/>
        <v>0</v>
      </c>
      <c r="R165" s="171">
        <f t="shared" si="44"/>
        <v>0</v>
      </c>
      <c r="S165" s="171">
        <f t="shared" si="44"/>
        <v>0</v>
      </c>
      <c r="T165" s="171">
        <f t="shared" si="44"/>
        <v>0</v>
      </c>
      <c r="U165" s="171">
        <f t="shared" si="44"/>
        <v>0</v>
      </c>
      <c r="V165" s="171">
        <f t="shared" si="44"/>
        <v>0</v>
      </c>
      <c r="W165" s="171">
        <f t="shared" si="44"/>
        <v>0</v>
      </c>
      <c r="X165" s="171">
        <f t="shared" si="44"/>
        <v>0</v>
      </c>
      <c r="Y165" s="171">
        <f t="shared" si="44"/>
        <v>0</v>
      </c>
      <c r="Z165" s="171">
        <f t="shared" si="44"/>
        <v>0</v>
      </c>
      <c r="AA165" s="171">
        <f t="shared" si="44"/>
        <v>0</v>
      </c>
      <c r="AB165" s="171">
        <f t="shared" si="44"/>
        <v>0</v>
      </c>
      <c r="AC165" s="171">
        <f t="shared" si="44"/>
        <v>0</v>
      </c>
      <c r="AD165" s="171">
        <f t="shared" si="44"/>
        <v>0</v>
      </c>
      <c r="AE165" s="171">
        <f t="shared" si="44"/>
        <v>0</v>
      </c>
      <c r="AF165" s="171">
        <f t="shared" si="44"/>
        <v>0</v>
      </c>
      <c r="AG165" s="171">
        <f t="shared" si="44"/>
        <v>0</v>
      </c>
      <c r="AH165" s="171">
        <f t="shared" si="44"/>
        <v>0</v>
      </c>
      <c r="AI165" s="171">
        <f t="shared" si="44"/>
        <v>0</v>
      </c>
      <c r="AJ165" s="171">
        <f t="shared" si="47"/>
        <v>0</v>
      </c>
      <c r="AK165" s="171">
        <f t="shared" si="47"/>
        <v>0</v>
      </c>
      <c r="AL165" s="171">
        <f t="shared" si="47"/>
        <v>0</v>
      </c>
      <c r="AM165" s="171">
        <f t="shared" si="47"/>
        <v>0</v>
      </c>
      <c r="AN165" s="171">
        <f t="shared" si="47"/>
        <v>0</v>
      </c>
      <c r="AO165" s="171">
        <f t="shared" si="47"/>
        <v>0</v>
      </c>
      <c r="AP165" s="171">
        <f t="shared" si="47"/>
        <v>0</v>
      </c>
      <c r="AQ165" s="171">
        <f t="shared" si="47"/>
        <v>0</v>
      </c>
      <c r="AR165" s="171">
        <f t="shared" si="47"/>
        <v>0</v>
      </c>
      <c r="AS165" s="171">
        <f t="shared" si="47"/>
        <v>0</v>
      </c>
      <c r="AT165" s="171">
        <f t="shared" si="47"/>
        <v>0</v>
      </c>
      <c r="AU165" s="171">
        <f t="shared" si="47"/>
        <v>0</v>
      </c>
      <c r="AV165" s="171">
        <f t="shared" si="47"/>
        <v>0</v>
      </c>
      <c r="AW165" s="171">
        <f t="shared" si="47"/>
        <v>0</v>
      </c>
      <c r="AX165" s="171">
        <f t="shared" si="47"/>
        <v>0</v>
      </c>
      <c r="AY165" s="171">
        <f t="shared" si="47"/>
        <v>0</v>
      </c>
      <c r="AZ165" s="171">
        <f t="shared" si="47"/>
        <v>0</v>
      </c>
      <c r="BA165" s="171">
        <f t="shared" si="47"/>
        <v>0</v>
      </c>
      <c r="BB165" s="171">
        <f t="shared" si="47"/>
        <v>0</v>
      </c>
      <c r="BC165" s="171">
        <f t="shared" si="47"/>
        <v>0</v>
      </c>
      <c r="BD165" s="171">
        <f t="shared" si="47"/>
        <v>0</v>
      </c>
      <c r="BE165" s="171">
        <f t="shared" si="47"/>
        <v>0</v>
      </c>
      <c r="BF165" s="171">
        <f t="shared" si="47"/>
        <v>0</v>
      </c>
      <c r="BG165" s="171">
        <f t="shared" si="47"/>
        <v>0</v>
      </c>
      <c r="BH165" s="171">
        <f t="shared" si="47"/>
        <v>0</v>
      </c>
      <c r="BI165" s="171">
        <f t="shared" si="47"/>
        <v>0</v>
      </c>
      <c r="BJ165" s="171">
        <f t="shared" si="47"/>
        <v>0</v>
      </c>
      <c r="BK165" s="171">
        <f t="shared" si="47"/>
        <v>0</v>
      </c>
      <c r="BL165" s="171">
        <f t="shared" si="47"/>
        <v>0</v>
      </c>
      <c r="BM165" s="171">
        <f t="shared" si="47"/>
        <v>0</v>
      </c>
      <c r="BN165" s="171">
        <f t="shared" si="47"/>
        <v>0</v>
      </c>
      <c r="BO165" s="171">
        <f t="shared" si="47"/>
        <v>0</v>
      </c>
      <c r="BP165" s="171">
        <f t="shared" si="46"/>
        <v>0</v>
      </c>
      <c r="BQ165" s="171">
        <f t="shared" si="46"/>
        <v>0</v>
      </c>
      <c r="BR165" s="171">
        <f t="shared" si="46"/>
        <v>0</v>
      </c>
      <c r="BS165" s="171">
        <f t="shared" si="46"/>
        <v>0</v>
      </c>
      <c r="BT165" s="171">
        <f t="shared" si="46"/>
        <v>0</v>
      </c>
      <c r="BU165" s="171">
        <f t="shared" si="46"/>
        <v>0</v>
      </c>
      <c r="BV165" s="171">
        <f t="shared" si="46"/>
        <v>0</v>
      </c>
      <c r="BW165" s="171">
        <f t="shared" si="46"/>
        <v>0</v>
      </c>
      <c r="BX165" s="171">
        <f t="shared" si="46"/>
        <v>0</v>
      </c>
      <c r="BY165" s="171">
        <f t="shared" si="46"/>
        <v>0</v>
      </c>
      <c r="BZ165" s="171">
        <f t="shared" si="46"/>
        <v>0</v>
      </c>
      <c r="CA165" s="171">
        <f t="shared" si="46"/>
        <v>0</v>
      </c>
      <c r="CB165" s="171">
        <f t="shared" si="46"/>
        <v>0</v>
      </c>
      <c r="CC165" s="171">
        <f t="shared" si="46"/>
        <v>0</v>
      </c>
      <c r="CD165" s="171">
        <f t="shared" si="46"/>
        <v>0</v>
      </c>
      <c r="CE165" s="171">
        <f t="shared" si="46"/>
        <v>0</v>
      </c>
      <c r="CF165" s="171">
        <f t="shared" si="46"/>
        <v>0</v>
      </c>
      <c r="CG165" s="171">
        <f t="shared" si="46"/>
        <v>0</v>
      </c>
      <c r="CH165" s="171">
        <f t="shared" si="46"/>
        <v>0</v>
      </c>
      <c r="CI165" s="171">
        <f t="shared" si="46"/>
        <v>0</v>
      </c>
      <c r="CJ165" s="171">
        <f t="shared" si="46"/>
        <v>0</v>
      </c>
      <c r="CK165" s="171">
        <f t="shared" si="46"/>
        <v>0</v>
      </c>
      <c r="CL165" s="171">
        <f t="shared" si="46"/>
        <v>0</v>
      </c>
      <c r="CM165" s="171">
        <f t="shared" si="46"/>
        <v>0</v>
      </c>
      <c r="CN165" s="171">
        <f t="shared" si="46"/>
        <v>0</v>
      </c>
      <c r="CO165" s="171">
        <f t="shared" si="46"/>
        <v>0</v>
      </c>
      <c r="CP165" s="171">
        <f t="shared" si="46"/>
        <v>0</v>
      </c>
      <c r="CQ165" s="171">
        <f t="shared" si="46"/>
        <v>0</v>
      </c>
      <c r="CR165" s="171">
        <f t="shared" si="46"/>
        <v>0</v>
      </c>
      <c r="CS165" s="172">
        <f t="shared" si="46"/>
        <v>0</v>
      </c>
      <c r="CT165" s="85" t="s">
        <v>54</v>
      </c>
    </row>
    <row r="166" spans="1:98" hidden="1" x14ac:dyDescent="0.25">
      <c r="A166" s="97">
        <v>0</v>
      </c>
      <c r="B166" s="90">
        <f t="shared" si="37"/>
        <v>2012</v>
      </c>
      <c r="C166" s="101"/>
      <c r="D166" s="171">
        <f t="shared" si="44"/>
        <v>1</v>
      </c>
      <c r="E166" s="171">
        <f t="shared" si="44"/>
        <v>1</v>
      </c>
      <c r="F166" s="171">
        <f t="shared" si="44"/>
        <v>1</v>
      </c>
      <c r="G166" s="171">
        <f t="shared" si="44"/>
        <v>1</v>
      </c>
      <c r="H166" s="171">
        <f t="shared" si="44"/>
        <v>1</v>
      </c>
      <c r="I166" s="171">
        <f t="shared" si="44"/>
        <v>1</v>
      </c>
      <c r="J166" s="171">
        <f t="shared" si="44"/>
        <v>1</v>
      </c>
      <c r="K166" s="171">
        <f t="shared" si="44"/>
        <v>0</v>
      </c>
      <c r="L166" s="171">
        <f t="shared" si="44"/>
        <v>0</v>
      </c>
      <c r="M166" s="171">
        <f t="shared" si="44"/>
        <v>0</v>
      </c>
      <c r="N166" s="171">
        <f t="shared" si="44"/>
        <v>0</v>
      </c>
      <c r="O166" s="171">
        <f t="shared" si="44"/>
        <v>0</v>
      </c>
      <c r="P166" s="171">
        <f t="shared" si="44"/>
        <v>0</v>
      </c>
      <c r="Q166" s="171">
        <f t="shared" si="44"/>
        <v>0</v>
      </c>
      <c r="R166" s="171">
        <f t="shared" si="44"/>
        <v>0</v>
      </c>
      <c r="S166" s="171">
        <f t="shared" si="44"/>
        <v>0</v>
      </c>
      <c r="T166" s="171">
        <f t="shared" si="44"/>
        <v>0</v>
      </c>
      <c r="U166" s="171">
        <f t="shared" si="44"/>
        <v>0</v>
      </c>
      <c r="V166" s="171">
        <f t="shared" si="44"/>
        <v>0</v>
      </c>
      <c r="W166" s="171">
        <f t="shared" si="44"/>
        <v>0</v>
      </c>
      <c r="X166" s="171">
        <f t="shared" si="44"/>
        <v>0</v>
      </c>
      <c r="Y166" s="171">
        <f t="shared" si="44"/>
        <v>0</v>
      </c>
      <c r="Z166" s="171">
        <f t="shared" si="44"/>
        <v>0</v>
      </c>
      <c r="AA166" s="171">
        <f t="shared" si="44"/>
        <v>0</v>
      </c>
      <c r="AB166" s="171">
        <f t="shared" si="44"/>
        <v>0</v>
      </c>
      <c r="AC166" s="171">
        <f t="shared" si="44"/>
        <v>0</v>
      </c>
      <c r="AD166" s="171">
        <f t="shared" si="44"/>
        <v>0</v>
      </c>
      <c r="AE166" s="171">
        <f t="shared" si="44"/>
        <v>0</v>
      </c>
      <c r="AF166" s="171">
        <f t="shared" si="44"/>
        <v>0</v>
      </c>
      <c r="AG166" s="171">
        <f t="shared" si="44"/>
        <v>0</v>
      </c>
      <c r="AH166" s="171">
        <f t="shared" si="44"/>
        <v>0</v>
      </c>
      <c r="AI166" s="171">
        <f t="shared" ref="AI166" si="48">IF(AI139="",1,0)*IF(AI112="",1,0)*SUM(AI58)*IF(AI85="",0,1)</f>
        <v>0</v>
      </c>
      <c r="AJ166" s="171">
        <f t="shared" si="47"/>
        <v>0</v>
      </c>
      <c r="AK166" s="171">
        <f t="shared" si="47"/>
        <v>0</v>
      </c>
      <c r="AL166" s="171">
        <f t="shared" si="47"/>
        <v>0</v>
      </c>
      <c r="AM166" s="171">
        <f t="shared" si="47"/>
        <v>0</v>
      </c>
      <c r="AN166" s="171">
        <f t="shared" si="47"/>
        <v>0</v>
      </c>
      <c r="AO166" s="171">
        <f t="shared" si="47"/>
        <v>0</v>
      </c>
      <c r="AP166" s="171">
        <f t="shared" si="47"/>
        <v>0</v>
      </c>
      <c r="AQ166" s="171">
        <f t="shared" si="47"/>
        <v>0</v>
      </c>
      <c r="AR166" s="171">
        <f t="shared" si="47"/>
        <v>0</v>
      </c>
      <c r="AS166" s="171">
        <f t="shared" si="47"/>
        <v>0</v>
      </c>
      <c r="AT166" s="171">
        <f t="shared" si="47"/>
        <v>0</v>
      </c>
      <c r="AU166" s="171">
        <f t="shared" si="47"/>
        <v>0</v>
      </c>
      <c r="AV166" s="171">
        <f t="shared" si="47"/>
        <v>0</v>
      </c>
      <c r="AW166" s="171">
        <f t="shared" si="47"/>
        <v>0</v>
      </c>
      <c r="AX166" s="171">
        <f t="shared" si="47"/>
        <v>0</v>
      </c>
      <c r="AY166" s="171">
        <f t="shared" si="47"/>
        <v>0</v>
      </c>
      <c r="AZ166" s="171">
        <f t="shared" si="47"/>
        <v>0</v>
      </c>
      <c r="BA166" s="171">
        <f t="shared" si="47"/>
        <v>0</v>
      </c>
      <c r="BB166" s="171">
        <f t="shared" si="47"/>
        <v>0</v>
      </c>
      <c r="BC166" s="171">
        <f t="shared" si="47"/>
        <v>0</v>
      </c>
      <c r="BD166" s="171">
        <f t="shared" si="47"/>
        <v>0</v>
      </c>
      <c r="BE166" s="171">
        <f t="shared" si="47"/>
        <v>0</v>
      </c>
      <c r="BF166" s="171">
        <f t="shared" si="47"/>
        <v>0</v>
      </c>
      <c r="BG166" s="171">
        <f t="shared" si="47"/>
        <v>0</v>
      </c>
      <c r="BH166" s="171">
        <f t="shared" si="47"/>
        <v>0</v>
      </c>
      <c r="BI166" s="171">
        <f t="shared" si="47"/>
        <v>0</v>
      </c>
      <c r="BJ166" s="171">
        <f t="shared" si="47"/>
        <v>0</v>
      </c>
      <c r="BK166" s="171">
        <f t="shared" si="47"/>
        <v>0</v>
      </c>
      <c r="BL166" s="171">
        <f t="shared" si="47"/>
        <v>0</v>
      </c>
      <c r="BM166" s="171">
        <f t="shared" si="47"/>
        <v>0</v>
      </c>
      <c r="BN166" s="171">
        <f t="shared" si="47"/>
        <v>0</v>
      </c>
      <c r="BO166" s="171">
        <f t="shared" si="47"/>
        <v>0</v>
      </c>
      <c r="BP166" s="171">
        <f t="shared" si="46"/>
        <v>0</v>
      </c>
      <c r="BQ166" s="171">
        <f t="shared" si="46"/>
        <v>0</v>
      </c>
      <c r="BR166" s="171">
        <f t="shared" si="46"/>
        <v>0</v>
      </c>
      <c r="BS166" s="171">
        <f t="shared" si="46"/>
        <v>0</v>
      </c>
      <c r="BT166" s="171">
        <f t="shared" si="46"/>
        <v>0</v>
      </c>
      <c r="BU166" s="171">
        <f t="shared" si="46"/>
        <v>0</v>
      </c>
      <c r="BV166" s="171">
        <f t="shared" si="46"/>
        <v>0</v>
      </c>
      <c r="BW166" s="171">
        <f t="shared" si="46"/>
        <v>0</v>
      </c>
      <c r="BX166" s="171">
        <f t="shared" si="46"/>
        <v>0</v>
      </c>
      <c r="BY166" s="171">
        <f t="shared" si="46"/>
        <v>0</v>
      </c>
      <c r="BZ166" s="171">
        <f t="shared" si="46"/>
        <v>0</v>
      </c>
      <c r="CA166" s="171">
        <f t="shared" si="46"/>
        <v>0</v>
      </c>
      <c r="CB166" s="171">
        <f t="shared" si="46"/>
        <v>0</v>
      </c>
      <c r="CC166" s="171">
        <f t="shared" si="46"/>
        <v>0</v>
      </c>
      <c r="CD166" s="171">
        <f t="shared" si="46"/>
        <v>0</v>
      </c>
      <c r="CE166" s="171">
        <f t="shared" si="46"/>
        <v>0</v>
      </c>
      <c r="CF166" s="171">
        <f t="shared" si="46"/>
        <v>0</v>
      </c>
      <c r="CG166" s="171">
        <f t="shared" si="46"/>
        <v>0</v>
      </c>
      <c r="CH166" s="171">
        <f t="shared" si="46"/>
        <v>0</v>
      </c>
      <c r="CI166" s="171">
        <f t="shared" si="46"/>
        <v>0</v>
      </c>
      <c r="CJ166" s="171">
        <f t="shared" si="46"/>
        <v>0</v>
      </c>
      <c r="CK166" s="171">
        <f t="shared" si="46"/>
        <v>0</v>
      </c>
      <c r="CL166" s="171">
        <f t="shared" si="46"/>
        <v>0</v>
      </c>
      <c r="CM166" s="171">
        <f t="shared" si="46"/>
        <v>0</v>
      </c>
      <c r="CN166" s="171">
        <f t="shared" si="46"/>
        <v>0</v>
      </c>
      <c r="CO166" s="171">
        <f t="shared" si="46"/>
        <v>0</v>
      </c>
      <c r="CP166" s="171">
        <f t="shared" si="46"/>
        <v>0</v>
      </c>
      <c r="CQ166" s="171">
        <f t="shared" si="46"/>
        <v>0</v>
      </c>
      <c r="CR166" s="171">
        <f t="shared" si="46"/>
        <v>0</v>
      </c>
      <c r="CS166" s="172">
        <f t="shared" si="46"/>
        <v>0</v>
      </c>
      <c r="CT166" s="85" t="s">
        <v>54</v>
      </c>
    </row>
    <row r="167" spans="1:98" hidden="1" x14ac:dyDescent="0.25">
      <c r="A167" s="97">
        <v>0</v>
      </c>
      <c r="B167" s="90">
        <f t="shared" si="37"/>
        <v>2013</v>
      </c>
      <c r="C167" s="101"/>
      <c r="D167" s="171">
        <f t="shared" ref="D167:AI173" si="49">IF(D140="",1,0)*IF(D113="",1,0)*SUM(D59)*IF(D86="",0,1)</f>
        <v>0</v>
      </c>
      <c r="E167" s="171">
        <f t="shared" si="49"/>
        <v>0</v>
      </c>
      <c r="F167" s="171">
        <f t="shared" si="49"/>
        <v>0</v>
      </c>
      <c r="G167" s="171">
        <f t="shared" si="49"/>
        <v>0</v>
      </c>
      <c r="H167" s="171">
        <f t="shared" si="49"/>
        <v>0</v>
      </c>
      <c r="I167" s="171">
        <f t="shared" si="49"/>
        <v>0</v>
      </c>
      <c r="J167" s="171">
        <f t="shared" si="49"/>
        <v>0</v>
      </c>
      <c r="K167" s="171">
        <f t="shared" si="49"/>
        <v>0</v>
      </c>
      <c r="L167" s="171">
        <f t="shared" si="49"/>
        <v>0</v>
      </c>
      <c r="M167" s="171">
        <f t="shared" si="49"/>
        <v>0</v>
      </c>
      <c r="N167" s="171">
        <f t="shared" si="49"/>
        <v>0</v>
      </c>
      <c r="O167" s="171">
        <f t="shared" si="49"/>
        <v>0</v>
      </c>
      <c r="P167" s="171">
        <f t="shared" si="49"/>
        <v>0</v>
      </c>
      <c r="Q167" s="171">
        <f t="shared" si="49"/>
        <v>0</v>
      </c>
      <c r="R167" s="171">
        <f t="shared" si="49"/>
        <v>0</v>
      </c>
      <c r="S167" s="171">
        <f t="shared" si="49"/>
        <v>0</v>
      </c>
      <c r="T167" s="171">
        <f t="shared" si="49"/>
        <v>0</v>
      </c>
      <c r="U167" s="171">
        <f t="shared" si="49"/>
        <v>0</v>
      </c>
      <c r="V167" s="171">
        <f t="shared" si="49"/>
        <v>0</v>
      </c>
      <c r="W167" s="171">
        <f t="shared" si="49"/>
        <v>0</v>
      </c>
      <c r="X167" s="171">
        <f t="shared" si="49"/>
        <v>0</v>
      </c>
      <c r="Y167" s="171">
        <f t="shared" si="49"/>
        <v>0</v>
      </c>
      <c r="Z167" s="171">
        <f t="shared" si="49"/>
        <v>0</v>
      </c>
      <c r="AA167" s="171">
        <f t="shared" si="49"/>
        <v>0</v>
      </c>
      <c r="AB167" s="171">
        <f t="shared" si="49"/>
        <v>0</v>
      </c>
      <c r="AC167" s="171">
        <f t="shared" si="49"/>
        <v>0</v>
      </c>
      <c r="AD167" s="171">
        <f t="shared" si="49"/>
        <v>0</v>
      </c>
      <c r="AE167" s="171">
        <f t="shared" si="49"/>
        <v>0</v>
      </c>
      <c r="AF167" s="171">
        <f t="shared" si="49"/>
        <v>0</v>
      </c>
      <c r="AG167" s="171">
        <f t="shared" si="49"/>
        <v>0</v>
      </c>
      <c r="AH167" s="171">
        <f t="shared" si="49"/>
        <v>0</v>
      </c>
      <c r="AI167" s="171">
        <f t="shared" si="49"/>
        <v>0</v>
      </c>
      <c r="AJ167" s="171">
        <f t="shared" si="47"/>
        <v>0</v>
      </c>
      <c r="AK167" s="171">
        <f t="shared" si="47"/>
        <v>0</v>
      </c>
      <c r="AL167" s="171">
        <f t="shared" si="47"/>
        <v>0</v>
      </c>
      <c r="AM167" s="171">
        <f t="shared" si="47"/>
        <v>0</v>
      </c>
      <c r="AN167" s="171">
        <f t="shared" si="47"/>
        <v>0</v>
      </c>
      <c r="AO167" s="171">
        <f t="shared" si="47"/>
        <v>0</v>
      </c>
      <c r="AP167" s="171">
        <f t="shared" si="47"/>
        <v>0</v>
      </c>
      <c r="AQ167" s="171">
        <f t="shared" si="47"/>
        <v>0</v>
      </c>
      <c r="AR167" s="171">
        <f t="shared" si="47"/>
        <v>0</v>
      </c>
      <c r="AS167" s="171">
        <f t="shared" si="47"/>
        <v>0</v>
      </c>
      <c r="AT167" s="171">
        <f t="shared" si="47"/>
        <v>0</v>
      </c>
      <c r="AU167" s="171">
        <f t="shared" si="47"/>
        <v>0</v>
      </c>
      <c r="AV167" s="171">
        <f t="shared" si="47"/>
        <v>0</v>
      </c>
      <c r="AW167" s="171">
        <f t="shared" si="47"/>
        <v>0</v>
      </c>
      <c r="AX167" s="171">
        <f t="shared" si="47"/>
        <v>0</v>
      </c>
      <c r="AY167" s="171">
        <f t="shared" si="47"/>
        <v>0</v>
      </c>
      <c r="AZ167" s="171">
        <f t="shared" si="47"/>
        <v>0</v>
      </c>
      <c r="BA167" s="171">
        <f t="shared" si="47"/>
        <v>0</v>
      </c>
      <c r="BB167" s="171">
        <f t="shared" si="47"/>
        <v>0</v>
      </c>
      <c r="BC167" s="171">
        <f t="shared" si="47"/>
        <v>0</v>
      </c>
      <c r="BD167" s="171">
        <f t="shared" si="47"/>
        <v>0</v>
      </c>
      <c r="BE167" s="171">
        <f t="shared" si="47"/>
        <v>0</v>
      </c>
      <c r="BF167" s="171">
        <f t="shared" si="47"/>
        <v>0</v>
      </c>
      <c r="BG167" s="171">
        <f t="shared" si="47"/>
        <v>0</v>
      </c>
      <c r="BH167" s="171">
        <f t="shared" si="47"/>
        <v>0</v>
      </c>
      <c r="BI167" s="171">
        <f t="shared" si="47"/>
        <v>0</v>
      </c>
      <c r="BJ167" s="171">
        <f t="shared" si="47"/>
        <v>0</v>
      </c>
      <c r="BK167" s="171">
        <f t="shared" si="47"/>
        <v>0</v>
      </c>
      <c r="BL167" s="171">
        <f t="shared" si="47"/>
        <v>0</v>
      </c>
      <c r="BM167" s="171">
        <f t="shared" si="47"/>
        <v>0</v>
      </c>
      <c r="BN167" s="171">
        <f t="shared" si="47"/>
        <v>0</v>
      </c>
      <c r="BO167" s="171">
        <f t="shared" si="47"/>
        <v>0</v>
      </c>
      <c r="BP167" s="171">
        <f t="shared" si="46"/>
        <v>0</v>
      </c>
      <c r="BQ167" s="171">
        <f t="shared" si="46"/>
        <v>0</v>
      </c>
      <c r="BR167" s="171">
        <f t="shared" si="46"/>
        <v>0</v>
      </c>
      <c r="BS167" s="171">
        <f t="shared" si="46"/>
        <v>0</v>
      </c>
      <c r="BT167" s="171">
        <f t="shared" si="46"/>
        <v>0</v>
      </c>
      <c r="BU167" s="171">
        <f t="shared" si="46"/>
        <v>0</v>
      </c>
      <c r="BV167" s="171">
        <f t="shared" si="46"/>
        <v>0</v>
      </c>
      <c r="BW167" s="171">
        <f t="shared" si="46"/>
        <v>0</v>
      </c>
      <c r="BX167" s="171">
        <f t="shared" si="46"/>
        <v>0</v>
      </c>
      <c r="BY167" s="171">
        <f t="shared" si="46"/>
        <v>0</v>
      </c>
      <c r="BZ167" s="171">
        <f t="shared" si="46"/>
        <v>0</v>
      </c>
      <c r="CA167" s="171">
        <f t="shared" si="46"/>
        <v>0</v>
      </c>
      <c r="CB167" s="171">
        <f t="shared" si="46"/>
        <v>0</v>
      </c>
      <c r="CC167" s="171">
        <f t="shared" si="46"/>
        <v>0</v>
      </c>
      <c r="CD167" s="171">
        <f t="shared" si="46"/>
        <v>0</v>
      </c>
      <c r="CE167" s="171">
        <f t="shared" si="46"/>
        <v>0</v>
      </c>
      <c r="CF167" s="171">
        <f t="shared" si="46"/>
        <v>0</v>
      </c>
      <c r="CG167" s="171">
        <f t="shared" si="46"/>
        <v>0</v>
      </c>
      <c r="CH167" s="171">
        <f t="shared" si="46"/>
        <v>0</v>
      </c>
      <c r="CI167" s="171">
        <f t="shared" si="46"/>
        <v>0</v>
      </c>
      <c r="CJ167" s="171">
        <f t="shared" si="46"/>
        <v>0</v>
      </c>
      <c r="CK167" s="171">
        <f t="shared" si="46"/>
        <v>0</v>
      </c>
      <c r="CL167" s="171">
        <f t="shared" si="46"/>
        <v>0</v>
      </c>
      <c r="CM167" s="171">
        <f t="shared" si="46"/>
        <v>0</v>
      </c>
      <c r="CN167" s="171">
        <f t="shared" si="46"/>
        <v>0</v>
      </c>
      <c r="CO167" s="171">
        <f t="shared" si="46"/>
        <v>0</v>
      </c>
      <c r="CP167" s="171">
        <f t="shared" si="46"/>
        <v>0</v>
      </c>
      <c r="CQ167" s="171">
        <f t="shared" si="46"/>
        <v>0</v>
      </c>
      <c r="CR167" s="171">
        <f t="shared" si="46"/>
        <v>0</v>
      </c>
      <c r="CS167" s="172">
        <f t="shared" si="46"/>
        <v>0</v>
      </c>
      <c r="CT167" s="11" t="s">
        <v>54</v>
      </c>
    </row>
    <row r="168" spans="1:98" hidden="1" x14ac:dyDescent="0.25">
      <c r="A168" s="97">
        <v>0</v>
      </c>
      <c r="B168" s="90">
        <f t="shared" si="37"/>
        <v>2014</v>
      </c>
      <c r="C168" s="101"/>
      <c r="D168" s="171">
        <f t="shared" si="49"/>
        <v>1</v>
      </c>
      <c r="E168" s="171">
        <f t="shared" si="49"/>
        <v>1</v>
      </c>
      <c r="F168" s="171">
        <f t="shared" si="49"/>
        <v>1</v>
      </c>
      <c r="G168" s="171">
        <f t="shared" si="49"/>
        <v>1</v>
      </c>
      <c r="H168" s="171">
        <f t="shared" si="49"/>
        <v>1</v>
      </c>
      <c r="I168" s="171">
        <f t="shared" si="49"/>
        <v>0</v>
      </c>
      <c r="J168" s="171">
        <f t="shared" si="49"/>
        <v>0</v>
      </c>
      <c r="K168" s="171">
        <f t="shared" si="49"/>
        <v>0</v>
      </c>
      <c r="L168" s="171">
        <f t="shared" si="49"/>
        <v>0</v>
      </c>
      <c r="M168" s="171">
        <f t="shared" si="49"/>
        <v>0</v>
      </c>
      <c r="N168" s="171">
        <f t="shared" si="49"/>
        <v>0</v>
      </c>
      <c r="O168" s="171">
        <f t="shared" si="49"/>
        <v>0</v>
      </c>
      <c r="P168" s="171">
        <f t="shared" si="49"/>
        <v>0</v>
      </c>
      <c r="Q168" s="171">
        <f t="shared" si="49"/>
        <v>0</v>
      </c>
      <c r="R168" s="171">
        <f t="shared" si="49"/>
        <v>0</v>
      </c>
      <c r="S168" s="171">
        <f t="shared" si="49"/>
        <v>0</v>
      </c>
      <c r="T168" s="171">
        <f t="shared" si="49"/>
        <v>0</v>
      </c>
      <c r="U168" s="171">
        <f t="shared" si="49"/>
        <v>0</v>
      </c>
      <c r="V168" s="171">
        <f t="shared" si="49"/>
        <v>0</v>
      </c>
      <c r="W168" s="171">
        <f t="shared" si="49"/>
        <v>0</v>
      </c>
      <c r="X168" s="171">
        <f t="shared" si="49"/>
        <v>0</v>
      </c>
      <c r="Y168" s="171">
        <f t="shared" si="49"/>
        <v>0</v>
      </c>
      <c r="Z168" s="171">
        <f t="shared" si="49"/>
        <v>0</v>
      </c>
      <c r="AA168" s="171">
        <f t="shared" si="49"/>
        <v>0</v>
      </c>
      <c r="AB168" s="171">
        <f t="shared" si="49"/>
        <v>0</v>
      </c>
      <c r="AC168" s="171">
        <f t="shared" si="49"/>
        <v>0</v>
      </c>
      <c r="AD168" s="171">
        <f t="shared" si="49"/>
        <v>0</v>
      </c>
      <c r="AE168" s="171">
        <f t="shared" si="49"/>
        <v>0</v>
      </c>
      <c r="AF168" s="171">
        <f t="shared" si="49"/>
        <v>0</v>
      </c>
      <c r="AG168" s="171">
        <f t="shared" si="49"/>
        <v>0</v>
      </c>
      <c r="AH168" s="171">
        <f t="shared" si="49"/>
        <v>0</v>
      </c>
      <c r="AI168" s="171">
        <f t="shared" si="49"/>
        <v>0</v>
      </c>
      <c r="AJ168" s="171">
        <f t="shared" si="47"/>
        <v>0</v>
      </c>
      <c r="AK168" s="171">
        <f t="shared" si="47"/>
        <v>0</v>
      </c>
      <c r="AL168" s="171">
        <f t="shared" si="47"/>
        <v>0</v>
      </c>
      <c r="AM168" s="171">
        <f t="shared" si="47"/>
        <v>0</v>
      </c>
      <c r="AN168" s="171">
        <f t="shared" si="47"/>
        <v>0</v>
      </c>
      <c r="AO168" s="171">
        <f t="shared" si="47"/>
        <v>0</v>
      </c>
      <c r="AP168" s="171">
        <f t="shared" si="47"/>
        <v>0</v>
      </c>
      <c r="AQ168" s="171">
        <f t="shared" si="47"/>
        <v>0</v>
      </c>
      <c r="AR168" s="171">
        <f t="shared" si="47"/>
        <v>0</v>
      </c>
      <c r="AS168" s="171">
        <f t="shared" si="47"/>
        <v>0</v>
      </c>
      <c r="AT168" s="171">
        <f t="shared" si="47"/>
        <v>0</v>
      </c>
      <c r="AU168" s="171">
        <f t="shared" si="47"/>
        <v>0</v>
      </c>
      <c r="AV168" s="171">
        <f t="shared" si="47"/>
        <v>0</v>
      </c>
      <c r="AW168" s="171">
        <f t="shared" si="47"/>
        <v>0</v>
      </c>
      <c r="AX168" s="171">
        <f t="shared" si="47"/>
        <v>0</v>
      </c>
      <c r="AY168" s="171">
        <f t="shared" si="47"/>
        <v>0</v>
      </c>
      <c r="AZ168" s="171">
        <f t="shared" si="47"/>
        <v>0</v>
      </c>
      <c r="BA168" s="171">
        <f t="shared" si="47"/>
        <v>0</v>
      </c>
      <c r="BB168" s="171">
        <f t="shared" si="47"/>
        <v>0</v>
      </c>
      <c r="BC168" s="171">
        <f t="shared" si="47"/>
        <v>0</v>
      </c>
      <c r="BD168" s="171">
        <f t="shared" si="47"/>
        <v>0</v>
      </c>
      <c r="BE168" s="171">
        <f t="shared" si="47"/>
        <v>0</v>
      </c>
      <c r="BF168" s="171">
        <f t="shared" si="47"/>
        <v>0</v>
      </c>
      <c r="BG168" s="171">
        <f t="shared" si="47"/>
        <v>0</v>
      </c>
      <c r="BH168" s="171">
        <f t="shared" si="47"/>
        <v>0</v>
      </c>
      <c r="BI168" s="171">
        <f t="shared" si="47"/>
        <v>0</v>
      </c>
      <c r="BJ168" s="171">
        <f t="shared" si="47"/>
        <v>0</v>
      </c>
      <c r="BK168" s="171">
        <f t="shared" si="47"/>
        <v>0</v>
      </c>
      <c r="BL168" s="171">
        <f t="shared" si="47"/>
        <v>0</v>
      </c>
      <c r="BM168" s="171">
        <f t="shared" si="47"/>
        <v>0</v>
      </c>
      <c r="BN168" s="171">
        <f t="shared" si="47"/>
        <v>0</v>
      </c>
      <c r="BO168" s="171">
        <f t="shared" si="47"/>
        <v>0</v>
      </c>
      <c r="BP168" s="171">
        <f t="shared" si="46"/>
        <v>0</v>
      </c>
      <c r="BQ168" s="171">
        <f t="shared" si="46"/>
        <v>0</v>
      </c>
      <c r="BR168" s="171">
        <f t="shared" si="46"/>
        <v>0</v>
      </c>
      <c r="BS168" s="171">
        <f t="shared" si="46"/>
        <v>0</v>
      </c>
      <c r="BT168" s="171">
        <f t="shared" si="46"/>
        <v>0</v>
      </c>
      <c r="BU168" s="171">
        <f t="shared" si="46"/>
        <v>0</v>
      </c>
      <c r="BV168" s="171">
        <f t="shared" si="46"/>
        <v>0</v>
      </c>
      <c r="BW168" s="171">
        <f t="shared" si="46"/>
        <v>0</v>
      </c>
      <c r="BX168" s="171">
        <f t="shared" si="46"/>
        <v>0</v>
      </c>
      <c r="BY168" s="171">
        <f t="shared" si="46"/>
        <v>0</v>
      </c>
      <c r="BZ168" s="171">
        <f t="shared" si="46"/>
        <v>0</v>
      </c>
      <c r="CA168" s="171">
        <f t="shared" si="46"/>
        <v>0</v>
      </c>
      <c r="CB168" s="171">
        <f t="shared" si="46"/>
        <v>0</v>
      </c>
      <c r="CC168" s="171">
        <f t="shared" si="46"/>
        <v>0</v>
      </c>
      <c r="CD168" s="171">
        <f t="shared" si="46"/>
        <v>0</v>
      </c>
      <c r="CE168" s="171">
        <f t="shared" si="46"/>
        <v>0</v>
      </c>
      <c r="CF168" s="171">
        <f t="shared" si="46"/>
        <v>0</v>
      </c>
      <c r="CG168" s="171">
        <f t="shared" si="46"/>
        <v>0</v>
      </c>
      <c r="CH168" s="171">
        <f t="shared" si="46"/>
        <v>0</v>
      </c>
      <c r="CI168" s="171">
        <f t="shared" si="46"/>
        <v>0</v>
      </c>
      <c r="CJ168" s="171">
        <f t="shared" si="46"/>
        <v>0</v>
      </c>
      <c r="CK168" s="171">
        <f t="shared" si="46"/>
        <v>0</v>
      </c>
      <c r="CL168" s="171">
        <f t="shared" si="46"/>
        <v>0</v>
      </c>
      <c r="CM168" s="171">
        <f t="shared" si="46"/>
        <v>0</v>
      </c>
      <c r="CN168" s="171">
        <f t="shared" si="46"/>
        <v>0</v>
      </c>
      <c r="CO168" s="171">
        <f t="shared" si="46"/>
        <v>0</v>
      </c>
      <c r="CP168" s="171">
        <f t="shared" si="46"/>
        <v>0</v>
      </c>
      <c r="CQ168" s="171">
        <f t="shared" si="46"/>
        <v>0</v>
      </c>
      <c r="CR168" s="171">
        <f t="shared" si="46"/>
        <v>0</v>
      </c>
      <c r="CS168" s="172">
        <f t="shared" si="46"/>
        <v>0</v>
      </c>
      <c r="CT168" s="11" t="s">
        <v>54</v>
      </c>
    </row>
    <row r="169" spans="1:98" hidden="1" x14ac:dyDescent="0.25">
      <c r="A169" s="97">
        <v>0</v>
      </c>
      <c r="B169" s="90">
        <f t="shared" si="37"/>
        <v>2015</v>
      </c>
      <c r="C169" s="101"/>
      <c r="D169" s="171">
        <f t="shared" si="49"/>
        <v>0</v>
      </c>
      <c r="E169" s="171">
        <f t="shared" si="49"/>
        <v>0</v>
      </c>
      <c r="F169" s="171">
        <f t="shared" si="49"/>
        <v>0</v>
      </c>
      <c r="G169" s="171">
        <f t="shared" si="49"/>
        <v>0</v>
      </c>
      <c r="H169" s="171">
        <f t="shared" si="49"/>
        <v>0</v>
      </c>
      <c r="I169" s="171">
        <f t="shared" si="49"/>
        <v>0</v>
      </c>
      <c r="J169" s="171">
        <f t="shared" si="49"/>
        <v>0</v>
      </c>
      <c r="K169" s="171">
        <f t="shared" si="49"/>
        <v>0</v>
      </c>
      <c r="L169" s="171">
        <f t="shared" si="49"/>
        <v>0</v>
      </c>
      <c r="M169" s="171">
        <f t="shared" si="49"/>
        <v>0</v>
      </c>
      <c r="N169" s="171">
        <f t="shared" si="49"/>
        <v>0</v>
      </c>
      <c r="O169" s="171">
        <f t="shared" si="49"/>
        <v>0</v>
      </c>
      <c r="P169" s="171">
        <f t="shared" si="49"/>
        <v>0</v>
      </c>
      <c r="Q169" s="171">
        <f t="shared" si="49"/>
        <v>0</v>
      </c>
      <c r="R169" s="171">
        <f t="shared" si="49"/>
        <v>0</v>
      </c>
      <c r="S169" s="171">
        <f t="shared" si="49"/>
        <v>0</v>
      </c>
      <c r="T169" s="171">
        <f t="shared" si="49"/>
        <v>0</v>
      </c>
      <c r="U169" s="171">
        <f t="shared" si="49"/>
        <v>0</v>
      </c>
      <c r="V169" s="171">
        <f t="shared" si="49"/>
        <v>0</v>
      </c>
      <c r="W169" s="171">
        <f t="shared" si="49"/>
        <v>0</v>
      </c>
      <c r="X169" s="171">
        <f t="shared" si="49"/>
        <v>0</v>
      </c>
      <c r="Y169" s="171">
        <f t="shared" si="49"/>
        <v>0</v>
      </c>
      <c r="Z169" s="171">
        <f t="shared" si="49"/>
        <v>0</v>
      </c>
      <c r="AA169" s="171">
        <f t="shared" si="49"/>
        <v>0</v>
      </c>
      <c r="AB169" s="171">
        <f t="shared" si="49"/>
        <v>0</v>
      </c>
      <c r="AC169" s="171">
        <f t="shared" si="49"/>
        <v>0</v>
      </c>
      <c r="AD169" s="171">
        <f t="shared" si="49"/>
        <v>0</v>
      </c>
      <c r="AE169" s="171">
        <f t="shared" si="49"/>
        <v>0</v>
      </c>
      <c r="AF169" s="171">
        <f t="shared" si="49"/>
        <v>0</v>
      </c>
      <c r="AG169" s="171">
        <f t="shared" si="49"/>
        <v>0</v>
      </c>
      <c r="AH169" s="171">
        <f t="shared" si="49"/>
        <v>0</v>
      </c>
      <c r="AI169" s="171">
        <f t="shared" si="49"/>
        <v>0</v>
      </c>
      <c r="AJ169" s="171">
        <f t="shared" si="47"/>
        <v>0</v>
      </c>
      <c r="AK169" s="171">
        <f t="shared" si="47"/>
        <v>0</v>
      </c>
      <c r="AL169" s="171">
        <f t="shared" si="47"/>
        <v>0</v>
      </c>
      <c r="AM169" s="171">
        <f t="shared" si="47"/>
        <v>0</v>
      </c>
      <c r="AN169" s="171">
        <f t="shared" si="47"/>
        <v>0</v>
      </c>
      <c r="AO169" s="171">
        <f t="shared" si="47"/>
        <v>0</v>
      </c>
      <c r="AP169" s="171">
        <f t="shared" si="47"/>
        <v>0</v>
      </c>
      <c r="AQ169" s="171">
        <f t="shared" si="47"/>
        <v>0</v>
      </c>
      <c r="AR169" s="171">
        <f t="shared" si="47"/>
        <v>0</v>
      </c>
      <c r="AS169" s="171">
        <f t="shared" si="47"/>
        <v>0</v>
      </c>
      <c r="AT169" s="171">
        <f t="shared" si="47"/>
        <v>0</v>
      </c>
      <c r="AU169" s="171">
        <f t="shared" si="47"/>
        <v>0</v>
      </c>
      <c r="AV169" s="171">
        <f t="shared" si="47"/>
        <v>0</v>
      </c>
      <c r="AW169" s="171">
        <f t="shared" si="47"/>
        <v>0</v>
      </c>
      <c r="AX169" s="171">
        <f t="shared" si="47"/>
        <v>0</v>
      </c>
      <c r="AY169" s="171">
        <f t="shared" si="47"/>
        <v>0</v>
      </c>
      <c r="AZ169" s="171">
        <f t="shared" si="47"/>
        <v>0</v>
      </c>
      <c r="BA169" s="171">
        <f t="shared" si="47"/>
        <v>0</v>
      </c>
      <c r="BB169" s="171">
        <f t="shared" si="47"/>
        <v>0</v>
      </c>
      <c r="BC169" s="171">
        <f t="shared" si="47"/>
        <v>0</v>
      </c>
      <c r="BD169" s="171">
        <f t="shared" si="47"/>
        <v>0</v>
      </c>
      <c r="BE169" s="171">
        <f t="shared" si="47"/>
        <v>0</v>
      </c>
      <c r="BF169" s="171">
        <f t="shared" si="47"/>
        <v>0</v>
      </c>
      <c r="BG169" s="171">
        <f t="shared" si="47"/>
        <v>0</v>
      </c>
      <c r="BH169" s="171">
        <f t="shared" si="47"/>
        <v>0</v>
      </c>
      <c r="BI169" s="171">
        <f t="shared" si="47"/>
        <v>0</v>
      </c>
      <c r="BJ169" s="171">
        <f t="shared" si="47"/>
        <v>0</v>
      </c>
      <c r="BK169" s="171">
        <f t="shared" si="47"/>
        <v>0</v>
      </c>
      <c r="BL169" s="171">
        <f t="shared" si="47"/>
        <v>0</v>
      </c>
      <c r="BM169" s="171">
        <f t="shared" si="47"/>
        <v>0</v>
      </c>
      <c r="BN169" s="171">
        <f t="shared" si="47"/>
        <v>0</v>
      </c>
      <c r="BO169" s="171">
        <f t="shared" si="47"/>
        <v>0</v>
      </c>
      <c r="BP169" s="171">
        <f t="shared" si="46"/>
        <v>0</v>
      </c>
      <c r="BQ169" s="171">
        <f t="shared" si="46"/>
        <v>0</v>
      </c>
      <c r="BR169" s="171">
        <f t="shared" si="46"/>
        <v>0</v>
      </c>
      <c r="BS169" s="171">
        <f t="shared" si="46"/>
        <v>0</v>
      </c>
      <c r="BT169" s="171">
        <f t="shared" si="46"/>
        <v>0</v>
      </c>
      <c r="BU169" s="171">
        <f t="shared" si="46"/>
        <v>0</v>
      </c>
      <c r="BV169" s="171">
        <f t="shared" si="46"/>
        <v>0</v>
      </c>
      <c r="BW169" s="171">
        <f t="shared" si="46"/>
        <v>0</v>
      </c>
      <c r="BX169" s="171">
        <f t="shared" si="46"/>
        <v>0</v>
      </c>
      <c r="BY169" s="171">
        <f t="shared" si="46"/>
        <v>0</v>
      </c>
      <c r="BZ169" s="171">
        <f t="shared" si="46"/>
        <v>0</v>
      </c>
      <c r="CA169" s="171">
        <f t="shared" si="46"/>
        <v>0</v>
      </c>
      <c r="CB169" s="171">
        <f t="shared" si="46"/>
        <v>0</v>
      </c>
      <c r="CC169" s="171">
        <f t="shared" si="46"/>
        <v>0</v>
      </c>
      <c r="CD169" s="171">
        <f t="shared" si="46"/>
        <v>0</v>
      </c>
      <c r="CE169" s="171">
        <f t="shared" si="46"/>
        <v>0</v>
      </c>
      <c r="CF169" s="171">
        <f t="shared" si="46"/>
        <v>0</v>
      </c>
      <c r="CG169" s="171">
        <f t="shared" si="46"/>
        <v>0</v>
      </c>
      <c r="CH169" s="171">
        <f t="shared" si="46"/>
        <v>0</v>
      </c>
      <c r="CI169" s="171">
        <f t="shared" si="46"/>
        <v>0</v>
      </c>
      <c r="CJ169" s="171">
        <f t="shared" si="46"/>
        <v>0</v>
      </c>
      <c r="CK169" s="171">
        <f t="shared" si="46"/>
        <v>0</v>
      </c>
      <c r="CL169" s="171">
        <f t="shared" si="46"/>
        <v>0</v>
      </c>
      <c r="CM169" s="171">
        <f t="shared" si="46"/>
        <v>0</v>
      </c>
      <c r="CN169" s="171">
        <f t="shared" si="46"/>
        <v>0</v>
      </c>
      <c r="CO169" s="171">
        <f t="shared" si="46"/>
        <v>0</v>
      </c>
      <c r="CP169" s="171">
        <f t="shared" si="46"/>
        <v>0</v>
      </c>
      <c r="CQ169" s="171">
        <f t="shared" si="46"/>
        <v>0</v>
      </c>
      <c r="CR169" s="171">
        <f t="shared" si="46"/>
        <v>0</v>
      </c>
      <c r="CS169" s="172">
        <f t="shared" si="46"/>
        <v>0</v>
      </c>
      <c r="CT169" s="11" t="s">
        <v>54</v>
      </c>
    </row>
    <row r="170" spans="1:98" hidden="1" x14ac:dyDescent="0.25">
      <c r="A170" s="97">
        <v>0</v>
      </c>
      <c r="B170" s="90">
        <f t="shared" si="37"/>
        <v>2016</v>
      </c>
      <c r="C170" s="101"/>
      <c r="D170" s="171">
        <f t="shared" si="49"/>
        <v>1</v>
      </c>
      <c r="E170" s="171">
        <f t="shared" si="49"/>
        <v>1</v>
      </c>
      <c r="F170" s="171">
        <f t="shared" si="49"/>
        <v>1</v>
      </c>
      <c r="G170" s="171">
        <f t="shared" si="49"/>
        <v>0</v>
      </c>
      <c r="H170" s="171">
        <f t="shared" si="49"/>
        <v>0</v>
      </c>
      <c r="I170" s="171">
        <f t="shared" si="49"/>
        <v>0</v>
      </c>
      <c r="J170" s="171">
        <f t="shared" si="49"/>
        <v>0</v>
      </c>
      <c r="K170" s="171">
        <f t="shared" si="49"/>
        <v>0</v>
      </c>
      <c r="L170" s="171">
        <f t="shared" si="49"/>
        <v>0</v>
      </c>
      <c r="M170" s="171">
        <f t="shared" si="49"/>
        <v>0</v>
      </c>
      <c r="N170" s="171">
        <f t="shared" si="49"/>
        <v>0</v>
      </c>
      <c r="O170" s="171">
        <f t="shared" si="49"/>
        <v>0</v>
      </c>
      <c r="P170" s="171">
        <f t="shared" si="49"/>
        <v>0</v>
      </c>
      <c r="Q170" s="171">
        <f t="shared" si="49"/>
        <v>0</v>
      </c>
      <c r="R170" s="171">
        <f t="shared" si="49"/>
        <v>0</v>
      </c>
      <c r="S170" s="171">
        <f t="shared" si="49"/>
        <v>0</v>
      </c>
      <c r="T170" s="171">
        <f t="shared" si="49"/>
        <v>0</v>
      </c>
      <c r="U170" s="171">
        <f t="shared" si="49"/>
        <v>0</v>
      </c>
      <c r="V170" s="171">
        <f t="shared" si="49"/>
        <v>0</v>
      </c>
      <c r="W170" s="171">
        <f t="shared" si="49"/>
        <v>0</v>
      </c>
      <c r="X170" s="171">
        <f t="shared" si="49"/>
        <v>0</v>
      </c>
      <c r="Y170" s="171">
        <f t="shared" si="49"/>
        <v>0</v>
      </c>
      <c r="Z170" s="171">
        <f t="shared" si="49"/>
        <v>0</v>
      </c>
      <c r="AA170" s="171">
        <f t="shared" si="49"/>
        <v>0</v>
      </c>
      <c r="AB170" s="171">
        <f t="shared" si="49"/>
        <v>0</v>
      </c>
      <c r="AC170" s="171">
        <f t="shared" si="49"/>
        <v>0</v>
      </c>
      <c r="AD170" s="171">
        <f t="shared" si="49"/>
        <v>0</v>
      </c>
      <c r="AE170" s="171">
        <f t="shared" si="49"/>
        <v>0</v>
      </c>
      <c r="AF170" s="171">
        <f t="shared" si="49"/>
        <v>0</v>
      </c>
      <c r="AG170" s="171">
        <f t="shared" si="49"/>
        <v>0</v>
      </c>
      <c r="AH170" s="171">
        <f t="shared" si="49"/>
        <v>0</v>
      </c>
      <c r="AI170" s="171">
        <f t="shared" si="49"/>
        <v>0</v>
      </c>
      <c r="AJ170" s="171">
        <f t="shared" si="47"/>
        <v>0</v>
      </c>
      <c r="AK170" s="171">
        <f t="shared" si="47"/>
        <v>0</v>
      </c>
      <c r="AL170" s="171">
        <f t="shared" si="47"/>
        <v>0</v>
      </c>
      <c r="AM170" s="171">
        <f t="shared" si="47"/>
        <v>0</v>
      </c>
      <c r="AN170" s="171">
        <f t="shared" si="47"/>
        <v>0</v>
      </c>
      <c r="AO170" s="171">
        <f t="shared" si="47"/>
        <v>0</v>
      </c>
      <c r="AP170" s="171">
        <f t="shared" si="47"/>
        <v>0</v>
      </c>
      <c r="AQ170" s="171">
        <f t="shared" si="47"/>
        <v>0</v>
      </c>
      <c r="AR170" s="171">
        <f t="shared" si="47"/>
        <v>0</v>
      </c>
      <c r="AS170" s="171">
        <f t="shared" si="47"/>
        <v>0</v>
      </c>
      <c r="AT170" s="171">
        <f t="shared" si="47"/>
        <v>0</v>
      </c>
      <c r="AU170" s="171">
        <f t="shared" si="47"/>
        <v>0</v>
      </c>
      <c r="AV170" s="171">
        <f t="shared" si="47"/>
        <v>0</v>
      </c>
      <c r="AW170" s="171">
        <f t="shared" si="47"/>
        <v>0</v>
      </c>
      <c r="AX170" s="171">
        <f t="shared" si="47"/>
        <v>0</v>
      </c>
      <c r="AY170" s="171">
        <f t="shared" si="47"/>
        <v>0</v>
      </c>
      <c r="AZ170" s="171">
        <f t="shared" si="47"/>
        <v>0</v>
      </c>
      <c r="BA170" s="171">
        <f t="shared" si="47"/>
        <v>0</v>
      </c>
      <c r="BB170" s="171">
        <f t="shared" si="47"/>
        <v>0</v>
      </c>
      <c r="BC170" s="171">
        <f t="shared" si="47"/>
        <v>0</v>
      </c>
      <c r="BD170" s="171">
        <f t="shared" si="47"/>
        <v>0</v>
      </c>
      <c r="BE170" s="171">
        <f t="shared" si="47"/>
        <v>0</v>
      </c>
      <c r="BF170" s="171">
        <f t="shared" si="47"/>
        <v>0</v>
      </c>
      <c r="BG170" s="171">
        <f t="shared" si="47"/>
        <v>0</v>
      </c>
      <c r="BH170" s="171">
        <f t="shared" si="47"/>
        <v>0</v>
      </c>
      <c r="BI170" s="171">
        <f t="shared" si="47"/>
        <v>0</v>
      </c>
      <c r="BJ170" s="171">
        <f t="shared" si="47"/>
        <v>0</v>
      </c>
      <c r="BK170" s="171">
        <f t="shared" si="47"/>
        <v>0</v>
      </c>
      <c r="BL170" s="171">
        <f t="shared" si="47"/>
        <v>0</v>
      </c>
      <c r="BM170" s="171">
        <f t="shared" si="47"/>
        <v>0</v>
      </c>
      <c r="BN170" s="171">
        <f t="shared" si="47"/>
        <v>0</v>
      </c>
      <c r="BO170" s="171">
        <f t="shared" ref="BO170" si="50">IF(BO143="",1,0)*IF(BO116="",1,0)*SUM(BO62)*IF(BO89="",0,1)</f>
        <v>0</v>
      </c>
      <c r="BP170" s="171">
        <f t="shared" si="46"/>
        <v>0</v>
      </c>
      <c r="BQ170" s="171">
        <f t="shared" si="46"/>
        <v>0</v>
      </c>
      <c r="BR170" s="171">
        <f t="shared" si="46"/>
        <v>0</v>
      </c>
      <c r="BS170" s="171">
        <f t="shared" si="46"/>
        <v>0</v>
      </c>
      <c r="BT170" s="171">
        <f t="shared" si="46"/>
        <v>0</v>
      </c>
      <c r="BU170" s="171">
        <f t="shared" si="46"/>
        <v>0</v>
      </c>
      <c r="BV170" s="171">
        <f t="shared" si="46"/>
        <v>0</v>
      </c>
      <c r="BW170" s="171">
        <f t="shared" si="46"/>
        <v>0</v>
      </c>
      <c r="BX170" s="171">
        <f t="shared" si="46"/>
        <v>0</v>
      </c>
      <c r="BY170" s="171">
        <f t="shared" si="46"/>
        <v>0</v>
      </c>
      <c r="BZ170" s="171">
        <f t="shared" si="46"/>
        <v>0</v>
      </c>
      <c r="CA170" s="171">
        <f t="shared" si="46"/>
        <v>0</v>
      </c>
      <c r="CB170" s="171">
        <f t="shared" si="46"/>
        <v>0</v>
      </c>
      <c r="CC170" s="171">
        <f t="shared" si="46"/>
        <v>0</v>
      </c>
      <c r="CD170" s="171">
        <f t="shared" ref="CD170:CS170" si="51">IF(CD143="",1,0)*IF(CD116="",1,0)*SUM(CD62)*IF(CD89="",0,1)</f>
        <v>0</v>
      </c>
      <c r="CE170" s="171">
        <f t="shared" si="51"/>
        <v>0</v>
      </c>
      <c r="CF170" s="171">
        <f t="shared" si="51"/>
        <v>0</v>
      </c>
      <c r="CG170" s="171">
        <f t="shared" si="51"/>
        <v>0</v>
      </c>
      <c r="CH170" s="171">
        <f t="shared" si="51"/>
        <v>0</v>
      </c>
      <c r="CI170" s="171">
        <f t="shared" si="51"/>
        <v>0</v>
      </c>
      <c r="CJ170" s="171">
        <f t="shared" si="51"/>
        <v>0</v>
      </c>
      <c r="CK170" s="171">
        <f t="shared" si="51"/>
        <v>0</v>
      </c>
      <c r="CL170" s="171">
        <f t="shared" si="51"/>
        <v>0</v>
      </c>
      <c r="CM170" s="171">
        <f t="shared" si="51"/>
        <v>0</v>
      </c>
      <c r="CN170" s="171">
        <f t="shared" si="51"/>
        <v>0</v>
      </c>
      <c r="CO170" s="171">
        <f t="shared" si="51"/>
        <v>0</v>
      </c>
      <c r="CP170" s="171">
        <f t="shared" si="51"/>
        <v>0</v>
      </c>
      <c r="CQ170" s="171">
        <f t="shared" si="51"/>
        <v>0</v>
      </c>
      <c r="CR170" s="171">
        <f t="shared" si="51"/>
        <v>0</v>
      </c>
      <c r="CS170" s="172">
        <f t="shared" si="51"/>
        <v>0</v>
      </c>
      <c r="CT170" s="11" t="s">
        <v>54</v>
      </c>
    </row>
    <row r="171" spans="1:98" hidden="1" x14ac:dyDescent="0.25">
      <c r="A171" s="97">
        <v>0</v>
      </c>
      <c r="B171" s="90">
        <f t="shared" si="37"/>
        <v>2017</v>
      </c>
      <c r="C171" s="101"/>
      <c r="D171" s="171">
        <f t="shared" si="49"/>
        <v>0</v>
      </c>
      <c r="E171" s="171">
        <f t="shared" si="49"/>
        <v>1</v>
      </c>
      <c r="F171" s="171">
        <f t="shared" si="49"/>
        <v>0</v>
      </c>
      <c r="G171" s="171">
        <f t="shared" si="49"/>
        <v>0</v>
      </c>
      <c r="H171" s="171">
        <f t="shared" si="49"/>
        <v>0</v>
      </c>
      <c r="I171" s="171">
        <f t="shared" si="49"/>
        <v>0</v>
      </c>
      <c r="J171" s="171">
        <f t="shared" si="49"/>
        <v>0</v>
      </c>
      <c r="K171" s="171">
        <f t="shared" si="49"/>
        <v>0</v>
      </c>
      <c r="L171" s="171">
        <f t="shared" si="49"/>
        <v>0</v>
      </c>
      <c r="M171" s="171">
        <f t="shared" si="49"/>
        <v>0</v>
      </c>
      <c r="N171" s="171">
        <f t="shared" si="49"/>
        <v>0</v>
      </c>
      <c r="O171" s="171">
        <f t="shared" si="49"/>
        <v>0</v>
      </c>
      <c r="P171" s="171">
        <f t="shared" si="49"/>
        <v>0</v>
      </c>
      <c r="Q171" s="171">
        <f t="shared" si="49"/>
        <v>0</v>
      </c>
      <c r="R171" s="171">
        <f t="shared" si="49"/>
        <v>0</v>
      </c>
      <c r="S171" s="171">
        <f t="shared" si="49"/>
        <v>0</v>
      </c>
      <c r="T171" s="171">
        <f t="shared" si="49"/>
        <v>0</v>
      </c>
      <c r="U171" s="171">
        <f t="shared" si="49"/>
        <v>0</v>
      </c>
      <c r="V171" s="171">
        <f t="shared" si="49"/>
        <v>0</v>
      </c>
      <c r="W171" s="171">
        <f t="shared" si="49"/>
        <v>0</v>
      </c>
      <c r="X171" s="171">
        <f t="shared" si="49"/>
        <v>0</v>
      </c>
      <c r="Y171" s="171">
        <f t="shared" si="49"/>
        <v>0</v>
      </c>
      <c r="Z171" s="171">
        <f t="shared" si="49"/>
        <v>0</v>
      </c>
      <c r="AA171" s="171">
        <f t="shared" si="49"/>
        <v>0</v>
      </c>
      <c r="AB171" s="171">
        <f t="shared" si="49"/>
        <v>0</v>
      </c>
      <c r="AC171" s="171">
        <f t="shared" si="49"/>
        <v>0</v>
      </c>
      <c r="AD171" s="171">
        <f t="shared" si="49"/>
        <v>0</v>
      </c>
      <c r="AE171" s="171">
        <f t="shared" si="49"/>
        <v>0</v>
      </c>
      <c r="AF171" s="171">
        <f t="shared" si="49"/>
        <v>0</v>
      </c>
      <c r="AG171" s="171">
        <f t="shared" si="49"/>
        <v>0</v>
      </c>
      <c r="AH171" s="171">
        <f t="shared" si="49"/>
        <v>0</v>
      </c>
      <c r="AI171" s="171">
        <f t="shared" si="49"/>
        <v>0</v>
      </c>
      <c r="AJ171" s="171">
        <f t="shared" ref="AJ171:CS173" si="52">IF(AJ144="",1,0)*IF(AJ117="",1,0)*SUM(AJ63)*IF(AJ90="",0,1)</f>
        <v>0</v>
      </c>
      <c r="AK171" s="171">
        <f t="shared" si="52"/>
        <v>0</v>
      </c>
      <c r="AL171" s="171">
        <f t="shared" si="52"/>
        <v>0</v>
      </c>
      <c r="AM171" s="171">
        <f t="shared" si="52"/>
        <v>0</v>
      </c>
      <c r="AN171" s="171">
        <f t="shared" si="52"/>
        <v>0</v>
      </c>
      <c r="AO171" s="171">
        <f t="shared" si="52"/>
        <v>0</v>
      </c>
      <c r="AP171" s="171">
        <f t="shared" si="52"/>
        <v>0</v>
      </c>
      <c r="AQ171" s="171">
        <f t="shared" si="52"/>
        <v>0</v>
      </c>
      <c r="AR171" s="171">
        <f t="shared" si="52"/>
        <v>0</v>
      </c>
      <c r="AS171" s="171">
        <f t="shared" si="52"/>
        <v>0</v>
      </c>
      <c r="AT171" s="171">
        <f t="shared" si="52"/>
        <v>0</v>
      </c>
      <c r="AU171" s="171">
        <f t="shared" si="52"/>
        <v>0</v>
      </c>
      <c r="AV171" s="171">
        <f t="shared" si="52"/>
        <v>0</v>
      </c>
      <c r="AW171" s="171">
        <f t="shared" si="52"/>
        <v>0</v>
      </c>
      <c r="AX171" s="171">
        <f t="shared" si="52"/>
        <v>0</v>
      </c>
      <c r="AY171" s="171">
        <f t="shared" si="52"/>
        <v>0</v>
      </c>
      <c r="AZ171" s="171">
        <f t="shared" si="52"/>
        <v>0</v>
      </c>
      <c r="BA171" s="171">
        <f t="shared" si="52"/>
        <v>0</v>
      </c>
      <c r="BB171" s="171">
        <f t="shared" si="52"/>
        <v>0</v>
      </c>
      <c r="BC171" s="171">
        <f t="shared" si="52"/>
        <v>0</v>
      </c>
      <c r="BD171" s="171">
        <f t="shared" si="52"/>
        <v>0</v>
      </c>
      <c r="BE171" s="171">
        <f t="shared" si="52"/>
        <v>0</v>
      </c>
      <c r="BF171" s="171">
        <f t="shared" si="52"/>
        <v>0</v>
      </c>
      <c r="BG171" s="171">
        <f t="shared" si="52"/>
        <v>0</v>
      </c>
      <c r="BH171" s="171">
        <f t="shared" si="52"/>
        <v>0</v>
      </c>
      <c r="BI171" s="171">
        <f t="shared" si="52"/>
        <v>0</v>
      </c>
      <c r="BJ171" s="171">
        <f t="shared" si="52"/>
        <v>0</v>
      </c>
      <c r="BK171" s="171">
        <f t="shared" si="52"/>
        <v>0</v>
      </c>
      <c r="BL171" s="171">
        <f t="shared" si="52"/>
        <v>0</v>
      </c>
      <c r="BM171" s="171">
        <f t="shared" si="52"/>
        <v>0</v>
      </c>
      <c r="BN171" s="171">
        <f t="shared" si="52"/>
        <v>0</v>
      </c>
      <c r="BO171" s="171">
        <f t="shared" si="52"/>
        <v>0</v>
      </c>
      <c r="BP171" s="171">
        <f t="shared" si="52"/>
        <v>0</v>
      </c>
      <c r="BQ171" s="171">
        <f t="shared" si="52"/>
        <v>0</v>
      </c>
      <c r="BR171" s="171">
        <f t="shared" si="52"/>
        <v>0</v>
      </c>
      <c r="BS171" s="171">
        <f t="shared" si="52"/>
        <v>0</v>
      </c>
      <c r="BT171" s="171">
        <f t="shared" si="52"/>
        <v>0</v>
      </c>
      <c r="BU171" s="171">
        <f t="shared" si="52"/>
        <v>0</v>
      </c>
      <c r="BV171" s="171">
        <f t="shared" si="52"/>
        <v>0</v>
      </c>
      <c r="BW171" s="171">
        <f t="shared" si="52"/>
        <v>0</v>
      </c>
      <c r="BX171" s="171">
        <f t="shared" si="52"/>
        <v>0</v>
      </c>
      <c r="BY171" s="171">
        <f t="shared" si="52"/>
        <v>0</v>
      </c>
      <c r="BZ171" s="171">
        <f t="shared" si="52"/>
        <v>0</v>
      </c>
      <c r="CA171" s="171">
        <f t="shared" si="52"/>
        <v>0</v>
      </c>
      <c r="CB171" s="171">
        <f t="shared" si="52"/>
        <v>0</v>
      </c>
      <c r="CC171" s="171">
        <f t="shared" si="52"/>
        <v>0</v>
      </c>
      <c r="CD171" s="171">
        <f t="shared" si="52"/>
        <v>0</v>
      </c>
      <c r="CE171" s="171">
        <f t="shared" si="52"/>
        <v>0</v>
      </c>
      <c r="CF171" s="171">
        <f t="shared" si="52"/>
        <v>0</v>
      </c>
      <c r="CG171" s="171">
        <f t="shared" si="52"/>
        <v>0</v>
      </c>
      <c r="CH171" s="171">
        <f t="shared" si="52"/>
        <v>0</v>
      </c>
      <c r="CI171" s="171">
        <f t="shared" si="52"/>
        <v>0</v>
      </c>
      <c r="CJ171" s="171">
        <f t="shared" si="52"/>
        <v>0</v>
      </c>
      <c r="CK171" s="171">
        <f t="shared" si="52"/>
        <v>0</v>
      </c>
      <c r="CL171" s="171">
        <f t="shared" si="52"/>
        <v>0</v>
      </c>
      <c r="CM171" s="171">
        <f t="shared" si="52"/>
        <v>0</v>
      </c>
      <c r="CN171" s="171">
        <f t="shared" si="52"/>
        <v>0</v>
      </c>
      <c r="CO171" s="171">
        <f t="shared" si="52"/>
        <v>0</v>
      </c>
      <c r="CP171" s="171">
        <f t="shared" si="52"/>
        <v>0</v>
      </c>
      <c r="CQ171" s="171">
        <f t="shared" si="52"/>
        <v>0</v>
      </c>
      <c r="CR171" s="171">
        <f t="shared" si="52"/>
        <v>0</v>
      </c>
      <c r="CS171" s="172">
        <f t="shared" si="52"/>
        <v>0</v>
      </c>
      <c r="CT171" s="11" t="s">
        <v>54</v>
      </c>
    </row>
    <row r="172" spans="1:98" hidden="1" x14ac:dyDescent="0.25">
      <c r="A172" s="97">
        <v>0</v>
      </c>
      <c r="B172" s="90">
        <f t="shared" si="37"/>
        <v>2018</v>
      </c>
      <c r="C172" s="101"/>
      <c r="D172" s="171">
        <f t="shared" si="49"/>
        <v>1</v>
      </c>
      <c r="E172" s="171">
        <f t="shared" si="49"/>
        <v>0</v>
      </c>
      <c r="F172" s="171">
        <f t="shared" si="49"/>
        <v>0</v>
      </c>
      <c r="G172" s="171">
        <f t="shared" si="49"/>
        <v>0</v>
      </c>
      <c r="H172" s="171">
        <f t="shared" si="49"/>
        <v>0</v>
      </c>
      <c r="I172" s="171">
        <f t="shared" si="49"/>
        <v>0</v>
      </c>
      <c r="J172" s="171">
        <f t="shared" si="49"/>
        <v>0</v>
      </c>
      <c r="K172" s="171">
        <f t="shared" si="49"/>
        <v>0</v>
      </c>
      <c r="L172" s="171">
        <f t="shared" si="49"/>
        <v>0</v>
      </c>
      <c r="M172" s="171">
        <f t="shared" si="49"/>
        <v>0</v>
      </c>
      <c r="N172" s="171">
        <f t="shared" si="49"/>
        <v>0</v>
      </c>
      <c r="O172" s="171">
        <f t="shared" si="49"/>
        <v>0</v>
      </c>
      <c r="P172" s="171">
        <f t="shared" si="49"/>
        <v>0</v>
      </c>
      <c r="Q172" s="171">
        <f t="shared" si="49"/>
        <v>0</v>
      </c>
      <c r="R172" s="171">
        <f t="shared" si="49"/>
        <v>0</v>
      </c>
      <c r="S172" s="171">
        <f t="shared" si="49"/>
        <v>0</v>
      </c>
      <c r="T172" s="171">
        <f t="shared" si="49"/>
        <v>0</v>
      </c>
      <c r="U172" s="171">
        <f t="shared" si="49"/>
        <v>0</v>
      </c>
      <c r="V172" s="171">
        <f t="shared" si="49"/>
        <v>0</v>
      </c>
      <c r="W172" s="171">
        <f t="shared" si="49"/>
        <v>0</v>
      </c>
      <c r="X172" s="171">
        <f t="shared" si="49"/>
        <v>0</v>
      </c>
      <c r="Y172" s="171">
        <f t="shared" si="49"/>
        <v>0</v>
      </c>
      <c r="Z172" s="171">
        <f t="shared" si="49"/>
        <v>0</v>
      </c>
      <c r="AA172" s="171">
        <f t="shared" si="49"/>
        <v>0</v>
      </c>
      <c r="AB172" s="171">
        <f t="shared" si="49"/>
        <v>0</v>
      </c>
      <c r="AC172" s="171">
        <f t="shared" si="49"/>
        <v>0</v>
      </c>
      <c r="AD172" s="171">
        <f t="shared" si="49"/>
        <v>0</v>
      </c>
      <c r="AE172" s="171">
        <f t="shared" si="49"/>
        <v>0</v>
      </c>
      <c r="AF172" s="171">
        <f t="shared" si="49"/>
        <v>0</v>
      </c>
      <c r="AG172" s="171">
        <f t="shared" si="49"/>
        <v>0</v>
      </c>
      <c r="AH172" s="171">
        <f t="shared" si="49"/>
        <v>0</v>
      </c>
      <c r="AI172" s="171">
        <f t="shared" si="49"/>
        <v>0</v>
      </c>
      <c r="AJ172" s="171">
        <f t="shared" si="52"/>
        <v>0</v>
      </c>
      <c r="AK172" s="171">
        <f t="shared" si="52"/>
        <v>0</v>
      </c>
      <c r="AL172" s="171">
        <f t="shared" si="52"/>
        <v>0</v>
      </c>
      <c r="AM172" s="171">
        <f t="shared" si="52"/>
        <v>0</v>
      </c>
      <c r="AN172" s="171">
        <f t="shared" si="52"/>
        <v>0</v>
      </c>
      <c r="AO172" s="171">
        <f t="shared" si="52"/>
        <v>0</v>
      </c>
      <c r="AP172" s="171">
        <f t="shared" si="52"/>
        <v>0</v>
      </c>
      <c r="AQ172" s="171">
        <f t="shared" si="52"/>
        <v>0</v>
      </c>
      <c r="AR172" s="171">
        <f t="shared" si="52"/>
        <v>0</v>
      </c>
      <c r="AS172" s="171">
        <f t="shared" si="52"/>
        <v>0</v>
      </c>
      <c r="AT172" s="171">
        <f t="shared" si="52"/>
        <v>0</v>
      </c>
      <c r="AU172" s="171">
        <f t="shared" si="52"/>
        <v>0</v>
      </c>
      <c r="AV172" s="171">
        <f t="shared" si="52"/>
        <v>0</v>
      </c>
      <c r="AW172" s="171">
        <f t="shared" si="52"/>
        <v>0</v>
      </c>
      <c r="AX172" s="171">
        <f t="shared" si="52"/>
        <v>0</v>
      </c>
      <c r="AY172" s="171">
        <f t="shared" si="52"/>
        <v>0</v>
      </c>
      <c r="AZ172" s="171">
        <f t="shared" si="52"/>
        <v>0</v>
      </c>
      <c r="BA172" s="171">
        <f t="shared" si="52"/>
        <v>0</v>
      </c>
      <c r="BB172" s="171">
        <f t="shared" si="52"/>
        <v>0</v>
      </c>
      <c r="BC172" s="171">
        <f t="shared" si="52"/>
        <v>0</v>
      </c>
      <c r="BD172" s="171">
        <f t="shared" si="52"/>
        <v>0</v>
      </c>
      <c r="BE172" s="171">
        <f t="shared" si="52"/>
        <v>0</v>
      </c>
      <c r="BF172" s="171">
        <f t="shared" si="52"/>
        <v>0</v>
      </c>
      <c r="BG172" s="171">
        <f t="shared" si="52"/>
        <v>0</v>
      </c>
      <c r="BH172" s="171">
        <f t="shared" si="52"/>
        <v>0</v>
      </c>
      <c r="BI172" s="171">
        <f t="shared" si="52"/>
        <v>0</v>
      </c>
      <c r="BJ172" s="171">
        <f t="shared" si="52"/>
        <v>0</v>
      </c>
      <c r="BK172" s="171">
        <f t="shared" si="52"/>
        <v>0</v>
      </c>
      <c r="BL172" s="171">
        <f t="shared" si="52"/>
        <v>0</v>
      </c>
      <c r="BM172" s="171">
        <f t="shared" si="52"/>
        <v>0</v>
      </c>
      <c r="BN172" s="171">
        <f t="shared" si="52"/>
        <v>0</v>
      </c>
      <c r="BO172" s="171">
        <f t="shared" si="52"/>
        <v>0</v>
      </c>
      <c r="BP172" s="171">
        <f t="shared" si="52"/>
        <v>0</v>
      </c>
      <c r="BQ172" s="171">
        <f t="shared" si="52"/>
        <v>0</v>
      </c>
      <c r="BR172" s="171">
        <f t="shared" si="52"/>
        <v>0</v>
      </c>
      <c r="BS172" s="171">
        <f t="shared" si="52"/>
        <v>0</v>
      </c>
      <c r="BT172" s="171">
        <f t="shared" si="52"/>
        <v>0</v>
      </c>
      <c r="BU172" s="171">
        <f t="shared" si="52"/>
        <v>0</v>
      </c>
      <c r="BV172" s="171">
        <f t="shared" si="52"/>
        <v>0</v>
      </c>
      <c r="BW172" s="171">
        <f t="shared" si="52"/>
        <v>0</v>
      </c>
      <c r="BX172" s="171">
        <f t="shared" si="52"/>
        <v>0</v>
      </c>
      <c r="BY172" s="171">
        <f t="shared" si="52"/>
        <v>0</v>
      </c>
      <c r="BZ172" s="171">
        <f t="shared" si="52"/>
        <v>0</v>
      </c>
      <c r="CA172" s="171">
        <f t="shared" si="52"/>
        <v>0</v>
      </c>
      <c r="CB172" s="171">
        <f t="shared" si="52"/>
        <v>0</v>
      </c>
      <c r="CC172" s="171">
        <f t="shared" si="52"/>
        <v>0</v>
      </c>
      <c r="CD172" s="171">
        <f t="shared" si="52"/>
        <v>0</v>
      </c>
      <c r="CE172" s="171">
        <f t="shared" si="52"/>
        <v>0</v>
      </c>
      <c r="CF172" s="171">
        <f t="shared" si="52"/>
        <v>0</v>
      </c>
      <c r="CG172" s="171">
        <f t="shared" si="52"/>
        <v>0</v>
      </c>
      <c r="CH172" s="171">
        <f t="shared" si="52"/>
        <v>0</v>
      </c>
      <c r="CI172" s="171">
        <f t="shared" si="52"/>
        <v>0</v>
      </c>
      <c r="CJ172" s="171">
        <f t="shared" si="52"/>
        <v>0</v>
      </c>
      <c r="CK172" s="171">
        <f t="shared" si="52"/>
        <v>0</v>
      </c>
      <c r="CL172" s="171">
        <f t="shared" si="52"/>
        <v>0</v>
      </c>
      <c r="CM172" s="171">
        <f t="shared" si="52"/>
        <v>0</v>
      </c>
      <c r="CN172" s="171">
        <f t="shared" si="52"/>
        <v>0</v>
      </c>
      <c r="CO172" s="171">
        <f t="shared" si="52"/>
        <v>0</v>
      </c>
      <c r="CP172" s="171">
        <f t="shared" si="52"/>
        <v>0</v>
      </c>
      <c r="CQ172" s="171">
        <f t="shared" si="52"/>
        <v>0</v>
      </c>
      <c r="CR172" s="171">
        <f t="shared" si="52"/>
        <v>0</v>
      </c>
      <c r="CS172" s="172">
        <f t="shared" si="52"/>
        <v>0</v>
      </c>
      <c r="CT172" s="11" t="s">
        <v>54</v>
      </c>
    </row>
    <row r="173" spans="1:98" hidden="1" x14ac:dyDescent="0.25">
      <c r="A173" s="97">
        <v>0</v>
      </c>
      <c r="B173" s="91">
        <f t="shared" si="37"/>
        <v>2019</v>
      </c>
      <c r="C173" s="168"/>
      <c r="D173" s="173">
        <f t="shared" si="49"/>
        <v>0</v>
      </c>
      <c r="E173" s="173">
        <f t="shared" si="49"/>
        <v>0</v>
      </c>
      <c r="F173" s="173">
        <f t="shared" si="49"/>
        <v>0</v>
      </c>
      <c r="G173" s="173">
        <f t="shared" si="49"/>
        <v>0</v>
      </c>
      <c r="H173" s="173">
        <f t="shared" si="49"/>
        <v>0</v>
      </c>
      <c r="I173" s="173">
        <f t="shared" si="49"/>
        <v>0</v>
      </c>
      <c r="J173" s="173">
        <f t="shared" si="49"/>
        <v>0</v>
      </c>
      <c r="K173" s="173">
        <f t="shared" si="49"/>
        <v>0</v>
      </c>
      <c r="L173" s="173">
        <f t="shared" si="49"/>
        <v>0</v>
      </c>
      <c r="M173" s="173">
        <f t="shared" si="49"/>
        <v>0</v>
      </c>
      <c r="N173" s="173">
        <f t="shared" si="49"/>
        <v>0</v>
      </c>
      <c r="O173" s="173">
        <f t="shared" si="49"/>
        <v>0</v>
      </c>
      <c r="P173" s="173">
        <f t="shared" si="49"/>
        <v>0</v>
      </c>
      <c r="Q173" s="173">
        <f t="shared" si="49"/>
        <v>0</v>
      </c>
      <c r="R173" s="173">
        <f t="shared" si="49"/>
        <v>0</v>
      </c>
      <c r="S173" s="173">
        <f t="shared" si="49"/>
        <v>0</v>
      </c>
      <c r="T173" s="173">
        <f t="shared" si="49"/>
        <v>0</v>
      </c>
      <c r="U173" s="173">
        <f t="shared" si="49"/>
        <v>0</v>
      </c>
      <c r="V173" s="173">
        <f t="shared" si="49"/>
        <v>0</v>
      </c>
      <c r="W173" s="173">
        <f t="shared" si="49"/>
        <v>0</v>
      </c>
      <c r="X173" s="173">
        <f t="shared" si="49"/>
        <v>0</v>
      </c>
      <c r="Y173" s="173">
        <f t="shared" si="49"/>
        <v>0</v>
      </c>
      <c r="Z173" s="173">
        <f t="shared" si="49"/>
        <v>0</v>
      </c>
      <c r="AA173" s="173">
        <f t="shared" si="49"/>
        <v>0</v>
      </c>
      <c r="AB173" s="173">
        <f t="shared" si="49"/>
        <v>0</v>
      </c>
      <c r="AC173" s="173">
        <f t="shared" si="49"/>
        <v>0</v>
      </c>
      <c r="AD173" s="173">
        <f t="shared" si="49"/>
        <v>0</v>
      </c>
      <c r="AE173" s="173">
        <f t="shared" si="49"/>
        <v>0</v>
      </c>
      <c r="AF173" s="173">
        <f t="shared" si="49"/>
        <v>0</v>
      </c>
      <c r="AG173" s="173">
        <f t="shared" si="49"/>
        <v>0</v>
      </c>
      <c r="AH173" s="173">
        <f t="shared" si="49"/>
        <v>0</v>
      </c>
      <c r="AI173" s="173">
        <f t="shared" si="49"/>
        <v>0</v>
      </c>
      <c r="AJ173" s="173">
        <f t="shared" si="52"/>
        <v>0</v>
      </c>
      <c r="AK173" s="173">
        <f t="shared" si="52"/>
        <v>0</v>
      </c>
      <c r="AL173" s="173">
        <f t="shared" si="52"/>
        <v>0</v>
      </c>
      <c r="AM173" s="173">
        <f t="shared" si="52"/>
        <v>0</v>
      </c>
      <c r="AN173" s="173">
        <f t="shared" si="52"/>
        <v>0</v>
      </c>
      <c r="AO173" s="173">
        <f t="shared" si="52"/>
        <v>0</v>
      </c>
      <c r="AP173" s="173">
        <f t="shared" si="52"/>
        <v>0</v>
      </c>
      <c r="AQ173" s="173">
        <f t="shared" si="52"/>
        <v>0</v>
      </c>
      <c r="AR173" s="173">
        <f t="shared" si="52"/>
        <v>0</v>
      </c>
      <c r="AS173" s="173">
        <f t="shared" si="52"/>
        <v>0</v>
      </c>
      <c r="AT173" s="173">
        <f t="shared" si="52"/>
        <v>0</v>
      </c>
      <c r="AU173" s="173">
        <f t="shared" si="52"/>
        <v>0</v>
      </c>
      <c r="AV173" s="173">
        <f t="shared" si="52"/>
        <v>0</v>
      </c>
      <c r="AW173" s="173">
        <f t="shared" si="52"/>
        <v>0</v>
      </c>
      <c r="AX173" s="173">
        <f t="shared" si="52"/>
        <v>0</v>
      </c>
      <c r="AY173" s="173">
        <f t="shared" si="52"/>
        <v>0</v>
      </c>
      <c r="AZ173" s="173">
        <f t="shared" si="52"/>
        <v>0</v>
      </c>
      <c r="BA173" s="173">
        <f t="shared" si="52"/>
        <v>0</v>
      </c>
      <c r="BB173" s="173">
        <f t="shared" si="52"/>
        <v>0</v>
      </c>
      <c r="BC173" s="173">
        <f t="shared" si="52"/>
        <v>0</v>
      </c>
      <c r="BD173" s="173">
        <f t="shared" si="52"/>
        <v>0</v>
      </c>
      <c r="BE173" s="173">
        <f t="shared" si="52"/>
        <v>0</v>
      </c>
      <c r="BF173" s="173">
        <f t="shared" si="52"/>
        <v>0</v>
      </c>
      <c r="BG173" s="173">
        <f t="shared" si="52"/>
        <v>0</v>
      </c>
      <c r="BH173" s="173">
        <f t="shared" si="52"/>
        <v>0</v>
      </c>
      <c r="BI173" s="173">
        <f t="shared" si="52"/>
        <v>0</v>
      </c>
      <c r="BJ173" s="173">
        <f t="shared" si="52"/>
        <v>0</v>
      </c>
      <c r="BK173" s="173">
        <f t="shared" si="52"/>
        <v>0</v>
      </c>
      <c r="BL173" s="173">
        <f t="shared" si="52"/>
        <v>0</v>
      </c>
      <c r="BM173" s="173">
        <f t="shared" si="52"/>
        <v>0</v>
      </c>
      <c r="BN173" s="173">
        <f t="shared" si="52"/>
        <v>0</v>
      </c>
      <c r="BO173" s="173">
        <f t="shared" si="52"/>
        <v>0</v>
      </c>
      <c r="BP173" s="173">
        <f t="shared" si="52"/>
        <v>0</v>
      </c>
      <c r="BQ173" s="173">
        <f t="shared" si="52"/>
        <v>0</v>
      </c>
      <c r="BR173" s="173">
        <f t="shared" si="52"/>
        <v>0</v>
      </c>
      <c r="BS173" s="173">
        <f t="shared" si="52"/>
        <v>0</v>
      </c>
      <c r="BT173" s="173">
        <f t="shared" si="52"/>
        <v>0</v>
      </c>
      <c r="BU173" s="173">
        <f t="shared" si="52"/>
        <v>0</v>
      </c>
      <c r="BV173" s="173">
        <f t="shared" si="52"/>
        <v>0</v>
      </c>
      <c r="BW173" s="173">
        <f t="shared" si="52"/>
        <v>0</v>
      </c>
      <c r="BX173" s="173">
        <f t="shared" si="52"/>
        <v>0</v>
      </c>
      <c r="BY173" s="173">
        <f t="shared" si="52"/>
        <v>0</v>
      </c>
      <c r="BZ173" s="173">
        <f t="shared" si="52"/>
        <v>0</v>
      </c>
      <c r="CA173" s="173">
        <f t="shared" si="52"/>
        <v>0</v>
      </c>
      <c r="CB173" s="173">
        <f t="shared" si="52"/>
        <v>0</v>
      </c>
      <c r="CC173" s="173">
        <f t="shared" si="52"/>
        <v>0</v>
      </c>
      <c r="CD173" s="173">
        <f t="shared" si="52"/>
        <v>0</v>
      </c>
      <c r="CE173" s="173">
        <f t="shared" si="52"/>
        <v>0</v>
      </c>
      <c r="CF173" s="173">
        <f t="shared" si="52"/>
        <v>0</v>
      </c>
      <c r="CG173" s="173">
        <f t="shared" si="52"/>
        <v>0</v>
      </c>
      <c r="CH173" s="173">
        <f t="shared" si="52"/>
        <v>0</v>
      </c>
      <c r="CI173" s="173">
        <f t="shared" si="52"/>
        <v>0</v>
      </c>
      <c r="CJ173" s="173">
        <f t="shared" si="52"/>
        <v>0</v>
      </c>
      <c r="CK173" s="173">
        <f t="shared" si="52"/>
        <v>0</v>
      </c>
      <c r="CL173" s="173">
        <f t="shared" si="52"/>
        <v>0</v>
      </c>
      <c r="CM173" s="173">
        <f t="shared" si="52"/>
        <v>0</v>
      </c>
      <c r="CN173" s="173">
        <f t="shared" si="52"/>
        <v>0</v>
      </c>
      <c r="CO173" s="173">
        <f t="shared" si="52"/>
        <v>0</v>
      </c>
      <c r="CP173" s="173">
        <f t="shared" si="52"/>
        <v>0</v>
      </c>
      <c r="CQ173" s="173">
        <f t="shared" si="52"/>
        <v>0</v>
      </c>
      <c r="CR173" s="173">
        <f t="shared" si="52"/>
        <v>0</v>
      </c>
      <c r="CS173" s="174">
        <f t="shared" si="52"/>
        <v>0</v>
      </c>
      <c r="CT173" s="11" t="s">
        <v>54</v>
      </c>
    </row>
    <row r="174" spans="1:98" hidden="1" x14ac:dyDescent="0.25">
      <c r="A174" s="97">
        <v>0</v>
      </c>
      <c r="B174" s="25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</row>
    <row r="175" spans="1:98" hidden="1" x14ac:dyDescent="0.25">
      <c r="A175" s="97">
        <v>0</v>
      </c>
      <c r="B175" s="25" t="s">
        <v>52</v>
      </c>
      <c r="D175" s="42">
        <f>SUM(D42:D65)+$D$8-MIN($B$42:$B$65)</f>
        <v>23</v>
      </c>
      <c r="E175" s="42">
        <f t="shared" ref="E175:BP175" si="53">SUM(E42:E65)+$D$8-MIN($B$42:$B$65)</f>
        <v>22</v>
      </c>
      <c r="F175" s="42">
        <f t="shared" si="53"/>
        <v>21</v>
      </c>
      <c r="G175" s="42">
        <f t="shared" si="53"/>
        <v>20</v>
      </c>
      <c r="H175" s="42">
        <f t="shared" si="53"/>
        <v>19</v>
      </c>
      <c r="I175" s="42">
        <f t="shared" si="53"/>
        <v>18</v>
      </c>
      <c r="J175" s="42">
        <f t="shared" si="53"/>
        <v>17</v>
      </c>
      <c r="K175" s="42">
        <f t="shared" si="53"/>
        <v>16</v>
      </c>
      <c r="L175" s="42">
        <f t="shared" si="53"/>
        <v>15</v>
      </c>
      <c r="M175" s="42">
        <f t="shared" si="53"/>
        <v>14</v>
      </c>
      <c r="N175" s="42">
        <f t="shared" si="53"/>
        <v>14</v>
      </c>
      <c r="O175" s="42">
        <f t="shared" si="53"/>
        <v>14</v>
      </c>
      <c r="P175" s="42">
        <f t="shared" si="53"/>
        <v>14</v>
      </c>
      <c r="Q175" s="42">
        <f t="shared" si="53"/>
        <v>14</v>
      </c>
      <c r="R175" s="42">
        <f t="shared" si="53"/>
        <v>14</v>
      </c>
      <c r="S175" s="42">
        <f t="shared" si="53"/>
        <v>14</v>
      </c>
      <c r="T175" s="42">
        <f t="shared" si="53"/>
        <v>14</v>
      </c>
      <c r="U175" s="42">
        <f t="shared" si="53"/>
        <v>14</v>
      </c>
      <c r="V175" s="42">
        <f t="shared" si="53"/>
        <v>14</v>
      </c>
      <c r="W175" s="42">
        <f t="shared" si="53"/>
        <v>14</v>
      </c>
      <c r="X175" s="42">
        <f t="shared" si="53"/>
        <v>14</v>
      </c>
      <c r="Y175" s="42">
        <f t="shared" si="53"/>
        <v>14</v>
      </c>
      <c r="Z175" s="42">
        <f t="shared" si="53"/>
        <v>14</v>
      </c>
      <c r="AA175" s="42">
        <f t="shared" si="53"/>
        <v>14</v>
      </c>
      <c r="AB175" s="42">
        <f t="shared" si="53"/>
        <v>14</v>
      </c>
      <c r="AC175" s="42">
        <f t="shared" si="53"/>
        <v>14</v>
      </c>
      <c r="AD175" s="42">
        <f t="shared" si="53"/>
        <v>14</v>
      </c>
      <c r="AE175" s="42">
        <f t="shared" si="53"/>
        <v>14</v>
      </c>
      <c r="AF175" s="42">
        <f t="shared" si="53"/>
        <v>14</v>
      </c>
      <c r="AG175" s="42">
        <f t="shared" si="53"/>
        <v>14</v>
      </c>
      <c r="AH175" s="42">
        <f t="shared" si="53"/>
        <v>14</v>
      </c>
      <c r="AI175" s="42">
        <f t="shared" si="53"/>
        <v>14</v>
      </c>
      <c r="AJ175" s="42">
        <f t="shared" si="53"/>
        <v>14</v>
      </c>
      <c r="AK175" s="42">
        <f t="shared" si="53"/>
        <v>14</v>
      </c>
      <c r="AL175" s="42">
        <f t="shared" si="53"/>
        <v>14</v>
      </c>
      <c r="AM175" s="42">
        <f t="shared" si="53"/>
        <v>14</v>
      </c>
      <c r="AN175" s="42">
        <f t="shared" si="53"/>
        <v>14</v>
      </c>
      <c r="AO175" s="42">
        <f t="shared" si="53"/>
        <v>14</v>
      </c>
      <c r="AP175" s="42">
        <f t="shared" si="53"/>
        <v>14</v>
      </c>
      <c r="AQ175" s="42">
        <f t="shared" si="53"/>
        <v>14</v>
      </c>
      <c r="AR175" s="42">
        <f t="shared" si="53"/>
        <v>14</v>
      </c>
      <c r="AS175" s="42">
        <f t="shared" si="53"/>
        <v>14</v>
      </c>
      <c r="AT175" s="42">
        <f t="shared" si="53"/>
        <v>14</v>
      </c>
      <c r="AU175" s="42">
        <f t="shared" si="53"/>
        <v>14</v>
      </c>
      <c r="AV175" s="42">
        <f t="shared" si="53"/>
        <v>14</v>
      </c>
      <c r="AW175" s="42">
        <f t="shared" si="53"/>
        <v>14</v>
      </c>
      <c r="AX175" s="42">
        <f t="shared" si="53"/>
        <v>14</v>
      </c>
      <c r="AY175" s="42">
        <f t="shared" si="53"/>
        <v>14</v>
      </c>
      <c r="AZ175" s="42">
        <f t="shared" si="53"/>
        <v>14</v>
      </c>
      <c r="BA175" s="42">
        <f t="shared" si="53"/>
        <v>14</v>
      </c>
      <c r="BB175" s="42">
        <f t="shared" si="53"/>
        <v>14</v>
      </c>
      <c r="BC175" s="42">
        <f t="shared" si="53"/>
        <v>14</v>
      </c>
      <c r="BD175" s="42">
        <f t="shared" si="53"/>
        <v>14</v>
      </c>
      <c r="BE175" s="42">
        <f t="shared" si="53"/>
        <v>14</v>
      </c>
      <c r="BF175" s="42">
        <f t="shared" si="53"/>
        <v>14</v>
      </c>
      <c r="BG175" s="42">
        <f t="shared" si="53"/>
        <v>14</v>
      </c>
      <c r="BH175" s="42">
        <f t="shared" si="53"/>
        <v>14</v>
      </c>
      <c r="BI175" s="42">
        <f t="shared" si="53"/>
        <v>14</v>
      </c>
      <c r="BJ175" s="42">
        <f t="shared" si="53"/>
        <v>14</v>
      </c>
      <c r="BK175" s="42">
        <f t="shared" si="53"/>
        <v>14</v>
      </c>
      <c r="BL175" s="42">
        <f t="shared" si="53"/>
        <v>14</v>
      </c>
      <c r="BM175" s="42">
        <f t="shared" si="53"/>
        <v>14</v>
      </c>
      <c r="BN175" s="42">
        <f t="shared" si="53"/>
        <v>14</v>
      </c>
      <c r="BO175" s="42">
        <f t="shared" si="53"/>
        <v>14</v>
      </c>
      <c r="BP175" s="42">
        <f t="shared" si="53"/>
        <v>14</v>
      </c>
      <c r="BQ175" s="42">
        <f t="shared" ref="BQ175:CS175" si="54">SUM(BQ42:BQ65)+$D$8-MIN($B$42:$B$65)</f>
        <v>14</v>
      </c>
      <c r="BR175" s="42">
        <f t="shared" si="54"/>
        <v>14</v>
      </c>
      <c r="BS175" s="42">
        <f t="shared" si="54"/>
        <v>14</v>
      </c>
      <c r="BT175" s="42">
        <f t="shared" si="54"/>
        <v>14</v>
      </c>
      <c r="BU175" s="42">
        <f t="shared" si="54"/>
        <v>14</v>
      </c>
      <c r="BV175" s="42">
        <f t="shared" si="54"/>
        <v>14</v>
      </c>
      <c r="BW175" s="42">
        <f t="shared" si="54"/>
        <v>14</v>
      </c>
      <c r="BX175" s="42">
        <f t="shared" si="54"/>
        <v>14</v>
      </c>
      <c r="BY175" s="42">
        <f t="shared" si="54"/>
        <v>14</v>
      </c>
      <c r="BZ175" s="42">
        <f t="shared" si="54"/>
        <v>14</v>
      </c>
      <c r="CA175" s="42">
        <f t="shared" si="54"/>
        <v>14</v>
      </c>
      <c r="CB175" s="42">
        <f t="shared" si="54"/>
        <v>14</v>
      </c>
      <c r="CC175" s="42">
        <f t="shared" si="54"/>
        <v>14</v>
      </c>
      <c r="CD175" s="42">
        <f t="shared" si="54"/>
        <v>14</v>
      </c>
      <c r="CE175" s="42">
        <f t="shared" si="54"/>
        <v>14</v>
      </c>
      <c r="CF175" s="42">
        <f t="shared" si="54"/>
        <v>14</v>
      </c>
      <c r="CG175" s="42">
        <f t="shared" si="54"/>
        <v>14</v>
      </c>
      <c r="CH175" s="42">
        <f t="shared" si="54"/>
        <v>14</v>
      </c>
      <c r="CI175" s="42">
        <f t="shared" si="54"/>
        <v>14</v>
      </c>
      <c r="CJ175" s="42">
        <f t="shared" si="54"/>
        <v>14</v>
      </c>
      <c r="CK175" s="42">
        <f t="shared" si="54"/>
        <v>14</v>
      </c>
      <c r="CL175" s="42">
        <f t="shared" si="54"/>
        <v>14</v>
      </c>
      <c r="CM175" s="42">
        <f t="shared" si="54"/>
        <v>14</v>
      </c>
      <c r="CN175" s="42">
        <f t="shared" si="54"/>
        <v>14</v>
      </c>
      <c r="CO175" s="42">
        <f t="shared" si="54"/>
        <v>14</v>
      </c>
      <c r="CP175" s="42">
        <f t="shared" si="54"/>
        <v>14</v>
      </c>
      <c r="CQ175" s="42">
        <f t="shared" si="54"/>
        <v>14</v>
      </c>
      <c r="CR175" s="42">
        <f t="shared" si="54"/>
        <v>14</v>
      </c>
      <c r="CS175" s="42">
        <f t="shared" si="54"/>
        <v>14</v>
      </c>
    </row>
    <row r="176" spans="1:98" hidden="1" x14ac:dyDescent="0.25">
      <c r="A176" s="97">
        <v>0</v>
      </c>
      <c r="C176" s="45" t="s">
        <v>3</v>
      </c>
      <c r="D176" s="40" t="str">
        <f t="shared" ref="D176:BO176" si="55">D186</f>
        <v>2 / 1</v>
      </c>
      <c r="E176" s="40" t="str">
        <f t="shared" si="55"/>
        <v>3 / 2</v>
      </c>
      <c r="F176" s="40" t="str">
        <f t="shared" si="55"/>
        <v>4 / 3</v>
      </c>
      <c r="G176" s="40" t="str">
        <f t="shared" si="55"/>
        <v>5 / 4</v>
      </c>
      <c r="H176" s="40" t="str">
        <f t="shared" si="55"/>
        <v>6 / 5</v>
      </c>
      <c r="I176" s="40" t="str">
        <f t="shared" si="55"/>
        <v>7 / 6</v>
      </c>
      <c r="J176" s="40" t="str">
        <f t="shared" si="55"/>
        <v>8 / 7</v>
      </c>
      <c r="K176" s="40" t="str">
        <f t="shared" si="55"/>
        <v>9 / 8</v>
      </c>
      <c r="L176" s="40" t="str">
        <f t="shared" si="55"/>
        <v>10 / 9</v>
      </c>
      <c r="M176" s="40" t="str">
        <f t="shared" si="55"/>
        <v>11 / 10</v>
      </c>
      <c r="N176" s="40" t="str">
        <f t="shared" si="55"/>
        <v>12 / 11</v>
      </c>
      <c r="O176" s="40" t="str">
        <f t="shared" si="55"/>
        <v>13 / 12</v>
      </c>
      <c r="P176" s="40" t="str">
        <f t="shared" si="55"/>
        <v>14 / 13</v>
      </c>
      <c r="Q176" s="40" t="str">
        <f t="shared" si="55"/>
        <v>15 / 14</v>
      </c>
      <c r="R176" s="40" t="str">
        <f t="shared" si="55"/>
        <v>16 / 15</v>
      </c>
      <c r="S176" s="40" t="str">
        <f t="shared" si="55"/>
        <v>17 / 16</v>
      </c>
      <c r="T176" s="40" t="str">
        <f t="shared" si="55"/>
        <v>18 / 17</v>
      </c>
      <c r="U176" s="40" t="str">
        <f t="shared" si="55"/>
        <v>19 / 18</v>
      </c>
      <c r="V176" s="40" t="str">
        <f t="shared" si="55"/>
        <v>20 / 19</v>
      </c>
      <c r="W176" s="40" t="str">
        <f t="shared" si="55"/>
        <v>21 / 20</v>
      </c>
      <c r="X176" s="40" t="str">
        <f t="shared" si="55"/>
        <v>22 / 21</v>
      </c>
      <c r="Y176" s="40" t="str">
        <f t="shared" si="55"/>
        <v>23 / 22</v>
      </c>
      <c r="Z176" s="40" t="str">
        <f t="shared" si="55"/>
        <v>24 / 23</v>
      </c>
      <c r="AA176" s="40" t="str">
        <f t="shared" si="55"/>
        <v>25 / 24</v>
      </c>
      <c r="AB176" s="40" t="str">
        <f t="shared" si="55"/>
        <v>26 / 25</v>
      </c>
      <c r="AC176" s="40" t="str">
        <f t="shared" si="55"/>
        <v>27 / 26</v>
      </c>
      <c r="AD176" s="40" t="str">
        <f t="shared" si="55"/>
        <v>28 / 27</v>
      </c>
      <c r="AE176" s="40" t="str">
        <f t="shared" si="55"/>
        <v>29 / 28</v>
      </c>
      <c r="AF176" s="40" t="str">
        <f t="shared" si="55"/>
        <v>30 / 29</v>
      </c>
      <c r="AG176" s="40" t="str">
        <f t="shared" si="55"/>
        <v>31 / 30</v>
      </c>
      <c r="AH176" s="40" t="str">
        <f t="shared" si="55"/>
        <v>32 / 31</v>
      </c>
      <c r="AI176" s="40" t="str">
        <f t="shared" si="55"/>
        <v>33 / 32</v>
      </c>
      <c r="AJ176" s="40" t="str">
        <f t="shared" si="55"/>
        <v>34 / 33</v>
      </c>
      <c r="AK176" s="40" t="str">
        <f t="shared" si="55"/>
        <v>35 / 34</v>
      </c>
      <c r="AL176" s="40" t="str">
        <f t="shared" si="55"/>
        <v>36 / 35</v>
      </c>
      <c r="AM176" s="40" t="str">
        <f t="shared" si="55"/>
        <v>37 / 36</v>
      </c>
      <c r="AN176" s="40" t="str">
        <f t="shared" si="55"/>
        <v>38 / 37</v>
      </c>
      <c r="AO176" s="40" t="str">
        <f t="shared" si="55"/>
        <v>39 / 38</v>
      </c>
      <c r="AP176" s="40" t="str">
        <f t="shared" si="55"/>
        <v>40 / 39</v>
      </c>
      <c r="AQ176" s="40" t="str">
        <f t="shared" si="55"/>
        <v>41 / 40</v>
      </c>
      <c r="AR176" s="40" t="str">
        <f t="shared" si="55"/>
        <v>42 / 41</v>
      </c>
      <c r="AS176" s="40" t="str">
        <f t="shared" si="55"/>
        <v>43 / 42</v>
      </c>
      <c r="AT176" s="40" t="str">
        <f t="shared" si="55"/>
        <v>44 / 43</v>
      </c>
      <c r="AU176" s="40" t="str">
        <f t="shared" si="55"/>
        <v>45 / 44</v>
      </c>
      <c r="AV176" s="40" t="str">
        <f t="shared" si="55"/>
        <v>46 / 45</v>
      </c>
      <c r="AW176" s="40" t="str">
        <f t="shared" si="55"/>
        <v>47 / 46</v>
      </c>
      <c r="AX176" s="40" t="str">
        <f t="shared" si="55"/>
        <v>48 / 47</v>
      </c>
      <c r="AY176" s="40" t="str">
        <f t="shared" si="55"/>
        <v>49 / 48</v>
      </c>
      <c r="AZ176" s="40" t="str">
        <f t="shared" si="55"/>
        <v>50 / 49</v>
      </c>
      <c r="BA176" s="40" t="str">
        <f t="shared" si="55"/>
        <v>51 / 50</v>
      </c>
      <c r="BB176" s="40" t="str">
        <f t="shared" si="55"/>
        <v>52 / 51</v>
      </c>
      <c r="BC176" s="40" t="str">
        <f t="shared" si="55"/>
        <v>53 / 52</v>
      </c>
      <c r="BD176" s="40" t="str">
        <f t="shared" si="55"/>
        <v>54 / 53</v>
      </c>
      <c r="BE176" s="40" t="str">
        <f t="shared" si="55"/>
        <v>55 / 54</v>
      </c>
      <c r="BF176" s="40" t="str">
        <f t="shared" si="55"/>
        <v>56 / 55</v>
      </c>
      <c r="BG176" s="40" t="str">
        <f t="shared" si="55"/>
        <v>57 / 56</v>
      </c>
      <c r="BH176" s="40" t="str">
        <f t="shared" si="55"/>
        <v>58 / 57</v>
      </c>
      <c r="BI176" s="40" t="str">
        <f t="shared" si="55"/>
        <v>59 / 58</v>
      </c>
      <c r="BJ176" s="40" t="str">
        <f t="shared" si="55"/>
        <v>60 / 59</v>
      </c>
      <c r="BK176" s="40" t="str">
        <f t="shared" si="55"/>
        <v>61 / 60</v>
      </c>
      <c r="BL176" s="40" t="str">
        <f t="shared" si="55"/>
        <v>62 / 61</v>
      </c>
      <c r="BM176" s="40" t="str">
        <f t="shared" si="55"/>
        <v>63 / 62</v>
      </c>
      <c r="BN176" s="40" t="str">
        <f t="shared" si="55"/>
        <v>64 / 63</v>
      </c>
      <c r="BO176" s="40" t="str">
        <f t="shared" si="55"/>
        <v>65 / 64</v>
      </c>
      <c r="BP176" s="40" t="str">
        <f t="shared" ref="BP176:CS176" si="56">BP186</f>
        <v>66 / 65</v>
      </c>
      <c r="BQ176" s="40" t="str">
        <f t="shared" si="56"/>
        <v>67 / 66</v>
      </c>
      <c r="BR176" s="40" t="str">
        <f t="shared" si="56"/>
        <v>68 / 67</v>
      </c>
      <c r="BS176" s="40" t="str">
        <f t="shared" si="56"/>
        <v>69 / 68</v>
      </c>
      <c r="BT176" s="40" t="str">
        <f t="shared" si="56"/>
        <v>70 / 69</v>
      </c>
      <c r="BU176" s="40" t="str">
        <f t="shared" si="56"/>
        <v>71 / 70</v>
      </c>
      <c r="BV176" s="40" t="str">
        <f t="shared" si="56"/>
        <v>72 / 71</v>
      </c>
      <c r="BW176" s="40" t="str">
        <f t="shared" si="56"/>
        <v>73 / 72</v>
      </c>
      <c r="BX176" s="40" t="str">
        <f t="shared" si="56"/>
        <v>74 / 73</v>
      </c>
      <c r="BY176" s="40" t="str">
        <f t="shared" si="56"/>
        <v>75 / 74</v>
      </c>
      <c r="BZ176" s="40" t="str">
        <f t="shared" si="56"/>
        <v>76 / 75</v>
      </c>
      <c r="CA176" s="40" t="str">
        <f t="shared" si="56"/>
        <v>77 / 76</v>
      </c>
      <c r="CB176" s="40" t="str">
        <f t="shared" si="56"/>
        <v>78 / 77</v>
      </c>
      <c r="CC176" s="40" t="str">
        <f t="shared" si="56"/>
        <v>79 / 78</v>
      </c>
      <c r="CD176" s="40" t="str">
        <f t="shared" si="56"/>
        <v>80 / 79</v>
      </c>
      <c r="CE176" s="40" t="str">
        <f t="shared" si="56"/>
        <v>81 / 80</v>
      </c>
      <c r="CF176" s="40" t="str">
        <f t="shared" si="56"/>
        <v>82 / 81</v>
      </c>
      <c r="CG176" s="40" t="str">
        <f t="shared" si="56"/>
        <v>83 / 82</v>
      </c>
      <c r="CH176" s="40" t="str">
        <f t="shared" si="56"/>
        <v>84 / 83</v>
      </c>
      <c r="CI176" s="40" t="str">
        <f t="shared" si="56"/>
        <v>85 / 84</v>
      </c>
      <c r="CJ176" s="40" t="str">
        <f t="shared" si="56"/>
        <v>86 / 85</v>
      </c>
      <c r="CK176" s="40" t="str">
        <f t="shared" si="56"/>
        <v>87 / 86</v>
      </c>
      <c r="CL176" s="40" t="str">
        <f t="shared" si="56"/>
        <v>88 / 87</v>
      </c>
      <c r="CM176" s="40" t="str">
        <f t="shared" si="56"/>
        <v>89 / 88</v>
      </c>
      <c r="CN176" s="40" t="str">
        <f t="shared" si="56"/>
        <v>90 / 89</v>
      </c>
      <c r="CO176" s="40" t="str">
        <f t="shared" si="56"/>
        <v>91 / 90</v>
      </c>
      <c r="CP176" s="40" t="str">
        <f t="shared" si="56"/>
        <v>92 / 91</v>
      </c>
      <c r="CQ176" s="40" t="str">
        <f t="shared" si="56"/>
        <v>93 / 92</v>
      </c>
      <c r="CR176" s="40" t="str">
        <f t="shared" si="56"/>
        <v>94 / 93</v>
      </c>
      <c r="CS176" s="40" t="str">
        <f t="shared" si="56"/>
        <v>95 / 94</v>
      </c>
    </row>
    <row r="177" spans="1:101" hidden="1" x14ac:dyDescent="0.25">
      <c r="A177" s="97">
        <v>0</v>
      </c>
      <c r="C177" s="25" t="s">
        <v>4</v>
      </c>
      <c r="D177" s="44">
        <f t="shared" ref="D177:AI177" si="57">IF(SUM(D150:D173)=0,1,AVERAGEIFS(D$69:D$92,D$150:D$173,1))</f>
        <v>1.9578963839907026</v>
      </c>
      <c r="E177" s="44">
        <f t="shared" si="57"/>
        <v>18.414209400950963</v>
      </c>
      <c r="F177" s="44">
        <f t="shared" si="57"/>
        <v>1.0418919644646287</v>
      </c>
      <c r="G177" s="44">
        <f t="shared" si="57"/>
        <v>0.88410178025147346</v>
      </c>
      <c r="H177" s="44">
        <f t="shared" si="57"/>
        <v>0.88783367251807033</v>
      </c>
      <c r="I177" s="44">
        <f t="shared" si="57"/>
        <v>0.92181859275716749</v>
      </c>
      <c r="J177" s="44">
        <f t="shared" si="57"/>
        <v>0.98801150584362418</v>
      </c>
      <c r="K177" s="44">
        <f t="shared" si="57"/>
        <v>0.98585364716294022</v>
      </c>
      <c r="L177" s="44">
        <f t="shared" si="57"/>
        <v>0.99961951322065556</v>
      </c>
      <c r="M177" s="44">
        <f t="shared" si="57"/>
        <v>1</v>
      </c>
      <c r="N177" s="44">
        <f t="shared" si="57"/>
        <v>1</v>
      </c>
      <c r="O177" s="44">
        <f t="shared" si="57"/>
        <v>1</v>
      </c>
      <c r="P177" s="44">
        <f t="shared" si="57"/>
        <v>1</v>
      </c>
      <c r="Q177" s="44">
        <f t="shared" si="57"/>
        <v>1</v>
      </c>
      <c r="R177" s="44">
        <f t="shared" si="57"/>
        <v>1</v>
      </c>
      <c r="S177" s="44">
        <f t="shared" si="57"/>
        <v>1</v>
      </c>
      <c r="T177" s="44">
        <f t="shared" si="57"/>
        <v>1</v>
      </c>
      <c r="U177" s="44">
        <f t="shared" si="57"/>
        <v>1</v>
      </c>
      <c r="V177" s="44">
        <f t="shared" si="57"/>
        <v>1</v>
      </c>
      <c r="W177" s="44">
        <f t="shared" si="57"/>
        <v>1</v>
      </c>
      <c r="X177" s="44">
        <f t="shared" si="57"/>
        <v>1</v>
      </c>
      <c r="Y177" s="44">
        <f t="shared" si="57"/>
        <v>1</v>
      </c>
      <c r="Z177" s="44">
        <f t="shared" si="57"/>
        <v>1</v>
      </c>
      <c r="AA177" s="44">
        <f t="shared" si="57"/>
        <v>1</v>
      </c>
      <c r="AB177" s="44">
        <f t="shared" si="57"/>
        <v>1</v>
      </c>
      <c r="AC177" s="44">
        <f t="shared" si="57"/>
        <v>1</v>
      </c>
      <c r="AD177" s="44">
        <f t="shared" si="57"/>
        <v>1</v>
      </c>
      <c r="AE177" s="44">
        <f t="shared" si="57"/>
        <v>1</v>
      </c>
      <c r="AF177" s="44">
        <f t="shared" si="57"/>
        <v>1</v>
      </c>
      <c r="AG177" s="44">
        <f t="shared" si="57"/>
        <v>1</v>
      </c>
      <c r="AH177" s="44">
        <f t="shared" si="57"/>
        <v>1</v>
      </c>
      <c r="AI177" s="44">
        <f t="shared" si="57"/>
        <v>1</v>
      </c>
      <c r="AJ177" s="44">
        <f t="shared" ref="AJ177:CS177" si="58">IF(SUM(AJ150:AJ173)=0,1,AVERAGEIFS(AJ$69:AJ$92,AJ$150:AJ$173,1))</f>
        <v>1</v>
      </c>
      <c r="AK177" s="44">
        <f t="shared" si="58"/>
        <v>1</v>
      </c>
      <c r="AL177" s="44">
        <f t="shared" si="58"/>
        <v>1</v>
      </c>
      <c r="AM177" s="44">
        <f t="shared" si="58"/>
        <v>1</v>
      </c>
      <c r="AN177" s="44">
        <f t="shared" si="58"/>
        <v>1</v>
      </c>
      <c r="AO177" s="44">
        <f t="shared" si="58"/>
        <v>1</v>
      </c>
      <c r="AP177" s="44">
        <f t="shared" si="58"/>
        <v>1</v>
      </c>
      <c r="AQ177" s="44">
        <f t="shared" si="58"/>
        <v>1</v>
      </c>
      <c r="AR177" s="44">
        <f t="shared" si="58"/>
        <v>1</v>
      </c>
      <c r="AS177" s="44">
        <f t="shared" si="58"/>
        <v>1</v>
      </c>
      <c r="AT177" s="44">
        <f t="shared" si="58"/>
        <v>1</v>
      </c>
      <c r="AU177" s="44">
        <f t="shared" si="58"/>
        <v>1</v>
      </c>
      <c r="AV177" s="44">
        <f t="shared" si="58"/>
        <v>1</v>
      </c>
      <c r="AW177" s="44">
        <f t="shared" si="58"/>
        <v>1</v>
      </c>
      <c r="AX177" s="44">
        <f t="shared" si="58"/>
        <v>1</v>
      </c>
      <c r="AY177" s="44">
        <f t="shared" si="58"/>
        <v>1</v>
      </c>
      <c r="AZ177" s="44">
        <f t="shared" si="58"/>
        <v>1</v>
      </c>
      <c r="BA177" s="44">
        <f t="shared" si="58"/>
        <v>1</v>
      </c>
      <c r="BB177" s="44">
        <f t="shared" si="58"/>
        <v>1</v>
      </c>
      <c r="BC177" s="44">
        <f t="shared" si="58"/>
        <v>1</v>
      </c>
      <c r="BD177" s="44">
        <f t="shared" si="58"/>
        <v>1</v>
      </c>
      <c r="BE177" s="44">
        <f t="shared" si="58"/>
        <v>1</v>
      </c>
      <c r="BF177" s="44">
        <f t="shared" si="58"/>
        <v>1</v>
      </c>
      <c r="BG177" s="44">
        <f t="shared" si="58"/>
        <v>1</v>
      </c>
      <c r="BH177" s="44">
        <f t="shared" si="58"/>
        <v>1</v>
      </c>
      <c r="BI177" s="44">
        <f t="shared" si="58"/>
        <v>1</v>
      </c>
      <c r="BJ177" s="44">
        <f t="shared" si="58"/>
        <v>1</v>
      </c>
      <c r="BK177" s="44">
        <f t="shared" si="58"/>
        <v>1</v>
      </c>
      <c r="BL177" s="44">
        <f t="shared" si="58"/>
        <v>1</v>
      </c>
      <c r="BM177" s="44">
        <f t="shared" si="58"/>
        <v>1</v>
      </c>
      <c r="BN177" s="44">
        <f t="shared" si="58"/>
        <v>1</v>
      </c>
      <c r="BO177" s="44">
        <f t="shared" si="58"/>
        <v>1</v>
      </c>
      <c r="BP177" s="44">
        <f t="shared" si="58"/>
        <v>1</v>
      </c>
      <c r="BQ177" s="44">
        <f t="shared" si="58"/>
        <v>1</v>
      </c>
      <c r="BR177" s="44">
        <f t="shared" si="58"/>
        <v>1</v>
      </c>
      <c r="BS177" s="44">
        <f t="shared" si="58"/>
        <v>1</v>
      </c>
      <c r="BT177" s="44">
        <f t="shared" si="58"/>
        <v>1</v>
      </c>
      <c r="BU177" s="44">
        <f t="shared" si="58"/>
        <v>1</v>
      </c>
      <c r="BV177" s="44">
        <f t="shared" si="58"/>
        <v>1</v>
      </c>
      <c r="BW177" s="44">
        <f t="shared" si="58"/>
        <v>1</v>
      </c>
      <c r="BX177" s="44">
        <f t="shared" si="58"/>
        <v>1</v>
      </c>
      <c r="BY177" s="44">
        <f t="shared" si="58"/>
        <v>1</v>
      </c>
      <c r="BZ177" s="44">
        <f t="shared" si="58"/>
        <v>1</v>
      </c>
      <c r="CA177" s="44">
        <f t="shared" si="58"/>
        <v>1</v>
      </c>
      <c r="CB177" s="44">
        <f t="shared" si="58"/>
        <v>1</v>
      </c>
      <c r="CC177" s="44">
        <f t="shared" si="58"/>
        <v>1</v>
      </c>
      <c r="CD177" s="44">
        <f t="shared" si="58"/>
        <v>1</v>
      </c>
      <c r="CE177" s="44">
        <f t="shared" si="58"/>
        <v>1</v>
      </c>
      <c r="CF177" s="44">
        <f t="shared" si="58"/>
        <v>1</v>
      </c>
      <c r="CG177" s="44">
        <f t="shared" si="58"/>
        <v>1</v>
      </c>
      <c r="CH177" s="44">
        <f t="shared" si="58"/>
        <v>1</v>
      </c>
      <c r="CI177" s="44">
        <f t="shared" si="58"/>
        <v>1</v>
      </c>
      <c r="CJ177" s="44">
        <f t="shared" si="58"/>
        <v>1</v>
      </c>
      <c r="CK177" s="44">
        <f t="shared" si="58"/>
        <v>1</v>
      </c>
      <c r="CL177" s="44">
        <f t="shared" si="58"/>
        <v>1</v>
      </c>
      <c r="CM177" s="44">
        <f t="shared" si="58"/>
        <v>1</v>
      </c>
      <c r="CN177" s="44">
        <f t="shared" si="58"/>
        <v>1</v>
      </c>
      <c r="CO177" s="44">
        <f t="shared" si="58"/>
        <v>1</v>
      </c>
      <c r="CP177" s="44">
        <f t="shared" si="58"/>
        <v>1</v>
      </c>
      <c r="CQ177" s="44">
        <f t="shared" si="58"/>
        <v>1</v>
      </c>
      <c r="CR177" s="44">
        <f t="shared" si="58"/>
        <v>1</v>
      </c>
      <c r="CS177" s="44">
        <f t="shared" si="58"/>
        <v>1</v>
      </c>
    </row>
    <row r="178" spans="1:101" hidden="1" x14ac:dyDescent="0.25">
      <c r="A178" s="97">
        <v>0</v>
      </c>
      <c r="C178" s="43">
        <v>5</v>
      </c>
      <c r="D178" s="44">
        <f t="shared" ref="D178:AI178" ca="1" si="59">IF(SUM(OFFSET(D150,D175-5,0,5))=0,1,AVERAGEIFS(OFFSET(D69,D175-5,0,5),OFFSET(D150,D175-5,0,5),1))</f>
        <v>2.8712173408698107</v>
      </c>
      <c r="E178" s="44">
        <f t="shared" ca="1" si="59"/>
        <v>32.815319263737386</v>
      </c>
      <c r="F178" s="44">
        <f t="shared" ca="1" si="59"/>
        <v>1.0609640946909489</v>
      </c>
      <c r="G178" s="44">
        <f t="shared" ca="1" si="59"/>
        <v>0.84302188390197175</v>
      </c>
      <c r="H178" s="44">
        <f t="shared" ca="1" si="59"/>
        <v>0.88783367251807033</v>
      </c>
      <c r="I178" s="44">
        <f t="shared" ca="1" si="59"/>
        <v>0.92181859275716749</v>
      </c>
      <c r="J178" s="44">
        <f t="shared" ca="1" si="59"/>
        <v>0.98801150584362418</v>
      </c>
      <c r="K178" s="44">
        <f t="shared" ca="1" si="59"/>
        <v>0.98585364716294022</v>
      </c>
      <c r="L178" s="44">
        <f t="shared" ca="1" si="59"/>
        <v>0.99961951322065556</v>
      </c>
      <c r="M178" s="44">
        <f t="shared" ca="1" si="59"/>
        <v>1</v>
      </c>
      <c r="N178" s="44">
        <f t="shared" ca="1" si="59"/>
        <v>1</v>
      </c>
      <c r="O178" s="44">
        <f t="shared" ca="1" si="59"/>
        <v>1</v>
      </c>
      <c r="P178" s="44">
        <f t="shared" ca="1" si="59"/>
        <v>1</v>
      </c>
      <c r="Q178" s="44">
        <f t="shared" ca="1" si="59"/>
        <v>1</v>
      </c>
      <c r="R178" s="44">
        <f t="shared" ca="1" si="59"/>
        <v>1</v>
      </c>
      <c r="S178" s="44">
        <f t="shared" ca="1" si="59"/>
        <v>1</v>
      </c>
      <c r="T178" s="44">
        <f t="shared" ca="1" si="59"/>
        <v>1</v>
      </c>
      <c r="U178" s="44">
        <f t="shared" ca="1" si="59"/>
        <v>1</v>
      </c>
      <c r="V178" s="44">
        <f t="shared" ca="1" si="59"/>
        <v>1</v>
      </c>
      <c r="W178" s="44">
        <f t="shared" ca="1" si="59"/>
        <v>1</v>
      </c>
      <c r="X178" s="44">
        <f t="shared" ca="1" si="59"/>
        <v>1</v>
      </c>
      <c r="Y178" s="44">
        <f t="shared" ca="1" si="59"/>
        <v>1</v>
      </c>
      <c r="Z178" s="44">
        <f t="shared" ca="1" si="59"/>
        <v>1</v>
      </c>
      <c r="AA178" s="44">
        <f t="shared" ca="1" si="59"/>
        <v>1</v>
      </c>
      <c r="AB178" s="44">
        <f t="shared" ca="1" si="59"/>
        <v>1</v>
      </c>
      <c r="AC178" s="44">
        <f t="shared" ca="1" si="59"/>
        <v>1</v>
      </c>
      <c r="AD178" s="44">
        <f t="shared" ca="1" si="59"/>
        <v>1</v>
      </c>
      <c r="AE178" s="44">
        <f t="shared" ca="1" si="59"/>
        <v>1</v>
      </c>
      <c r="AF178" s="44">
        <f t="shared" ca="1" si="59"/>
        <v>1</v>
      </c>
      <c r="AG178" s="44">
        <f t="shared" ca="1" si="59"/>
        <v>1</v>
      </c>
      <c r="AH178" s="44">
        <f t="shared" ca="1" si="59"/>
        <v>1</v>
      </c>
      <c r="AI178" s="44">
        <f t="shared" ca="1" si="59"/>
        <v>1</v>
      </c>
      <c r="AJ178" s="44">
        <f t="shared" ref="AJ178:BO178" ca="1" si="60">IF(SUM(OFFSET(AJ150,AJ175-5,0,5))=0,1,AVERAGEIFS(OFFSET(AJ69,AJ175-5,0,5),OFFSET(AJ150,AJ175-5,0,5),1))</f>
        <v>1</v>
      </c>
      <c r="AK178" s="44">
        <f t="shared" ca="1" si="60"/>
        <v>1</v>
      </c>
      <c r="AL178" s="44">
        <f t="shared" ca="1" si="60"/>
        <v>1</v>
      </c>
      <c r="AM178" s="44">
        <f t="shared" ca="1" si="60"/>
        <v>1</v>
      </c>
      <c r="AN178" s="44">
        <f t="shared" ca="1" si="60"/>
        <v>1</v>
      </c>
      <c r="AO178" s="44">
        <f t="shared" ca="1" si="60"/>
        <v>1</v>
      </c>
      <c r="AP178" s="44">
        <f t="shared" ca="1" si="60"/>
        <v>1</v>
      </c>
      <c r="AQ178" s="44">
        <f t="shared" ca="1" si="60"/>
        <v>1</v>
      </c>
      <c r="AR178" s="44">
        <f t="shared" ca="1" si="60"/>
        <v>1</v>
      </c>
      <c r="AS178" s="44">
        <f t="shared" ca="1" si="60"/>
        <v>1</v>
      </c>
      <c r="AT178" s="44">
        <f t="shared" ca="1" si="60"/>
        <v>1</v>
      </c>
      <c r="AU178" s="44">
        <f t="shared" ca="1" si="60"/>
        <v>1</v>
      </c>
      <c r="AV178" s="44">
        <f t="shared" ca="1" si="60"/>
        <v>1</v>
      </c>
      <c r="AW178" s="44">
        <f t="shared" ca="1" si="60"/>
        <v>1</v>
      </c>
      <c r="AX178" s="44">
        <f t="shared" ca="1" si="60"/>
        <v>1</v>
      </c>
      <c r="AY178" s="44">
        <f t="shared" ca="1" si="60"/>
        <v>1</v>
      </c>
      <c r="AZ178" s="44">
        <f t="shared" ca="1" si="60"/>
        <v>1</v>
      </c>
      <c r="BA178" s="44">
        <f t="shared" ca="1" si="60"/>
        <v>1</v>
      </c>
      <c r="BB178" s="44">
        <f t="shared" ca="1" si="60"/>
        <v>1</v>
      </c>
      <c r="BC178" s="44">
        <f t="shared" ca="1" si="60"/>
        <v>1</v>
      </c>
      <c r="BD178" s="44">
        <f t="shared" ca="1" si="60"/>
        <v>1</v>
      </c>
      <c r="BE178" s="44">
        <f t="shared" ca="1" si="60"/>
        <v>1</v>
      </c>
      <c r="BF178" s="44">
        <f t="shared" ca="1" si="60"/>
        <v>1</v>
      </c>
      <c r="BG178" s="44">
        <f t="shared" ca="1" si="60"/>
        <v>1</v>
      </c>
      <c r="BH178" s="44">
        <f t="shared" ca="1" si="60"/>
        <v>1</v>
      </c>
      <c r="BI178" s="44">
        <f t="shared" ca="1" si="60"/>
        <v>1</v>
      </c>
      <c r="BJ178" s="44">
        <f t="shared" ca="1" si="60"/>
        <v>1</v>
      </c>
      <c r="BK178" s="44">
        <f t="shared" ca="1" si="60"/>
        <v>1</v>
      </c>
      <c r="BL178" s="44">
        <f t="shared" ca="1" si="60"/>
        <v>1</v>
      </c>
      <c r="BM178" s="44">
        <f t="shared" ca="1" si="60"/>
        <v>1</v>
      </c>
      <c r="BN178" s="44">
        <f t="shared" ca="1" si="60"/>
        <v>1</v>
      </c>
      <c r="BO178" s="44">
        <f t="shared" ca="1" si="60"/>
        <v>1</v>
      </c>
      <c r="BP178" s="44">
        <f t="shared" ref="BP178:CS178" ca="1" si="61">IF(SUM(OFFSET(BP150,BP175-5,0,5))=0,1,AVERAGEIFS(OFFSET(BP69,BP175-5,0,5),OFFSET(BP150,BP175-5,0,5),1))</f>
        <v>1</v>
      </c>
      <c r="BQ178" s="44">
        <f t="shared" ca="1" si="61"/>
        <v>1</v>
      </c>
      <c r="BR178" s="44">
        <f t="shared" ca="1" si="61"/>
        <v>1</v>
      </c>
      <c r="BS178" s="44">
        <f t="shared" ca="1" si="61"/>
        <v>1</v>
      </c>
      <c r="BT178" s="44">
        <f t="shared" ca="1" si="61"/>
        <v>1</v>
      </c>
      <c r="BU178" s="44">
        <f t="shared" ca="1" si="61"/>
        <v>1</v>
      </c>
      <c r="BV178" s="44">
        <f t="shared" ca="1" si="61"/>
        <v>1</v>
      </c>
      <c r="BW178" s="44">
        <f t="shared" ca="1" si="61"/>
        <v>1</v>
      </c>
      <c r="BX178" s="44">
        <f t="shared" ca="1" si="61"/>
        <v>1</v>
      </c>
      <c r="BY178" s="44">
        <f t="shared" ca="1" si="61"/>
        <v>1</v>
      </c>
      <c r="BZ178" s="44">
        <f t="shared" ca="1" si="61"/>
        <v>1</v>
      </c>
      <c r="CA178" s="44">
        <f t="shared" ca="1" si="61"/>
        <v>1</v>
      </c>
      <c r="CB178" s="44">
        <f t="shared" ca="1" si="61"/>
        <v>1</v>
      </c>
      <c r="CC178" s="44">
        <f t="shared" ca="1" si="61"/>
        <v>1</v>
      </c>
      <c r="CD178" s="44">
        <f t="shared" ca="1" si="61"/>
        <v>1</v>
      </c>
      <c r="CE178" s="44">
        <f t="shared" ca="1" si="61"/>
        <v>1</v>
      </c>
      <c r="CF178" s="44">
        <f t="shared" ca="1" si="61"/>
        <v>1</v>
      </c>
      <c r="CG178" s="44">
        <f t="shared" ca="1" si="61"/>
        <v>1</v>
      </c>
      <c r="CH178" s="44">
        <f t="shared" ca="1" si="61"/>
        <v>1</v>
      </c>
      <c r="CI178" s="44">
        <f t="shared" ca="1" si="61"/>
        <v>1</v>
      </c>
      <c r="CJ178" s="44">
        <f t="shared" ca="1" si="61"/>
        <v>1</v>
      </c>
      <c r="CK178" s="44">
        <f t="shared" ca="1" si="61"/>
        <v>1</v>
      </c>
      <c r="CL178" s="44">
        <f t="shared" ca="1" si="61"/>
        <v>1</v>
      </c>
      <c r="CM178" s="44">
        <f t="shared" ca="1" si="61"/>
        <v>1</v>
      </c>
      <c r="CN178" s="44">
        <f t="shared" ca="1" si="61"/>
        <v>1</v>
      </c>
      <c r="CO178" s="44">
        <f t="shared" ca="1" si="61"/>
        <v>1</v>
      </c>
      <c r="CP178" s="44">
        <f t="shared" ca="1" si="61"/>
        <v>1</v>
      </c>
      <c r="CQ178" s="44">
        <f t="shared" ca="1" si="61"/>
        <v>1</v>
      </c>
      <c r="CR178" s="44">
        <f t="shared" ca="1" si="61"/>
        <v>1</v>
      </c>
      <c r="CS178" s="44">
        <f t="shared" ca="1" si="61"/>
        <v>1</v>
      </c>
    </row>
    <row r="179" spans="1:101" hidden="1" x14ac:dyDescent="0.25">
      <c r="A179" s="97">
        <v>0</v>
      </c>
      <c r="C179" s="43">
        <v>3</v>
      </c>
      <c r="D179" s="44">
        <f t="shared" ref="D179:BO179" ca="1" si="62">IF(SUM(OFFSET(D150,D175-3,0,3))=0,1,AVERAGEIFS(OFFSET(D69,D175-3,0,3),OFFSET(D150,D175-3,0,3),1))</f>
        <v>1.9606073281962861</v>
      </c>
      <c r="E179" s="44">
        <f t="shared" ca="1" si="62"/>
        <v>48.722978895606076</v>
      </c>
      <c r="F179" s="44">
        <f t="shared" ca="1" si="62"/>
        <v>0.96912758431233881</v>
      </c>
      <c r="G179" s="44">
        <f t="shared" ca="1" si="62"/>
        <v>0.98422838748282548</v>
      </c>
      <c r="H179" s="44">
        <f t="shared" ca="1" si="62"/>
        <v>0.81456619591071067</v>
      </c>
      <c r="I179" s="44">
        <f t="shared" ca="1" si="62"/>
        <v>0.88526842573846898</v>
      </c>
      <c r="J179" s="44">
        <f t="shared" ca="1" si="62"/>
        <v>0.98801150584362418</v>
      </c>
      <c r="K179" s="44">
        <f t="shared" ca="1" si="62"/>
        <v>0.98585364716294022</v>
      </c>
      <c r="L179" s="44">
        <f t="shared" ca="1" si="62"/>
        <v>0.99961951322065556</v>
      </c>
      <c r="M179" s="44">
        <f t="shared" ca="1" si="62"/>
        <v>1</v>
      </c>
      <c r="N179" s="44">
        <f t="shared" ca="1" si="62"/>
        <v>1</v>
      </c>
      <c r="O179" s="44">
        <f t="shared" ca="1" si="62"/>
        <v>1</v>
      </c>
      <c r="P179" s="44">
        <f t="shared" ca="1" si="62"/>
        <v>1</v>
      </c>
      <c r="Q179" s="44">
        <f t="shared" ca="1" si="62"/>
        <v>1</v>
      </c>
      <c r="R179" s="44">
        <f t="shared" ca="1" si="62"/>
        <v>1</v>
      </c>
      <c r="S179" s="44">
        <f t="shared" ca="1" si="62"/>
        <v>1</v>
      </c>
      <c r="T179" s="44">
        <f t="shared" ca="1" si="62"/>
        <v>1</v>
      </c>
      <c r="U179" s="44">
        <f t="shared" ca="1" si="62"/>
        <v>1</v>
      </c>
      <c r="V179" s="44">
        <f t="shared" ca="1" si="62"/>
        <v>1</v>
      </c>
      <c r="W179" s="44">
        <f t="shared" ca="1" si="62"/>
        <v>1</v>
      </c>
      <c r="X179" s="44">
        <f t="shared" ca="1" si="62"/>
        <v>1</v>
      </c>
      <c r="Y179" s="44">
        <f t="shared" ca="1" si="62"/>
        <v>1</v>
      </c>
      <c r="Z179" s="44">
        <f t="shared" ca="1" si="62"/>
        <v>1</v>
      </c>
      <c r="AA179" s="44">
        <f t="shared" ca="1" si="62"/>
        <v>1</v>
      </c>
      <c r="AB179" s="44">
        <f t="shared" ca="1" si="62"/>
        <v>1</v>
      </c>
      <c r="AC179" s="44">
        <f t="shared" ca="1" si="62"/>
        <v>1</v>
      </c>
      <c r="AD179" s="44">
        <f t="shared" ca="1" si="62"/>
        <v>1</v>
      </c>
      <c r="AE179" s="44">
        <f t="shared" ca="1" si="62"/>
        <v>1</v>
      </c>
      <c r="AF179" s="44">
        <f t="shared" ca="1" si="62"/>
        <v>1</v>
      </c>
      <c r="AG179" s="44">
        <f t="shared" ca="1" si="62"/>
        <v>1</v>
      </c>
      <c r="AH179" s="44">
        <f t="shared" ca="1" si="62"/>
        <v>1</v>
      </c>
      <c r="AI179" s="44">
        <f t="shared" ca="1" si="62"/>
        <v>1</v>
      </c>
      <c r="AJ179" s="44">
        <f t="shared" ca="1" si="62"/>
        <v>1</v>
      </c>
      <c r="AK179" s="44">
        <f t="shared" ca="1" si="62"/>
        <v>1</v>
      </c>
      <c r="AL179" s="44">
        <f t="shared" ca="1" si="62"/>
        <v>1</v>
      </c>
      <c r="AM179" s="44">
        <f t="shared" ca="1" si="62"/>
        <v>1</v>
      </c>
      <c r="AN179" s="44">
        <f t="shared" ca="1" si="62"/>
        <v>1</v>
      </c>
      <c r="AO179" s="44">
        <f t="shared" ca="1" si="62"/>
        <v>1</v>
      </c>
      <c r="AP179" s="44">
        <f t="shared" ca="1" si="62"/>
        <v>1</v>
      </c>
      <c r="AQ179" s="44">
        <f t="shared" ca="1" si="62"/>
        <v>1</v>
      </c>
      <c r="AR179" s="44">
        <f t="shared" ca="1" si="62"/>
        <v>1</v>
      </c>
      <c r="AS179" s="44">
        <f t="shared" ca="1" si="62"/>
        <v>1</v>
      </c>
      <c r="AT179" s="44">
        <f t="shared" ca="1" si="62"/>
        <v>1</v>
      </c>
      <c r="AU179" s="44">
        <f t="shared" ca="1" si="62"/>
        <v>1</v>
      </c>
      <c r="AV179" s="44">
        <f t="shared" ca="1" si="62"/>
        <v>1</v>
      </c>
      <c r="AW179" s="44">
        <f t="shared" ca="1" si="62"/>
        <v>1</v>
      </c>
      <c r="AX179" s="44">
        <f t="shared" ca="1" si="62"/>
        <v>1</v>
      </c>
      <c r="AY179" s="44">
        <f t="shared" ca="1" si="62"/>
        <v>1</v>
      </c>
      <c r="AZ179" s="44">
        <f t="shared" ca="1" si="62"/>
        <v>1</v>
      </c>
      <c r="BA179" s="44">
        <f t="shared" ca="1" si="62"/>
        <v>1</v>
      </c>
      <c r="BB179" s="44">
        <f t="shared" ca="1" si="62"/>
        <v>1</v>
      </c>
      <c r="BC179" s="44">
        <f t="shared" ca="1" si="62"/>
        <v>1</v>
      </c>
      <c r="BD179" s="44">
        <f t="shared" ca="1" si="62"/>
        <v>1</v>
      </c>
      <c r="BE179" s="44">
        <f t="shared" ca="1" si="62"/>
        <v>1</v>
      </c>
      <c r="BF179" s="44">
        <f t="shared" ca="1" si="62"/>
        <v>1</v>
      </c>
      <c r="BG179" s="44">
        <f t="shared" ca="1" si="62"/>
        <v>1</v>
      </c>
      <c r="BH179" s="44">
        <f t="shared" ca="1" si="62"/>
        <v>1</v>
      </c>
      <c r="BI179" s="44">
        <f t="shared" ca="1" si="62"/>
        <v>1</v>
      </c>
      <c r="BJ179" s="44">
        <f t="shared" ca="1" si="62"/>
        <v>1</v>
      </c>
      <c r="BK179" s="44">
        <f t="shared" ca="1" si="62"/>
        <v>1</v>
      </c>
      <c r="BL179" s="44">
        <f t="shared" ca="1" si="62"/>
        <v>1</v>
      </c>
      <c r="BM179" s="44">
        <f t="shared" ca="1" si="62"/>
        <v>1</v>
      </c>
      <c r="BN179" s="44">
        <f t="shared" ca="1" si="62"/>
        <v>1</v>
      </c>
      <c r="BO179" s="44">
        <f t="shared" ca="1" si="62"/>
        <v>1</v>
      </c>
      <c r="BP179" s="44">
        <f t="shared" ref="BP179:CS179" ca="1" si="63">IF(SUM(OFFSET(BP150,BP175-3,0,3))=0,1,AVERAGEIFS(OFFSET(BP69,BP175-3,0,3),OFFSET(BP150,BP175-3,0,3),1))</f>
        <v>1</v>
      </c>
      <c r="BQ179" s="44">
        <f t="shared" ca="1" si="63"/>
        <v>1</v>
      </c>
      <c r="BR179" s="44">
        <f t="shared" ca="1" si="63"/>
        <v>1</v>
      </c>
      <c r="BS179" s="44">
        <f t="shared" ca="1" si="63"/>
        <v>1</v>
      </c>
      <c r="BT179" s="44">
        <f t="shared" ca="1" si="63"/>
        <v>1</v>
      </c>
      <c r="BU179" s="44">
        <f t="shared" ca="1" si="63"/>
        <v>1</v>
      </c>
      <c r="BV179" s="44">
        <f t="shared" ca="1" si="63"/>
        <v>1</v>
      </c>
      <c r="BW179" s="44">
        <f t="shared" ca="1" si="63"/>
        <v>1</v>
      </c>
      <c r="BX179" s="44">
        <f t="shared" ca="1" si="63"/>
        <v>1</v>
      </c>
      <c r="BY179" s="44">
        <f t="shared" ca="1" si="63"/>
        <v>1</v>
      </c>
      <c r="BZ179" s="44">
        <f t="shared" ca="1" si="63"/>
        <v>1</v>
      </c>
      <c r="CA179" s="44">
        <f t="shared" ca="1" si="63"/>
        <v>1</v>
      </c>
      <c r="CB179" s="44">
        <f t="shared" ca="1" si="63"/>
        <v>1</v>
      </c>
      <c r="CC179" s="44">
        <f t="shared" ca="1" si="63"/>
        <v>1</v>
      </c>
      <c r="CD179" s="44">
        <f t="shared" ca="1" si="63"/>
        <v>1</v>
      </c>
      <c r="CE179" s="44">
        <f t="shared" ca="1" si="63"/>
        <v>1</v>
      </c>
      <c r="CF179" s="44">
        <f t="shared" ca="1" si="63"/>
        <v>1</v>
      </c>
      <c r="CG179" s="44">
        <f t="shared" ca="1" si="63"/>
        <v>1</v>
      </c>
      <c r="CH179" s="44">
        <f t="shared" ca="1" si="63"/>
        <v>1</v>
      </c>
      <c r="CI179" s="44">
        <f t="shared" ca="1" si="63"/>
        <v>1</v>
      </c>
      <c r="CJ179" s="44">
        <f t="shared" ca="1" si="63"/>
        <v>1</v>
      </c>
      <c r="CK179" s="44">
        <f t="shared" ca="1" si="63"/>
        <v>1</v>
      </c>
      <c r="CL179" s="44">
        <f t="shared" ca="1" si="63"/>
        <v>1</v>
      </c>
      <c r="CM179" s="44">
        <f t="shared" ca="1" si="63"/>
        <v>1</v>
      </c>
      <c r="CN179" s="44">
        <f t="shared" ca="1" si="63"/>
        <v>1</v>
      </c>
      <c r="CO179" s="44">
        <f t="shared" ca="1" si="63"/>
        <v>1</v>
      </c>
      <c r="CP179" s="44">
        <f t="shared" ca="1" si="63"/>
        <v>1</v>
      </c>
      <c r="CQ179" s="44">
        <f t="shared" ca="1" si="63"/>
        <v>1</v>
      </c>
      <c r="CR179" s="44">
        <f t="shared" ca="1" si="63"/>
        <v>1</v>
      </c>
      <c r="CS179" s="44">
        <f t="shared" ca="1" si="63"/>
        <v>1</v>
      </c>
    </row>
    <row r="180" spans="1:101" hidden="1" x14ac:dyDescent="0.25">
      <c r="A180" s="97">
        <v>0</v>
      </c>
      <c r="B180" s="25" t="s">
        <v>7</v>
      </c>
      <c r="C180" s="46">
        <f>C190</f>
        <v>5</v>
      </c>
      <c r="D180" s="44">
        <f t="shared" ref="D180:AI180" ca="1" si="64">IF(SUM(OFFSET(D150,D175-$C$180,0,$C$180))=0,1,AVERAGEIFS(OFFSET(D69,D175-$C$180,0,$C$180),OFFSET(D150,D175-$C$180,0,$C$180),1))</f>
        <v>2.8712173408698107</v>
      </c>
      <c r="E180" s="44">
        <f t="shared" ca="1" si="64"/>
        <v>32.815319263737386</v>
      </c>
      <c r="F180" s="44">
        <f t="shared" ca="1" si="64"/>
        <v>1.0609640946909489</v>
      </c>
      <c r="G180" s="44">
        <f t="shared" ca="1" si="64"/>
        <v>0.84302188390197175</v>
      </c>
      <c r="H180" s="44">
        <f t="shared" ca="1" si="64"/>
        <v>0.88783367251807033</v>
      </c>
      <c r="I180" s="44">
        <f t="shared" ca="1" si="64"/>
        <v>0.92181859275716749</v>
      </c>
      <c r="J180" s="44">
        <f t="shared" ca="1" si="64"/>
        <v>0.98801150584362418</v>
      </c>
      <c r="K180" s="44">
        <f t="shared" ca="1" si="64"/>
        <v>0.98585364716294022</v>
      </c>
      <c r="L180" s="44">
        <f t="shared" ca="1" si="64"/>
        <v>0.99961951322065556</v>
      </c>
      <c r="M180" s="44">
        <f t="shared" ca="1" si="64"/>
        <v>1</v>
      </c>
      <c r="N180" s="44">
        <f t="shared" ca="1" si="64"/>
        <v>1</v>
      </c>
      <c r="O180" s="44">
        <f t="shared" ca="1" si="64"/>
        <v>1</v>
      </c>
      <c r="P180" s="44">
        <f t="shared" ca="1" si="64"/>
        <v>1</v>
      </c>
      <c r="Q180" s="44">
        <f t="shared" ca="1" si="64"/>
        <v>1</v>
      </c>
      <c r="R180" s="44">
        <f t="shared" ca="1" si="64"/>
        <v>1</v>
      </c>
      <c r="S180" s="44">
        <f t="shared" ca="1" si="64"/>
        <v>1</v>
      </c>
      <c r="T180" s="44">
        <f t="shared" ca="1" si="64"/>
        <v>1</v>
      </c>
      <c r="U180" s="44">
        <f t="shared" ca="1" si="64"/>
        <v>1</v>
      </c>
      <c r="V180" s="44">
        <f t="shared" ca="1" si="64"/>
        <v>1</v>
      </c>
      <c r="W180" s="44">
        <f t="shared" ca="1" si="64"/>
        <v>1</v>
      </c>
      <c r="X180" s="44">
        <f t="shared" ca="1" si="64"/>
        <v>1</v>
      </c>
      <c r="Y180" s="44">
        <f t="shared" ca="1" si="64"/>
        <v>1</v>
      </c>
      <c r="Z180" s="44">
        <f t="shared" ca="1" si="64"/>
        <v>1</v>
      </c>
      <c r="AA180" s="44">
        <f t="shared" ca="1" si="64"/>
        <v>1</v>
      </c>
      <c r="AB180" s="44">
        <f t="shared" ca="1" si="64"/>
        <v>1</v>
      </c>
      <c r="AC180" s="44">
        <f t="shared" ca="1" si="64"/>
        <v>1</v>
      </c>
      <c r="AD180" s="44">
        <f t="shared" ca="1" si="64"/>
        <v>1</v>
      </c>
      <c r="AE180" s="44">
        <f t="shared" ca="1" si="64"/>
        <v>1</v>
      </c>
      <c r="AF180" s="44">
        <f t="shared" ca="1" si="64"/>
        <v>1</v>
      </c>
      <c r="AG180" s="44">
        <f t="shared" ca="1" si="64"/>
        <v>1</v>
      </c>
      <c r="AH180" s="44">
        <f t="shared" ca="1" si="64"/>
        <v>1</v>
      </c>
      <c r="AI180" s="44">
        <f t="shared" ca="1" si="64"/>
        <v>1</v>
      </c>
      <c r="AJ180" s="44">
        <f t="shared" ref="AJ180:BO180" ca="1" si="65">IF(SUM(OFFSET(AJ150,AJ175-$C$180,0,$C$180))=0,1,AVERAGEIFS(OFFSET(AJ69,AJ175-$C$180,0,$C$180),OFFSET(AJ150,AJ175-$C$180,0,$C$180),1))</f>
        <v>1</v>
      </c>
      <c r="AK180" s="44">
        <f t="shared" ca="1" si="65"/>
        <v>1</v>
      </c>
      <c r="AL180" s="44">
        <f t="shared" ca="1" si="65"/>
        <v>1</v>
      </c>
      <c r="AM180" s="44">
        <f t="shared" ca="1" si="65"/>
        <v>1</v>
      </c>
      <c r="AN180" s="44">
        <f t="shared" ca="1" si="65"/>
        <v>1</v>
      </c>
      <c r="AO180" s="44">
        <f t="shared" ca="1" si="65"/>
        <v>1</v>
      </c>
      <c r="AP180" s="44">
        <f t="shared" ca="1" si="65"/>
        <v>1</v>
      </c>
      <c r="AQ180" s="44">
        <f t="shared" ca="1" si="65"/>
        <v>1</v>
      </c>
      <c r="AR180" s="44">
        <f t="shared" ca="1" si="65"/>
        <v>1</v>
      </c>
      <c r="AS180" s="44">
        <f t="shared" ca="1" si="65"/>
        <v>1</v>
      </c>
      <c r="AT180" s="44">
        <f t="shared" ca="1" si="65"/>
        <v>1</v>
      </c>
      <c r="AU180" s="44">
        <f t="shared" ca="1" si="65"/>
        <v>1</v>
      </c>
      <c r="AV180" s="44">
        <f t="shared" ca="1" si="65"/>
        <v>1</v>
      </c>
      <c r="AW180" s="44">
        <f t="shared" ca="1" si="65"/>
        <v>1</v>
      </c>
      <c r="AX180" s="44">
        <f t="shared" ca="1" si="65"/>
        <v>1</v>
      </c>
      <c r="AY180" s="44">
        <f t="shared" ca="1" si="65"/>
        <v>1</v>
      </c>
      <c r="AZ180" s="44">
        <f t="shared" ca="1" si="65"/>
        <v>1</v>
      </c>
      <c r="BA180" s="44">
        <f t="shared" ca="1" si="65"/>
        <v>1</v>
      </c>
      <c r="BB180" s="44">
        <f t="shared" ca="1" si="65"/>
        <v>1</v>
      </c>
      <c r="BC180" s="44">
        <f t="shared" ca="1" si="65"/>
        <v>1</v>
      </c>
      <c r="BD180" s="44">
        <f t="shared" ca="1" si="65"/>
        <v>1</v>
      </c>
      <c r="BE180" s="44">
        <f t="shared" ca="1" si="65"/>
        <v>1</v>
      </c>
      <c r="BF180" s="44">
        <f t="shared" ca="1" si="65"/>
        <v>1</v>
      </c>
      <c r="BG180" s="44">
        <f t="shared" ca="1" si="65"/>
        <v>1</v>
      </c>
      <c r="BH180" s="44">
        <f t="shared" ca="1" si="65"/>
        <v>1</v>
      </c>
      <c r="BI180" s="44">
        <f t="shared" ca="1" si="65"/>
        <v>1</v>
      </c>
      <c r="BJ180" s="44">
        <f t="shared" ca="1" si="65"/>
        <v>1</v>
      </c>
      <c r="BK180" s="44">
        <f t="shared" ca="1" si="65"/>
        <v>1</v>
      </c>
      <c r="BL180" s="44">
        <f t="shared" ca="1" si="65"/>
        <v>1</v>
      </c>
      <c r="BM180" s="44">
        <f t="shared" ca="1" si="65"/>
        <v>1</v>
      </c>
      <c r="BN180" s="44">
        <f t="shared" ca="1" si="65"/>
        <v>1</v>
      </c>
      <c r="BO180" s="44">
        <f t="shared" ca="1" si="65"/>
        <v>1</v>
      </c>
      <c r="BP180" s="44">
        <f t="shared" ref="BP180:CS180" ca="1" si="66">IF(SUM(OFFSET(BP150,BP175-$C$180,0,$C$180))=0,1,AVERAGEIFS(OFFSET(BP69,BP175-$C$180,0,$C$180),OFFSET(BP150,BP175-$C$180,0,$C$180),1))</f>
        <v>1</v>
      </c>
      <c r="BQ180" s="44">
        <f t="shared" ca="1" si="66"/>
        <v>1</v>
      </c>
      <c r="BR180" s="44">
        <f t="shared" ca="1" si="66"/>
        <v>1</v>
      </c>
      <c r="BS180" s="44">
        <f t="shared" ca="1" si="66"/>
        <v>1</v>
      </c>
      <c r="BT180" s="44">
        <f t="shared" ca="1" si="66"/>
        <v>1</v>
      </c>
      <c r="BU180" s="44">
        <f t="shared" ca="1" si="66"/>
        <v>1</v>
      </c>
      <c r="BV180" s="44">
        <f t="shared" ca="1" si="66"/>
        <v>1</v>
      </c>
      <c r="BW180" s="44">
        <f t="shared" ca="1" si="66"/>
        <v>1</v>
      </c>
      <c r="BX180" s="44">
        <f t="shared" ca="1" si="66"/>
        <v>1</v>
      </c>
      <c r="BY180" s="44">
        <f t="shared" ca="1" si="66"/>
        <v>1</v>
      </c>
      <c r="BZ180" s="44">
        <f t="shared" ca="1" si="66"/>
        <v>1</v>
      </c>
      <c r="CA180" s="44">
        <f t="shared" ca="1" si="66"/>
        <v>1</v>
      </c>
      <c r="CB180" s="44">
        <f t="shared" ca="1" si="66"/>
        <v>1</v>
      </c>
      <c r="CC180" s="44">
        <f t="shared" ca="1" si="66"/>
        <v>1</v>
      </c>
      <c r="CD180" s="44">
        <f t="shared" ca="1" si="66"/>
        <v>1</v>
      </c>
      <c r="CE180" s="44">
        <f t="shared" ca="1" si="66"/>
        <v>1</v>
      </c>
      <c r="CF180" s="44">
        <f t="shared" ca="1" si="66"/>
        <v>1</v>
      </c>
      <c r="CG180" s="44">
        <f t="shared" ca="1" si="66"/>
        <v>1</v>
      </c>
      <c r="CH180" s="44">
        <f t="shared" ca="1" si="66"/>
        <v>1</v>
      </c>
      <c r="CI180" s="44">
        <f t="shared" ca="1" si="66"/>
        <v>1</v>
      </c>
      <c r="CJ180" s="44">
        <f t="shared" ca="1" si="66"/>
        <v>1</v>
      </c>
      <c r="CK180" s="44">
        <f t="shared" ca="1" si="66"/>
        <v>1</v>
      </c>
      <c r="CL180" s="44">
        <f t="shared" ca="1" si="66"/>
        <v>1</v>
      </c>
      <c r="CM180" s="44">
        <f t="shared" ca="1" si="66"/>
        <v>1</v>
      </c>
      <c r="CN180" s="44">
        <f t="shared" ca="1" si="66"/>
        <v>1</v>
      </c>
      <c r="CO180" s="44">
        <f t="shared" ca="1" si="66"/>
        <v>1</v>
      </c>
      <c r="CP180" s="44">
        <f t="shared" ca="1" si="66"/>
        <v>1</v>
      </c>
      <c r="CQ180" s="44">
        <f t="shared" ca="1" si="66"/>
        <v>1</v>
      </c>
      <c r="CR180" s="44">
        <f t="shared" ca="1" si="66"/>
        <v>1</v>
      </c>
      <c r="CS180" s="44">
        <f t="shared" ca="1" si="66"/>
        <v>1</v>
      </c>
    </row>
    <row r="181" spans="1:101" hidden="1" x14ac:dyDescent="0.25">
      <c r="A181" s="97">
        <v>0</v>
      </c>
      <c r="C181" s="25" t="s">
        <v>8</v>
      </c>
      <c r="D181" s="44">
        <f t="shared" ref="D181:BO181" si="67">IF(SUMIFS(C$14:C$37,D$150:D$173,1)=0,1,SUMIFS(D$14:D$37,D$150:D$173,1)/SUMIFS(C$14:C$37,D$150:D$173,1))</f>
        <v>1.4185310565525786</v>
      </c>
      <c r="E181" s="44">
        <f t="shared" si="67"/>
        <v>2.0925185382106259</v>
      </c>
      <c r="F181" s="44">
        <f t="shared" si="67"/>
        <v>1.0806145478416056</v>
      </c>
      <c r="G181" s="44">
        <f t="shared" si="67"/>
        <v>0.96952656688216809</v>
      </c>
      <c r="H181" s="44">
        <f t="shared" si="67"/>
        <v>0.88511280334830633</v>
      </c>
      <c r="I181" s="44">
        <f t="shared" si="67"/>
        <v>0.92386545918483642</v>
      </c>
      <c r="J181" s="44">
        <f t="shared" si="67"/>
        <v>0.9850870087131437</v>
      </c>
      <c r="K181" s="44">
        <f t="shared" si="67"/>
        <v>0.9750458136595691</v>
      </c>
      <c r="L181" s="44">
        <f t="shared" si="67"/>
        <v>0.99961951322065556</v>
      </c>
      <c r="M181" s="44">
        <f t="shared" si="67"/>
        <v>1</v>
      </c>
      <c r="N181" s="44">
        <f t="shared" si="67"/>
        <v>1</v>
      </c>
      <c r="O181" s="44">
        <f t="shared" si="67"/>
        <v>1</v>
      </c>
      <c r="P181" s="44">
        <f t="shared" si="67"/>
        <v>1</v>
      </c>
      <c r="Q181" s="44">
        <f t="shared" si="67"/>
        <v>1</v>
      </c>
      <c r="R181" s="44">
        <f t="shared" si="67"/>
        <v>1</v>
      </c>
      <c r="S181" s="44">
        <f t="shared" si="67"/>
        <v>1</v>
      </c>
      <c r="T181" s="44">
        <f t="shared" si="67"/>
        <v>1</v>
      </c>
      <c r="U181" s="44">
        <f t="shared" si="67"/>
        <v>1</v>
      </c>
      <c r="V181" s="44">
        <f t="shared" si="67"/>
        <v>1</v>
      </c>
      <c r="W181" s="44">
        <f t="shared" si="67"/>
        <v>1</v>
      </c>
      <c r="X181" s="44">
        <f t="shared" si="67"/>
        <v>1</v>
      </c>
      <c r="Y181" s="44">
        <f t="shared" si="67"/>
        <v>1</v>
      </c>
      <c r="Z181" s="44">
        <f t="shared" si="67"/>
        <v>1</v>
      </c>
      <c r="AA181" s="44">
        <f t="shared" si="67"/>
        <v>1</v>
      </c>
      <c r="AB181" s="44">
        <f t="shared" si="67"/>
        <v>1</v>
      </c>
      <c r="AC181" s="44">
        <f t="shared" si="67"/>
        <v>1</v>
      </c>
      <c r="AD181" s="44">
        <f t="shared" si="67"/>
        <v>1</v>
      </c>
      <c r="AE181" s="44">
        <f t="shared" si="67"/>
        <v>1</v>
      </c>
      <c r="AF181" s="44">
        <f t="shared" si="67"/>
        <v>1</v>
      </c>
      <c r="AG181" s="44">
        <f t="shared" si="67"/>
        <v>1</v>
      </c>
      <c r="AH181" s="44">
        <f t="shared" si="67"/>
        <v>1</v>
      </c>
      <c r="AI181" s="44">
        <f t="shared" si="67"/>
        <v>1</v>
      </c>
      <c r="AJ181" s="44">
        <f t="shared" si="67"/>
        <v>1</v>
      </c>
      <c r="AK181" s="44">
        <f t="shared" si="67"/>
        <v>1</v>
      </c>
      <c r="AL181" s="44">
        <f t="shared" si="67"/>
        <v>1</v>
      </c>
      <c r="AM181" s="44">
        <f t="shared" si="67"/>
        <v>1</v>
      </c>
      <c r="AN181" s="44">
        <f t="shared" si="67"/>
        <v>1</v>
      </c>
      <c r="AO181" s="44">
        <f t="shared" si="67"/>
        <v>1</v>
      </c>
      <c r="AP181" s="44">
        <f t="shared" si="67"/>
        <v>1</v>
      </c>
      <c r="AQ181" s="44">
        <f t="shared" si="67"/>
        <v>1</v>
      </c>
      <c r="AR181" s="44">
        <f t="shared" si="67"/>
        <v>1</v>
      </c>
      <c r="AS181" s="44">
        <f t="shared" si="67"/>
        <v>1</v>
      </c>
      <c r="AT181" s="44">
        <f t="shared" si="67"/>
        <v>1</v>
      </c>
      <c r="AU181" s="44">
        <f t="shared" si="67"/>
        <v>1</v>
      </c>
      <c r="AV181" s="44">
        <f t="shared" si="67"/>
        <v>1</v>
      </c>
      <c r="AW181" s="44">
        <f t="shared" si="67"/>
        <v>1</v>
      </c>
      <c r="AX181" s="44">
        <f t="shared" si="67"/>
        <v>1</v>
      </c>
      <c r="AY181" s="44">
        <f t="shared" si="67"/>
        <v>1</v>
      </c>
      <c r="AZ181" s="44">
        <f t="shared" si="67"/>
        <v>1</v>
      </c>
      <c r="BA181" s="44">
        <f t="shared" si="67"/>
        <v>1</v>
      </c>
      <c r="BB181" s="44">
        <f t="shared" si="67"/>
        <v>1</v>
      </c>
      <c r="BC181" s="44">
        <f t="shared" si="67"/>
        <v>1</v>
      </c>
      <c r="BD181" s="44">
        <f t="shared" si="67"/>
        <v>1</v>
      </c>
      <c r="BE181" s="44">
        <f t="shared" si="67"/>
        <v>1</v>
      </c>
      <c r="BF181" s="44">
        <f t="shared" si="67"/>
        <v>1</v>
      </c>
      <c r="BG181" s="44">
        <f t="shared" si="67"/>
        <v>1</v>
      </c>
      <c r="BH181" s="44">
        <f t="shared" si="67"/>
        <v>1</v>
      </c>
      <c r="BI181" s="44">
        <f t="shared" si="67"/>
        <v>1</v>
      </c>
      <c r="BJ181" s="44">
        <f t="shared" si="67"/>
        <v>1</v>
      </c>
      <c r="BK181" s="44">
        <f t="shared" si="67"/>
        <v>1</v>
      </c>
      <c r="BL181" s="44">
        <f t="shared" si="67"/>
        <v>1</v>
      </c>
      <c r="BM181" s="44">
        <f t="shared" si="67"/>
        <v>1</v>
      </c>
      <c r="BN181" s="44">
        <f t="shared" si="67"/>
        <v>1</v>
      </c>
      <c r="BO181" s="44">
        <f t="shared" si="67"/>
        <v>1</v>
      </c>
      <c r="BP181" s="44">
        <f t="shared" ref="BP181:CS181" si="68">IF(SUMIFS(BO$14:BO$37,BP$150:BP$173,1)=0,1,SUMIFS(BP$14:BP$37,BP$150:BP$173,1)/SUMIFS(BO$14:BO$37,BP$150:BP$173,1))</f>
        <v>1</v>
      </c>
      <c r="BQ181" s="44">
        <f t="shared" si="68"/>
        <v>1</v>
      </c>
      <c r="BR181" s="44">
        <f t="shared" si="68"/>
        <v>1</v>
      </c>
      <c r="BS181" s="44">
        <f t="shared" si="68"/>
        <v>1</v>
      </c>
      <c r="BT181" s="44">
        <f t="shared" si="68"/>
        <v>1</v>
      </c>
      <c r="BU181" s="44">
        <f t="shared" si="68"/>
        <v>1</v>
      </c>
      <c r="BV181" s="44">
        <f t="shared" si="68"/>
        <v>1</v>
      </c>
      <c r="BW181" s="44">
        <f t="shared" si="68"/>
        <v>1</v>
      </c>
      <c r="BX181" s="44">
        <f t="shared" si="68"/>
        <v>1</v>
      </c>
      <c r="BY181" s="44">
        <f t="shared" si="68"/>
        <v>1</v>
      </c>
      <c r="BZ181" s="44">
        <f t="shared" si="68"/>
        <v>1</v>
      </c>
      <c r="CA181" s="44">
        <f t="shared" si="68"/>
        <v>1</v>
      </c>
      <c r="CB181" s="44">
        <f t="shared" si="68"/>
        <v>1</v>
      </c>
      <c r="CC181" s="44">
        <f t="shared" si="68"/>
        <v>1</v>
      </c>
      <c r="CD181" s="44">
        <f t="shared" si="68"/>
        <v>1</v>
      </c>
      <c r="CE181" s="44">
        <f t="shared" si="68"/>
        <v>1</v>
      </c>
      <c r="CF181" s="44">
        <f t="shared" si="68"/>
        <v>1</v>
      </c>
      <c r="CG181" s="44">
        <f t="shared" si="68"/>
        <v>1</v>
      </c>
      <c r="CH181" s="44">
        <f t="shared" si="68"/>
        <v>1</v>
      </c>
      <c r="CI181" s="44">
        <f t="shared" si="68"/>
        <v>1</v>
      </c>
      <c r="CJ181" s="44">
        <f t="shared" si="68"/>
        <v>1</v>
      </c>
      <c r="CK181" s="44">
        <f t="shared" si="68"/>
        <v>1</v>
      </c>
      <c r="CL181" s="44">
        <f t="shared" si="68"/>
        <v>1</v>
      </c>
      <c r="CM181" s="44">
        <f t="shared" si="68"/>
        <v>1</v>
      </c>
      <c r="CN181" s="44">
        <f t="shared" si="68"/>
        <v>1</v>
      </c>
      <c r="CO181" s="44">
        <f t="shared" si="68"/>
        <v>1</v>
      </c>
      <c r="CP181" s="44">
        <f t="shared" si="68"/>
        <v>1</v>
      </c>
      <c r="CQ181" s="44">
        <f t="shared" si="68"/>
        <v>1</v>
      </c>
      <c r="CR181" s="44">
        <f t="shared" si="68"/>
        <v>1</v>
      </c>
      <c r="CS181" s="44">
        <f t="shared" si="68"/>
        <v>1</v>
      </c>
    </row>
    <row r="182" spans="1:101" hidden="1" x14ac:dyDescent="0.25">
      <c r="A182" s="97">
        <v>0</v>
      </c>
      <c r="C182" s="47">
        <v>5</v>
      </c>
      <c r="D182" s="44">
        <f t="shared" ref="D182:BO182" ca="1" si="69">IF(SUMIFS(OFFSET(C13,D175-5,0,5),OFFSET(D149,D175-5,0,5),1)=0,1,SUMIFS(OFFSET(D13,D175-5,0,5),OFFSET(D149,D175-5,0,5),1)/SUMIFS(OFFSET(C13,D175-5,0,5),OFFSET(D149,D175-5,0,5),1))</f>
        <v>4.4587686291413329</v>
      </c>
      <c r="E182" s="44">
        <f t="shared" ca="1" si="69"/>
        <v>1.1969010589833935</v>
      </c>
      <c r="F182" s="44">
        <f t="shared" ca="1" si="69"/>
        <v>1.0812158285813152</v>
      </c>
      <c r="G182" s="44">
        <f t="shared" ca="1" si="69"/>
        <v>0.96952656688216809</v>
      </c>
      <c r="H182" s="44">
        <f t="shared" ca="1" si="69"/>
        <v>0.83796659202983037</v>
      </c>
      <c r="I182" s="44">
        <f t="shared" ca="1" si="69"/>
        <v>0.92386545918483642</v>
      </c>
      <c r="J182" s="44">
        <f t="shared" ca="1" si="69"/>
        <v>0.99969018466749615</v>
      </c>
      <c r="K182" s="44">
        <f t="shared" ca="1" si="69"/>
        <v>0.97170729432588032</v>
      </c>
      <c r="L182" s="44">
        <f t="shared" ca="1" si="69"/>
        <v>1</v>
      </c>
      <c r="M182" s="44">
        <f t="shared" ca="1" si="69"/>
        <v>1</v>
      </c>
      <c r="N182" s="44">
        <f t="shared" ca="1" si="69"/>
        <v>1</v>
      </c>
      <c r="O182" s="44">
        <f t="shared" ca="1" si="69"/>
        <v>1</v>
      </c>
      <c r="P182" s="44">
        <f t="shared" ca="1" si="69"/>
        <v>1</v>
      </c>
      <c r="Q182" s="44">
        <f t="shared" ca="1" si="69"/>
        <v>1</v>
      </c>
      <c r="R182" s="44">
        <f t="shared" ca="1" si="69"/>
        <v>1</v>
      </c>
      <c r="S182" s="44">
        <f t="shared" ca="1" si="69"/>
        <v>1</v>
      </c>
      <c r="T182" s="44">
        <f t="shared" ca="1" si="69"/>
        <v>1</v>
      </c>
      <c r="U182" s="44">
        <f t="shared" ca="1" si="69"/>
        <v>1</v>
      </c>
      <c r="V182" s="44">
        <f t="shared" ca="1" si="69"/>
        <v>1</v>
      </c>
      <c r="W182" s="44">
        <f t="shared" ca="1" si="69"/>
        <v>1</v>
      </c>
      <c r="X182" s="44">
        <f t="shared" ca="1" si="69"/>
        <v>1</v>
      </c>
      <c r="Y182" s="44">
        <f t="shared" ca="1" si="69"/>
        <v>1</v>
      </c>
      <c r="Z182" s="44">
        <f t="shared" ca="1" si="69"/>
        <v>1</v>
      </c>
      <c r="AA182" s="44">
        <f t="shared" ca="1" si="69"/>
        <v>1</v>
      </c>
      <c r="AB182" s="44">
        <f t="shared" ca="1" si="69"/>
        <v>1</v>
      </c>
      <c r="AC182" s="44">
        <f t="shared" ca="1" si="69"/>
        <v>1</v>
      </c>
      <c r="AD182" s="44">
        <f t="shared" ca="1" si="69"/>
        <v>1</v>
      </c>
      <c r="AE182" s="44">
        <f t="shared" ca="1" si="69"/>
        <v>1</v>
      </c>
      <c r="AF182" s="44">
        <f t="shared" ca="1" si="69"/>
        <v>1</v>
      </c>
      <c r="AG182" s="44">
        <f t="shared" ca="1" si="69"/>
        <v>1</v>
      </c>
      <c r="AH182" s="44">
        <f t="shared" ca="1" si="69"/>
        <v>1</v>
      </c>
      <c r="AI182" s="44">
        <f t="shared" ca="1" si="69"/>
        <v>1</v>
      </c>
      <c r="AJ182" s="44">
        <f t="shared" ca="1" si="69"/>
        <v>1</v>
      </c>
      <c r="AK182" s="44">
        <f t="shared" ca="1" si="69"/>
        <v>1</v>
      </c>
      <c r="AL182" s="44">
        <f t="shared" ca="1" si="69"/>
        <v>1</v>
      </c>
      <c r="AM182" s="44">
        <f t="shared" ca="1" si="69"/>
        <v>1</v>
      </c>
      <c r="AN182" s="44">
        <f t="shared" ca="1" si="69"/>
        <v>1</v>
      </c>
      <c r="AO182" s="44">
        <f t="shared" ca="1" si="69"/>
        <v>1</v>
      </c>
      <c r="AP182" s="44">
        <f t="shared" ca="1" si="69"/>
        <v>1</v>
      </c>
      <c r="AQ182" s="44">
        <f t="shared" ca="1" si="69"/>
        <v>1</v>
      </c>
      <c r="AR182" s="44">
        <f t="shared" ca="1" si="69"/>
        <v>1</v>
      </c>
      <c r="AS182" s="44">
        <f t="shared" ca="1" si="69"/>
        <v>1</v>
      </c>
      <c r="AT182" s="44">
        <f t="shared" ca="1" si="69"/>
        <v>1</v>
      </c>
      <c r="AU182" s="44">
        <f t="shared" ca="1" si="69"/>
        <v>1</v>
      </c>
      <c r="AV182" s="44">
        <f t="shared" ca="1" si="69"/>
        <v>1</v>
      </c>
      <c r="AW182" s="44">
        <f t="shared" ca="1" si="69"/>
        <v>1</v>
      </c>
      <c r="AX182" s="44">
        <f t="shared" ca="1" si="69"/>
        <v>1</v>
      </c>
      <c r="AY182" s="44">
        <f t="shared" ca="1" si="69"/>
        <v>1</v>
      </c>
      <c r="AZ182" s="44">
        <f t="shared" ca="1" si="69"/>
        <v>1</v>
      </c>
      <c r="BA182" s="44">
        <f t="shared" ca="1" si="69"/>
        <v>1</v>
      </c>
      <c r="BB182" s="44">
        <f t="shared" ca="1" si="69"/>
        <v>1</v>
      </c>
      <c r="BC182" s="44">
        <f t="shared" ca="1" si="69"/>
        <v>1</v>
      </c>
      <c r="BD182" s="44">
        <f t="shared" ca="1" si="69"/>
        <v>1</v>
      </c>
      <c r="BE182" s="44">
        <f t="shared" ca="1" si="69"/>
        <v>1</v>
      </c>
      <c r="BF182" s="44">
        <f t="shared" ca="1" si="69"/>
        <v>1</v>
      </c>
      <c r="BG182" s="44">
        <f t="shared" ca="1" si="69"/>
        <v>1</v>
      </c>
      <c r="BH182" s="44">
        <f t="shared" ca="1" si="69"/>
        <v>1</v>
      </c>
      <c r="BI182" s="44">
        <f t="shared" ca="1" si="69"/>
        <v>1</v>
      </c>
      <c r="BJ182" s="44">
        <f t="shared" ca="1" si="69"/>
        <v>1</v>
      </c>
      <c r="BK182" s="44">
        <f t="shared" ca="1" si="69"/>
        <v>1</v>
      </c>
      <c r="BL182" s="44">
        <f t="shared" ca="1" si="69"/>
        <v>1</v>
      </c>
      <c r="BM182" s="44">
        <f t="shared" ca="1" si="69"/>
        <v>1</v>
      </c>
      <c r="BN182" s="44">
        <f t="shared" ca="1" si="69"/>
        <v>1</v>
      </c>
      <c r="BO182" s="44">
        <f t="shared" ca="1" si="69"/>
        <v>1</v>
      </c>
      <c r="BP182" s="44">
        <f t="shared" ref="BP182:CS182" ca="1" si="70">IF(SUMIFS(OFFSET(BO13,BP175-5,0,5),OFFSET(BP149,BP175-5,0,5),1)=0,1,SUMIFS(OFFSET(BP13,BP175-5,0,5),OFFSET(BP149,BP175-5,0,5),1)/SUMIFS(OFFSET(BO13,BP175-5,0,5),OFFSET(BP149,BP175-5,0,5),1))</f>
        <v>1</v>
      </c>
      <c r="BQ182" s="44">
        <f t="shared" ca="1" si="70"/>
        <v>1</v>
      </c>
      <c r="BR182" s="44">
        <f t="shared" ca="1" si="70"/>
        <v>1</v>
      </c>
      <c r="BS182" s="44">
        <f t="shared" ca="1" si="70"/>
        <v>1</v>
      </c>
      <c r="BT182" s="44">
        <f t="shared" ca="1" si="70"/>
        <v>1</v>
      </c>
      <c r="BU182" s="44">
        <f t="shared" ca="1" si="70"/>
        <v>1</v>
      </c>
      <c r="BV182" s="44">
        <f t="shared" ca="1" si="70"/>
        <v>1</v>
      </c>
      <c r="BW182" s="44">
        <f t="shared" ca="1" si="70"/>
        <v>1</v>
      </c>
      <c r="BX182" s="44">
        <f t="shared" ca="1" si="70"/>
        <v>1</v>
      </c>
      <c r="BY182" s="44">
        <f t="shared" ca="1" si="70"/>
        <v>1</v>
      </c>
      <c r="BZ182" s="44">
        <f t="shared" ca="1" si="70"/>
        <v>1</v>
      </c>
      <c r="CA182" s="44">
        <f t="shared" ca="1" si="70"/>
        <v>1</v>
      </c>
      <c r="CB182" s="44">
        <f t="shared" ca="1" si="70"/>
        <v>1</v>
      </c>
      <c r="CC182" s="44">
        <f t="shared" ca="1" si="70"/>
        <v>1</v>
      </c>
      <c r="CD182" s="44">
        <f t="shared" ca="1" si="70"/>
        <v>1</v>
      </c>
      <c r="CE182" s="44">
        <f t="shared" ca="1" si="70"/>
        <v>1</v>
      </c>
      <c r="CF182" s="44">
        <f t="shared" ca="1" si="70"/>
        <v>1</v>
      </c>
      <c r="CG182" s="44">
        <f t="shared" ca="1" si="70"/>
        <v>1</v>
      </c>
      <c r="CH182" s="44">
        <f t="shared" ca="1" si="70"/>
        <v>1</v>
      </c>
      <c r="CI182" s="44">
        <f t="shared" ca="1" si="70"/>
        <v>1</v>
      </c>
      <c r="CJ182" s="44">
        <f t="shared" ca="1" si="70"/>
        <v>1</v>
      </c>
      <c r="CK182" s="44">
        <f t="shared" ca="1" si="70"/>
        <v>1</v>
      </c>
      <c r="CL182" s="44">
        <f t="shared" ca="1" si="70"/>
        <v>1</v>
      </c>
      <c r="CM182" s="44">
        <f t="shared" ca="1" si="70"/>
        <v>1</v>
      </c>
      <c r="CN182" s="44">
        <f t="shared" ca="1" si="70"/>
        <v>1</v>
      </c>
      <c r="CO182" s="44">
        <f t="shared" ca="1" si="70"/>
        <v>1</v>
      </c>
      <c r="CP182" s="44">
        <f t="shared" ca="1" si="70"/>
        <v>1</v>
      </c>
      <c r="CQ182" s="44">
        <f t="shared" ca="1" si="70"/>
        <v>1</v>
      </c>
      <c r="CR182" s="44">
        <f t="shared" ca="1" si="70"/>
        <v>1</v>
      </c>
      <c r="CS182" s="44">
        <f t="shared" ca="1" si="70"/>
        <v>1</v>
      </c>
    </row>
    <row r="183" spans="1:101" hidden="1" x14ac:dyDescent="0.25">
      <c r="A183" s="97">
        <v>0</v>
      </c>
      <c r="C183" s="47">
        <v>3</v>
      </c>
      <c r="D183" s="44">
        <f t="shared" ref="D183:BO183" ca="1" si="71">IF(SUMIFS(OFFSET(C13,D175-3,0,3),OFFSET(D149,D175-3,0,3),1)=0,1,SUMIFS(OFFSET(D13,D175-3,0,3),OFFSET(D149,D175-3,0,3),1)/SUMIFS(OFFSET(C13,D175-3,0,3),OFFSET(D149,D175-3,0,3),1))</f>
        <v>3.3469268968055701</v>
      </c>
      <c r="E183" s="44">
        <f t="shared" ca="1" si="71"/>
        <v>1.0221973218444398</v>
      </c>
      <c r="F183" s="44">
        <f t="shared" ca="1" si="71"/>
        <v>1.0517203312045589</v>
      </c>
      <c r="G183" s="44">
        <f t="shared" ca="1" si="71"/>
        <v>0.9883462291879811</v>
      </c>
      <c r="H183" s="44">
        <f t="shared" ca="1" si="71"/>
        <v>0.72843081039677093</v>
      </c>
      <c r="I183" s="44">
        <f t="shared" ca="1" si="71"/>
        <v>0.92386545918483642</v>
      </c>
      <c r="J183" s="44">
        <f t="shared" ca="1" si="71"/>
        <v>0.99969018466749615</v>
      </c>
      <c r="K183" s="44">
        <f t="shared" ca="1" si="71"/>
        <v>0.97170729432588032</v>
      </c>
      <c r="L183" s="44">
        <f t="shared" ca="1" si="71"/>
        <v>1</v>
      </c>
      <c r="M183" s="44">
        <f t="shared" ca="1" si="71"/>
        <v>1</v>
      </c>
      <c r="N183" s="44">
        <f t="shared" ca="1" si="71"/>
        <v>1</v>
      </c>
      <c r="O183" s="44">
        <f t="shared" ca="1" si="71"/>
        <v>1</v>
      </c>
      <c r="P183" s="44">
        <f t="shared" ca="1" si="71"/>
        <v>1</v>
      </c>
      <c r="Q183" s="44">
        <f t="shared" ca="1" si="71"/>
        <v>1</v>
      </c>
      <c r="R183" s="44">
        <f t="shared" ca="1" si="71"/>
        <v>1</v>
      </c>
      <c r="S183" s="44">
        <f t="shared" ca="1" si="71"/>
        <v>1</v>
      </c>
      <c r="T183" s="44">
        <f t="shared" ca="1" si="71"/>
        <v>1</v>
      </c>
      <c r="U183" s="44">
        <f t="shared" ca="1" si="71"/>
        <v>1</v>
      </c>
      <c r="V183" s="44">
        <f t="shared" ca="1" si="71"/>
        <v>1</v>
      </c>
      <c r="W183" s="44">
        <f t="shared" ca="1" si="71"/>
        <v>1</v>
      </c>
      <c r="X183" s="44">
        <f t="shared" ca="1" si="71"/>
        <v>1</v>
      </c>
      <c r="Y183" s="44">
        <f t="shared" ca="1" si="71"/>
        <v>1</v>
      </c>
      <c r="Z183" s="44">
        <f t="shared" ca="1" si="71"/>
        <v>1</v>
      </c>
      <c r="AA183" s="44">
        <f t="shared" ca="1" si="71"/>
        <v>1</v>
      </c>
      <c r="AB183" s="44">
        <f t="shared" ca="1" si="71"/>
        <v>1</v>
      </c>
      <c r="AC183" s="44">
        <f t="shared" ca="1" si="71"/>
        <v>1</v>
      </c>
      <c r="AD183" s="44">
        <f t="shared" ca="1" si="71"/>
        <v>1</v>
      </c>
      <c r="AE183" s="44">
        <f t="shared" ca="1" si="71"/>
        <v>1</v>
      </c>
      <c r="AF183" s="44">
        <f t="shared" ca="1" si="71"/>
        <v>1</v>
      </c>
      <c r="AG183" s="44">
        <f t="shared" ca="1" si="71"/>
        <v>1</v>
      </c>
      <c r="AH183" s="44">
        <f t="shared" ca="1" si="71"/>
        <v>1</v>
      </c>
      <c r="AI183" s="44">
        <f t="shared" ca="1" si="71"/>
        <v>1</v>
      </c>
      <c r="AJ183" s="44">
        <f t="shared" ca="1" si="71"/>
        <v>1</v>
      </c>
      <c r="AK183" s="44">
        <f t="shared" ca="1" si="71"/>
        <v>1</v>
      </c>
      <c r="AL183" s="44">
        <f t="shared" ca="1" si="71"/>
        <v>1</v>
      </c>
      <c r="AM183" s="44">
        <f t="shared" ca="1" si="71"/>
        <v>1</v>
      </c>
      <c r="AN183" s="44">
        <f t="shared" ca="1" si="71"/>
        <v>1</v>
      </c>
      <c r="AO183" s="44">
        <f t="shared" ca="1" si="71"/>
        <v>1</v>
      </c>
      <c r="AP183" s="44">
        <f t="shared" ca="1" si="71"/>
        <v>1</v>
      </c>
      <c r="AQ183" s="44">
        <f t="shared" ca="1" si="71"/>
        <v>1</v>
      </c>
      <c r="AR183" s="44">
        <f t="shared" ca="1" si="71"/>
        <v>1</v>
      </c>
      <c r="AS183" s="44">
        <f t="shared" ca="1" si="71"/>
        <v>1</v>
      </c>
      <c r="AT183" s="44">
        <f t="shared" ca="1" si="71"/>
        <v>1</v>
      </c>
      <c r="AU183" s="44">
        <f t="shared" ca="1" si="71"/>
        <v>1</v>
      </c>
      <c r="AV183" s="44">
        <f t="shared" ca="1" si="71"/>
        <v>1</v>
      </c>
      <c r="AW183" s="44">
        <f t="shared" ca="1" si="71"/>
        <v>1</v>
      </c>
      <c r="AX183" s="44">
        <f t="shared" ca="1" si="71"/>
        <v>1</v>
      </c>
      <c r="AY183" s="44">
        <f t="shared" ca="1" si="71"/>
        <v>1</v>
      </c>
      <c r="AZ183" s="44">
        <f t="shared" ca="1" si="71"/>
        <v>1</v>
      </c>
      <c r="BA183" s="44">
        <f t="shared" ca="1" si="71"/>
        <v>1</v>
      </c>
      <c r="BB183" s="44">
        <f t="shared" ca="1" si="71"/>
        <v>1</v>
      </c>
      <c r="BC183" s="44">
        <f t="shared" ca="1" si="71"/>
        <v>1</v>
      </c>
      <c r="BD183" s="44">
        <f t="shared" ca="1" si="71"/>
        <v>1</v>
      </c>
      <c r="BE183" s="44">
        <f t="shared" ca="1" si="71"/>
        <v>1</v>
      </c>
      <c r="BF183" s="44">
        <f t="shared" ca="1" si="71"/>
        <v>1</v>
      </c>
      <c r="BG183" s="44">
        <f t="shared" ca="1" si="71"/>
        <v>1</v>
      </c>
      <c r="BH183" s="44">
        <f t="shared" ca="1" si="71"/>
        <v>1</v>
      </c>
      <c r="BI183" s="44">
        <f t="shared" ca="1" si="71"/>
        <v>1</v>
      </c>
      <c r="BJ183" s="44">
        <f t="shared" ca="1" si="71"/>
        <v>1</v>
      </c>
      <c r="BK183" s="44">
        <f t="shared" ca="1" si="71"/>
        <v>1</v>
      </c>
      <c r="BL183" s="44">
        <f t="shared" ca="1" si="71"/>
        <v>1</v>
      </c>
      <c r="BM183" s="44">
        <f t="shared" ca="1" si="71"/>
        <v>1</v>
      </c>
      <c r="BN183" s="44">
        <f t="shared" ca="1" si="71"/>
        <v>1</v>
      </c>
      <c r="BO183" s="44">
        <f t="shared" ca="1" si="71"/>
        <v>1</v>
      </c>
      <c r="BP183" s="44">
        <f t="shared" ref="BP183:CS183" ca="1" si="72">IF(SUMIFS(OFFSET(BO13,BP175-3,0,3),OFFSET(BP149,BP175-3,0,3),1)=0,1,SUMIFS(OFFSET(BP13,BP175-3,0,3),OFFSET(BP149,BP175-3,0,3),1)/SUMIFS(OFFSET(BO13,BP175-3,0,3),OFFSET(BP149,BP175-3,0,3),1))</f>
        <v>1</v>
      </c>
      <c r="BQ183" s="44">
        <f t="shared" ca="1" si="72"/>
        <v>1</v>
      </c>
      <c r="BR183" s="44">
        <f t="shared" ca="1" si="72"/>
        <v>1</v>
      </c>
      <c r="BS183" s="44">
        <f t="shared" ca="1" si="72"/>
        <v>1</v>
      </c>
      <c r="BT183" s="44">
        <f t="shared" ca="1" si="72"/>
        <v>1</v>
      </c>
      <c r="BU183" s="44">
        <f t="shared" ca="1" si="72"/>
        <v>1</v>
      </c>
      <c r="BV183" s="44">
        <f t="shared" ca="1" si="72"/>
        <v>1</v>
      </c>
      <c r="BW183" s="44">
        <f t="shared" ca="1" si="72"/>
        <v>1</v>
      </c>
      <c r="BX183" s="44">
        <f t="shared" ca="1" si="72"/>
        <v>1</v>
      </c>
      <c r="BY183" s="44">
        <f t="shared" ca="1" si="72"/>
        <v>1</v>
      </c>
      <c r="BZ183" s="44">
        <f t="shared" ca="1" si="72"/>
        <v>1</v>
      </c>
      <c r="CA183" s="44">
        <f t="shared" ca="1" si="72"/>
        <v>1</v>
      </c>
      <c r="CB183" s="44">
        <f t="shared" ca="1" si="72"/>
        <v>1</v>
      </c>
      <c r="CC183" s="44">
        <f t="shared" ca="1" si="72"/>
        <v>1</v>
      </c>
      <c r="CD183" s="44">
        <f t="shared" ca="1" si="72"/>
        <v>1</v>
      </c>
      <c r="CE183" s="44">
        <f t="shared" ca="1" si="72"/>
        <v>1</v>
      </c>
      <c r="CF183" s="44">
        <f t="shared" ca="1" si="72"/>
        <v>1</v>
      </c>
      <c r="CG183" s="44">
        <f t="shared" ca="1" si="72"/>
        <v>1</v>
      </c>
      <c r="CH183" s="44">
        <f t="shared" ca="1" si="72"/>
        <v>1</v>
      </c>
      <c r="CI183" s="44">
        <f t="shared" ca="1" si="72"/>
        <v>1</v>
      </c>
      <c r="CJ183" s="44">
        <f t="shared" ca="1" si="72"/>
        <v>1</v>
      </c>
      <c r="CK183" s="44">
        <f t="shared" ca="1" si="72"/>
        <v>1</v>
      </c>
      <c r="CL183" s="44">
        <f t="shared" ca="1" si="72"/>
        <v>1</v>
      </c>
      <c r="CM183" s="44">
        <f t="shared" ca="1" si="72"/>
        <v>1</v>
      </c>
      <c r="CN183" s="44">
        <f t="shared" ca="1" si="72"/>
        <v>1</v>
      </c>
      <c r="CO183" s="44">
        <f t="shared" ca="1" si="72"/>
        <v>1</v>
      </c>
      <c r="CP183" s="44">
        <f t="shared" ca="1" si="72"/>
        <v>1</v>
      </c>
      <c r="CQ183" s="44">
        <f t="shared" ca="1" si="72"/>
        <v>1</v>
      </c>
      <c r="CR183" s="44">
        <f t="shared" ca="1" si="72"/>
        <v>1</v>
      </c>
      <c r="CS183" s="44">
        <f t="shared" ca="1" si="72"/>
        <v>1</v>
      </c>
    </row>
    <row r="184" spans="1:101" hidden="1" x14ac:dyDescent="0.25">
      <c r="A184" s="97">
        <v>0</v>
      </c>
      <c r="B184" s="25" t="s">
        <v>11</v>
      </c>
      <c r="C184" s="46">
        <f>C194</f>
        <v>10</v>
      </c>
      <c r="D184" s="44">
        <f t="shared" ref="D184:BO184" ca="1" si="73">IF(SUMIFS(OFFSET(C13,D175-$C$184,0,$C$184),OFFSET(D149,D175-$C$184,0,$C$184),1)=0,1,SUMIFS(OFFSET(D13,D175-$C$184,0,$C$184),OFFSET(D149,D175-$C$184,0,$C$184),1)/SUMIFS(OFFSET(C13,D175-$C$184,0,$C$184),OFFSET(D149,D175-$C$184,0,$C$184),1))</f>
        <v>2.5548930302540134</v>
      </c>
      <c r="E184" s="44">
        <f t="shared" ca="1" si="73"/>
        <v>1.3483047461448538</v>
      </c>
      <c r="F184" s="44">
        <f t="shared" ca="1" si="73"/>
        <v>1.0999634710753396</v>
      </c>
      <c r="G184" s="44">
        <f t="shared" ca="1" si="73"/>
        <v>0.96952656688216809</v>
      </c>
      <c r="H184" s="44">
        <f t="shared" ca="1" si="73"/>
        <v>0.83796659202983037</v>
      </c>
      <c r="I184" s="44">
        <f t="shared" ca="1" si="73"/>
        <v>0.92386545918483642</v>
      </c>
      <c r="J184" s="44">
        <f t="shared" ca="1" si="73"/>
        <v>0.99969018466749615</v>
      </c>
      <c r="K184" s="44">
        <f t="shared" ca="1" si="73"/>
        <v>0.97170729432588032</v>
      </c>
      <c r="L184" s="44">
        <f t="shared" ca="1" si="73"/>
        <v>1</v>
      </c>
      <c r="M184" s="44">
        <f t="shared" ca="1" si="73"/>
        <v>1</v>
      </c>
      <c r="N184" s="44">
        <f t="shared" ca="1" si="73"/>
        <v>1</v>
      </c>
      <c r="O184" s="44">
        <f t="shared" ca="1" si="73"/>
        <v>1</v>
      </c>
      <c r="P184" s="44">
        <f t="shared" ca="1" si="73"/>
        <v>1</v>
      </c>
      <c r="Q184" s="44">
        <f t="shared" ca="1" si="73"/>
        <v>1</v>
      </c>
      <c r="R184" s="44">
        <f t="shared" ca="1" si="73"/>
        <v>1</v>
      </c>
      <c r="S184" s="44">
        <f t="shared" ca="1" si="73"/>
        <v>1</v>
      </c>
      <c r="T184" s="44">
        <f t="shared" ca="1" si="73"/>
        <v>1</v>
      </c>
      <c r="U184" s="44">
        <f t="shared" ca="1" si="73"/>
        <v>1</v>
      </c>
      <c r="V184" s="44">
        <f t="shared" ca="1" si="73"/>
        <v>1</v>
      </c>
      <c r="W184" s="44">
        <f t="shared" ca="1" si="73"/>
        <v>1</v>
      </c>
      <c r="X184" s="44">
        <f t="shared" ca="1" si="73"/>
        <v>1</v>
      </c>
      <c r="Y184" s="44">
        <f t="shared" ca="1" si="73"/>
        <v>1</v>
      </c>
      <c r="Z184" s="44">
        <f t="shared" ca="1" si="73"/>
        <v>1</v>
      </c>
      <c r="AA184" s="44">
        <f t="shared" ca="1" si="73"/>
        <v>1</v>
      </c>
      <c r="AB184" s="44">
        <f t="shared" ca="1" si="73"/>
        <v>1</v>
      </c>
      <c r="AC184" s="44">
        <f t="shared" ca="1" si="73"/>
        <v>1</v>
      </c>
      <c r="AD184" s="44">
        <f t="shared" ca="1" si="73"/>
        <v>1</v>
      </c>
      <c r="AE184" s="44">
        <f t="shared" ca="1" si="73"/>
        <v>1</v>
      </c>
      <c r="AF184" s="44">
        <f t="shared" ca="1" si="73"/>
        <v>1</v>
      </c>
      <c r="AG184" s="44">
        <f t="shared" ca="1" si="73"/>
        <v>1</v>
      </c>
      <c r="AH184" s="44">
        <f t="shared" ca="1" si="73"/>
        <v>1</v>
      </c>
      <c r="AI184" s="44">
        <f t="shared" ca="1" si="73"/>
        <v>1</v>
      </c>
      <c r="AJ184" s="44">
        <f t="shared" ca="1" si="73"/>
        <v>1</v>
      </c>
      <c r="AK184" s="44">
        <f t="shared" ca="1" si="73"/>
        <v>1</v>
      </c>
      <c r="AL184" s="44">
        <f t="shared" ca="1" si="73"/>
        <v>1</v>
      </c>
      <c r="AM184" s="44">
        <f t="shared" ca="1" si="73"/>
        <v>1</v>
      </c>
      <c r="AN184" s="44">
        <f t="shared" ca="1" si="73"/>
        <v>1</v>
      </c>
      <c r="AO184" s="44">
        <f t="shared" ca="1" si="73"/>
        <v>1</v>
      </c>
      <c r="AP184" s="44">
        <f t="shared" ca="1" si="73"/>
        <v>1</v>
      </c>
      <c r="AQ184" s="44">
        <f t="shared" ca="1" si="73"/>
        <v>1</v>
      </c>
      <c r="AR184" s="44">
        <f t="shared" ca="1" si="73"/>
        <v>1</v>
      </c>
      <c r="AS184" s="44">
        <f t="shared" ca="1" si="73"/>
        <v>1</v>
      </c>
      <c r="AT184" s="44">
        <f t="shared" ca="1" si="73"/>
        <v>1</v>
      </c>
      <c r="AU184" s="44">
        <f t="shared" ca="1" si="73"/>
        <v>1</v>
      </c>
      <c r="AV184" s="44">
        <f t="shared" ca="1" si="73"/>
        <v>1</v>
      </c>
      <c r="AW184" s="44">
        <f t="shared" ca="1" si="73"/>
        <v>1</v>
      </c>
      <c r="AX184" s="44">
        <f t="shared" ca="1" si="73"/>
        <v>1</v>
      </c>
      <c r="AY184" s="44">
        <f t="shared" ca="1" si="73"/>
        <v>1</v>
      </c>
      <c r="AZ184" s="44">
        <f t="shared" ca="1" si="73"/>
        <v>1</v>
      </c>
      <c r="BA184" s="44">
        <f t="shared" ca="1" si="73"/>
        <v>1</v>
      </c>
      <c r="BB184" s="44">
        <f t="shared" ca="1" si="73"/>
        <v>1</v>
      </c>
      <c r="BC184" s="44">
        <f t="shared" ca="1" si="73"/>
        <v>1</v>
      </c>
      <c r="BD184" s="44">
        <f t="shared" ca="1" si="73"/>
        <v>1</v>
      </c>
      <c r="BE184" s="44">
        <f t="shared" ca="1" si="73"/>
        <v>1</v>
      </c>
      <c r="BF184" s="44">
        <f t="shared" ca="1" si="73"/>
        <v>1</v>
      </c>
      <c r="BG184" s="44">
        <f t="shared" ca="1" si="73"/>
        <v>1</v>
      </c>
      <c r="BH184" s="44">
        <f t="shared" ca="1" si="73"/>
        <v>1</v>
      </c>
      <c r="BI184" s="44">
        <f t="shared" ca="1" si="73"/>
        <v>1</v>
      </c>
      <c r="BJ184" s="44">
        <f t="shared" ca="1" si="73"/>
        <v>1</v>
      </c>
      <c r="BK184" s="44">
        <f t="shared" ca="1" si="73"/>
        <v>1</v>
      </c>
      <c r="BL184" s="44">
        <f t="shared" ca="1" si="73"/>
        <v>1</v>
      </c>
      <c r="BM184" s="44">
        <f t="shared" ca="1" si="73"/>
        <v>1</v>
      </c>
      <c r="BN184" s="44">
        <f t="shared" ca="1" si="73"/>
        <v>1</v>
      </c>
      <c r="BO184" s="44">
        <f t="shared" ca="1" si="73"/>
        <v>1</v>
      </c>
      <c r="BP184" s="44">
        <f t="shared" ref="BP184:CS184" ca="1" si="74">IF(SUMIFS(OFFSET(BO13,BP175-$C$184,0,$C$184),OFFSET(BP149,BP175-$C$184,0,$C$184),1)=0,1,SUMIFS(OFFSET(BP13,BP175-$C$184,0,$C$184),OFFSET(BP149,BP175-$C$184,0,$C$184),1)/SUMIFS(OFFSET(BO13,BP175-$C$184,0,$C$184),OFFSET(BP149,BP175-$C$184,0,$C$184),1))</f>
        <v>1</v>
      </c>
      <c r="BQ184" s="44">
        <f t="shared" ca="1" si="74"/>
        <v>1</v>
      </c>
      <c r="BR184" s="44">
        <f t="shared" ca="1" si="74"/>
        <v>1</v>
      </c>
      <c r="BS184" s="44">
        <f t="shared" ca="1" si="74"/>
        <v>1</v>
      </c>
      <c r="BT184" s="44">
        <f t="shared" ca="1" si="74"/>
        <v>1</v>
      </c>
      <c r="BU184" s="44">
        <f t="shared" ca="1" si="74"/>
        <v>1</v>
      </c>
      <c r="BV184" s="44">
        <f t="shared" ca="1" si="74"/>
        <v>1</v>
      </c>
      <c r="BW184" s="44">
        <f t="shared" ca="1" si="74"/>
        <v>1</v>
      </c>
      <c r="BX184" s="44">
        <f t="shared" ca="1" si="74"/>
        <v>1</v>
      </c>
      <c r="BY184" s="44">
        <f t="shared" ca="1" si="74"/>
        <v>1</v>
      </c>
      <c r="BZ184" s="44">
        <f t="shared" ca="1" si="74"/>
        <v>1</v>
      </c>
      <c r="CA184" s="44">
        <f t="shared" ca="1" si="74"/>
        <v>1</v>
      </c>
      <c r="CB184" s="44">
        <f t="shared" ca="1" si="74"/>
        <v>1</v>
      </c>
      <c r="CC184" s="44">
        <f t="shared" ca="1" si="74"/>
        <v>1</v>
      </c>
      <c r="CD184" s="44">
        <f t="shared" ca="1" si="74"/>
        <v>1</v>
      </c>
      <c r="CE184" s="44">
        <f t="shared" ca="1" si="74"/>
        <v>1</v>
      </c>
      <c r="CF184" s="44">
        <f t="shared" ca="1" si="74"/>
        <v>1</v>
      </c>
      <c r="CG184" s="44">
        <f t="shared" ca="1" si="74"/>
        <v>1</v>
      </c>
      <c r="CH184" s="44">
        <f t="shared" ca="1" si="74"/>
        <v>1</v>
      </c>
      <c r="CI184" s="44">
        <f t="shared" ca="1" si="74"/>
        <v>1</v>
      </c>
      <c r="CJ184" s="44">
        <f t="shared" ca="1" si="74"/>
        <v>1</v>
      </c>
      <c r="CK184" s="44">
        <f t="shared" ca="1" si="74"/>
        <v>1</v>
      </c>
      <c r="CL184" s="44">
        <f t="shared" ca="1" si="74"/>
        <v>1</v>
      </c>
      <c r="CM184" s="44">
        <f t="shared" ca="1" si="74"/>
        <v>1</v>
      </c>
      <c r="CN184" s="44">
        <f t="shared" ca="1" si="74"/>
        <v>1</v>
      </c>
      <c r="CO184" s="44">
        <f t="shared" ca="1" si="74"/>
        <v>1</v>
      </c>
      <c r="CP184" s="44">
        <f t="shared" ca="1" si="74"/>
        <v>1</v>
      </c>
      <c r="CQ184" s="44">
        <f t="shared" ca="1" si="74"/>
        <v>1</v>
      </c>
      <c r="CR184" s="44">
        <f t="shared" ca="1" si="74"/>
        <v>1</v>
      </c>
      <c r="CS184" s="44">
        <f t="shared" ca="1" si="74"/>
        <v>1</v>
      </c>
    </row>
    <row r="185" spans="1:101" ht="19.5" thickBot="1" x14ac:dyDescent="0.35">
      <c r="A185" s="187">
        <v>1</v>
      </c>
      <c r="B185" s="188" t="s">
        <v>61</v>
      </c>
      <c r="C185" s="189"/>
      <c r="D185" s="190"/>
      <c r="E185" s="190"/>
      <c r="F185" s="190"/>
      <c r="G185" s="190"/>
      <c r="H185" s="190"/>
      <c r="I185" s="190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  <c r="Z185" s="190"/>
      <c r="AA185" s="190"/>
      <c r="AB185" s="190"/>
      <c r="AC185" s="190"/>
      <c r="AD185" s="190"/>
      <c r="AE185" s="190"/>
      <c r="AF185" s="190"/>
      <c r="AG185" s="190"/>
      <c r="AH185" s="190"/>
      <c r="AI185" s="190"/>
      <c r="AJ185" s="190"/>
      <c r="AK185" s="190"/>
      <c r="AL185" s="190"/>
      <c r="AM185" s="190"/>
      <c r="AN185" s="190"/>
      <c r="AO185" s="190"/>
      <c r="AP185" s="190"/>
      <c r="AQ185" s="190"/>
      <c r="AR185" s="190"/>
      <c r="AS185" s="190"/>
      <c r="AT185" s="190"/>
      <c r="AU185" s="190"/>
      <c r="AV185" s="190"/>
      <c r="AW185" s="190"/>
      <c r="AX185" s="190"/>
      <c r="AY185" s="190"/>
      <c r="AZ185" s="190"/>
      <c r="BA185" s="190"/>
      <c r="BB185" s="190"/>
      <c r="BC185" s="190"/>
      <c r="BD185" s="190"/>
      <c r="BE185" s="190"/>
      <c r="BF185" s="190"/>
      <c r="BG185" s="190"/>
      <c r="BH185" s="190"/>
      <c r="BI185" s="190"/>
      <c r="BJ185" s="190"/>
      <c r="BK185" s="190"/>
      <c r="BL185" s="190"/>
      <c r="BM185" s="190"/>
      <c r="BN185" s="190"/>
      <c r="BO185" s="190"/>
      <c r="BP185" s="190"/>
      <c r="BQ185" s="190"/>
      <c r="BR185" s="190"/>
      <c r="BS185" s="190"/>
      <c r="BT185" s="190"/>
      <c r="BU185" s="190"/>
      <c r="BV185" s="190"/>
      <c r="BW185" s="190"/>
      <c r="BX185" s="190"/>
      <c r="BY185" s="190"/>
      <c r="BZ185" s="190"/>
      <c r="CA185" s="190"/>
      <c r="CB185" s="190"/>
      <c r="CC185" s="190"/>
      <c r="CD185" s="190"/>
      <c r="CE185" s="190"/>
      <c r="CF185" s="190"/>
      <c r="CG185" s="190"/>
      <c r="CH185" s="190"/>
      <c r="CI185" s="190"/>
      <c r="CJ185" s="190"/>
      <c r="CK185" s="190"/>
      <c r="CL185" s="190"/>
      <c r="CM185" s="190"/>
      <c r="CN185" s="190"/>
      <c r="CO185" s="190"/>
      <c r="CP185" s="190"/>
      <c r="CQ185" s="190"/>
      <c r="CR185" s="190"/>
      <c r="CS185" s="190"/>
      <c r="CT185" s="189"/>
      <c r="CU185" s="189"/>
      <c r="CV185" s="189"/>
      <c r="CW185" s="189"/>
    </row>
    <row r="186" spans="1:101" x14ac:dyDescent="0.25">
      <c r="A186" s="97">
        <v>1</v>
      </c>
      <c r="B186" s="126" t="s">
        <v>3</v>
      </c>
      <c r="C186" s="127"/>
      <c r="D186" s="128" t="str">
        <f t="shared" ref="D186:BO186" si="75">D68</f>
        <v>2 / 1</v>
      </c>
      <c r="E186" s="128" t="str">
        <f t="shared" si="75"/>
        <v>3 / 2</v>
      </c>
      <c r="F186" s="128" t="str">
        <f t="shared" si="75"/>
        <v>4 / 3</v>
      </c>
      <c r="G186" s="128" t="str">
        <f t="shared" si="75"/>
        <v>5 / 4</v>
      </c>
      <c r="H186" s="128" t="str">
        <f t="shared" si="75"/>
        <v>6 / 5</v>
      </c>
      <c r="I186" s="128" t="str">
        <f t="shared" si="75"/>
        <v>7 / 6</v>
      </c>
      <c r="J186" s="128" t="str">
        <f t="shared" si="75"/>
        <v>8 / 7</v>
      </c>
      <c r="K186" s="128" t="str">
        <f t="shared" si="75"/>
        <v>9 / 8</v>
      </c>
      <c r="L186" s="128" t="str">
        <f t="shared" si="75"/>
        <v>10 / 9</v>
      </c>
      <c r="M186" s="128" t="str">
        <f t="shared" si="75"/>
        <v>11 / 10</v>
      </c>
      <c r="N186" s="128" t="str">
        <f t="shared" si="75"/>
        <v>12 / 11</v>
      </c>
      <c r="O186" s="128" t="str">
        <f t="shared" si="75"/>
        <v>13 / 12</v>
      </c>
      <c r="P186" s="128" t="str">
        <f t="shared" si="75"/>
        <v>14 / 13</v>
      </c>
      <c r="Q186" s="128" t="str">
        <f t="shared" si="75"/>
        <v>15 / 14</v>
      </c>
      <c r="R186" s="128" t="str">
        <f t="shared" si="75"/>
        <v>16 / 15</v>
      </c>
      <c r="S186" s="128" t="str">
        <f t="shared" si="75"/>
        <v>17 / 16</v>
      </c>
      <c r="T186" s="128" t="str">
        <f t="shared" si="75"/>
        <v>18 / 17</v>
      </c>
      <c r="U186" s="128" t="str">
        <f t="shared" si="75"/>
        <v>19 / 18</v>
      </c>
      <c r="V186" s="128" t="str">
        <f t="shared" si="75"/>
        <v>20 / 19</v>
      </c>
      <c r="W186" s="128" t="str">
        <f t="shared" si="75"/>
        <v>21 / 20</v>
      </c>
      <c r="X186" s="128" t="str">
        <f t="shared" si="75"/>
        <v>22 / 21</v>
      </c>
      <c r="Y186" s="128" t="str">
        <f t="shared" si="75"/>
        <v>23 / 22</v>
      </c>
      <c r="Z186" s="128" t="str">
        <f t="shared" si="75"/>
        <v>24 / 23</v>
      </c>
      <c r="AA186" s="128" t="str">
        <f t="shared" si="75"/>
        <v>25 / 24</v>
      </c>
      <c r="AB186" s="128" t="str">
        <f t="shared" si="75"/>
        <v>26 / 25</v>
      </c>
      <c r="AC186" s="128" t="str">
        <f t="shared" si="75"/>
        <v>27 / 26</v>
      </c>
      <c r="AD186" s="128" t="str">
        <f t="shared" si="75"/>
        <v>28 / 27</v>
      </c>
      <c r="AE186" s="128" t="str">
        <f t="shared" si="75"/>
        <v>29 / 28</v>
      </c>
      <c r="AF186" s="128" t="str">
        <f t="shared" si="75"/>
        <v>30 / 29</v>
      </c>
      <c r="AG186" s="128" t="str">
        <f t="shared" si="75"/>
        <v>31 / 30</v>
      </c>
      <c r="AH186" s="128" t="str">
        <f t="shared" si="75"/>
        <v>32 / 31</v>
      </c>
      <c r="AI186" s="128" t="str">
        <f t="shared" si="75"/>
        <v>33 / 32</v>
      </c>
      <c r="AJ186" s="128" t="str">
        <f t="shared" si="75"/>
        <v>34 / 33</v>
      </c>
      <c r="AK186" s="128" t="str">
        <f t="shared" si="75"/>
        <v>35 / 34</v>
      </c>
      <c r="AL186" s="128" t="str">
        <f t="shared" si="75"/>
        <v>36 / 35</v>
      </c>
      <c r="AM186" s="128" t="str">
        <f t="shared" si="75"/>
        <v>37 / 36</v>
      </c>
      <c r="AN186" s="128" t="str">
        <f t="shared" si="75"/>
        <v>38 / 37</v>
      </c>
      <c r="AO186" s="128" t="str">
        <f t="shared" si="75"/>
        <v>39 / 38</v>
      </c>
      <c r="AP186" s="128" t="str">
        <f t="shared" si="75"/>
        <v>40 / 39</v>
      </c>
      <c r="AQ186" s="128" t="str">
        <f t="shared" si="75"/>
        <v>41 / 40</v>
      </c>
      <c r="AR186" s="128" t="str">
        <f t="shared" si="75"/>
        <v>42 / 41</v>
      </c>
      <c r="AS186" s="128" t="str">
        <f t="shared" si="75"/>
        <v>43 / 42</v>
      </c>
      <c r="AT186" s="128" t="str">
        <f t="shared" si="75"/>
        <v>44 / 43</v>
      </c>
      <c r="AU186" s="128" t="str">
        <f t="shared" si="75"/>
        <v>45 / 44</v>
      </c>
      <c r="AV186" s="128" t="str">
        <f t="shared" si="75"/>
        <v>46 / 45</v>
      </c>
      <c r="AW186" s="128" t="str">
        <f t="shared" si="75"/>
        <v>47 / 46</v>
      </c>
      <c r="AX186" s="128" t="str">
        <f t="shared" si="75"/>
        <v>48 / 47</v>
      </c>
      <c r="AY186" s="128" t="str">
        <f t="shared" si="75"/>
        <v>49 / 48</v>
      </c>
      <c r="AZ186" s="128" t="str">
        <f t="shared" si="75"/>
        <v>50 / 49</v>
      </c>
      <c r="BA186" s="128" t="str">
        <f t="shared" si="75"/>
        <v>51 / 50</v>
      </c>
      <c r="BB186" s="128" t="str">
        <f t="shared" si="75"/>
        <v>52 / 51</v>
      </c>
      <c r="BC186" s="128" t="str">
        <f t="shared" si="75"/>
        <v>53 / 52</v>
      </c>
      <c r="BD186" s="128" t="str">
        <f t="shared" si="75"/>
        <v>54 / 53</v>
      </c>
      <c r="BE186" s="128" t="str">
        <f t="shared" si="75"/>
        <v>55 / 54</v>
      </c>
      <c r="BF186" s="128" t="str">
        <f t="shared" si="75"/>
        <v>56 / 55</v>
      </c>
      <c r="BG186" s="128" t="str">
        <f t="shared" si="75"/>
        <v>57 / 56</v>
      </c>
      <c r="BH186" s="128" t="str">
        <f t="shared" si="75"/>
        <v>58 / 57</v>
      </c>
      <c r="BI186" s="128" t="str">
        <f t="shared" si="75"/>
        <v>59 / 58</v>
      </c>
      <c r="BJ186" s="128" t="str">
        <f t="shared" si="75"/>
        <v>60 / 59</v>
      </c>
      <c r="BK186" s="128" t="str">
        <f t="shared" si="75"/>
        <v>61 / 60</v>
      </c>
      <c r="BL186" s="128" t="str">
        <f t="shared" si="75"/>
        <v>62 / 61</v>
      </c>
      <c r="BM186" s="128" t="str">
        <f t="shared" si="75"/>
        <v>63 / 62</v>
      </c>
      <c r="BN186" s="128" t="str">
        <f t="shared" si="75"/>
        <v>64 / 63</v>
      </c>
      <c r="BO186" s="128" t="str">
        <f t="shared" si="75"/>
        <v>65 / 64</v>
      </c>
      <c r="BP186" s="128" t="str">
        <f t="shared" ref="BP186:CS186" si="76">BP68</f>
        <v>66 / 65</v>
      </c>
      <c r="BQ186" s="128" t="str">
        <f t="shared" si="76"/>
        <v>67 / 66</v>
      </c>
      <c r="BR186" s="128" t="str">
        <f t="shared" si="76"/>
        <v>68 / 67</v>
      </c>
      <c r="BS186" s="128" t="str">
        <f t="shared" si="76"/>
        <v>69 / 68</v>
      </c>
      <c r="BT186" s="128" t="str">
        <f t="shared" si="76"/>
        <v>70 / 69</v>
      </c>
      <c r="BU186" s="128" t="str">
        <f t="shared" si="76"/>
        <v>71 / 70</v>
      </c>
      <c r="BV186" s="128" t="str">
        <f t="shared" si="76"/>
        <v>72 / 71</v>
      </c>
      <c r="BW186" s="128" t="str">
        <f t="shared" si="76"/>
        <v>73 / 72</v>
      </c>
      <c r="BX186" s="128" t="str">
        <f t="shared" si="76"/>
        <v>74 / 73</v>
      </c>
      <c r="BY186" s="128" t="str">
        <f t="shared" si="76"/>
        <v>75 / 74</v>
      </c>
      <c r="BZ186" s="128" t="str">
        <f t="shared" si="76"/>
        <v>76 / 75</v>
      </c>
      <c r="CA186" s="128" t="str">
        <f t="shared" si="76"/>
        <v>77 / 76</v>
      </c>
      <c r="CB186" s="128" t="str">
        <f t="shared" si="76"/>
        <v>78 / 77</v>
      </c>
      <c r="CC186" s="128" t="str">
        <f t="shared" si="76"/>
        <v>79 / 78</v>
      </c>
      <c r="CD186" s="128" t="str">
        <f t="shared" si="76"/>
        <v>80 / 79</v>
      </c>
      <c r="CE186" s="128" t="str">
        <f t="shared" si="76"/>
        <v>81 / 80</v>
      </c>
      <c r="CF186" s="128" t="str">
        <f t="shared" si="76"/>
        <v>82 / 81</v>
      </c>
      <c r="CG186" s="128" t="str">
        <f t="shared" si="76"/>
        <v>83 / 82</v>
      </c>
      <c r="CH186" s="128" t="str">
        <f t="shared" si="76"/>
        <v>84 / 83</v>
      </c>
      <c r="CI186" s="128" t="str">
        <f t="shared" si="76"/>
        <v>85 / 84</v>
      </c>
      <c r="CJ186" s="128" t="str">
        <f t="shared" si="76"/>
        <v>86 / 85</v>
      </c>
      <c r="CK186" s="128" t="str">
        <f t="shared" si="76"/>
        <v>87 / 86</v>
      </c>
      <c r="CL186" s="128" t="str">
        <f t="shared" si="76"/>
        <v>88 / 87</v>
      </c>
      <c r="CM186" s="128" t="str">
        <f t="shared" si="76"/>
        <v>89 / 88</v>
      </c>
      <c r="CN186" s="128" t="str">
        <f t="shared" si="76"/>
        <v>90 / 89</v>
      </c>
      <c r="CO186" s="128" t="str">
        <f t="shared" si="76"/>
        <v>91 / 90</v>
      </c>
      <c r="CP186" s="128" t="str">
        <f t="shared" si="76"/>
        <v>92 / 91</v>
      </c>
      <c r="CQ186" s="128" t="str">
        <f t="shared" si="76"/>
        <v>93 / 92</v>
      </c>
      <c r="CR186" s="128" t="str">
        <f t="shared" si="76"/>
        <v>94 / 93</v>
      </c>
      <c r="CS186" s="129" t="str">
        <f t="shared" si="76"/>
        <v>95 / 94</v>
      </c>
      <c r="CT186" s="38" t="s">
        <v>15</v>
      </c>
      <c r="CU186" s="82"/>
      <c r="CV186" s="82"/>
    </row>
    <row r="187" spans="1:101" x14ac:dyDescent="0.25">
      <c r="A187" s="97">
        <v>1</v>
      </c>
      <c r="B187" s="130" t="s">
        <v>4</v>
      </c>
      <c r="C187" s="101"/>
      <c r="D187" s="106">
        <f t="shared" ref="D187:BO190" si="77">IF(ISERROR(D177),1,D177)</f>
        <v>1.9578963839907026</v>
      </c>
      <c r="E187" s="100">
        <f t="shared" si="77"/>
        <v>18.414209400950963</v>
      </c>
      <c r="F187" s="100">
        <f t="shared" si="77"/>
        <v>1.0418919644646287</v>
      </c>
      <c r="G187" s="100">
        <f t="shared" si="77"/>
        <v>0.88410178025147346</v>
      </c>
      <c r="H187" s="100">
        <f t="shared" si="77"/>
        <v>0.88783367251807033</v>
      </c>
      <c r="I187" s="100">
        <f t="shared" si="77"/>
        <v>0.92181859275716749</v>
      </c>
      <c r="J187" s="100">
        <f t="shared" si="77"/>
        <v>0.98801150584362418</v>
      </c>
      <c r="K187" s="100">
        <f t="shared" si="77"/>
        <v>0.98585364716294022</v>
      </c>
      <c r="L187" s="100">
        <f t="shared" si="77"/>
        <v>0.99961951322065556</v>
      </c>
      <c r="M187" s="100">
        <f t="shared" si="77"/>
        <v>1</v>
      </c>
      <c r="N187" s="100">
        <f t="shared" si="77"/>
        <v>1</v>
      </c>
      <c r="O187" s="100">
        <f t="shared" si="77"/>
        <v>1</v>
      </c>
      <c r="P187" s="100">
        <f t="shared" si="77"/>
        <v>1</v>
      </c>
      <c r="Q187" s="100">
        <f t="shared" si="77"/>
        <v>1</v>
      </c>
      <c r="R187" s="100">
        <f t="shared" si="77"/>
        <v>1</v>
      </c>
      <c r="S187" s="100">
        <f t="shared" si="77"/>
        <v>1</v>
      </c>
      <c r="T187" s="100">
        <f t="shared" si="77"/>
        <v>1</v>
      </c>
      <c r="U187" s="100">
        <f t="shared" si="77"/>
        <v>1</v>
      </c>
      <c r="V187" s="100">
        <f t="shared" si="77"/>
        <v>1</v>
      </c>
      <c r="W187" s="100">
        <f t="shared" si="77"/>
        <v>1</v>
      </c>
      <c r="X187" s="100">
        <f t="shared" si="77"/>
        <v>1</v>
      </c>
      <c r="Y187" s="100">
        <f t="shared" si="77"/>
        <v>1</v>
      </c>
      <c r="Z187" s="100">
        <f t="shared" si="77"/>
        <v>1</v>
      </c>
      <c r="AA187" s="100">
        <f t="shared" si="77"/>
        <v>1</v>
      </c>
      <c r="AB187" s="100">
        <f t="shared" si="77"/>
        <v>1</v>
      </c>
      <c r="AC187" s="100">
        <f t="shared" si="77"/>
        <v>1</v>
      </c>
      <c r="AD187" s="100">
        <f t="shared" si="77"/>
        <v>1</v>
      </c>
      <c r="AE187" s="100">
        <f t="shared" si="77"/>
        <v>1</v>
      </c>
      <c r="AF187" s="100">
        <f t="shared" si="77"/>
        <v>1</v>
      </c>
      <c r="AG187" s="100">
        <f t="shared" si="77"/>
        <v>1</v>
      </c>
      <c r="AH187" s="100">
        <f t="shared" si="77"/>
        <v>1</v>
      </c>
      <c r="AI187" s="100">
        <f t="shared" si="77"/>
        <v>1</v>
      </c>
      <c r="AJ187" s="100">
        <f t="shared" si="77"/>
        <v>1</v>
      </c>
      <c r="AK187" s="100">
        <f t="shared" si="77"/>
        <v>1</v>
      </c>
      <c r="AL187" s="100">
        <f t="shared" si="77"/>
        <v>1</v>
      </c>
      <c r="AM187" s="100">
        <f t="shared" si="77"/>
        <v>1</v>
      </c>
      <c r="AN187" s="100">
        <f t="shared" si="77"/>
        <v>1</v>
      </c>
      <c r="AO187" s="100">
        <f t="shared" si="77"/>
        <v>1</v>
      </c>
      <c r="AP187" s="100">
        <f t="shared" si="77"/>
        <v>1</v>
      </c>
      <c r="AQ187" s="100">
        <f t="shared" si="77"/>
        <v>1</v>
      </c>
      <c r="AR187" s="100">
        <f t="shared" si="77"/>
        <v>1</v>
      </c>
      <c r="AS187" s="100">
        <f t="shared" si="77"/>
        <v>1</v>
      </c>
      <c r="AT187" s="100">
        <f t="shared" si="77"/>
        <v>1</v>
      </c>
      <c r="AU187" s="100">
        <f t="shared" si="77"/>
        <v>1</v>
      </c>
      <c r="AV187" s="100">
        <f t="shared" si="77"/>
        <v>1</v>
      </c>
      <c r="AW187" s="100">
        <f t="shared" si="77"/>
        <v>1</v>
      </c>
      <c r="AX187" s="100">
        <f t="shared" si="77"/>
        <v>1</v>
      </c>
      <c r="AY187" s="100">
        <f t="shared" si="77"/>
        <v>1</v>
      </c>
      <c r="AZ187" s="100">
        <f t="shared" si="77"/>
        <v>1</v>
      </c>
      <c r="BA187" s="100">
        <f t="shared" si="77"/>
        <v>1</v>
      </c>
      <c r="BB187" s="100">
        <f t="shared" si="77"/>
        <v>1</v>
      </c>
      <c r="BC187" s="100">
        <f t="shared" si="77"/>
        <v>1</v>
      </c>
      <c r="BD187" s="100">
        <f t="shared" si="77"/>
        <v>1</v>
      </c>
      <c r="BE187" s="100">
        <f t="shared" si="77"/>
        <v>1</v>
      </c>
      <c r="BF187" s="100">
        <f t="shared" si="77"/>
        <v>1</v>
      </c>
      <c r="BG187" s="100">
        <f t="shared" si="77"/>
        <v>1</v>
      </c>
      <c r="BH187" s="100">
        <f t="shared" si="77"/>
        <v>1</v>
      </c>
      <c r="BI187" s="100">
        <f t="shared" si="77"/>
        <v>1</v>
      </c>
      <c r="BJ187" s="100">
        <f t="shared" si="77"/>
        <v>1</v>
      </c>
      <c r="BK187" s="100">
        <f t="shared" si="77"/>
        <v>1</v>
      </c>
      <c r="BL187" s="100">
        <f t="shared" si="77"/>
        <v>1</v>
      </c>
      <c r="BM187" s="100">
        <f t="shared" si="77"/>
        <v>1</v>
      </c>
      <c r="BN187" s="100">
        <f t="shared" si="77"/>
        <v>1</v>
      </c>
      <c r="BO187" s="100">
        <f t="shared" si="77"/>
        <v>1</v>
      </c>
      <c r="BP187" s="100">
        <f t="shared" ref="BP187:CS194" si="78">IF(ISERROR(BP177),1,BP177)</f>
        <v>1</v>
      </c>
      <c r="BQ187" s="100">
        <f t="shared" si="78"/>
        <v>1</v>
      </c>
      <c r="BR187" s="100">
        <f t="shared" si="78"/>
        <v>1</v>
      </c>
      <c r="BS187" s="100">
        <f t="shared" si="78"/>
        <v>1</v>
      </c>
      <c r="BT187" s="100">
        <f t="shared" si="78"/>
        <v>1</v>
      </c>
      <c r="BU187" s="100">
        <f t="shared" si="78"/>
        <v>1</v>
      </c>
      <c r="BV187" s="100">
        <f t="shared" si="78"/>
        <v>1</v>
      </c>
      <c r="BW187" s="100">
        <f t="shared" si="78"/>
        <v>1</v>
      </c>
      <c r="BX187" s="100">
        <f t="shared" si="78"/>
        <v>1</v>
      </c>
      <c r="BY187" s="100">
        <f t="shared" si="78"/>
        <v>1</v>
      </c>
      <c r="BZ187" s="100">
        <f t="shared" si="78"/>
        <v>1</v>
      </c>
      <c r="CA187" s="100">
        <f t="shared" si="78"/>
        <v>1</v>
      </c>
      <c r="CB187" s="100">
        <f t="shared" si="78"/>
        <v>1</v>
      </c>
      <c r="CC187" s="100">
        <f t="shared" si="78"/>
        <v>1</v>
      </c>
      <c r="CD187" s="100">
        <f t="shared" si="78"/>
        <v>1</v>
      </c>
      <c r="CE187" s="100">
        <f t="shared" si="78"/>
        <v>1</v>
      </c>
      <c r="CF187" s="100">
        <f t="shared" si="78"/>
        <v>1</v>
      </c>
      <c r="CG187" s="100">
        <f t="shared" si="78"/>
        <v>1</v>
      </c>
      <c r="CH187" s="100">
        <f t="shared" si="78"/>
        <v>1</v>
      </c>
      <c r="CI187" s="100">
        <f t="shared" si="78"/>
        <v>1</v>
      </c>
      <c r="CJ187" s="100">
        <f t="shared" si="78"/>
        <v>1</v>
      </c>
      <c r="CK187" s="100">
        <f t="shared" si="78"/>
        <v>1</v>
      </c>
      <c r="CL187" s="100">
        <f t="shared" si="78"/>
        <v>1</v>
      </c>
      <c r="CM187" s="100">
        <f t="shared" si="78"/>
        <v>1</v>
      </c>
      <c r="CN187" s="100">
        <f t="shared" si="78"/>
        <v>1</v>
      </c>
      <c r="CO187" s="100">
        <f t="shared" si="78"/>
        <v>1</v>
      </c>
      <c r="CP187" s="100">
        <f t="shared" si="78"/>
        <v>1</v>
      </c>
      <c r="CQ187" s="100">
        <f t="shared" si="78"/>
        <v>1</v>
      </c>
      <c r="CR187" s="100">
        <f t="shared" si="78"/>
        <v>1</v>
      </c>
      <c r="CS187" s="131">
        <f t="shared" si="78"/>
        <v>1</v>
      </c>
      <c r="CT187" s="211">
        <v>1</v>
      </c>
      <c r="CU187" s="44"/>
      <c r="CV187" s="44"/>
    </row>
    <row r="188" spans="1:101" x14ac:dyDescent="0.25">
      <c r="A188" s="97">
        <f t="shared" ref="A188:A195" si="79">A187+1</f>
        <v>2</v>
      </c>
      <c r="B188" s="132" t="s">
        <v>5</v>
      </c>
      <c r="C188" s="101"/>
      <c r="D188" s="107">
        <f t="shared" ca="1" si="77"/>
        <v>2.8712173408698107</v>
      </c>
      <c r="E188" s="102">
        <f t="shared" ca="1" si="77"/>
        <v>32.815319263737386</v>
      </c>
      <c r="F188" s="102">
        <f t="shared" ca="1" si="77"/>
        <v>1.0609640946909489</v>
      </c>
      <c r="G188" s="102">
        <f t="shared" ca="1" si="77"/>
        <v>0.84302188390197175</v>
      </c>
      <c r="H188" s="102">
        <f t="shared" ca="1" si="77"/>
        <v>0.88783367251807033</v>
      </c>
      <c r="I188" s="102">
        <f t="shared" ca="1" si="77"/>
        <v>0.92181859275716749</v>
      </c>
      <c r="J188" s="102">
        <f t="shared" ca="1" si="77"/>
        <v>0.98801150584362418</v>
      </c>
      <c r="K188" s="102">
        <f t="shared" ca="1" si="77"/>
        <v>0.98585364716294022</v>
      </c>
      <c r="L188" s="102">
        <f t="shared" ca="1" si="77"/>
        <v>0.99961951322065556</v>
      </c>
      <c r="M188" s="102">
        <f t="shared" ca="1" si="77"/>
        <v>1</v>
      </c>
      <c r="N188" s="102">
        <f t="shared" ca="1" si="77"/>
        <v>1</v>
      </c>
      <c r="O188" s="102">
        <f t="shared" ca="1" si="77"/>
        <v>1</v>
      </c>
      <c r="P188" s="102">
        <f t="shared" ca="1" si="77"/>
        <v>1</v>
      </c>
      <c r="Q188" s="102">
        <f t="shared" ca="1" si="77"/>
        <v>1</v>
      </c>
      <c r="R188" s="102">
        <f t="shared" ca="1" si="77"/>
        <v>1</v>
      </c>
      <c r="S188" s="102">
        <f t="shared" ca="1" si="77"/>
        <v>1</v>
      </c>
      <c r="T188" s="102">
        <f t="shared" ca="1" si="77"/>
        <v>1</v>
      </c>
      <c r="U188" s="102">
        <f t="shared" ca="1" si="77"/>
        <v>1</v>
      </c>
      <c r="V188" s="102">
        <f t="shared" ca="1" si="77"/>
        <v>1</v>
      </c>
      <c r="W188" s="102">
        <f t="shared" ca="1" si="77"/>
        <v>1</v>
      </c>
      <c r="X188" s="102">
        <f t="shared" ca="1" si="77"/>
        <v>1</v>
      </c>
      <c r="Y188" s="102">
        <f t="shared" ca="1" si="77"/>
        <v>1</v>
      </c>
      <c r="Z188" s="102">
        <f t="shared" ca="1" si="77"/>
        <v>1</v>
      </c>
      <c r="AA188" s="102">
        <f t="shared" ca="1" si="77"/>
        <v>1</v>
      </c>
      <c r="AB188" s="102">
        <f t="shared" ca="1" si="77"/>
        <v>1</v>
      </c>
      <c r="AC188" s="102">
        <f t="shared" ca="1" si="77"/>
        <v>1</v>
      </c>
      <c r="AD188" s="102">
        <f t="shared" ca="1" si="77"/>
        <v>1</v>
      </c>
      <c r="AE188" s="102">
        <f t="shared" ca="1" si="77"/>
        <v>1</v>
      </c>
      <c r="AF188" s="102">
        <f t="shared" ca="1" si="77"/>
        <v>1</v>
      </c>
      <c r="AG188" s="102">
        <f t="shared" ca="1" si="77"/>
        <v>1</v>
      </c>
      <c r="AH188" s="102">
        <f t="shared" ca="1" si="77"/>
        <v>1</v>
      </c>
      <c r="AI188" s="102">
        <f t="shared" ca="1" si="77"/>
        <v>1</v>
      </c>
      <c r="AJ188" s="102">
        <f t="shared" ca="1" si="77"/>
        <v>1</v>
      </c>
      <c r="AK188" s="102">
        <f t="shared" ca="1" si="77"/>
        <v>1</v>
      </c>
      <c r="AL188" s="102">
        <f t="shared" ca="1" si="77"/>
        <v>1</v>
      </c>
      <c r="AM188" s="102">
        <f t="shared" ca="1" si="77"/>
        <v>1</v>
      </c>
      <c r="AN188" s="102">
        <f t="shared" ca="1" si="77"/>
        <v>1</v>
      </c>
      <c r="AO188" s="102">
        <f t="shared" ca="1" si="77"/>
        <v>1</v>
      </c>
      <c r="AP188" s="102">
        <f t="shared" ca="1" si="77"/>
        <v>1</v>
      </c>
      <c r="AQ188" s="102">
        <f t="shared" ca="1" si="77"/>
        <v>1</v>
      </c>
      <c r="AR188" s="102">
        <f t="shared" ca="1" si="77"/>
        <v>1</v>
      </c>
      <c r="AS188" s="102">
        <f t="shared" ca="1" si="77"/>
        <v>1</v>
      </c>
      <c r="AT188" s="102">
        <f t="shared" ca="1" si="77"/>
        <v>1</v>
      </c>
      <c r="AU188" s="102">
        <f t="shared" ca="1" si="77"/>
        <v>1</v>
      </c>
      <c r="AV188" s="102">
        <f t="shared" ca="1" si="77"/>
        <v>1</v>
      </c>
      <c r="AW188" s="102">
        <f t="shared" ca="1" si="77"/>
        <v>1</v>
      </c>
      <c r="AX188" s="102">
        <f t="shared" ca="1" si="77"/>
        <v>1</v>
      </c>
      <c r="AY188" s="102">
        <f t="shared" ca="1" si="77"/>
        <v>1</v>
      </c>
      <c r="AZ188" s="102">
        <f t="shared" ca="1" si="77"/>
        <v>1</v>
      </c>
      <c r="BA188" s="102">
        <f t="shared" ca="1" si="77"/>
        <v>1</v>
      </c>
      <c r="BB188" s="102">
        <f t="shared" ca="1" si="77"/>
        <v>1</v>
      </c>
      <c r="BC188" s="102">
        <f t="shared" ca="1" si="77"/>
        <v>1</v>
      </c>
      <c r="BD188" s="102">
        <f t="shared" ca="1" si="77"/>
        <v>1</v>
      </c>
      <c r="BE188" s="102">
        <f t="shared" ca="1" si="77"/>
        <v>1</v>
      </c>
      <c r="BF188" s="102">
        <f t="shared" ca="1" si="77"/>
        <v>1</v>
      </c>
      <c r="BG188" s="102">
        <f t="shared" ca="1" si="77"/>
        <v>1</v>
      </c>
      <c r="BH188" s="102">
        <f t="shared" ca="1" si="77"/>
        <v>1</v>
      </c>
      <c r="BI188" s="102">
        <f t="shared" ca="1" si="77"/>
        <v>1</v>
      </c>
      <c r="BJ188" s="102">
        <f t="shared" ca="1" si="77"/>
        <v>1</v>
      </c>
      <c r="BK188" s="102">
        <f t="shared" ca="1" si="77"/>
        <v>1</v>
      </c>
      <c r="BL188" s="102">
        <f t="shared" ca="1" si="77"/>
        <v>1</v>
      </c>
      <c r="BM188" s="102">
        <f t="shared" ca="1" si="77"/>
        <v>1</v>
      </c>
      <c r="BN188" s="102">
        <f t="shared" ca="1" si="77"/>
        <v>1</v>
      </c>
      <c r="BO188" s="102">
        <f t="shared" ca="1" si="77"/>
        <v>1</v>
      </c>
      <c r="BP188" s="102">
        <f t="shared" ca="1" si="78"/>
        <v>1</v>
      </c>
      <c r="BQ188" s="102">
        <f t="shared" ca="1" si="78"/>
        <v>1</v>
      </c>
      <c r="BR188" s="102">
        <f t="shared" ca="1" si="78"/>
        <v>1</v>
      </c>
      <c r="BS188" s="102">
        <f t="shared" ca="1" si="78"/>
        <v>1</v>
      </c>
      <c r="BT188" s="102">
        <f t="shared" ca="1" si="78"/>
        <v>1</v>
      </c>
      <c r="BU188" s="102">
        <f t="shared" ca="1" si="78"/>
        <v>1</v>
      </c>
      <c r="BV188" s="102">
        <f t="shared" ca="1" si="78"/>
        <v>1</v>
      </c>
      <c r="BW188" s="102">
        <f t="shared" ca="1" si="78"/>
        <v>1</v>
      </c>
      <c r="BX188" s="102">
        <f t="shared" ca="1" si="78"/>
        <v>1</v>
      </c>
      <c r="BY188" s="102">
        <f t="shared" ca="1" si="78"/>
        <v>1</v>
      </c>
      <c r="BZ188" s="102">
        <f t="shared" ca="1" si="78"/>
        <v>1</v>
      </c>
      <c r="CA188" s="102">
        <f t="shared" ca="1" si="78"/>
        <v>1</v>
      </c>
      <c r="CB188" s="102">
        <f t="shared" ca="1" si="78"/>
        <v>1</v>
      </c>
      <c r="CC188" s="102">
        <f t="shared" ca="1" si="78"/>
        <v>1</v>
      </c>
      <c r="CD188" s="102">
        <f t="shared" ca="1" si="78"/>
        <v>1</v>
      </c>
      <c r="CE188" s="102">
        <f t="shared" ca="1" si="78"/>
        <v>1</v>
      </c>
      <c r="CF188" s="102">
        <f t="shared" ca="1" si="78"/>
        <v>1</v>
      </c>
      <c r="CG188" s="102">
        <f t="shared" ca="1" si="78"/>
        <v>1</v>
      </c>
      <c r="CH188" s="102">
        <f t="shared" ca="1" si="78"/>
        <v>1</v>
      </c>
      <c r="CI188" s="102">
        <f t="shared" ca="1" si="78"/>
        <v>1</v>
      </c>
      <c r="CJ188" s="102">
        <f t="shared" ca="1" si="78"/>
        <v>1</v>
      </c>
      <c r="CK188" s="102">
        <f t="shared" ca="1" si="78"/>
        <v>1</v>
      </c>
      <c r="CL188" s="102">
        <f t="shared" ca="1" si="78"/>
        <v>1</v>
      </c>
      <c r="CM188" s="102">
        <f t="shared" ca="1" si="78"/>
        <v>1</v>
      </c>
      <c r="CN188" s="102">
        <f t="shared" ca="1" si="78"/>
        <v>1</v>
      </c>
      <c r="CO188" s="102">
        <f t="shared" ca="1" si="78"/>
        <v>1</v>
      </c>
      <c r="CP188" s="102">
        <f t="shared" ca="1" si="78"/>
        <v>1</v>
      </c>
      <c r="CQ188" s="102">
        <f t="shared" ca="1" si="78"/>
        <v>1</v>
      </c>
      <c r="CR188" s="102">
        <f t="shared" ca="1" si="78"/>
        <v>1</v>
      </c>
      <c r="CS188" s="133">
        <f t="shared" ca="1" si="78"/>
        <v>1</v>
      </c>
      <c r="CT188" s="212">
        <v>1</v>
      </c>
      <c r="CU188" s="44"/>
      <c r="CV188" s="44"/>
    </row>
    <row r="189" spans="1:101" x14ac:dyDescent="0.25">
      <c r="A189" s="97">
        <f t="shared" si="79"/>
        <v>3</v>
      </c>
      <c r="B189" s="132" t="s">
        <v>6</v>
      </c>
      <c r="C189" s="101"/>
      <c r="D189" s="107">
        <f t="shared" ca="1" si="77"/>
        <v>1.9606073281962861</v>
      </c>
      <c r="E189" s="102">
        <f t="shared" ca="1" si="77"/>
        <v>48.722978895606076</v>
      </c>
      <c r="F189" s="102">
        <f t="shared" ca="1" si="77"/>
        <v>0.96912758431233881</v>
      </c>
      <c r="G189" s="102">
        <f t="shared" ca="1" si="77"/>
        <v>0.98422838748282548</v>
      </c>
      <c r="H189" s="102">
        <f t="shared" ca="1" si="77"/>
        <v>0.81456619591071067</v>
      </c>
      <c r="I189" s="102">
        <f t="shared" ca="1" si="77"/>
        <v>0.88526842573846898</v>
      </c>
      <c r="J189" s="102">
        <f t="shared" ca="1" si="77"/>
        <v>0.98801150584362418</v>
      </c>
      <c r="K189" s="102">
        <f t="shared" ca="1" si="77"/>
        <v>0.98585364716294022</v>
      </c>
      <c r="L189" s="102">
        <f t="shared" ca="1" si="77"/>
        <v>0.99961951322065556</v>
      </c>
      <c r="M189" s="102">
        <f t="shared" ca="1" si="77"/>
        <v>1</v>
      </c>
      <c r="N189" s="102">
        <f t="shared" ca="1" si="77"/>
        <v>1</v>
      </c>
      <c r="O189" s="102">
        <f t="shared" ca="1" si="77"/>
        <v>1</v>
      </c>
      <c r="P189" s="102">
        <f t="shared" ca="1" si="77"/>
        <v>1</v>
      </c>
      <c r="Q189" s="102">
        <f t="shared" ca="1" si="77"/>
        <v>1</v>
      </c>
      <c r="R189" s="102">
        <f t="shared" ca="1" si="77"/>
        <v>1</v>
      </c>
      <c r="S189" s="102">
        <f t="shared" ca="1" si="77"/>
        <v>1</v>
      </c>
      <c r="T189" s="102">
        <f t="shared" ca="1" si="77"/>
        <v>1</v>
      </c>
      <c r="U189" s="102">
        <f t="shared" ca="1" si="77"/>
        <v>1</v>
      </c>
      <c r="V189" s="102">
        <f t="shared" ca="1" si="77"/>
        <v>1</v>
      </c>
      <c r="W189" s="102">
        <f t="shared" ca="1" si="77"/>
        <v>1</v>
      </c>
      <c r="X189" s="102">
        <f t="shared" ca="1" si="77"/>
        <v>1</v>
      </c>
      <c r="Y189" s="102">
        <f t="shared" ca="1" si="77"/>
        <v>1</v>
      </c>
      <c r="Z189" s="102">
        <f t="shared" ca="1" si="77"/>
        <v>1</v>
      </c>
      <c r="AA189" s="102">
        <f t="shared" ca="1" si="77"/>
        <v>1</v>
      </c>
      <c r="AB189" s="102">
        <f t="shared" ca="1" si="77"/>
        <v>1</v>
      </c>
      <c r="AC189" s="102">
        <f t="shared" ca="1" si="77"/>
        <v>1</v>
      </c>
      <c r="AD189" s="102">
        <f t="shared" ca="1" si="77"/>
        <v>1</v>
      </c>
      <c r="AE189" s="102">
        <f t="shared" ca="1" si="77"/>
        <v>1</v>
      </c>
      <c r="AF189" s="102">
        <f t="shared" ca="1" si="77"/>
        <v>1</v>
      </c>
      <c r="AG189" s="102">
        <f t="shared" ca="1" si="77"/>
        <v>1</v>
      </c>
      <c r="AH189" s="102">
        <f t="shared" ca="1" si="77"/>
        <v>1</v>
      </c>
      <c r="AI189" s="102">
        <f t="shared" ca="1" si="77"/>
        <v>1</v>
      </c>
      <c r="AJ189" s="102">
        <f t="shared" ca="1" si="77"/>
        <v>1</v>
      </c>
      <c r="AK189" s="102">
        <f t="shared" ca="1" si="77"/>
        <v>1</v>
      </c>
      <c r="AL189" s="102">
        <f t="shared" ca="1" si="77"/>
        <v>1</v>
      </c>
      <c r="AM189" s="102">
        <f t="shared" ca="1" si="77"/>
        <v>1</v>
      </c>
      <c r="AN189" s="102">
        <f t="shared" ca="1" si="77"/>
        <v>1</v>
      </c>
      <c r="AO189" s="102">
        <f t="shared" ca="1" si="77"/>
        <v>1</v>
      </c>
      <c r="AP189" s="102">
        <f t="shared" ca="1" si="77"/>
        <v>1</v>
      </c>
      <c r="AQ189" s="102">
        <f t="shared" ca="1" si="77"/>
        <v>1</v>
      </c>
      <c r="AR189" s="102">
        <f t="shared" ca="1" si="77"/>
        <v>1</v>
      </c>
      <c r="AS189" s="102">
        <f t="shared" ca="1" si="77"/>
        <v>1</v>
      </c>
      <c r="AT189" s="102">
        <f t="shared" ca="1" si="77"/>
        <v>1</v>
      </c>
      <c r="AU189" s="102">
        <f t="shared" ca="1" si="77"/>
        <v>1</v>
      </c>
      <c r="AV189" s="102">
        <f t="shared" ca="1" si="77"/>
        <v>1</v>
      </c>
      <c r="AW189" s="102">
        <f t="shared" ca="1" si="77"/>
        <v>1</v>
      </c>
      <c r="AX189" s="102">
        <f t="shared" ca="1" si="77"/>
        <v>1</v>
      </c>
      <c r="AY189" s="102">
        <f t="shared" ca="1" si="77"/>
        <v>1</v>
      </c>
      <c r="AZ189" s="102">
        <f t="shared" ca="1" si="77"/>
        <v>1</v>
      </c>
      <c r="BA189" s="102">
        <f t="shared" ca="1" si="77"/>
        <v>1</v>
      </c>
      <c r="BB189" s="102">
        <f t="shared" ca="1" si="77"/>
        <v>1</v>
      </c>
      <c r="BC189" s="102">
        <f t="shared" ca="1" si="77"/>
        <v>1</v>
      </c>
      <c r="BD189" s="102">
        <f t="shared" ca="1" si="77"/>
        <v>1</v>
      </c>
      <c r="BE189" s="102">
        <f t="shared" ca="1" si="77"/>
        <v>1</v>
      </c>
      <c r="BF189" s="102">
        <f t="shared" ca="1" si="77"/>
        <v>1</v>
      </c>
      <c r="BG189" s="102">
        <f t="shared" ca="1" si="77"/>
        <v>1</v>
      </c>
      <c r="BH189" s="102">
        <f t="shared" ca="1" si="77"/>
        <v>1</v>
      </c>
      <c r="BI189" s="102">
        <f t="shared" ca="1" si="77"/>
        <v>1</v>
      </c>
      <c r="BJ189" s="102">
        <f t="shared" ca="1" si="77"/>
        <v>1</v>
      </c>
      <c r="BK189" s="102">
        <f t="shared" ca="1" si="77"/>
        <v>1</v>
      </c>
      <c r="BL189" s="102">
        <f t="shared" ca="1" si="77"/>
        <v>1</v>
      </c>
      <c r="BM189" s="102">
        <f t="shared" ca="1" si="77"/>
        <v>1</v>
      </c>
      <c r="BN189" s="102">
        <f t="shared" ca="1" si="77"/>
        <v>1</v>
      </c>
      <c r="BO189" s="102">
        <f t="shared" ca="1" si="77"/>
        <v>1</v>
      </c>
      <c r="BP189" s="102">
        <f t="shared" ca="1" si="78"/>
        <v>1</v>
      </c>
      <c r="BQ189" s="102">
        <f t="shared" ca="1" si="78"/>
        <v>1</v>
      </c>
      <c r="BR189" s="102">
        <f t="shared" ca="1" si="78"/>
        <v>1</v>
      </c>
      <c r="BS189" s="102">
        <f t="shared" ca="1" si="78"/>
        <v>1</v>
      </c>
      <c r="BT189" s="102">
        <f t="shared" ca="1" si="78"/>
        <v>1</v>
      </c>
      <c r="BU189" s="102">
        <f t="shared" ca="1" si="78"/>
        <v>1</v>
      </c>
      <c r="BV189" s="102">
        <f t="shared" ca="1" si="78"/>
        <v>1</v>
      </c>
      <c r="BW189" s="102">
        <f t="shared" ca="1" si="78"/>
        <v>1</v>
      </c>
      <c r="BX189" s="102">
        <f t="shared" ca="1" si="78"/>
        <v>1</v>
      </c>
      <c r="BY189" s="102">
        <f t="shared" ca="1" si="78"/>
        <v>1</v>
      </c>
      <c r="BZ189" s="102">
        <f t="shared" ca="1" si="78"/>
        <v>1</v>
      </c>
      <c r="CA189" s="102">
        <f t="shared" ca="1" si="78"/>
        <v>1</v>
      </c>
      <c r="CB189" s="102">
        <f t="shared" ca="1" si="78"/>
        <v>1</v>
      </c>
      <c r="CC189" s="102">
        <f t="shared" ca="1" si="78"/>
        <v>1</v>
      </c>
      <c r="CD189" s="102">
        <f t="shared" ca="1" si="78"/>
        <v>1</v>
      </c>
      <c r="CE189" s="102">
        <f t="shared" ca="1" si="78"/>
        <v>1</v>
      </c>
      <c r="CF189" s="102">
        <f t="shared" ca="1" si="78"/>
        <v>1</v>
      </c>
      <c r="CG189" s="102">
        <f t="shared" ca="1" si="78"/>
        <v>1</v>
      </c>
      <c r="CH189" s="102">
        <f t="shared" ca="1" si="78"/>
        <v>1</v>
      </c>
      <c r="CI189" s="102">
        <f t="shared" ca="1" si="78"/>
        <v>1</v>
      </c>
      <c r="CJ189" s="102">
        <f t="shared" ca="1" si="78"/>
        <v>1</v>
      </c>
      <c r="CK189" s="102">
        <f t="shared" ca="1" si="78"/>
        <v>1</v>
      </c>
      <c r="CL189" s="102">
        <f t="shared" ca="1" si="78"/>
        <v>1</v>
      </c>
      <c r="CM189" s="102">
        <f t="shared" ca="1" si="78"/>
        <v>1</v>
      </c>
      <c r="CN189" s="102">
        <f t="shared" ca="1" si="78"/>
        <v>1</v>
      </c>
      <c r="CO189" s="102">
        <f t="shared" ca="1" si="78"/>
        <v>1</v>
      </c>
      <c r="CP189" s="102">
        <f t="shared" ca="1" si="78"/>
        <v>1</v>
      </c>
      <c r="CQ189" s="102">
        <f t="shared" ca="1" si="78"/>
        <v>1</v>
      </c>
      <c r="CR189" s="102">
        <f t="shared" ca="1" si="78"/>
        <v>1</v>
      </c>
      <c r="CS189" s="133">
        <f t="shared" ca="1" si="78"/>
        <v>1</v>
      </c>
      <c r="CT189" s="212">
        <v>1</v>
      </c>
      <c r="CU189" s="44"/>
      <c r="CV189" s="44"/>
    </row>
    <row r="190" spans="1:101" x14ac:dyDescent="0.25">
      <c r="A190" s="97">
        <f t="shared" si="79"/>
        <v>4</v>
      </c>
      <c r="B190" s="134" t="s">
        <v>7</v>
      </c>
      <c r="C190" s="105">
        <v>5</v>
      </c>
      <c r="D190" s="107">
        <f t="shared" ca="1" si="77"/>
        <v>2.8712173408698107</v>
      </c>
      <c r="E190" s="102">
        <f t="shared" ca="1" si="77"/>
        <v>32.815319263737386</v>
      </c>
      <c r="F190" s="102">
        <f t="shared" ca="1" si="77"/>
        <v>1.0609640946909489</v>
      </c>
      <c r="G190" s="102">
        <f t="shared" ca="1" si="77"/>
        <v>0.84302188390197175</v>
      </c>
      <c r="H190" s="102">
        <f t="shared" ca="1" si="77"/>
        <v>0.88783367251807033</v>
      </c>
      <c r="I190" s="102">
        <f t="shared" ca="1" si="77"/>
        <v>0.92181859275716749</v>
      </c>
      <c r="J190" s="102">
        <f t="shared" ca="1" si="77"/>
        <v>0.98801150584362418</v>
      </c>
      <c r="K190" s="102">
        <f t="shared" ca="1" si="77"/>
        <v>0.98585364716294022</v>
      </c>
      <c r="L190" s="102">
        <f t="shared" ca="1" si="77"/>
        <v>0.99961951322065556</v>
      </c>
      <c r="M190" s="102">
        <f t="shared" ca="1" si="77"/>
        <v>1</v>
      </c>
      <c r="N190" s="102">
        <f t="shared" ca="1" si="77"/>
        <v>1</v>
      </c>
      <c r="O190" s="102">
        <f t="shared" ca="1" si="77"/>
        <v>1</v>
      </c>
      <c r="P190" s="102">
        <f t="shared" ca="1" si="77"/>
        <v>1</v>
      </c>
      <c r="Q190" s="102">
        <f t="shared" ca="1" si="77"/>
        <v>1</v>
      </c>
      <c r="R190" s="102">
        <f t="shared" ca="1" si="77"/>
        <v>1</v>
      </c>
      <c r="S190" s="102">
        <f t="shared" ca="1" si="77"/>
        <v>1</v>
      </c>
      <c r="T190" s="102">
        <f t="shared" ca="1" si="77"/>
        <v>1</v>
      </c>
      <c r="U190" s="102">
        <f t="shared" ca="1" si="77"/>
        <v>1</v>
      </c>
      <c r="V190" s="102">
        <f t="shared" ca="1" si="77"/>
        <v>1</v>
      </c>
      <c r="W190" s="102">
        <f t="shared" ca="1" si="77"/>
        <v>1</v>
      </c>
      <c r="X190" s="102">
        <f t="shared" ca="1" si="77"/>
        <v>1</v>
      </c>
      <c r="Y190" s="102">
        <f t="shared" ca="1" si="77"/>
        <v>1</v>
      </c>
      <c r="Z190" s="102">
        <f t="shared" ca="1" si="77"/>
        <v>1</v>
      </c>
      <c r="AA190" s="102">
        <f t="shared" ca="1" si="77"/>
        <v>1</v>
      </c>
      <c r="AB190" s="102">
        <f t="shared" ca="1" si="77"/>
        <v>1</v>
      </c>
      <c r="AC190" s="102">
        <f t="shared" ca="1" si="77"/>
        <v>1</v>
      </c>
      <c r="AD190" s="102">
        <f t="shared" ca="1" si="77"/>
        <v>1</v>
      </c>
      <c r="AE190" s="102">
        <f t="shared" ca="1" si="77"/>
        <v>1</v>
      </c>
      <c r="AF190" s="102">
        <f t="shared" ca="1" si="77"/>
        <v>1</v>
      </c>
      <c r="AG190" s="102">
        <f t="shared" ca="1" si="77"/>
        <v>1</v>
      </c>
      <c r="AH190" s="102">
        <f t="shared" ca="1" si="77"/>
        <v>1</v>
      </c>
      <c r="AI190" s="102">
        <f t="shared" ca="1" si="77"/>
        <v>1</v>
      </c>
      <c r="AJ190" s="102">
        <f t="shared" ca="1" si="77"/>
        <v>1</v>
      </c>
      <c r="AK190" s="102">
        <f t="shared" ca="1" si="77"/>
        <v>1</v>
      </c>
      <c r="AL190" s="102">
        <f t="shared" ca="1" si="77"/>
        <v>1</v>
      </c>
      <c r="AM190" s="102">
        <f t="shared" ca="1" si="77"/>
        <v>1</v>
      </c>
      <c r="AN190" s="102">
        <f t="shared" ca="1" si="77"/>
        <v>1</v>
      </c>
      <c r="AO190" s="102">
        <f t="shared" ca="1" si="77"/>
        <v>1</v>
      </c>
      <c r="AP190" s="102">
        <f t="shared" ca="1" si="77"/>
        <v>1</v>
      </c>
      <c r="AQ190" s="102">
        <f t="shared" ca="1" si="77"/>
        <v>1</v>
      </c>
      <c r="AR190" s="102">
        <f t="shared" ca="1" si="77"/>
        <v>1</v>
      </c>
      <c r="AS190" s="102">
        <f t="shared" ca="1" si="77"/>
        <v>1</v>
      </c>
      <c r="AT190" s="102">
        <f t="shared" ca="1" si="77"/>
        <v>1</v>
      </c>
      <c r="AU190" s="102">
        <f t="shared" ca="1" si="77"/>
        <v>1</v>
      </c>
      <c r="AV190" s="102">
        <f t="shared" ca="1" si="77"/>
        <v>1</v>
      </c>
      <c r="AW190" s="102">
        <f t="shared" ca="1" si="77"/>
        <v>1</v>
      </c>
      <c r="AX190" s="102">
        <f t="shared" ca="1" si="77"/>
        <v>1</v>
      </c>
      <c r="AY190" s="102">
        <f t="shared" ca="1" si="77"/>
        <v>1</v>
      </c>
      <c r="AZ190" s="102">
        <f t="shared" ca="1" si="77"/>
        <v>1</v>
      </c>
      <c r="BA190" s="102">
        <f t="shared" ca="1" si="77"/>
        <v>1</v>
      </c>
      <c r="BB190" s="102">
        <f t="shared" ca="1" si="77"/>
        <v>1</v>
      </c>
      <c r="BC190" s="102">
        <f t="shared" ca="1" si="77"/>
        <v>1</v>
      </c>
      <c r="BD190" s="102">
        <f t="shared" ca="1" si="77"/>
        <v>1</v>
      </c>
      <c r="BE190" s="102">
        <f t="shared" ca="1" si="77"/>
        <v>1</v>
      </c>
      <c r="BF190" s="102">
        <f t="shared" ca="1" si="77"/>
        <v>1</v>
      </c>
      <c r="BG190" s="102">
        <f t="shared" ca="1" si="77"/>
        <v>1</v>
      </c>
      <c r="BH190" s="102">
        <f t="shared" ca="1" si="77"/>
        <v>1</v>
      </c>
      <c r="BI190" s="102">
        <f t="shared" ca="1" si="77"/>
        <v>1</v>
      </c>
      <c r="BJ190" s="102">
        <f t="shared" ca="1" si="77"/>
        <v>1</v>
      </c>
      <c r="BK190" s="102">
        <f t="shared" ca="1" si="77"/>
        <v>1</v>
      </c>
      <c r="BL190" s="102">
        <f t="shared" ca="1" si="77"/>
        <v>1</v>
      </c>
      <c r="BM190" s="102">
        <f t="shared" ca="1" si="77"/>
        <v>1</v>
      </c>
      <c r="BN190" s="102">
        <f t="shared" ca="1" si="77"/>
        <v>1</v>
      </c>
      <c r="BO190" s="102">
        <f t="shared" ref="BO190" ca="1" si="80">IF(ISERROR(BO180),1,BO180)</f>
        <v>1</v>
      </c>
      <c r="BP190" s="102">
        <f t="shared" ca="1" si="78"/>
        <v>1</v>
      </c>
      <c r="BQ190" s="102">
        <f t="shared" ca="1" si="78"/>
        <v>1</v>
      </c>
      <c r="BR190" s="102">
        <f t="shared" ca="1" si="78"/>
        <v>1</v>
      </c>
      <c r="BS190" s="102">
        <f t="shared" ca="1" si="78"/>
        <v>1</v>
      </c>
      <c r="BT190" s="102">
        <f t="shared" ca="1" si="78"/>
        <v>1</v>
      </c>
      <c r="BU190" s="102">
        <f t="shared" ca="1" si="78"/>
        <v>1</v>
      </c>
      <c r="BV190" s="102">
        <f t="shared" ca="1" si="78"/>
        <v>1</v>
      </c>
      <c r="BW190" s="102">
        <f t="shared" ca="1" si="78"/>
        <v>1</v>
      </c>
      <c r="BX190" s="102">
        <f t="shared" ca="1" si="78"/>
        <v>1</v>
      </c>
      <c r="BY190" s="102">
        <f t="shared" ca="1" si="78"/>
        <v>1</v>
      </c>
      <c r="BZ190" s="102">
        <f t="shared" ca="1" si="78"/>
        <v>1</v>
      </c>
      <c r="CA190" s="102">
        <f t="shared" ca="1" si="78"/>
        <v>1</v>
      </c>
      <c r="CB190" s="102">
        <f t="shared" ca="1" si="78"/>
        <v>1</v>
      </c>
      <c r="CC190" s="102">
        <f t="shared" ca="1" si="78"/>
        <v>1</v>
      </c>
      <c r="CD190" s="102">
        <f t="shared" ca="1" si="78"/>
        <v>1</v>
      </c>
      <c r="CE190" s="102">
        <f t="shared" ca="1" si="78"/>
        <v>1</v>
      </c>
      <c r="CF190" s="102">
        <f t="shared" ca="1" si="78"/>
        <v>1</v>
      </c>
      <c r="CG190" s="102">
        <f t="shared" ca="1" si="78"/>
        <v>1</v>
      </c>
      <c r="CH190" s="102">
        <f t="shared" ca="1" si="78"/>
        <v>1</v>
      </c>
      <c r="CI190" s="102">
        <f t="shared" ca="1" si="78"/>
        <v>1</v>
      </c>
      <c r="CJ190" s="102">
        <f t="shared" ca="1" si="78"/>
        <v>1</v>
      </c>
      <c r="CK190" s="102">
        <f t="shared" ca="1" si="78"/>
        <v>1</v>
      </c>
      <c r="CL190" s="102">
        <f t="shared" ca="1" si="78"/>
        <v>1</v>
      </c>
      <c r="CM190" s="102">
        <f t="shared" ca="1" si="78"/>
        <v>1</v>
      </c>
      <c r="CN190" s="102">
        <f t="shared" ca="1" si="78"/>
        <v>1</v>
      </c>
      <c r="CO190" s="102">
        <f t="shared" ca="1" si="78"/>
        <v>1</v>
      </c>
      <c r="CP190" s="102">
        <f t="shared" ca="1" si="78"/>
        <v>1</v>
      </c>
      <c r="CQ190" s="102">
        <f t="shared" ca="1" si="78"/>
        <v>1</v>
      </c>
      <c r="CR190" s="102">
        <f t="shared" ca="1" si="78"/>
        <v>1</v>
      </c>
      <c r="CS190" s="133">
        <f t="shared" ca="1" si="78"/>
        <v>1</v>
      </c>
      <c r="CT190" s="213">
        <v>1</v>
      </c>
      <c r="CU190" s="44"/>
      <c r="CV190" s="44"/>
    </row>
    <row r="191" spans="1:101" x14ac:dyDescent="0.25">
      <c r="A191" s="97">
        <f t="shared" si="79"/>
        <v>5</v>
      </c>
      <c r="B191" s="130" t="s">
        <v>8</v>
      </c>
      <c r="C191" s="101"/>
      <c r="D191" s="106">
        <f t="shared" ref="D191:BO194" si="81">IF(ISERROR(D181),1,D181)</f>
        <v>1.4185310565525786</v>
      </c>
      <c r="E191" s="100">
        <f t="shared" si="81"/>
        <v>2.0925185382106259</v>
      </c>
      <c r="F191" s="100">
        <f t="shared" si="81"/>
        <v>1.0806145478416056</v>
      </c>
      <c r="G191" s="100">
        <f t="shared" si="81"/>
        <v>0.96952656688216809</v>
      </c>
      <c r="H191" s="100">
        <f t="shared" si="81"/>
        <v>0.88511280334830633</v>
      </c>
      <c r="I191" s="100">
        <f t="shared" si="81"/>
        <v>0.92386545918483642</v>
      </c>
      <c r="J191" s="100">
        <f t="shared" si="81"/>
        <v>0.9850870087131437</v>
      </c>
      <c r="K191" s="100">
        <f t="shared" si="81"/>
        <v>0.9750458136595691</v>
      </c>
      <c r="L191" s="100">
        <f t="shared" si="81"/>
        <v>0.99961951322065556</v>
      </c>
      <c r="M191" s="100">
        <f t="shared" si="81"/>
        <v>1</v>
      </c>
      <c r="N191" s="100">
        <f t="shared" si="81"/>
        <v>1</v>
      </c>
      <c r="O191" s="100">
        <f t="shared" si="81"/>
        <v>1</v>
      </c>
      <c r="P191" s="100">
        <f t="shared" si="81"/>
        <v>1</v>
      </c>
      <c r="Q191" s="100">
        <f t="shared" si="81"/>
        <v>1</v>
      </c>
      <c r="R191" s="100">
        <f t="shared" si="81"/>
        <v>1</v>
      </c>
      <c r="S191" s="100">
        <f t="shared" si="81"/>
        <v>1</v>
      </c>
      <c r="T191" s="100">
        <f t="shared" si="81"/>
        <v>1</v>
      </c>
      <c r="U191" s="100">
        <f t="shared" si="81"/>
        <v>1</v>
      </c>
      <c r="V191" s="100">
        <f t="shared" si="81"/>
        <v>1</v>
      </c>
      <c r="W191" s="100">
        <f t="shared" si="81"/>
        <v>1</v>
      </c>
      <c r="X191" s="100">
        <f t="shared" si="81"/>
        <v>1</v>
      </c>
      <c r="Y191" s="100">
        <f t="shared" si="81"/>
        <v>1</v>
      </c>
      <c r="Z191" s="100">
        <f t="shared" si="81"/>
        <v>1</v>
      </c>
      <c r="AA191" s="100">
        <f t="shared" si="81"/>
        <v>1</v>
      </c>
      <c r="AB191" s="100">
        <f t="shared" si="81"/>
        <v>1</v>
      </c>
      <c r="AC191" s="100">
        <f t="shared" si="81"/>
        <v>1</v>
      </c>
      <c r="AD191" s="100">
        <f t="shared" si="81"/>
        <v>1</v>
      </c>
      <c r="AE191" s="100">
        <f t="shared" si="81"/>
        <v>1</v>
      </c>
      <c r="AF191" s="100">
        <f t="shared" si="81"/>
        <v>1</v>
      </c>
      <c r="AG191" s="100">
        <f t="shared" si="81"/>
        <v>1</v>
      </c>
      <c r="AH191" s="100">
        <f t="shared" si="81"/>
        <v>1</v>
      </c>
      <c r="AI191" s="100">
        <f t="shared" si="81"/>
        <v>1</v>
      </c>
      <c r="AJ191" s="100">
        <f t="shared" si="81"/>
        <v>1</v>
      </c>
      <c r="AK191" s="100">
        <f t="shared" si="81"/>
        <v>1</v>
      </c>
      <c r="AL191" s="100">
        <f t="shared" si="81"/>
        <v>1</v>
      </c>
      <c r="AM191" s="100">
        <f t="shared" si="81"/>
        <v>1</v>
      </c>
      <c r="AN191" s="100">
        <f t="shared" si="81"/>
        <v>1</v>
      </c>
      <c r="AO191" s="100">
        <f t="shared" si="81"/>
        <v>1</v>
      </c>
      <c r="AP191" s="100">
        <f t="shared" si="81"/>
        <v>1</v>
      </c>
      <c r="AQ191" s="100">
        <f t="shared" si="81"/>
        <v>1</v>
      </c>
      <c r="AR191" s="100">
        <f t="shared" si="81"/>
        <v>1</v>
      </c>
      <c r="AS191" s="100">
        <f t="shared" si="81"/>
        <v>1</v>
      </c>
      <c r="AT191" s="100">
        <f t="shared" si="81"/>
        <v>1</v>
      </c>
      <c r="AU191" s="100">
        <f t="shared" si="81"/>
        <v>1</v>
      </c>
      <c r="AV191" s="100">
        <f t="shared" si="81"/>
        <v>1</v>
      </c>
      <c r="AW191" s="100">
        <f t="shared" si="81"/>
        <v>1</v>
      </c>
      <c r="AX191" s="100">
        <f t="shared" si="81"/>
        <v>1</v>
      </c>
      <c r="AY191" s="100">
        <f t="shared" si="81"/>
        <v>1</v>
      </c>
      <c r="AZ191" s="100">
        <f t="shared" si="81"/>
        <v>1</v>
      </c>
      <c r="BA191" s="100">
        <f t="shared" si="81"/>
        <v>1</v>
      </c>
      <c r="BB191" s="100">
        <f t="shared" si="81"/>
        <v>1</v>
      </c>
      <c r="BC191" s="100">
        <f t="shared" si="81"/>
        <v>1</v>
      </c>
      <c r="BD191" s="100">
        <f t="shared" si="81"/>
        <v>1</v>
      </c>
      <c r="BE191" s="100">
        <f t="shared" si="81"/>
        <v>1</v>
      </c>
      <c r="BF191" s="100">
        <f t="shared" si="81"/>
        <v>1</v>
      </c>
      <c r="BG191" s="100">
        <f t="shared" si="81"/>
        <v>1</v>
      </c>
      <c r="BH191" s="100">
        <f t="shared" si="81"/>
        <v>1</v>
      </c>
      <c r="BI191" s="100">
        <f t="shared" si="81"/>
        <v>1</v>
      </c>
      <c r="BJ191" s="100">
        <f t="shared" si="81"/>
        <v>1</v>
      </c>
      <c r="BK191" s="100">
        <f t="shared" si="81"/>
        <v>1</v>
      </c>
      <c r="BL191" s="100">
        <f t="shared" si="81"/>
        <v>1</v>
      </c>
      <c r="BM191" s="100">
        <f t="shared" si="81"/>
        <v>1</v>
      </c>
      <c r="BN191" s="100">
        <f t="shared" si="81"/>
        <v>1</v>
      </c>
      <c r="BO191" s="100">
        <f t="shared" si="81"/>
        <v>1</v>
      </c>
      <c r="BP191" s="100">
        <f t="shared" si="78"/>
        <v>1</v>
      </c>
      <c r="BQ191" s="100">
        <f t="shared" si="78"/>
        <v>1</v>
      </c>
      <c r="BR191" s="100">
        <f t="shared" si="78"/>
        <v>1</v>
      </c>
      <c r="BS191" s="100">
        <f t="shared" si="78"/>
        <v>1</v>
      </c>
      <c r="BT191" s="100">
        <f t="shared" si="78"/>
        <v>1</v>
      </c>
      <c r="BU191" s="100">
        <f t="shared" si="78"/>
        <v>1</v>
      </c>
      <c r="BV191" s="100">
        <f t="shared" si="78"/>
        <v>1</v>
      </c>
      <c r="BW191" s="100">
        <f t="shared" si="78"/>
        <v>1</v>
      </c>
      <c r="BX191" s="100">
        <f t="shared" si="78"/>
        <v>1</v>
      </c>
      <c r="BY191" s="100">
        <f t="shared" si="78"/>
        <v>1</v>
      </c>
      <c r="BZ191" s="100">
        <f t="shared" si="78"/>
        <v>1</v>
      </c>
      <c r="CA191" s="100">
        <f t="shared" si="78"/>
        <v>1</v>
      </c>
      <c r="CB191" s="100">
        <f t="shared" si="78"/>
        <v>1</v>
      </c>
      <c r="CC191" s="100">
        <f t="shared" si="78"/>
        <v>1</v>
      </c>
      <c r="CD191" s="100">
        <f t="shared" si="78"/>
        <v>1</v>
      </c>
      <c r="CE191" s="100">
        <f t="shared" si="78"/>
        <v>1</v>
      </c>
      <c r="CF191" s="100">
        <f t="shared" si="78"/>
        <v>1</v>
      </c>
      <c r="CG191" s="100">
        <f t="shared" si="78"/>
        <v>1</v>
      </c>
      <c r="CH191" s="100">
        <f t="shared" si="78"/>
        <v>1</v>
      </c>
      <c r="CI191" s="100">
        <f t="shared" si="78"/>
        <v>1</v>
      </c>
      <c r="CJ191" s="100">
        <f t="shared" si="78"/>
        <v>1</v>
      </c>
      <c r="CK191" s="100">
        <f t="shared" si="78"/>
        <v>1</v>
      </c>
      <c r="CL191" s="100">
        <f t="shared" si="78"/>
        <v>1</v>
      </c>
      <c r="CM191" s="100">
        <f t="shared" si="78"/>
        <v>1</v>
      </c>
      <c r="CN191" s="100">
        <f t="shared" si="78"/>
        <v>1</v>
      </c>
      <c r="CO191" s="100">
        <f t="shared" si="78"/>
        <v>1</v>
      </c>
      <c r="CP191" s="100">
        <f t="shared" si="78"/>
        <v>1</v>
      </c>
      <c r="CQ191" s="100">
        <f t="shared" si="78"/>
        <v>1</v>
      </c>
      <c r="CR191" s="100">
        <f t="shared" si="78"/>
        <v>1</v>
      </c>
      <c r="CS191" s="131">
        <f t="shared" si="78"/>
        <v>1</v>
      </c>
      <c r="CT191" s="211">
        <v>1</v>
      </c>
      <c r="CU191" s="44"/>
      <c r="CV191" s="44"/>
    </row>
    <row r="192" spans="1:101" x14ac:dyDescent="0.25">
      <c r="A192" s="97">
        <f t="shared" si="79"/>
        <v>6</v>
      </c>
      <c r="B192" s="132" t="s">
        <v>9</v>
      </c>
      <c r="C192" s="101"/>
      <c r="D192" s="107">
        <f t="shared" ca="1" si="81"/>
        <v>4.4587686291413329</v>
      </c>
      <c r="E192" s="102">
        <f t="shared" ca="1" si="81"/>
        <v>1.1969010589833935</v>
      </c>
      <c r="F192" s="102">
        <f t="shared" ca="1" si="81"/>
        <v>1.0812158285813152</v>
      </c>
      <c r="G192" s="102">
        <f t="shared" ca="1" si="81"/>
        <v>0.96952656688216809</v>
      </c>
      <c r="H192" s="102">
        <f t="shared" ca="1" si="81"/>
        <v>0.83796659202983037</v>
      </c>
      <c r="I192" s="102">
        <f t="shared" ca="1" si="81"/>
        <v>0.92386545918483642</v>
      </c>
      <c r="J192" s="102">
        <f t="shared" ca="1" si="81"/>
        <v>0.99969018466749615</v>
      </c>
      <c r="K192" s="102">
        <f t="shared" ca="1" si="81"/>
        <v>0.97170729432588032</v>
      </c>
      <c r="L192" s="102">
        <f t="shared" ca="1" si="81"/>
        <v>1</v>
      </c>
      <c r="M192" s="102">
        <f t="shared" ca="1" si="81"/>
        <v>1</v>
      </c>
      <c r="N192" s="102">
        <f t="shared" ca="1" si="81"/>
        <v>1</v>
      </c>
      <c r="O192" s="102">
        <f t="shared" ca="1" si="81"/>
        <v>1</v>
      </c>
      <c r="P192" s="102">
        <f t="shared" ca="1" si="81"/>
        <v>1</v>
      </c>
      <c r="Q192" s="102">
        <f t="shared" ca="1" si="81"/>
        <v>1</v>
      </c>
      <c r="R192" s="102">
        <f t="shared" ca="1" si="81"/>
        <v>1</v>
      </c>
      <c r="S192" s="102">
        <f t="shared" ca="1" si="81"/>
        <v>1</v>
      </c>
      <c r="T192" s="102">
        <f t="shared" ca="1" si="81"/>
        <v>1</v>
      </c>
      <c r="U192" s="102">
        <f t="shared" ca="1" si="81"/>
        <v>1</v>
      </c>
      <c r="V192" s="102">
        <f t="shared" ca="1" si="81"/>
        <v>1</v>
      </c>
      <c r="W192" s="102">
        <f t="shared" ca="1" si="81"/>
        <v>1</v>
      </c>
      <c r="X192" s="102">
        <f t="shared" ca="1" si="81"/>
        <v>1</v>
      </c>
      <c r="Y192" s="102">
        <f t="shared" ca="1" si="81"/>
        <v>1</v>
      </c>
      <c r="Z192" s="102">
        <f t="shared" ca="1" si="81"/>
        <v>1</v>
      </c>
      <c r="AA192" s="102">
        <f t="shared" ca="1" si="81"/>
        <v>1</v>
      </c>
      <c r="AB192" s="102">
        <f t="shared" ca="1" si="81"/>
        <v>1</v>
      </c>
      <c r="AC192" s="102">
        <f t="shared" ca="1" si="81"/>
        <v>1</v>
      </c>
      <c r="AD192" s="102">
        <f t="shared" ca="1" si="81"/>
        <v>1</v>
      </c>
      <c r="AE192" s="102">
        <f t="shared" ca="1" si="81"/>
        <v>1</v>
      </c>
      <c r="AF192" s="102">
        <f t="shared" ca="1" si="81"/>
        <v>1</v>
      </c>
      <c r="AG192" s="102">
        <f t="shared" ca="1" si="81"/>
        <v>1</v>
      </c>
      <c r="AH192" s="102">
        <f t="shared" ca="1" si="81"/>
        <v>1</v>
      </c>
      <c r="AI192" s="102">
        <f t="shared" ca="1" si="81"/>
        <v>1</v>
      </c>
      <c r="AJ192" s="102">
        <f t="shared" ca="1" si="81"/>
        <v>1</v>
      </c>
      <c r="AK192" s="102">
        <f t="shared" ca="1" si="81"/>
        <v>1</v>
      </c>
      <c r="AL192" s="102">
        <f t="shared" ca="1" si="81"/>
        <v>1</v>
      </c>
      <c r="AM192" s="102">
        <f t="shared" ca="1" si="81"/>
        <v>1</v>
      </c>
      <c r="AN192" s="102">
        <f t="shared" ca="1" si="81"/>
        <v>1</v>
      </c>
      <c r="AO192" s="102">
        <f t="shared" ca="1" si="81"/>
        <v>1</v>
      </c>
      <c r="AP192" s="102">
        <f t="shared" ca="1" si="81"/>
        <v>1</v>
      </c>
      <c r="AQ192" s="102">
        <f t="shared" ca="1" si="81"/>
        <v>1</v>
      </c>
      <c r="AR192" s="102">
        <f t="shared" ca="1" si="81"/>
        <v>1</v>
      </c>
      <c r="AS192" s="102">
        <f t="shared" ca="1" si="81"/>
        <v>1</v>
      </c>
      <c r="AT192" s="102">
        <f t="shared" ca="1" si="81"/>
        <v>1</v>
      </c>
      <c r="AU192" s="102">
        <f t="shared" ca="1" si="81"/>
        <v>1</v>
      </c>
      <c r="AV192" s="102">
        <f t="shared" ca="1" si="81"/>
        <v>1</v>
      </c>
      <c r="AW192" s="102">
        <f t="shared" ca="1" si="81"/>
        <v>1</v>
      </c>
      <c r="AX192" s="102">
        <f t="shared" ca="1" si="81"/>
        <v>1</v>
      </c>
      <c r="AY192" s="102">
        <f t="shared" ca="1" si="81"/>
        <v>1</v>
      </c>
      <c r="AZ192" s="102">
        <f t="shared" ca="1" si="81"/>
        <v>1</v>
      </c>
      <c r="BA192" s="102">
        <f t="shared" ca="1" si="81"/>
        <v>1</v>
      </c>
      <c r="BB192" s="102">
        <f t="shared" ca="1" si="81"/>
        <v>1</v>
      </c>
      <c r="BC192" s="102">
        <f t="shared" ca="1" si="81"/>
        <v>1</v>
      </c>
      <c r="BD192" s="102">
        <f t="shared" ca="1" si="81"/>
        <v>1</v>
      </c>
      <c r="BE192" s="102">
        <f t="shared" ca="1" si="81"/>
        <v>1</v>
      </c>
      <c r="BF192" s="102">
        <f t="shared" ca="1" si="81"/>
        <v>1</v>
      </c>
      <c r="BG192" s="102">
        <f t="shared" ca="1" si="81"/>
        <v>1</v>
      </c>
      <c r="BH192" s="102">
        <f t="shared" ca="1" si="81"/>
        <v>1</v>
      </c>
      <c r="BI192" s="102">
        <f t="shared" ca="1" si="81"/>
        <v>1</v>
      </c>
      <c r="BJ192" s="102">
        <f t="shared" ca="1" si="81"/>
        <v>1</v>
      </c>
      <c r="BK192" s="102">
        <f t="shared" ca="1" si="81"/>
        <v>1</v>
      </c>
      <c r="BL192" s="102">
        <f t="shared" ca="1" si="81"/>
        <v>1</v>
      </c>
      <c r="BM192" s="102">
        <f t="shared" ca="1" si="81"/>
        <v>1</v>
      </c>
      <c r="BN192" s="102">
        <f t="shared" ca="1" si="81"/>
        <v>1</v>
      </c>
      <c r="BO192" s="102">
        <f t="shared" ca="1" si="81"/>
        <v>1</v>
      </c>
      <c r="BP192" s="102">
        <f t="shared" ca="1" si="78"/>
        <v>1</v>
      </c>
      <c r="BQ192" s="102">
        <f t="shared" ca="1" si="78"/>
        <v>1</v>
      </c>
      <c r="BR192" s="102">
        <f t="shared" ca="1" si="78"/>
        <v>1</v>
      </c>
      <c r="BS192" s="102">
        <f t="shared" ca="1" si="78"/>
        <v>1</v>
      </c>
      <c r="BT192" s="102">
        <f t="shared" ca="1" si="78"/>
        <v>1</v>
      </c>
      <c r="BU192" s="102">
        <f t="shared" ca="1" si="78"/>
        <v>1</v>
      </c>
      <c r="BV192" s="102">
        <f t="shared" ca="1" si="78"/>
        <v>1</v>
      </c>
      <c r="BW192" s="102">
        <f t="shared" ca="1" si="78"/>
        <v>1</v>
      </c>
      <c r="BX192" s="102">
        <f t="shared" ca="1" si="78"/>
        <v>1</v>
      </c>
      <c r="BY192" s="102">
        <f t="shared" ca="1" si="78"/>
        <v>1</v>
      </c>
      <c r="BZ192" s="102">
        <f t="shared" ca="1" si="78"/>
        <v>1</v>
      </c>
      <c r="CA192" s="102">
        <f t="shared" ca="1" si="78"/>
        <v>1</v>
      </c>
      <c r="CB192" s="102">
        <f t="shared" ca="1" si="78"/>
        <v>1</v>
      </c>
      <c r="CC192" s="102">
        <f t="shared" ca="1" si="78"/>
        <v>1</v>
      </c>
      <c r="CD192" s="102">
        <f t="shared" ca="1" si="78"/>
        <v>1</v>
      </c>
      <c r="CE192" s="102">
        <f t="shared" ca="1" si="78"/>
        <v>1</v>
      </c>
      <c r="CF192" s="102">
        <f t="shared" ca="1" si="78"/>
        <v>1</v>
      </c>
      <c r="CG192" s="102">
        <f t="shared" ca="1" si="78"/>
        <v>1</v>
      </c>
      <c r="CH192" s="102">
        <f t="shared" ca="1" si="78"/>
        <v>1</v>
      </c>
      <c r="CI192" s="102">
        <f t="shared" ca="1" si="78"/>
        <v>1</v>
      </c>
      <c r="CJ192" s="102">
        <f t="shared" ca="1" si="78"/>
        <v>1</v>
      </c>
      <c r="CK192" s="102">
        <f t="shared" ca="1" si="78"/>
        <v>1</v>
      </c>
      <c r="CL192" s="102">
        <f t="shared" ca="1" si="78"/>
        <v>1</v>
      </c>
      <c r="CM192" s="102">
        <f t="shared" ca="1" si="78"/>
        <v>1</v>
      </c>
      <c r="CN192" s="102">
        <f t="shared" ca="1" si="78"/>
        <v>1</v>
      </c>
      <c r="CO192" s="102">
        <f t="shared" ca="1" si="78"/>
        <v>1</v>
      </c>
      <c r="CP192" s="102">
        <f t="shared" ca="1" si="78"/>
        <v>1</v>
      </c>
      <c r="CQ192" s="102">
        <f t="shared" ca="1" si="78"/>
        <v>1</v>
      </c>
      <c r="CR192" s="102">
        <f t="shared" ca="1" si="78"/>
        <v>1</v>
      </c>
      <c r="CS192" s="133">
        <f t="shared" ca="1" si="78"/>
        <v>1</v>
      </c>
      <c r="CT192" s="212">
        <v>1</v>
      </c>
      <c r="CU192" s="44"/>
      <c r="CV192" s="44"/>
    </row>
    <row r="193" spans="1:102" x14ac:dyDescent="0.25">
      <c r="A193" s="97">
        <f t="shared" si="79"/>
        <v>7</v>
      </c>
      <c r="B193" s="132" t="s">
        <v>10</v>
      </c>
      <c r="C193" s="101"/>
      <c r="D193" s="107">
        <f t="shared" ca="1" si="81"/>
        <v>3.3469268968055701</v>
      </c>
      <c r="E193" s="102">
        <f t="shared" ca="1" si="81"/>
        <v>1.0221973218444398</v>
      </c>
      <c r="F193" s="102">
        <f t="shared" ca="1" si="81"/>
        <v>1.0517203312045589</v>
      </c>
      <c r="G193" s="102">
        <f t="shared" ca="1" si="81"/>
        <v>0.9883462291879811</v>
      </c>
      <c r="H193" s="102">
        <f t="shared" ca="1" si="81"/>
        <v>0.72843081039677093</v>
      </c>
      <c r="I193" s="102">
        <f t="shared" ca="1" si="81"/>
        <v>0.92386545918483642</v>
      </c>
      <c r="J193" s="102">
        <f t="shared" ca="1" si="81"/>
        <v>0.99969018466749615</v>
      </c>
      <c r="K193" s="102">
        <f t="shared" ca="1" si="81"/>
        <v>0.97170729432588032</v>
      </c>
      <c r="L193" s="102">
        <f t="shared" ca="1" si="81"/>
        <v>1</v>
      </c>
      <c r="M193" s="102">
        <f t="shared" ca="1" si="81"/>
        <v>1</v>
      </c>
      <c r="N193" s="102">
        <f t="shared" ca="1" si="81"/>
        <v>1</v>
      </c>
      <c r="O193" s="102">
        <f t="shared" ca="1" si="81"/>
        <v>1</v>
      </c>
      <c r="P193" s="102">
        <f t="shared" ca="1" si="81"/>
        <v>1</v>
      </c>
      <c r="Q193" s="102">
        <f t="shared" ca="1" si="81"/>
        <v>1</v>
      </c>
      <c r="R193" s="102">
        <f t="shared" ca="1" si="81"/>
        <v>1</v>
      </c>
      <c r="S193" s="102">
        <f t="shared" ca="1" si="81"/>
        <v>1</v>
      </c>
      <c r="T193" s="102">
        <f t="shared" ca="1" si="81"/>
        <v>1</v>
      </c>
      <c r="U193" s="102">
        <f t="shared" ca="1" si="81"/>
        <v>1</v>
      </c>
      <c r="V193" s="102">
        <f t="shared" ca="1" si="81"/>
        <v>1</v>
      </c>
      <c r="W193" s="102">
        <f t="shared" ca="1" si="81"/>
        <v>1</v>
      </c>
      <c r="X193" s="102">
        <f t="shared" ca="1" si="81"/>
        <v>1</v>
      </c>
      <c r="Y193" s="102">
        <f t="shared" ca="1" si="81"/>
        <v>1</v>
      </c>
      <c r="Z193" s="102">
        <f t="shared" ca="1" si="81"/>
        <v>1</v>
      </c>
      <c r="AA193" s="102">
        <f t="shared" ca="1" si="81"/>
        <v>1</v>
      </c>
      <c r="AB193" s="102">
        <f t="shared" ca="1" si="81"/>
        <v>1</v>
      </c>
      <c r="AC193" s="102">
        <f t="shared" ca="1" si="81"/>
        <v>1</v>
      </c>
      <c r="AD193" s="102">
        <f t="shared" ca="1" si="81"/>
        <v>1</v>
      </c>
      <c r="AE193" s="102">
        <f t="shared" ca="1" si="81"/>
        <v>1</v>
      </c>
      <c r="AF193" s="102">
        <f t="shared" ca="1" si="81"/>
        <v>1</v>
      </c>
      <c r="AG193" s="102">
        <f t="shared" ca="1" si="81"/>
        <v>1</v>
      </c>
      <c r="AH193" s="102">
        <f t="shared" ca="1" si="81"/>
        <v>1</v>
      </c>
      <c r="AI193" s="102">
        <f t="shared" ca="1" si="81"/>
        <v>1</v>
      </c>
      <c r="AJ193" s="102">
        <f t="shared" ca="1" si="81"/>
        <v>1</v>
      </c>
      <c r="AK193" s="102">
        <f t="shared" ca="1" si="81"/>
        <v>1</v>
      </c>
      <c r="AL193" s="102">
        <f t="shared" ca="1" si="81"/>
        <v>1</v>
      </c>
      <c r="AM193" s="102">
        <f t="shared" ca="1" si="81"/>
        <v>1</v>
      </c>
      <c r="AN193" s="102">
        <f t="shared" ca="1" si="81"/>
        <v>1</v>
      </c>
      <c r="AO193" s="102">
        <f t="shared" ca="1" si="81"/>
        <v>1</v>
      </c>
      <c r="AP193" s="102">
        <f t="shared" ca="1" si="81"/>
        <v>1</v>
      </c>
      <c r="AQ193" s="102">
        <f t="shared" ca="1" si="81"/>
        <v>1</v>
      </c>
      <c r="AR193" s="102">
        <f t="shared" ca="1" si="81"/>
        <v>1</v>
      </c>
      <c r="AS193" s="102">
        <f t="shared" ca="1" si="81"/>
        <v>1</v>
      </c>
      <c r="AT193" s="102">
        <f t="shared" ca="1" si="81"/>
        <v>1</v>
      </c>
      <c r="AU193" s="102">
        <f t="shared" ca="1" si="81"/>
        <v>1</v>
      </c>
      <c r="AV193" s="102">
        <f t="shared" ca="1" si="81"/>
        <v>1</v>
      </c>
      <c r="AW193" s="102">
        <f t="shared" ca="1" si="81"/>
        <v>1</v>
      </c>
      <c r="AX193" s="102">
        <f t="shared" ca="1" si="81"/>
        <v>1</v>
      </c>
      <c r="AY193" s="102">
        <f t="shared" ca="1" si="81"/>
        <v>1</v>
      </c>
      <c r="AZ193" s="102">
        <f t="shared" ca="1" si="81"/>
        <v>1</v>
      </c>
      <c r="BA193" s="102">
        <f t="shared" ca="1" si="81"/>
        <v>1</v>
      </c>
      <c r="BB193" s="102">
        <f t="shared" ca="1" si="81"/>
        <v>1</v>
      </c>
      <c r="BC193" s="102">
        <f t="shared" ca="1" si="81"/>
        <v>1</v>
      </c>
      <c r="BD193" s="102">
        <f t="shared" ca="1" si="81"/>
        <v>1</v>
      </c>
      <c r="BE193" s="102">
        <f t="shared" ca="1" si="81"/>
        <v>1</v>
      </c>
      <c r="BF193" s="102">
        <f t="shared" ca="1" si="81"/>
        <v>1</v>
      </c>
      <c r="BG193" s="102">
        <f t="shared" ca="1" si="81"/>
        <v>1</v>
      </c>
      <c r="BH193" s="102">
        <f t="shared" ca="1" si="81"/>
        <v>1</v>
      </c>
      <c r="BI193" s="102">
        <f t="shared" ca="1" si="81"/>
        <v>1</v>
      </c>
      <c r="BJ193" s="102">
        <f t="shared" ca="1" si="81"/>
        <v>1</v>
      </c>
      <c r="BK193" s="102">
        <f t="shared" ca="1" si="81"/>
        <v>1</v>
      </c>
      <c r="BL193" s="102">
        <f t="shared" ca="1" si="81"/>
        <v>1</v>
      </c>
      <c r="BM193" s="102">
        <f t="shared" ca="1" si="81"/>
        <v>1</v>
      </c>
      <c r="BN193" s="102">
        <f t="shared" ca="1" si="81"/>
        <v>1</v>
      </c>
      <c r="BO193" s="102">
        <f t="shared" ca="1" si="81"/>
        <v>1</v>
      </c>
      <c r="BP193" s="102">
        <f t="shared" ca="1" si="78"/>
        <v>1</v>
      </c>
      <c r="BQ193" s="102">
        <f t="shared" ca="1" si="78"/>
        <v>1</v>
      </c>
      <c r="BR193" s="102">
        <f t="shared" ca="1" si="78"/>
        <v>1</v>
      </c>
      <c r="BS193" s="102">
        <f t="shared" ca="1" si="78"/>
        <v>1</v>
      </c>
      <c r="BT193" s="102">
        <f t="shared" ca="1" si="78"/>
        <v>1</v>
      </c>
      <c r="BU193" s="102">
        <f t="shared" ca="1" si="78"/>
        <v>1</v>
      </c>
      <c r="BV193" s="102">
        <f t="shared" ca="1" si="78"/>
        <v>1</v>
      </c>
      <c r="BW193" s="102">
        <f t="shared" ca="1" si="78"/>
        <v>1</v>
      </c>
      <c r="BX193" s="102">
        <f t="shared" ca="1" si="78"/>
        <v>1</v>
      </c>
      <c r="BY193" s="102">
        <f t="shared" ca="1" si="78"/>
        <v>1</v>
      </c>
      <c r="BZ193" s="102">
        <f t="shared" ca="1" si="78"/>
        <v>1</v>
      </c>
      <c r="CA193" s="102">
        <f t="shared" ca="1" si="78"/>
        <v>1</v>
      </c>
      <c r="CB193" s="102">
        <f t="shared" ca="1" si="78"/>
        <v>1</v>
      </c>
      <c r="CC193" s="102">
        <f t="shared" ca="1" si="78"/>
        <v>1</v>
      </c>
      <c r="CD193" s="102">
        <f t="shared" ca="1" si="78"/>
        <v>1</v>
      </c>
      <c r="CE193" s="102">
        <f t="shared" ca="1" si="78"/>
        <v>1</v>
      </c>
      <c r="CF193" s="102">
        <f t="shared" ca="1" si="78"/>
        <v>1</v>
      </c>
      <c r="CG193" s="102">
        <f t="shared" ca="1" si="78"/>
        <v>1</v>
      </c>
      <c r="CH193" s="102">
        <f t="shared" ca="1" si="78"/>
        <v>1</v>
      </c>
      <c r="CI193" s="102">
        <f t="shared" ca="1" si="78"/>
        <v>1</v>
      </c>
      <c r="CJ193" s="102">
        <f t="shared" ca="1" si="78"/>
        <v>1</v>
      </c>
      <c r="CK193" s="102">
        <f t="shared" ca="1" si="78"/>
        <v>1</v>
      </c>
      <c r="CL193" s="102">
        <f t="shared" ca="1" si="78"/>
        <v>1</v>
      </c>
      <c r="CM193" s="102">
        <f t="shared" ca="1" si="78"/>
        <v>1</v>
      </c>
      <c r="CN193" s="102">
        <f t="shared" ca="1" si="78"/>
        <v>1</v>
      </c>
      <c r="CO193" s="102">
        <f t="shared" ca="1" si="78"/>
        <v>1</v>
      </c>
      <c r="CP193" s="102">
        <f t="shared" ca="1" si="78"/>
        <v>1</v>
      </c>
      <c r="CQ193" s="102">
        <f t="shared" ca="1" si="78"/>
        <v>1</v>
      </c>
      <c r="CR193" s="102">
        <f t="shared" ca="1" si="78"/>
        <v>1</v>
      </c>
      <c r="CS193" s="133">
        <f t="shared" ca="1" si="78"/>
        <v>1</v>
      </c>
      <c r="CT193" s="212">
        <v>1</v>
      </c>
      <c r="CU193" s="44"/>
      <c r="CV193" s="44"/>
    </row>
    <row r="194" spans="1:102" x14ac:dyDescent="0.25">
      <c r="A194" s="97">
        <f t="shared" si="79"/>
        <v>8</v>
      </c>
      <c r="B194" s="134" t="s">
        <v>11</v>
      </c>
      <c r="C194" s="105">
        <v>10</v>
      </c>
      <c r="D194" s="108">
        <f t="shared" ca="1" si="81"/>
        <v>2.5548930302540134</v>
      </c>
      <c r="E194" s="104">
        <f t="shared" ca="1" si="81"/>
        <v>1.3483047461448538</v>
      </c>
      <c r="F194" s="104">
        <f t="shared" ca="1" si="81"/>
        <v>1.0999634710753396</v>
      </c>
      <c r="G194" s="104">
        <f t="shared" ca="1" si="81"/>
        <v>0.96952656688216809</v>
      </c>
      <c r="H194" s="104">
        <f t="shared" ca="1" si="81"/>
        <v>0.83796659202983037</v>
      </c>
      <c r="I194" s="104">
        <f t="shared" ca="1" si="81"/>
        <v>0.92386545918483642</v>
      </c>
      <c r="J194" s="104">
        <f t="shared" ca="1" si="81"/>
        <v>0.99969018466749615</v>
      </c>
      <c r="K194" s="104">
        <f t="shared" ca="1" si="81"/>
        <v>0.97170729432588032</v>
      </c>
      <c r="L194" s="104">
        <f t="shared" ca="1" si="81"/>
        <v>1</v>
      </c>
      <c r="M194" s="104">
        <f t="shared" ca="1" si="81"/>
        <v>1</v>
      </c>
      <c r="N194" s="104">
        <f t="shared" ca="1" si="81"/>
        <v>1</v>
      </c>
      <c r="O194" s="104">
        <f t="shared" ca="1" si="81"/>
        <v>1</v>
      </c>
      <c r="P194" s="104">
        <f t="shared" ca="1" si="81"/>
        <v>1</v>
      </c>
      <c r="Q194" s="104">
        <f t="shared" ca="1" si="81"/>
        <v>1</v>
      </c>
      <c r="R194" s="104">
        <f t="shared" ca="1" si="81"/>
        <v>1</v>
      </c>
      <c r="S194" s="104">
        <f t="shared" ca="1" si="81"/>
        <v>1</v>
      </c>
      <c r="T194" s="104">
        <f t="shared" ca="1" si="81"/>
        <v>1</v>
      </c>
      <c r="U194" s="104">
        <f t="shared" ca="1" si="81"/>
        <v>1</v>
      </c>
      <c r="V194" s="104">
        <f t="shared" ca="1" si="81"/>
        <v>1</v>
      </c>
      <c r="W194" s="104">
        <f t="shared" ca="1" si="81"/>
        <v>1</v>
      </c>
      <c r="X194" s="104">
        <f t="shared" ca="1" si="81"/>
        <v>1</v>
      </c>
      <c r="Y194" s="104">
        <f t="shared" ca="1" si="81"/>
        <v>1</v>
      </c>
      <c r="Z194" s="104">
        <f t="shared" ca="1" si="81"/>
        <v>1</v>
      </c>
      <c r="AA194" s="104">
        <f t="shared" ca="1" si="81"/>
        <v>1</v>
      </c>
      <c r="AB194" s="104">
        <f t="shared" ca="1" si="81"/>
        <v>1</v>
      </c>
      <c r="AC194" s="104">
        <f t="shared" ca="1" si="81"/>
        <v>1</v>
      </c>
      <c r="AD194" s="104">
        <f t="shared" ca="1" si="81"/>
        <v>1</v>
      </c>
      <c r="AE194" s="104">
        <f t="shared" ca="1" si="81"/>
        <v>1</v>
      </c>
      <c r="AF194" s="104">
        <f t="shared" ca="1" si="81"/>
        <v>1</v>
      </c>
      <c r="AG194" s="104">
        <f t="shared" ca="1" si="81"/>
        <v>1</v>
      </c>
      <c r="AH194" s="104">
        <f t="shared" ca="1" si="81"/>
        <v>1</v>
      </c>
      <c r="AI194" s="104">
        <f t="shared" ca="1" si="81"/>
        <v>1</v>
      </c>
      <c r="AJ194" s="104">
        <f t="shared" ca="1" si="81"/>
        <v>1</v>
      </c>
      <c r="AK194" s="104">
        <f t="shared" ca="1" si="81"/>
        <v>1</v>
      </c>
      <c r="AL194" s="104">
        <f t="shared" ca="1" si="81"/>
        <v>1</v>
      </c>
      <c r="AM194" s="104">
        <f t="shared" ca="1" si="81"/>
        <v>1</v>
      </c>
      <c r="AN194" s="104">
        <f t="shared" ca="1" si="81"/>
        <v>1</v>
      </c>
      <c r="AO194" s="104">
        <f t="shared" ca="1" si="81"/>
        <v>1</v>
      </c>
      <c r="AP194" s="104">
        <f t="shared" ca="1" si="81"/>
        <v>1</v>
      </c>
      <c r="AQ194" s="104">
        <f t="shared" ca="1" si="81"/>
        <v>1</v>
      </c>
      <c r="AR194" s="104">
        <f t="shared" ca="1" si="81"/>
        <v>1</v>
      </c>
      <c r="AS194" s="104">
        <f t="shared" ca="1" si="81"/>
        <v>1</v>
      </c>
      <c r="AT194" s="104">
        <f t="shared" ca="1" si="81"/>
        <v>1</v>
      </c>
      <c r="AU194" s="104">
        <f t="shared" ca="1" si="81"/>
        <v>1</v>
      </c>
      <c r="AV194" s="104">
        <f t="shared" ca="1" si="81"/>
        <v>1</v>
      </c>
      <c r="AW194" s="104">
        <f t="shared" ca="1" si="81"/>
        <v>1</v>
      </c>
      <c r="AX194" s="104">
        <f t="shared" ca="1" si="81"/>
        <v>1</v>
      </c>
      <c r="AY194" s="104">
        <f t="shared" ca="1" si="81"/>
        <v>1</v>
      </c>
      <c r="AZ194" s="104">
        <f t="shared" ca="1" si="81"/>
        <v>1</v>
      </c>
      <c r="BA194" s="104">
        <f t="shared" ca="1" si="81"/>
        <v>1</v>
      </c>
      <c r="BB194" s="104">
        <f t="shared" ca="1" si="81"/>
        <v>1</v>
      </c>
      <c r="BC194" s="104">
        <f t="shared" ca="1" si="81"/>
        <v>1</v>
      </c>
      <c r="BD194" s="104">
        <f t="shared" ca="1" si="81"/>
        <v>1</v>
      </c>
      <c r="BE194" s="104">
        <f t="shared" ca="1" si="81"/>
        <v>1</v>
      </c>
      <c r="BF194" s="104">
        <f t="shared" ca="1" si="81"/>
        <v>1</v>
      </c>
      <c r="BG194" s="104">
        <f t="shared" ca="1" si="81"/>
        <v>1</v>
      </c>
      <c r="BH194" s="104">
        <f t="shared" ca="1" si="81"/>
        <v>1</v>
      </c>
      <c r="BI194" s="104">
        <f t="shared" ca="1" si="81"/>
        <v>1</v>
      </c>
      <c r="BJ194" s="104">
        <f t="shared" ca="1" si="81"/>
        <v>1</v>
      </c>
      <c r="BK194" s="104">
        <f t="shared" ca="1" si="81"/>
        <v>1</v>
      </c>
      <c r="BL194" s="104">
        <f t="shared" ca="1" si="81"/>
        <v>1</v>
      </c>
      <c r="BM194" s="104">
        <f t="shared" ca="1" si="81"/>
        <v>1</v>
      </c>
      <c r="BN194" s="104">
        <f t="shared" ca="1" si="81"/>
        <v>1</v>
      </c>
      <c r="BO194" s="104">
        <f t="shared" ref="BO194" ca="1" si="82">IF(ISERROR(BO184),1,BO184)</f>
        <v>1</v>
      </c>
      <c r="BP194" s="104">
        <f t="shared" ca="1" si="78"/>
        <v>1</v>
      </c>
      <c r="BQ194" s="104">
        <f t="shared" ca="1" si="78"/>
        <v>1</v>
      </c>
      <c r="BR194" s="104">
        <f t="shared" ca="1" si="78"/>
        <v>1</v>
      </c>
      <c r="BS194" s="104">
        <f t="shared" ca="1" si="78"/>
        <v>1</v>
      </c>
      <c r="BT194" s="104">
        <f t="shared" ca="1" si="78"/>
        <v>1</v>
      </c>
      <c r="BU194" s="104">
        <f t="shared" ca="1" si="78"/>
        <v>1</v>
      </c>
      <c r="BV194" s="104">
        <f t="shared" ca="1" si="78"/>
        <v>1</v>
      </c>
      <c r="BW194" s="104">
        <f t="shared" ca="1" si="78"/>
        <v>1</v>
      </c>
      <c r="BX194" s="104">
        <f t="shared" ca="1" si="78"/>
        <v>1</v>
      </c>
      <c r="BY194" s="104">
        <f t="shared" ca="1" si="78"/>
        <v>1</v>
      </c>
      <c r="BZ194" s="104">
        <f t="shared" ca="1" si="78"/>
        <v>1</v>
      </c>
      <c r="CA194" s="104">
        <f t="shared" ca="1" si="78"/>
        <v>1</v>
      </c>
      <c r="CB194" s="104">
        <f t="shared" ca="1" si="78"/>
        <v>1</v>
      </c>
      <c r="CC194" s="104">
        <f t="shared" ca="1" si="78"/>
        <v>1</v>
      </c>
      <c r="CD194" s="104">
        <f t="shared" ca="1" si="78"/>
        <v>1</v>
      </c>
      <c r="CE194" s="104">
        <f t="shared" ca="1" si="78"/>
        <v>1</v>
      </c>
      <c r="CF194" s="104">
        <f t="shared" ca="1" si="78"/>
        <v>1</v>
      </c>
      <c r="CG194" s="104">
        <f t="shared" ca="1" si="78"/>
        <v>1</v>
      </c>
      <c r="CH194" s="104">
        <f t="shared" ca="1" si="78"/>
        <v>1</v>
      </c>
      <c r="CI194" s="104">
        <f t="shared" ca="1" si="78"/>
        <v>1</v>
      </c>
      <c r="CJ194" s="104">
        <f t="shared" ca="1" si="78"/>
        <v>1</v>
      </c>
      <c r="CK194" s="104">
        <f t="shared" ca="1" si="78"/>
        <v>1</v>
      </c>
      <c r="CL194" s="104">
        <f t="shared" ca="1" si="78"/>
        <v>1</v>
      </c>
      <c r="CM194" s="104">
        <f t="shared" ca="1" si="78"/>
        <v>1</v>
      </c>
      <c r="CN194" s="104">
        <f t="shared" ca="1" si="78"/>
        <v>1</v>
      </c>
      <c r="CO194" s="104">
        <f t="shared" ca="1" si="78"/>
        <v>1</v>
      </c>
      <c r="CP194" s="104">
        <f t="shared" ca="1" si="78"/>
        <v>1</v>
      </c>
      <c r="CQ194" s="104">
        <f t="shared" ca="1" si="78"/>
        <v>1</v>
      </c>
      <c r="CR194" s="104">
        <f t="shared" ca="1" si="78"/>
        <v>1</v>
      </c>
      <c r="CS194" s="135">
        <f t="shared" ca="1" si="78"/>
        <v>1</v>
      </c>
      <c r="CT194" s="213">
        <v>1</v>
      </c>
      <c r="CU194" s="44"/>
      <c r="CV194" s="44"/>
    </row>
    <row r="195" spans="1:102" ht="15.75" thickBot="1" x14ac:dyDescent="0.3">
      <c r="A195" s="97">
        <f t="shared" si="79"/>
        <v>9</v>
      </c>
      <c r="B195" s="136" t="s">
        <v>12</v>
      </c>
      <c r="C195" s="137"/>
      <c r="D195" s="138">
        <f>MAX(D191,1)</f>
        <v>1.4185310565525786</v>
      </c>
      <c r="E195" s="138">
        <f t="shared" ref="E195:BP195" si="83">MAX(E191,1)</f>
        <v>2.0925185382106259</v>
      </c>
      <c r="F195" s="138">
        <f t="shared" si="83"/>
        <v>1.0806145478416056</v>
      </c>
      <c r="G195" s="138">
        <f t="shared" si="83"/>
        <v>1</v>
      </c>
      <c r="H195" s="138">
        <f t="shared" si="83"/>
        <v>1</v>
      </c>
      <c r="I195" s="138">
        <f t="shared" si="83"/>
        <v>1</v>
      </c>
      <c r="J195" s="138">
        <f t="shared" si="83"/>
        <v>1</v>
      </c>
      <c r="K195" s="138">
        <f t="shared" si="83"/>
        <v>1</v>
      </c>
      <c r="L195" s="138">
        <f t="shared" si="83"/>
        <v>1</v>
      </c>
      <c r="M195" s="138">
        <f t="shared" si="83"/>
        <v>1</v>
      </c>
      <c r="N195" s="138">
        <f t="shared" si="83"/>
        <v>1</v>
      </c>
      <c r="O195" s="138">
        <f t="shared" si="83"/>
        <v>1</v>
      </c>
      <c r="P195" s="138">
        <f t="shared" si="83"/>
        <v>1</v>
      </c>
      <c r="Q195" s="138">
        <f t="shared" si="83"/>
        <v>1</v>
      </c>
      <c r="R195" s="138">
        <f t="shared" si="83"/>
        <v>1</v>
      </c>
      <c r="S195" s="138">
        <f t="shared" si="83"/>
        <v>1</v>
      </c>
      <c r="T195" s="138">
        <f t="shared" si="83"/>
        <v>1</v>
      </c>
      <c r="U195" s="138">
        <f t="shared" si="83"/>
        <v>1</v>
      </c>
      <c r="V195" s="138">
        <f t="shared" si="83"/>
        <v>1</v>
      </c>
      <c r="W195" s="138">
        <f t="shared" si="83"/>
        <v>1</v>
      </c>
      <c r="X195" s="138">
        <f t="shared" si="83"/>
        <v>1</v>
      </c>
      <c r="Y195" s="138">
        <f t="shared" si="83"/>
        <v>1</v>
      </c>
      <c r="Z195" s="138">
        <f t="shared" si="83"/>
        <v>1</v>
      </c>
      <c r="AA195" s="138">
        <f t="shared" si="83"/>
        <v>1</v>
      </c>
      <c r="AB195" s="138">
        <f t="shared" si="83"/>
        <v>1</v>
      </c>
      <c r="AC195" s="138">
        <f t="shared" si="83"/>
        <v>1</v>
      </c>
      <c r="AD195" s="138">
        <f t="shared" si="83"/>
        <v>1</v>
      </c>
      <c r="AE195" s="138">
        <f t="shared" si="83"/>
        <v>1</v>
      </c>
      <c r="AF195" s="138">
        <f t="shared" si="83"/>
        <v>1</v>
      </c>
      <c r="AG195" s="138">
        <f t="shared" si="83"/>
        <v>1</v>
      </c>
      <c r="AH195" s="138">
        <f t="shared" si="83"/>
        <v>1</v>
      </c>
      <c r="AI195" s="138">
        <f t="shared" si="83"/>
        <v>1</v>
      </c>
      <c r="AJ195" s="138">
        <f t="shared" si="83"/>
        <v>1</v>
      </c>
      <c r="AK195" s="138">
        <f t="shared" si="83"/>
        <v>1</v>
      </c>
      <c r="AL195" s="138">
        <f t="shared" si="83"/>
        <v>1</v>
      </c>
      <c r="AM195" s="138">
        <f t="shared" si="83"/>
        <v>1</v>
      </c>
      <c r="AN195" s="138">
        <f t="shared" si="83"/>
        <v>1</v>
      </c>
      <c r="AO195" s="138">
        <f t="shared" si="83"/>
        <v>1</v>
      </c>
      <c r="AP195" s="138">
        <f t="shared" si="83"/>
        <v>1</v>
      </c>
      <c r="AQ195" s="138">
        <f t="shared" si="83"/>
        <v>1</v>
      </c>
      <c r="AR195" s="138">
        <f t="shared" si="83"/>
        <v>1</v>
      </c>
      <c r="AS195" s="138">
        <f t="shared" si="83"/>
        <v>1</v>
      </c>
      <c r="AT195" s="138">
        <f t="shared" si="83"/>
        <v>1</v>
      </c>
      <c r="AU195" s="138">
        <f t="shared" si="83"/>
        <v>1</v>
      </c>
      <c r="AV195" s="138">
        <f t="shared" si="83"/>
        <v>1</v>
      </c>
      <c r="AW195" s="138">
        <f t="shared" si="83"/>
        <v>1</v>
      </c>
      <c r="AX195" s="138">
        <f t="shared" si="83"/>
        <v>1</v>
      </c>
      <c r="AY195" s="138">
        <f t="shared" si="83"/>
        <v>1</v>
      </c>
      <c r="AZ195" s="138">
        <f t="shared" si="83"/>
        <v>1</v>
      </c>
      <c r="BA195" s="138">
        <f t="shared" si="83"/>
        <v>1</v>
      </c>
      <c r="BB195" s="138">
        <f t="shared" si="83"/>
        <v>1</v>
      </c>
      <c r="BC195" s="138">
        <f t="shared" si="83"/>
        <v>1</v>
      </c>
      <c r="BD195" s="138">
        <f t="shared" si="83"/>
        <v>1</v>
      </c>
      <c r="BE195" s="138">
        <f t="shared" si="83"/>
        <v>1</v>
      </c>
      <c r="BF195" s="138">
        <f t="shared" si="83"/>
        <v>1</v>
      </c>
      <c r="BG195" s="138">
        <f t="shared" si="83"/>
        <v>1</v>
      </c>
      <c r="BH195" s="138">
        <f t="shared" si="83"/>
        <v>1</v>
      </c>
      <c r="BI195" s="138">
        <f t="shared" si="83"/>
        <v>1</v>
      </c>
      <c r="BJ195" s="138">
        <f t="shared" si="83"/>
        <v>1</v>
      </c>
      <c r="BK195" s="138">
        <f t="shared" si="83"/>
        <v>1</v>
      </c>
      <c r="BL195" s="138">
        <f t="shared" si="83"/>
        <v>1</v>
      </c>
      <c r="BM195" s="138">
        <f t="shared" si="83"/>
        <v>1</v>
      </c>
      <c r="BN195" s="138">
        <f t="shared" si="83"/>
        <v>1</v>
      </c>
      <c r="BO195" s="138">
        <f t="shared" si="83"/>
        <v>1</v>
      </c>
      <c r="BP195" s="138">
        <f t="shared" si="83"/>
        <v>1</v>
      </c>
      <c r="BQ195" s="138">
        <f t="shared" ref="BQ195:CS195" si="84">MAX(BQ191,1)</f>
        <v>1</v>
      </c>
      <c r="BR195" s="138">
        <f t="shared" si="84"/>
        <v>1</v>
      </c>
      <c r="BS195" s="138">
        <f t="shared" si="84"/>
        <v>1</v>
      </c>
      <c r="BT195" s="138">
        <f t="shared" si="84"/>
        <v>1</v>
      </c>
      <c r="BU195" s="138">
        <f t="shared" si="84"/>
        <v>1</v>
      </c>
      <c r="BV195" s="138">
        <f t="shared" si="84"/>
        <v>1</v>
      </c>
      <c r="BW195" s="138">
        <f t="shared" si="84"/>
        <v>1</v>
      </c>
      <c r="BX195" s="138">
        <f t="shared" si="84"/>
        <v>1</v>
      </c>
      <c r="BY195" s="138">
        <f t="shared" si="84"/>
        <v>1</v>
      </c>
      <c r="BZ195" s="138">
        <f t="shared" si="84"/>
        <v>1</v>
      </c>
      <c r="CA195" s="138">
        <f t="shared" si="84"/>
        <v>1</v>
      </c>
      <c r="CB195" s="138">
        <f t="shared" si="84"/>
        <v>1</v>
      </c>
      <c r="CC195" s="138">
        <f t="shared" si="84"/>
        <v>1</v>
      </c>
      <c r="CD195" s="138">
        <f t="shared" si="84"/>
        <v>1</v>
      </c>
      <c r="CE195" s="138">
        <f t="shared" si="84"/>
        <v>1</v>
      </c>
      <c r="CF195" s="138">
        <f t="shared" si="84"/>
        <v>1</v>
      </c>
      <c r="CG195" s="138">
        <f t="shared" si="84"/>
        <v>1</v>
      </c>
      <c r="CH195" s="138">
        <f t="shared" si="84"/>
        <v>1</v>
      </c>
      <c r="CI195" s="138">
        <f t="shared" si="84"/>
        <v>1</v>
      </c>
      <c r="CJ195" s="138">
        <f t="shared" si="84"/>
        <v>1</v>
      </c>
      <c r="CK195" s="138">
        <f t="shared" si="84"/>
        <v>1</v>
      </c>
      <c r="CL195" s="138">
        <f t="shared" si="84"/>
        <v>1</v>
      </c>
      <c r="CM195" s="138">
        <f t="shared" si="84"/>
        <v>1</v>
      </c>
      <c r="CN195" s="138">
        <f t="shared" si="84"/>
        <v>1</v>
      </c>
      <c r="CO195" s="138">
        <f t="shared" si="84"/>
        <v>1</v>
      </c>
      <c r="CP195" s="138">
        <f t="shared" si="84"/>
        <v>1</v>
      </c>
      <c r="CQ195" s="138">
        <f t="shared" si="84"/>
        <v>1</v>
      </c>
      <c r="CR195" s="138">
        <f t="shared" si="84"/>
        <v>1</v>
      </c>
      <c r="CS195" s="139">
        <f t="shared" si="84"/>
        <v>1</v>
      </c>
      <c r="CT195" s="87"/>
      <c r="CU195" s="87"/>
      <c r="CV195" s="87"/>
      <c r="CW195" s="44"/>
    </row>
    <row r="196" spans="1:102" s="12" customFormat="1" ht="5.0999999999999996" customHeight="1" thickBot="1" x14ac:dyDescent="0.3">
      <c r="A196" s="124">
        <v>1</v>
      </c>
      <c r="B196" s="125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  <c r="AL196" s="87"/>
      <c r="AM196" s="87"/>
      <c r="AN196" s="87"/>
      <c r="AO196" s="87"/>
      <c r="AP196" s="87"/>
      <c r="AQ196" s="87"/>
      <c r="AR196" s="87"/>
      <c r="AS196" s="87"/>
      <c r="AT196" s="87"/>
      <c r="AU196" s="87"/>
      <c r="AV196" s="87"/>
      <c r="AW196" s="87"/>
      <c r="AX196" s="87"/>
      <c r="AY196" s="87"/>
      <c r="AZ196" s="87"/>
      <c r="BA196" s="87"/>
      <c r="BB196" s="87"/>
      <c r="BC196" s="87"/>
      <c r="BD196" s="87"/>
      <c r="BE196" s="87"/>
      <c r="BF196" s="87"/>
      <c r="BG196" s="87"/>
      <c r="BH196" s="87"/>
      <c r="BI196" s="87"/>
      <c r="BJ196" s="87"/>
      <c r="BK196" s="87"/>
      <c r="BL196" s="87"/>
      <c r="BM196" s="87"/>
      <c r="BN196" s="87"/>
      <c r="BO196" s="87"/>
      <c r="BP196" s="87"/>
      <c r="BQ196" s="87"/>
      <c r="BR196" s="87"/>
      <c r="BS196" s="87"/>
      <c r="BT196" s="87"/>
      <c r="BU196" s="87"/>
      <c r="BV196" s="87"/>
      <c r="BW196" s="87"/>
      <c r="BX196" s="87"/>
      <c r="BY196" s="87"/>
      <c r="BZ196" s="87"/>
      <c r="CA196" s="87"/>
      <c r="CB196" s="87"/>
      <c r="CC196" s="87"/>
      <c r="CD196" s="87"/>
      <c r="CE196" s="87"/>
      <c r="CF196" s="87"/>
      <c r="CG196" s="87"/>
      <c r="CH196" s="87"/>
      <c r="CI196" s="87"/>
      <c r="CJ196" s="87"/>
      <c r="CK196" s="87"/>
      <c r="CL196" s="87"/>
      <c r="CM196" s="87"/>
      <c r="CN196" s="87"/>
      <c r="CO196" s="87"/>
      <c r="CP196" s="87"/>
      <c r="CQ196" s="87"/>
      <c r="CR196" s="87"/>
      <c r="CS196" s="87"/>
      <c r="CT196" s="87"/>
      <c r="CU196" s="87"/>
      <c r="CV196" s="87"/>
      <c r="CW196" s="123"/>
    </row>
    <row r="197" spans="1:102" ht="15.75" thickBot="1" x14ac:dyDescent="0.3">
      <c r="A197" s="97">
        <v>1</v>
      </c>
      <c r="B197" s="140" t="s">
        <v>13</v>
      </c>
      <c r="C197" s="141"/>
      <c r="D197" s="145">
        <v>8</v>
      </c>
      <c r="E197" s="146">
        <v>8</v>
      </c>
      <c r="F197" s="146">
        <v>8</v>
      </c>
      <c r="G197" s="146">
        <v>8</v>
      </c>
      <c r="H197" s="146">
        <v>8</v>
      </c>
      <c r="I197" s="146">
        <v>8</v>
      </c>
      <c r="J197" s="146">
        <v>8</v>
      </c>
      <c r="K197" s="146">
        <v>9</v>
      </c>
      <c r="L197" s="146">
        <v>8</v>
      </c>
      <c r="M197" s="146">
        <v>8</v>
      </c>
      <c r="N197" s="146">
        <v>8</v>
      </c>
      <c r="O197" s="146">
        <v>8</v>
      </c>
      <c r="P197" s="146">
        <v>8</v>
      </c>
      <c r="Q197" s="146">
        <v>8</v>
      </c>
      <c r="R197" s="146">
        <v>8</v>
      </c>
      <c r="S197" s="146">
        <v>8</v>
      </c>
      <c r="T197" s="146">
        <v>8</v>
      </c>
      <c r="U197" s="146">
        <v>8</v>
      </c>
      <c r="V197" s="146">
        <v>8</v>
      </c>
      <c r="W197" s="146">
        <v>8</v>
      </c>
      <c r="X197" s="146">
        <v>8</v>
      </c>
      <c r="Y197" s="146">
        <v>8</v>
      </c>
      <c r="Z197" s="146">
        <v>8</v>
      </c>
      <c r="AA197" s="146">
        <v>8</v>
      </c>
      <c r="AB197" s="146">
        <v>8</v>
      </c>
      <c r="AC197" s="146">
        <v>8</v>
      </c>
      <c r="AD197" s="146">
        <v>8</v>
      </c>
      <c r="AE197" s="146">
        <v>8</v>
      </c>
      <c r="AF197" s="146">
        <v>8</v>
      </c>
      <c r="AG197" s="146">
        <v>8</v>
      </c>
      <c r="AH197" s="146">
        <v>8</v>
      </c>
      <c r="AI197" s="146">
        <v>8</v>
      </c>
      <c r="AJ197" s="146">
        <v>8</v>
      </c>
      <c r="AK197" s="146">
        <v>8</v>
      </c>
      <c r="AL197" s="146">
        <v>8</v>
      </c>
      <c r="AM197" s="146">
        <v>8</v>
      </c>
      <c r="AN197" s="146">
        <v>8</v>
      </c>
      <c r="AO197" s="146">
        <v>8</v>
      </c>
      <c r="AP197" s="146">
        <v>8</v>
      </c>
      <c r="AQ197" s="146">
        <v>8</v>
      </c>
      <c r="AR197" s="146">
        <v>8</v>
      </c>
      <c r="AS197" s="146">
        <v>8</v>
      </c>
      <c r="AT197" s="146">
        <v>8</v>
      </c>
      <c r="AU197" s="146">
        <v>8</v>
      </c>
      <c r="AV197" s="146">
        <v>8</v>
      </c>
      <c r="AW197" s="146">
        <v>8</v>
      </c>
      <c r="AX197" s="146">
        <v>8</v>
      </c>
      <c r="AY197" s="146">
        <v>8</v>
      </c>
      <c r="AZ197" s="146">
        <v>8</v>
      </c>
      <c r="BA197" s="146">
        <v>8</v>
      </c>
      <c r="BB197" s="146">
        <v>8</v>
      </c>
      <c r="BC197" s="146">
        <v>8</v>
      </c>
      <c r="BD197" s="146">
        <v>8</v>
      </c>
      <c r="BE197" s="146">
        <v>8</v>
      </c>
      <c r="BF197" s="146">
        <v>8</v>
      </c>
      <c r="BG197" s="146">
        <v>8</v>
      </c>
      <c r="BH197" s="146">
        <v>8</v>
      </c>
      <c r="BI197" s="146">
        <v>8</v>
      </c>
      <c r="BJ197" s="146">
        <v>8</v>
      </c>
      <c r="BK197" s="146">
        <v>8</v>
      </c>
      <c r="BL197" s="146">
        <v>8</v>
      </c>
      <c r="BM197" s="146">
        <v>8</v>
      </c>
      <c r="BN197" s="146">
        <v>8</v>
      </c>
      <c r="BO197" s="146">
        <v>8</v>
      </c>
      <c r="BP197" s="146">
        <v>8</v>
      </c>
      <c r="BQ197" s="146">
        <v>8</v>
      </c>
      <c r="BR197" s="146">
        <v>8</v>
      </c>
      <c r="BS197" s="146">
        <v>8</v>
      </c>
      <c r="BT197" s="146">
        <v>8</v>
      </c>
      <c r="BU197" s="146">
        <v>8</v>
      </c>
      <c r="BV197" s="146">
        <v>8</v>
      </c>
      <c r="BW197" s="146">
        <v>8</v>
      </c>
      <c r="BX197" s="146">
        <v>8</v>
      </c>
      <c r="BY197" s="146">
        <v>8</v>
      </c>
      <c r="BZ197" s="146">
        <v>8</v>
      </c>
      <c r="CA197" s="146">
        <v>8</v>
      </c>
      <c r="CB197" s="146">
        <v>8</v>
      </c>
      <c r="CC197" s="146">
        <v>8</v>
      </c>
      <c r="CD197" s="146">
        <v>8</v>
      </c>
      <c r="CE197" s="146">
        <v>8</v>
      </c>
      <c r="CF197" s="146">
        <v>8</v>
      </c>
      <c r="CG197" s="146">
        <v>8</v>
      </c>
      <c r="CH197" s="146">
        <v>8</v>
      </c>
      <c r="CI197" s="146">
        <v>8</v>
      </c>
      <c r="CJ197" s="146">
        <v>8</v>
      </c>
      <c r="CK197" s="146">
        <v>8</v>
      </c>
      <c r="CL197" s="146">
        <v>8</v>
      </c>
      <c r="CM197" s="146">
        <v>8</v>
      </c>
      <c r="CN197" s="146">
        <v>8</v>
      </c>
      <c r="CO197" s="146">
        <v>8</v>
      </c>
      <c r="CP197" s="146">
        <v>8</v>
      </c>
      <c r="CQ197" s="146">
        <v>8</v>
      </c>
      <c r="CR197" s="146">
        <v>8</v>
      </c>
      <c r="CS197" s="147">
        <v>8</v>
      </c>
      <c r="CT197" s="88"/>
      <c r="CU197" s="88"/>
      <c r="CV197" s="88"/>
      <c r="CW197" s="44"/>
    </row>
    <row r="198" spans="1:102" x14ac:dyDescent="0.25">
      <c r="A198" s="97">
        <v>1</v>
      </c>
      <c r="B198" s="31" t="s">
        <v>14</v>
      </c>
      <c r="D198" s="107" cm="1">
        <f t="array" aca="1" ref="D198" ca="1">INDEX(D$187:D$195,D197,1)</f>
        <v>2.5548930302540134</v>
      </c>
      <c r="E198" s="102" cm="1">
        <f t="array" aca="1" ref="E198" ca="1">INDEX(E$187:E$195,E197,1)</f>
        <v>1.3483047461448538</v>
      </c>
      <c r="F198" s="102" cm="1">
        <f t="array" aca="1" ref="F198" ca="1">INDEX(F$187:F$195,F197,1)</f>
        <v>1.0999634710753396</v>
      </c>
      <c r="G198" s="102" cm="1">
        <f t="array" aca="1" ref="G198" ca="1">INDEX(G$187:G$195,G197,1)</f>
        <v>0.96952656688216809</v>
      </c>
      <c r="H198" s="102" cm="1">
        <f t="array" aca="1" ref="H198" ca="1">INDEX(H$187:H$195,H197,1)</f>
        <v>0.83796659202983037</v>
      </c>
      <c r="I198" s="102" cm="1">
        <f t="array" aca="1" ref="I198" ca="1">INDEX(I$187:I$195,I197,1)</f>
        <v>0.92386545918483642</v>
      </c>
      <c r="J198" s="102" cm="1">
        <f t="array" aca="1" ref="J198" ca="1">INDEX(J$187:J$195,J197,1)</f>
        <v>0.99969018466749615</v>
      </c>
      <c r="K198" s="102" cm="1">
        <f t="array" ref="K198">INDEX(K$187:K$195,K197,1)</f>
        <v>1</v>
      </c>
      <c r="L198" s="102" cm="1">
        <f t="array" aca="1" ref="L198" ca="1">INDEX(L$187:L$195,L197,1)</f>
        <v>1</v>
      </c>
      <c r="M198" s="102" cm="1">
        <f t="array" aca="1" ref="M198" ca="1">INDEX(M$187:M$195,M197,1)</f>
        <v>1</v>
      </c>
      <c r="N198" s="102" cm="1">
        <f t="array" aca="1" ref="N198" ca="1">INDEX(N$187:N$195,N197,1)</f>
        <v>1</v>
      </c>
      <c r="O198" s="102" cm="1">
        <f t="array" aca="1" ref="O198" ca="1">INDEX(O$187:O$195,O197,1)</f>
        <v>1</v>
      </c>
      <c r="P198" s="102" cm="1">
        <f t="array" aca="1" ref="P198" ca="1">INDEX(P$187:P$195,P197,1)</f>
        <v>1</v>
      </c>
      <c r="Q198" s="102" cm="1">
        <f t="array" aca="1" ref="Q198" ca="1">INDEX(Q$187:Q$195,Q197,1)</f>
        <v>1</v>
      </c>
      <c r="R198" s="102" cm="1">
        <f t="array" aca="1" ref="R198" ca="1">INDEX(R$187:R$195,R197,1)</f>
        <v>1</v>
      </c>
      <c r="S198" s="102" cm="1">
        <f t="array" aca="1" ref="S198" ca="1">INDEX(S$187:S$195,S197,1)</f>
        <v>1</v>
      </c>
      <c r="T198" s="102" cm="1">
        <f t="array" aca="1" ref="T198" ca="1">INDEX(T$187:T$195,T197,1)</f>
        <v>1</v>
      </c>
      <c r="U198" s="102" cm="1">
        <f t="array" aca="1" ref="U198" ca="1">INDEX(U$187:U$195,U197,1)</f>
        <v>1</v>
      </c>
      <c r="V198" s="102" cm="1">
        <f t="array" aca="1" ref="V198" ca="1">INDEX(V$187:V$195,V197,1)</f>
        <v>1</v>
      </c>
      <c r="W198" s="102" cm="1">
        <f t="array" aca="1" ref="W198" ca="1">INDEX(W$187:W$195,W197,1)</f>
        <v>1</v>
      </c>
      <c r="X198" s="102" cm="1">
        <f t="array" aca="1" ref="X198" ca="1">INDEX(X$187:X$195,X197,1)</f>
        <v>1</v>
      </c>
      <c r="Y198" s="102" cm="1">
        <f t="array" aca="1" ref="Y198" ca="1">INDEX(Y$187:Y$195,Y197,1)</f>
        <v>1</v>
      </c>
      <c r="Z198" s="102" cm="1">
        <f t="array" aca="1" ref="Z198" ca="1">INDEX(Z$187:Z$195,Z197,1)</f>
        <v>1</v>
      </c>
      <c r="AA198" s="102" cm="1">
        <f t="array" aca="1" ref="AA198" ca="1">INDEX(AA$187:AA$195,AA197,1)</f>
        <v>1</v>
      </c>
      <c r="AB198" s="102" cm="1">
        <f t="array" aca="1" ref="AB198" ca="1">INDEX(AB$187:AB$195,AB197,1)</f>
        <v>1</v>
      </c>
      <c r="AC198" s="102" cm="1">
        <f t="array" aca="1" ref="AC198" ca="1">INDEX(AC$187:AC$195,AC197,1)</f>
        <v>1</v>
      </c>
      <c r="AD198" s="102" cm="1">
        <f t="array" aca="1" ref="AD198" ca="1">INDEX(AD$187:AD$195,AD197,1)</f>
        <v>1</v>
      </c>
      <c r="AE198" s="102" cm="1">
        <f t="array" aca="1" ref="AE198" ca="1">INDEX(AE$187:AE$195,AE197,1)</f>
        <v>1</v>
      </c>
      <c r="AF198" s="102" cm="1">
        <f t="array" aca="1" ref="AF198" ca="1">INDEX(AF$187:AF$195,AF197,1)</f>
        <v>1</v>
      </c>
      <c r="AG198" s="102" cm="1">
        <f t="array" aca="1" ref="AG198" ca="1">INDEX(AG$187:AG$195,AG197,1)</f>
        <v>1</v>
      </c>
      <c r="AH198" s="102" cm="1">
        <f t="array" aca="1" ref="AH198" ca="1">INDEX(AH$187:AH$195,AH197,1)</f>
        <v>1</v>
      </c>
      <c r="AI198" s="102" cm="1">
        <f t="array" aca="1" ref="AI198" ca="1">INDEX(AI$187:AI$195,AI197,1)</f>
        <v>1</v>
      </c>
      <c r="AJ198" s="102" cm="1">
        <f t="array" aca="1" ref="AJ198" ca="1">INDEX(AJ$187:AJ$195,AJ197,1)</f>
        <v>1</v>
      </c>
      <c r="AK198" s="102" cm="1">
        <f t="array" aca="1" ref="AK198" ca="1">INDEX(AK$187:AK$195,AK197,1)</f>
        <v>1</v>
      </c>
      <c r="AL198" s="102" cm="1">
        <f t="array" aca="1" ref="AL198" ca="1">INDEX(AL$187:AL$195,AL197,1)</f>
        <v>1</v>
      </c>
      <c r="AM198" s="102" cm="1">
        <f t="array" aca="1" ref="AM198" ca="1">INDEX(AM$187:AM$195,AM197,1)</f>
        <v>1</v>
      </c>
      <c r="AN198" s="102" cm="1">
        <f t="array" aca="1" ref="AN198" ca="1">INDEX(AN$187:AN$195,AN197,1)</f>
        <v>1</v>
      </c>
      <c r="AO198" s="102" cm="1">
        <f t="array" aca="1" ref="AO198" ca="1">INDEX(AO$187:AO$195,AO197,1)</f>
        <v>1</v>
      </c>
      <c r="AP198" s="102" cm="1">
        <f t="array" aca="1" ref="AP198" ca="1">INDEX(AP$187:AP$195,AP197,1)</f>
        <v>1</v>
      </c>
      <c r="AQ198" s="102" cm="1">
        <f t="array" aca="1" ref="AQ198" ca="1">INDEX(AQ$187:AQ$195,AQ197,1)</f>
        <v>1</v>
      </c>
      <c r="AR198" s="102" cm="1">
        <f t="array" aca="1" ref="AR198" ca="1">INDEX(AR$187:AR$195,AR197,1)</f>
        <v>1</v>
      </c>
      <c r="AS198" s="102" cm="1">
        <f t="array" aca="1" ref="AS198" ca="1">INDEX(AS$187:AS$195,AS197,1)</f>
        <v>1</v>
      </c>
      <c r="AT198" s="102" cm="1">
        <f t="array" aca="1" ref="AT198" ca="1">INDEX(AT$187:AT$195,AT197,1)</f>
        <v>1</v>
      </c>
      <c r="AU198" s="102" cm="1">
        <f t="array" aca="1" ref="AU198" ca="1">INDEX(AU$187:AU$195,AU197,1)</f>
        <v>1</v>
      </c>
      <c r="AV198" s="102" cm="1">
        <f t="array" aca="1" ref="AV198" ca="1">INDEX(AV$187:AV$195,AV197,1)</f>
        <v>1</v>
      </c>
      <c r="AW198" s="102" cm="1">
        <f t="array" aca="1" ref="AW198" ca="1">INDEX(AW$187:AW$195,AW197,1)</f>
        <v>1</v>
      </c>
      <c r="AX198" s="102" cm="1">
        <f t="array" aca="1" ref="AX198" ca="1">INDEX(AX$187:AX$195,AX197,1)</f>
        <v>1</v>
      </c>
      <c r="AY198" s="102" cm="1">
        <f t="array" aca="1" ref="AY198" ca="1">INDEX(AY$187:AY$195,AY197,1)</f>
        <v>1</v>
      </c>
      <c r="AZ198" s="102" cm="1">
        <f t="array" aca="1" ref="AZ198" ca="1">INDEX(AZ$187:AZ$195,AZ197,1)</f>
        <v>1</v>
      </c>
      <c r="BA198" s="102" cm="1">
        <f t="array" aca="1" ref="BA198" ca="1">INDEX(BA$187:BA$195,BA197,1)</f>
        <v>1</v>
      </c>
      <c r="BB198" s="102" cm="1">
        <f t="array" aca="1" ref="BB198" ca="1">INDEX(BB$187:BB$195,BB197,1)</f>
        <v>1</v>
      </c>
      <c r="BC198" s="102" cm="1">
        <f t="array" aca="1" ref="BC198" ca="1">INDEX(BC$187:BC$195,BC197,1)</f>
        <v>1</v>
      </c>
      <c r="BD198" s="102" cm="1">
        <f t="array" aca="1" ref="BD198" ca="1">INDEX(BD$187:BD$195,BD197,1)</f>
        <v>1</v>
      </c>
      <c r="BE198" s="102" cm="1">
        <f t="array" aca="1" ref="BE198" ca="1">INDEX(BE$187:BE$195,BE197,1)</f>
        <v>1</v>
      </c>
      <c r="BF198" s="102" cm="1">
        <f t="array" aca="1" ref="BF198" ca="1">INDEX(BF$187:BF$195,BF197,1)</f>
        <v>1</v>
      </c>
      <c r="BG198" s="102" cm="1">
        <f t="array" aca="1" ref="BG198" ca="1">INDEX(BG$187:BG$195,BG197,1)</f>
        <v>1</v>
      </c>
      <c r="BH198" s="102" cm="1">
        <f t="array" aca="1" ref="BH198" ca="1">INDEX(BH$187:BH$195,BH197,1)</f>
        <v>1</v>
      </c>
      <c r="BI198" s="102" cm="1">
        <f t="array" aca="1" ref="BI198" ca="1">INDEX(BI$187:BI$195,BI197,1)</f>
        <v>1</v>
      </c>
      <c r="BJ198" s="102" cm="1">
        <f t="array" aca="1" ref="BJ198" ca="1">INDEX(BJ$187:BJ$195,BJ197,1)</f>
        <v>1</v>
      </c>
      <c r="BK198" s="102" cm="1">
        <f t="array" aca="1" ref="BK198" ca="1">INDEX(BK$187:BK$195,BK197,1)</f>
        <v>1</v>
      </c>
      <c r="BL198" s="102" cm="1">
        <f t="array" aca="1" ref="BL198" ca="1">INDEX(BL$187:BL$195,BL197,1)</f>
        <v>1</v>
      </c>
      <c r="BM198" s="102" cm="1">
        <f t="array" aca="1" ref="BM198" ca="1">INDEX(BM$187:BM$195,BM197,1)</f>
        <v>1</v>
      </c>
      <c r="BN198" s="102" cm="1">
        <f t="array" aca="1" ref="BN198" ca="1">INDEX(BN$187:BN$195,BN197,1)</f>
        <v>1</v>
      </c>
      <c r="BO198" s="102" cm="1">
        <f t="array" aca="1" ref="BO198" ca="1">INDEX(BO$187:BO$195,BO197,1)</f>
        <v>1</v>
      </c>
      <c r="BP198" s="102" cm="1">
        <f t="array" aca="1" ref="BP198" ca="1">INDEX(BP$187:BP$195,BP197,1)</f>
        <v>1</v>
      </c>
      <c r="BQ198" s="102" cm="1">
        <f t="array" aca="1" ref="BQ198" ca="1">INDEX(BQ$187:BQ$195,BQ197,1)</f>
        <v>1</v>
      </c>
      <c r="BR198" s="102" cm="1">
        <f t="array" aca="1" ref="BR198" ca="1">INDEX(BR$187:BR$195,BR197,1)</f>
        <v>1</v>
      </c>
      <c r="BS198" s="102" cm="1">
        <f t="array" aca="1" ref="BS198" ca="1">INDEX(BS$187:BS$195,BS197,1)</f>
        <v>1</v>
      </c>
      <c r="BT198" s="102" cm="1">
        <f t="array" aca="1" ref="BT198" ca="1">INDEX(BT$187:BT$195,BT197,1)</f>
        <v>1</v>
      </c>
      <c r="BU198" s="102" cm="1">
        <f t="array" aca="1" ref="BU198" ca="1">INDEX(BU$187:BU$195,BU197,1)</f>
        <v>1</v>
      </c>
      <c r="BV198" s="102" cm="1">
        <f t="array" aca="1" ref="BV198" ca="1">INDEX(BV$187:BV$195,BV197,1)</f>
        <v>1</v>
      </c>
      <c r="BW198" s="102" cm="1">
        <f t="array" aca="1" ref="BW198" ca="1">INDEX(BW$187:BW$195,BW197,1)</f>
        <v>1</v>
      </c>
      <c r="BX198" s="102" cm="1">
        <f t="array" aca="1" ref="BX198" ca="1">INDEX(BX$187:BX$195,BX197,1)</f>
        <v>1</v>
      </c>
      <c r="BY198" s="102" cm="1">
        <f t="array" aca="1" ref="BY198" ca="1">INDEX(BY$187:BY$195,BY197,1)</f>
        <v>1</v>
      </c>
      <c r="BZ198" s="102" cm="1">
        <f t="array" aca="1" ref="BZ198" ca="1">INDEX(BZ$187:BZ$195,BZ197,1)</f>
        <v>1</v>
      </c>
      <c r="CA198" s="102" cm="1">
        <f t="array" aca="1" ref="CA198" ca="1">INDEX(CA$187:CA$195,CA197,1)</f>
        <v>1</v>
      </c>
      <c r="CB198" s="102" cm="1">
        <f t="array" aca="1" ref="CB198" ca="1">INDEX(CB$187:CB$195,CB197,1)</f>
        <v>1</v>
      </c>
      <c r="CC198" s="102" cm="1">
        <f t="array" aca="1" ref="CC198" ca="1">INDEX(CC$187:CC$195,CC197,1)</f>
        <v>1</v>
      </c>
      <c r="CD198" s="102" cm="1">
        <f t="array" aca="1" ref="CD198" ca="1">INDEX(CD$187:CD$195,CD197,1)</f>
        <v>1</v>
      </c>
      <c r="CE198" s="102" cm="1">
        <f t="array" aca="1" ref="CE198" ca="1">INDEX(CE$187:CE$195,CE197,1)</f>
        <v>1</v>
      </c>
      <c r="CF198" s="102" cm="1">
        <f t="array" aca="1" ref="CF198" ca="1">INDEX(CF$187:CF$195,CF197,1)</f>
        <v>1</v>
      </c>
      <c r="CG198" s="102" cm="1">
        <f t="array" aca="1" ref="CG198" ca="1">INDEX(CG$187:CG$195,CG197,1)</f>
        <v>1</v>
      </c>
      <c r="CH198" s="102" cm="1">
        <f t="array" aca="1" ref="CH198" ca="1">INDEX(CH$187:CH$195,CH197,1)</f>
        <v>1</v>
      </c>
      <c r="CI198" s="102" cm="1">
        <f t="array" aca="1" ref="CI198" ca="1">INDEX(CI$187:CI$195,CI197,1)</f>
        <v>1</v>
      </c>
      <c r="CJ198" s="102" cm="1">
        <f t="array" aca="1" ref="CJ198" ca="1">INDEX(CJ$187:CJ$195,CJ197,1)</f>
        <v>1</v>
      </c>
      <c r="CK198" s="102" cm="1">
        <f t="array" aca="1" ref="CK198" ca="1">INDEX(CK$187:CK$195,CK197,1)</f>
        <v>1</v>
      </c>
      <c r="CL198" s="102" cm="1">
        <f t="array" aca="1" ref="CL198" ca="1">INDEX(CL$187:CL$195,CL197,1)</f>
        <v>1</v>
      </c>
      <c r="CM198" s="102" cm="1">
        <f t="array" aca="1" ref="CM198" ca="1">INDEX(CM$187:CM$195,CM197,1)</f>
        <v>1</v>
      </c>
      <c r="CN198" s="102" cm="1">
        <f t="array" aca="1" ref="CN198" ca="1">INDEX(CN$187:CN$195,CN197,1)</f>
        <v>1</v>
      </c>
      <c r="CO198" s="102" cm="1">
        <f t="array" aca="1" ref="CO198" ca="1">INDEX(CO$187:CO$195,CO197,1)</f>
        <v>1</v>
      </c>
      <c r="CP198" s="102" cm="1">
        <f t="array" aca="1" ref="CP198" ca="1">INDEX(CP$187:CP$195,CP197,1)</f>
        <v>1</v>
      </c>
      <c r="CQ198" s="102" cm="1">
        <f t="array" aca="1" ref="CQ198" ca="1">INDEX(CQ$187:CQ$195,CQ197,1)</f>
        <v>1</v>
      </c>
      <c r="CR198" s="102" cm="1">
        <f t="array" aca="1" ref="CR198" ca="1">INDEX(CR$187:CR$195,CR197,1)</f>
        <v>1</v>
      </c>
      <c r="CS198" s="103" cm="1">
        <f t="array" aca="1" ref="CS198" ca="1">INDEX(CS$187:CS$195,CS197,1)</f>
        <v>1</v>
      </c>
      <c r="CT198" s="48" t="s">
        <v>15</v>
      </c>
      <c r="CU198" s="44"/>
      <c r="CV198" s="44"/>
    </row>
    <row r="199" spans="1:102" x14ac:dyDescent="0.25">
      <c r="A199" s="97">
        <v>1</v>
      </c>
      <c r="B199" s="31" t="s">
        <v>16</v>
      </c>
      <c r="D199" s="107">
        <f ca="1">IF(ISERR(D198),E199,D198*E199)</f>
        <v>2.843149029217539</v>
      </c>
      <c r="E199" s="102">
        <f t="shared" ref="E199:R199" ca="1" si="85">IF(ISERR(E198),F199,E198*F199)</f>
        <v>1.1128250754728728</v>
      </c>
      <c r="F199" s="102">
        <f t="shared" ca="1" si="85"/>
        <v>0.82535130033082105</v>
      </c>
      <c r="G199" s="102">
        <f t="shared" ca="1" si="85"/>
        <v>0.75034428145504328</v>
      </c>
      <c r="H199" s="102">
        <f t="shared" ca="1" si="85"/>
        <v>0.77392854108992848</v>
      </c>
      <c r="I199" s="102">
        <f t="shared" ca="1" si="85"/>
        <v>0.92357923150041021</v>
      </c>
      <c r="J199" s="102">
        <f t="shared" ca="1" si="85"/>
        <v>0.99969018466749615</v>
      </c>
      <c r="K199" s="102">
        <f t="shared" ca="1" si="85"/>
        <v>1</v>
      </c>
      <c r="L199" s="102">
        <f t="shared" ca="1" si="85"/>
        <v>1</v>
      </c>
      <c r="M199" s="102">
        <f t="shared" ca="1" si="85"/>
        <v>1</v>
      </c>
      <c r="N199" s="102">
        <f t="shared" ca="1" si="85"/>
        <v>1</v>
      </c>
      <c r="O199" s="102">
        <f t="shared" ca="1" si="85"/>
        <v>1</v>
      </c>
      <c r="P199" s="102">
        <f t="shared" ca="1" si="85"/>
        <v>1</v>
      </c>
      <c r="Q199" s="102">
        <f t="shared" ca="1" si="85"/>
        <v>1</v>
      </c>
      <c r="R199" s="102">
        <f t="shared" ca="1" si="85"/>
        <v>1</v>
      </c>
      <c r="S199" s="102">
        <f ca="1">IF(ISERR(S198),T199,S198*T199)</f>
        <v>1</v>
      </c>
      <c r="T199" s="102">
        <f t="shared" ref="T199:AI199" ca="1" si="86">IF(ISERR(T198),U199,T198*U199)</f>
        <v>1</v>
      </c>
      <c r="U199" s="102">
        <f t="shared" ca="1" si="86"/>
        <v>1</v>
      </c>
      <c r="V199" s="102">
        <f t="shared" ca="1" si="86"/>
        <v>1</v>
      </c>
      <c r="W199" s="102">
        <f t="shared" ca="1" si="86"/>
        <v>1</v>
      </c>
      <c r="X199" s="102">
        <f t="shared" ca="1" si="86"/>
        <v>1</v>
      </c>
      <c r="Y199" s="102">
        <f t="shared" ca="1" si="86"/>
        <v>1</v>
      </c>
      <c r="Z199" s="102">
        <f t="shared" ca="1" si="86"/>
        <v>1</v>
      </c>
      <c r="AA199" s="102">
        <f t="shared" ca="1" si="86"/>
        <v>1</v>
      </c>
      <c r="AB199" s="102">
        <f t="shared" ca="1" si="86"/>
        <v>1</v>
      </c>
      <c r="AC199" s="102">
        <f t="shared" ca="1" si="86"/>
        <v>1</v>
      </c>
      <c r="AD199" s="102">
        <f t="shared" ca="1" si="86"/>
        <v>1</v>
      </c>
      <c r="AE199" s="102">
        <f t="shared" ca="1" si="86"/>
        <v>1</v>
      </c>
      <c r="AF199" s="102">
        <f t="shared" ca="1" si="86"/>
        <v>1</v>
      </c>
      <c r="AG199" s="102">
        <f t="shared" ca="1" si="86"/>
        <v>1</v>
      </c>
      <c r="AH199" s="102">
        <f t="shared" ca="1" si="86"/>
        <v>1</v>
      </c>
      <c r="AI199" s="102">
        <f t="shared" ca="1" si="86"/>
        <v>1</v>
      </c>
      <c r="AJ199" s="102">
        <f ca="1">IF(ISERR(AJ198),AK199,AJ198*AK199)</f>
        <v>1</v>
      </c>
      <c r="AK199" s="102">
        <f t="shared" ref="AK199:CS199" ca="1" si="87">IF(ISERR(AK198),AL199,AK198*AL199)</f>
        <v>1</v>
      </c>
      <c r="AL199" s="102">
        <f t="shared" ca="1" si="87"/>
        <v>1</v>
      </c>
      <c r="AM199" s="102">
        <f t="shared" ca="1" si="87"/>
        <v>1</v>
      </c>
      <c r="AN199" s="102">
        <f t="shared" ca="1" si="87"/>
        <v>1</v>
      </c>
      <c r="AO199" s="102">
        <f t="shared" ca="1" si="87"/>
        <v>1</v>
      </c>
      <c r="AP199" s="102">
        <f t="shared" ca="1" si="87"/>
        <v>1</v>
      </c>
      <c r="AQ199" s="102">
        <f t="shared" ca="1" si="87"/>
        <v>1</v>
      </c>
      <c r="AR199" s="102">
        <f t="shared" ca="1" si="87"/>
        <v>1</v>
      </c>
      <c r="AS199" s="102">
        <f t="shared" ca="1" si="87"/>
        <v>1</v>
      </c>
      <c r="AT199" s="102">
        <f t="shared" ca="1" si="87"/>
        <v>1</v>
      </c>
      <c r="AU199" s="102">
        <f t="shared" ca="1" si="87"/>
        <v>1</v>
      </c>
      <c r="AV199" s="102">
        <f t="shared" ca="1" si="87"/>
        <v>1</v>
      </c>
      <c r="AW199" s="102">
        <f t="shared" ca="1" si="87"/>
        <v>1</v>
      </c>
      <c r="AX199" s="102">
        <f t="shared" ca="1" si="87"/>
        <v>1</v>
      </c>
      <c r="AY199" s="102">
        <f t="shared" ca="1" si="87"/>
        <v>1</v>
      </c>
      <c r="AZ199" s="102">
        <f t="shared" ca="1" si="87"/>
        <v>1</v>
      </c>
      <c r="BA199" s="102">
        <f t="shared" ca="1" si="87"/>
        <v>1</v>
      </c>
      <c r="BB199" s="102">
        <f t="shared" ca="1" si="87"/>
        <v>1</v>
      </c>
      <c r="BC199" s="102">
        <f t="shared" ca="1" si="87"/>
        <v>1</v>
      </c>
      <c r="BD199" s="102">
        <f t="shared" ca="1" si="87"/>
        <v>1</v>
      </c>
      <c r="BE199" s="102">
        <f t="shared" ca="1" si="87"/>
        <v>1</v>
      </c>
      <c r="BF199" s="102">
        <f t="shared" ca="1" si="87"/>
        <v>1</v>
      </c>
      <c r="BG199" s="102">
        <f t="shared" ca="1" si="87"/>
        <v>1</v>
      </c>
      <c r="BH199" s="102">
        <f t="shared" ca="1" si="87"/>
        <v>1</v>
      </c>
      <c r="BI199" s="102">
        <f t="shared" ca="1" si="87"/>
        <v>1</v>
      </c>
      <c r="BJ199" s="102">
        <f t="shared" ca="1" si="87"/>
        <v>1</v>
      </c>
      <c r="BK199" s="102">
        <f t="shared" ca="1" si="87"/>
        <v>1</v>
      </c>
      <c r="BL199" s="102">
        <f t="shared" ca="1" si="87"/>
        <v>1</v>
      </c>
      <c r="BM199" s="102">
        <f t="shared" ca="1" si="87"/>
        <v>1</v>
      </c>
      <c r="BN199" s="102">
        <f t="shared" ca="1" si="87"/>
        <v>1</v>
      </c>
      <c r="BO199" s="102">
        <f t="shared" ca="1" si="87"/>
        <v>1</v>
      </c>
      <c r="BP199" s="102">
        <f t="shared" ca="1" si="87"/>
        <v>1</v>
      </c>
      <c r="BQ199" s="102">
        <f t="shared" ca="1" si="87"/>
        <v>1</v>
      </c>
      <c r="BR199" s="102">
        <f t="shared" ca="1" si="87"/>
        <v>1</v>
      </c>
      <c r="BS199" s="102">
        <f t="shared" ca="1" si="87"/>
        <v>1</v>
      </c>
      <c r="BT199" s="102">
        <f t="shared" ca="1" si="87"/>
        <v>1</v>
      </c>
      <c r="BU199" s="102">
        <f t="shared" ca="1" si="87"/>
        <v>1</v>
      </c>
      <c r="BV199" s="102">
        <f t="shared" ca="1" si="87"/>
        <v>1</v>
      </c>
      <c r="BW199" s="102">
        <f t="shared" ca="1" si="87"/>
        <v>1</v>
      </c>
      <c r="BX199" s="102">
        <f t="shared" ca="1" si="87"/>
        <v>1</v>
      </c>
      <c r="BY199" s="102">
        <f t="shared" ca="1" si="87"/>
        <v>1</v>
      </c>
      <c r="BZ199" s="102">
        <f t="shared" ca="1" si="87"/>
        <v>1</v>
      </c>
      <c r="CA199" s="102">
        <f t="shared" ca="1" si="87"/>
        <v>1</v>
      </c>
      <c r="CB199" s="102">
        <f t="shared" ca="1" si="87"/>
        <v>1</v>
      </c>
      <c r="CC199" s="102">
        <f t="shared" ca="1" si="87"/>
        <v>1</v>
      </c>
      <c r="CD199" s="102">
        <f t="shared" ca="1" si="87"/>
        <v>1</v>
      </c>
      <c r="CE199" s="102">
        <f t="shared" ca="1" si="87"/>
        <v>1</v>
      </c>
      <c r="CF199" s="102">
        <f t="shared" ca="1" si="87"/>
        <v>1</v>
      </c>
      <c r="CG199" s="102">
        <f t="shared" ca="1" si="87"/>
        <v>1</v>
      </c>
      <c r="CH199" s="102">
        <f t="shared" ca="1" si="87"/>
        <v>1</v>
      </c>
      <c r="CI199" s="102">
        <f t="shared" ca="1" si="87"/>
        <v>1</v>
      </c>
      <c r="CJ199" s="102">
        <f t="shared" ca="1" si="87"/>
        <v>1</v>
      </c>
      <c r="CK199" s="102">
        <f t="shared" ca="1" si="87"/>
        <v>1</v>
      </c>
      <c r="CL199" s="102">
        <f t="shared" ca="1" si="87"/>
        <v>1</v>
      </c>
      <c r="CM199" s="102">
        <f t="shared" ca="1" si="87"/>
        <v>1</v>
      </c>
      <c r="CN199" s="102">
        <f t="shared" ca="1" si="87"/>
        <v>1</v>
      </c>
      <c r="CO199" s="102">
        <f t="shared" ca="1" si="87"/>
        <v>1</v>
      </c>
      <c r="CP199" s="102">
        <f t="shared" ca="1" si="87"/>
        <v>1</v>
      </c>
      <c r="CQ199" s="102">
        <f t="shared" ca="1" si="87"/>
        <v>1</v>
      </c>
      <c r="CR199" s="102">
        <f t="shared" ca="1" si="87"/>
        <v>1</v>
      </c>
      <c r="CS199" s="103">
        <f t="shared" ca="1" si="87"/>
        <v>1</v>
      </c>
      <c r="CT199" s="214">
        <v>1</v>
      </c>
      <c r="CU199" s="44"/>
      <c r="CV199" s="44"/>
      <c r="CX199" s="44"/>
    </row>
    <row r="200" spans="1:102" x14ac:dyDescent="0.25">
      <c r="A200" s="97">
        <v>1</v>
      </c>
      <c r="B200" s="31" t="s">
        <v>17</v>
      </c>
      <c r="C200" s="110">
        <f ca="1">1/D199</f>
        <v>0.35172268133802653</v>
      </c>
      <c r="D200" s="111">
        <f ca="1">1/E199</f>
        <v>0.89861382713277738</v>
      </c>
      <c r="E200" s="111">
        <f ca="1">1/F199</f>
        <v>1.211605288074515</v>
      </c>
      <c r="F200" s="111">
        <f t="shared" ref="F200" ca="1" si="88">1/G199</f>
        <v>1.3327215582436804</v>
      </c>
      <c r="G200" s="111">
        <f ca="1">1/H199</f>
        <v>1.2921089569738489</v>
      </c>
      <c r="H200" s="111">
        <f ca="1">1/I199</f>
        <v>1.0827441392065948</v>
      </c>
      <c r="I200" s="111">
        <f t="shared" ref="I200:BT200" ca="1" si="89">1/J199</f>
        <v>1.0003099113477911</v>
      </c>
      <c r="J200" s="111">
        <f t="shared" ca="1" si="89"/>
        <v>1</v>
      </c>
      <c r="K200" s="111">
        <f t="shared" ca="1" si="89"/>
        <v>1</v>
      </c>
      <c r="L200" s="111">
        <f t="shared" ca="1" si="89"/>
        <v>1</v>
      </c>
      <c r="M200" s="111">
        <f t="shared" ca="1" si="89"/>
        <v>1</v>
      </c>
      <c r="N200" s="111">
        <f t="shared" ca="1" si="89"/>
        <v>1</v>
      </c>
      <c r="O200" s="111">
        <f t="shared" ca="1" si="89"/>
        <v>1</v>
      </c>
      <c r="P200" s="111">
        <f t="shared" ca="1" si="89"/>
        <v>1</v>
      </c>
      <c r="Q200" s="111">
        <f t="shared" ca="1" si="89"/>
        <v>1</v>
      </c>
      <c r="R200" s="111">
        <f t="shared" ca="1" si="89"/>
        <v>1</v>
      </c>
      <c r="S200" s="111">
        <f t="shared" ca="1" si="89"/>
        <v>1</v>
      </c>
      <c r="T200" s="111">
        <f t="shared" ca="1" si="89"/>
        <v>1</v>
      </c>
      <c r="U200" s="111">
        <f t="shared" ca="1" si="89"/>
        <v>1</v>
      </c>
      <c r="V200" s="111">
        <f t="shared" ca="1" si="89"/>
        <v>1</v>
      </c>
      <c r="W200" s="111">
        <f t="shared" ca="1" si="89"/>
        <v>1</v>
      </c>
      <c r="X200" s="111">
        <f t="shared" ca="1" si="89"/>
        <v>1</v>
      </c>
      <c r="Y200" s="111">
        <f t="shared" ca="1" si="89"/>
        <v>1</v>
      </c>
      <c r="Z200" s="111">
        <f t="shared" ca="1" si="89"/>
        <v>1</v>
      </c>
      <c r="AA200" s="111">
        <f t="shared" ca="1" si="89"/>
        <v>1</v>
      </c>
      <c r="AB200" s="111">
        <f t="shared" ca="1" si="89"/>
        <v>1</v>
      </c>
      <c r="AC200" s="111">
        <f t="shared" ca="1" si="89"/>
        <v>1</v>
      </c>
      <c r="AD200" s="111">
        <f t="shared" ca="1" si="89"/>
        <v>1</v>
      </c>
      <c r="AE200" s="111">
        <f t="shared" ca="1" si="89"/>
        <v>1</v>
      </c>
      <c r="AF200" s="111">
        <f t="shared" ca="1" si="89"/>
        <v>1</v>
      </c>
      <c r="AG200" s="111">
        <f t="shared" ca="1" si="89"/>
        <v>1</v>
      </c>
      <c r="AH200" s="111">
        <f t="shared" ca="1" si="89"/>
        <v>1</v>
      </c>
      <c r="AI200" s="111">
        <f ca="1">1/AJ199</f>
        <v>1</v>
      </c>
      <c r="AJ200" s="111">
        <f t="shared" ca="1" si="89"/>
        <v>1</v>
      </c>
      <c r="AK200" s="111">
        <f t="shared" ca="1" si="89"/>
        <v>1</v>
      </c>
      <c r="AL200" s="111">
        <f t="shared" ca="1" si="89"/>
        <v>1</v>
      </c>
      <c r="AM200" s="111">
        <f t="shared" ca="1" si="89"/>
        <v>1</v>
      </c>
      <c r="AN200" s="111">
        <f t="shared" ca="1" si="89"/>
        <v>1</v>
      </c>
      <c r="AO200" s="111">
        <f t="shared" ca="1" si="89"/>
        <v>1</v>
      </c>
      <c r="AP200" s="111">
        <f t="shared" ca="1" si="89"/>
        <v>1</v>
      </c>
      <c r="AQ200" s="111">
        <f t="shared" ca="1" si="89"/>
        <v>1</v>
      </c>
      <c r="AR200" s="111">
        <f t="shared" ca="1" si="89"/>
        <v>1</v>
      </c>
      <c r="AS200" s="111">
        <f t="shared" ca="1" si="89"/>
        <v>1</v>
      </c>
      <c r="AT200" s="111">
        <f t="shared" ca="1" si="89"/>
        <v>1</v>
      </c>
      <c r="AU200" s="111">
        <f t="shared" ca="1" si="89"/>
        <v>1</v>
      </c>
      <c r="AV200" s="111">
        <f t="shared" ca="1" si="89"/>
        <v>1</v>
      </c>
      <c r="AW200" s="111">
        <f t="shared" ca="1" si="89"/>
        <v>1</v>
      </c>
      <c r="AX200" s="111">
        <f t="shared" ca="1" si="89"/>
        <v>1</v>
      </c>
      <c r="AY200" s="111">
        <f t="shared" ca="1" si="89"/>
        <v>1</v>
      </c>
      <c r="AZ200" s="111">
        <f t="shared" ca="1" si="89"/>
        <v>1</v>
      </c>
      <c r="BA200" s="111">
        <f t="shared" ca="1" si="89"/>
        <v>1</v>
      </c>
      <c r="BB200" s="111">
        <f t="shared" ca="1" si="89"/>
        <v>1</v>
      </c>
      <c r="BC200" s="111">
        <f t="shared" ca="1" si="89"/>
        <v>1</v>
      </c>
      <c r="BD200" s="111">
        <f t="shared" ca="1" si="89"/>
        <v>1</v>
      </c>
      <c r="BE200" s="111">
        <f t="shared" ca="1" si="89"/>
        <v>1</v>
      </c>
      <c r="BF200" s="111">
        <f t="shared" ca="1" si="89"/>
        <v>1</v>
      </c>
      <c r="BG200" s="111">
        <f t="shared" ca="1" si="89"/>
        <v>1</v>
      </c>
      <c r="BH200" s="111">
        <f t="shared" ca="1" si="89"/>
        <v>1</v>
      </c>
      <c r="BI200" s="111">
        <f t="shared" ca="1" si="89"/>
        <v>1</v>
      </c>
      <c r="BJ200" s="111">
        <f t="shared" ca="1" si="89"/>
        <v>1</v>
      </c>
      <c r="BK200" s="111">
        <f t="shared" ca="1" si="89"/>
        <v>1</v>
      </c>
      <c r="BL200" s="111">
        <f t="shared" ca="1" si="89"/>
        <v>1</v>
      </c>
      <c r="BM200" s="111">
        <f t="shared" ca="1" si="89"/>
        <v>1</v>
      </c>
      <c r="BN200" s="111">
        <f t="shared" ca="1" si="89"/>
        <v>1</v>
      </c>
      <c r="BO200" s="111">
        <f t="shared" ca="1" si="89"/>
        <v>1</v>
      </c>
      <c r="BP200" s="111">
        <f t="shared" ca="1" si="89"/>
        <v>1</v>
      </c>
      <c r="BQ200" s="111">
        <f t="shared" ca="1" si="89"/>
        <v>1</v>
      </c>
      <c r="BR200" s="111">
        <f t="shared" ca="1" si="89"/>
        <v>1</v>
      </c>
      <c r="BS200" s="111">
        <f t="shared" ca="1" si="89"/>
        <v>1</v>
      </c>
      <c r="BT200" s="111">
        <f t="shared" ca="1" si="89"/>
        <v>1</v>
      </c>
      <c r="BU200" s="111">
        <f t="shared" ref="BU200:CS200" ca="1" si="90">1/BV199</f>
        <v>1</v>
      </c>
      <c r="BV200" s="111">
        <f t="shared" ca="1" si="90"/>
        <v>1</v>
      </c>
      <c r="BW200" s="111">
        <f t="shared" ca="1" si="90"/>
        <v>1</v>
      </c>
      <c r="BX200" s="111">
        <f t="shared" ca="1" si="90"/>
        <v>1</v>
      </c>
      <c r="BY200" s="111">
        <f t="shared" ca="1" si="90"/>
        <v>1</v>
      </c>
      <c r="BZ200" s="111">
        <f t="shared" ca="1" si="90"/>
        <v>1</v>
      </c>
      <c r="CA200" s="111">
        <f t="shared" ca="1" si="90"/>
        <v>1</v>
      </c>
      <c r="CB200" s="111">
        <f t="shared" ca="1" si="90"/>
        <v>1</v>
      </c>
      <c r="CC200" s="111">
        <f t="shared" ca="1" si="90"/>
        <v>1</v>
      </c>
      <c r="CD200" s="111">
        <f t="shared" ca="1" si="90"/>
        <v>1</v>
      </c>
      <c r="CE200" s="111">
        <f t="shared" ca="1" si="90"/>
        <v>1</v>
      </c>
      <c r="CF200" s="111">
        <f t="shared" ca="1" si="90"/>
        <v>1</v>
      </c>
      <c r="CG200" s="111">
        <f t="shared" ca="1" si="90"/>
        <v>1</v>
      </c>
      <c r="CH200" s="111">
        <f t="shared" ca="1" si="90"/>
        <v>1</v>
      </c>
      <c r="CI200" s="111">
        <f t="shared" ca="1" si="90"/>
        <v>1</v>
      </c>
      <c r="CJ200" s="111">
        <f t="shared" ca="1" si="90"/>
        <v>1</v>
      </c>
      <c r="CK200" s="111">
        <f t="shared" ca="1" si="90"/>
        <v>1</v>
      </c>
      <c r="CL200" s="111">
        <f t="shared" ca="1" si="90"/>
        <v>1</v>
      </c>
      <c r="CM200" s="111">
        <f t="shared" ca="1" si="90"/>
        <v>1</v>
      </c>
      <c r="CN200" s="111">
        <f t="shared" ca="1" si="90"/>
        <v>1</v>
      </c>
      <c r="CO200" s="111">
        <f t="shared" ca="1" si="90"/>
        <v>1</v>
      </c>
      <c r="CP200" s="111">
        <f t="shared" ca="1" si="90"/>
        <v>1</v>
      </c>
      <c r="CQ200" s="111">
        <f t="shared" ca="1" si="90"/>
        <v>1</v>
      </c>
      <c r="CR200" s="111">
        <f t="shared" ca="1" si="90"/>
        <v>1</v>
      </c>
      <c r="CS200" s="112">
        <f t="shared" si="90"/>
        <v>1</v>
      </c>
      <c r="CT200" s="49"/>
      <c r="CU200" s="49"/>
      <c r="CV200" s="49"/>
      <c r="CW200" s="49"/>
    </row>
    <row r="201" spans="1:102" x14ac:dyDescent="0.25">
      <c r="A201" s="97">
        <v>1</v>
      </c>
      <c r="B201" s="109" t="str">
        <f>"Blind CL-L"&amp;$C$194</f>
        <v>Blind CL-L10</v>
      </c>
      <c r="C201" s="113">
        <f ca="1">1/PRODUCT(D$194:$CS$194)</f>
        <v>0.36196361125603499</v>
      </c>
      <c r="D201" s="114">
        <f ca="1">1/PRODUCT(E$194:$CS$194)</f>
        <v>0.92477830760361712</v>
      </c>
      <c r="E201" s="114">
        <f ca="1">1/PRODUCT(F$194:$CS$194)</f>
        <v>1.2468829812737623</v>
      </c>
      <c r="F201" s="114">
        <f ca="1">1/PRODUCT(G$194:$CS$194)</f>
        <v>1.3715257321066554</v>
      </c>
      <c r="G201" s="114">
        <f ca="1">1/PRODUCT(H$194:$CS$194)</f>
        <v>1.3297306344399178</v>
      </c>
      <c r="H201" s="114">
        <f ca="1">1/PRODUCT(I$194:$CS$194)</f>
        <v>1.1142698480592821</v>
      </c>
      <c r="I201" s="114">
        <f ca="1">1/PRODUCT(J$194:$CS$194)</f>
        <v>1.0294354248331066</v>
      </c>
      <c r="J201" s="114">
        <f ca="1">1/PRODUCT(K$194:$CS$194)</f>
        <v>1.0291164899546705</v>
      </c>
      <c r="K201" s="114">
        <f ca="1">1/PRODUCT(L$194:$CS$194)</f>
        <v>1</v>
      </c>
      <c r="L201" s="114">
        <f ca="1">1/PRODUCT(M$194:$CS$194)</f>
        <v>1</v>
      </c>
      <c r="M201" s="114">
        <f ca="1">1/PRODUCT(N$194:$CS$194)</f>
        <v>1</v>
      </c>
      <c r="N201" s="114">
        <f ca="1">1/PRODUCT(O$194:$CS$194)</f>
        <v>1</v>
      </c>
      <c r="O201" s="114">
        <f ca="1">1/PRODUCT(P$194:$CS$194)</f>
        <v>1</v>
      </c>
      <c r="P201" s="114">
        <f ca="1">1/PRODUCT(Q$194:$CS$194)</f>
        <v>1</v>
      </c>
      <c r="Q201" s="114">
        <f ca="1">1/PRODUCT(R$194:$CS$194)</f>
        <v>1</v>
      </c>
      <c r="R201" s="114">
        <f ca="1">1/PRODUCT(S$194:$CS$194)</f>
        <v>1</v>
      </c>
      <c r="S201" s="114">
        <f ca="1">1/PRODUCT(T$194:$CS$194)</f>
        <v>1</v>
      </c>
      <c r="T201" s="114">
        <f ca="1">1/PRODUCT(U$194:$CS$194)</f>
        <v>1</v>
      </c>
      <c r="U201" s="114">
        <f ca="1">1/PRODUCT(V$194:$CS$194)</f>
        <v>1</v>
      </c>
      <c r="V201" s="114">
        <f ca="1">1/PRODUCT(W$194:$CS$194)</f>
        <v>1</v>
      </c>
      <c r="W201" s="114">
        <f ca="1">1/PRODUCT(X$194:$CS$194)</f>
        <v>1</v>
      </c>
      <c r="X201" s="114">
        <f ca="1">1/PRODUCT(Y$194:$CS$194)</f>
        <v>1</v>
      </c>
      <c r="Y201" s="114">
        <f ca="1">1/PRODUCT(Z$194:$CS$194)</f>
        <v>1</v>
      </c>
      <c r="Z201" s="114">
        <f ca="1">1/PRODUCT(AA$194:$CS$194)</f>
        <v>1</v>
      </c>
      <c r="AA201" s="114">
        <f ca="1">1/PRODUCT(AB$194:$CS$194)</f>
        <v>1</v>
      </c>
      <c r="AB201" s="114">
        <f ca="1">1/PRODUCT(AC$194:$CS$194)</f>
        <v>1</v>
      </c>
      <c r="AC201" s="114">
        <f ca="1">1/PRODUCT(AD$194:$CS$194)</f>
        <v>1</v>
      </c>
      <c r="AD201" s="114">
        <f ca="1">1/PRODUCT(AE$194:$CS$194)</f>
        <v>1</v>
      </c>
      <c r="AE201" s="114">
        <f ca="1">1/PRODUCT(AF$194:$CS$194)</f>
        <v>1</v>
      </c>
      <c r="AF201" s="114">
        <f ca="1">1/PRODUCT(AG$194:$CS$194)</f>
        <v>1</v>
      </c>
      <c r="AG201" s="114">
        <f ca="1">1/PRODUCT(AH$194:$CS$194)</f>
        <v>1</v>
      </c>
      <c r="AH201" s="114">
        <f ca="1">1/PRODUCT(AI$194:$CS$194)</f>
        <v>1</v>
      </c>
      <c r="AI201" s="114">
        <f ca="1">1/PRODUCT(AJ$194:$CS$194)</f>
        <v>1</v>
      </c>
      <c r="AJ201" s="114">
        <f ca="1">1/PRODUCT(AK$194:$CS$194)</f>
        <v>1</v>
      </c>
      <c r="AK201" s="114">
        <f ca="1">1/PRODUCT(AL$194:$CS$194)</f>
        <v>1</v>
      </c>
      <c r="AL201" s="114">
        <f ca="1">1/PRODUCT(AM$194:$CS$194)</f>
        <v>1</v>
      </c>
      <c r="AM201" s="114">
        <f ca="1">1/PRODUCT(AN$194:$CS$194)</f>
        <v>1</v>
      </c>
      <c r="AN201" s="114">
        <f ca="1">1/PRODUCT(AO$194:$CS$194)</f>
        <v>1</v>
      </c>
      <c r="AO201" s="114">
        <f ca="1">1/PRODUCT(AP$194:$CS$194)</f>
        <v>1</v>
      </c>
      <c r="AP201" s="114">
        <f ca="1">1/PRODUCT(AQ$194:$CS$194)</f>
        <v>1</v>
      </c>
      <c r="AQ201" s="114">
        <f ca="1">1/PRODUCT(AR$194:$CS$194)</f>
        <v>1</v>
      </c>
      <c r="AR201" s="114">
        <f ca="1">1/PRODUCT(AS$194:$CS$194)</f>
        <v>1</v>
      </c>
      <c r="AS201" s="114">
        <f ca="1">1/PRODUCT(AT$194:$CS$194)</f>
        <v>1</v>
      </c>
      <c r="AT201" s="114">
        <f ca="1">1/PRODUCT(AU$194:$CS$194)</f>
        <v>1</v>
      </c>
      <c r="AU201" s="114">
        <f ca="1">1/PRODUCT(AV$194:$CS$194)</f>
        <v>1</v>
      </c>
      <c r="AV201" s="114">
        <f ca="1">1/PRODUCT(AW$194:$CS$194)</f>
        <v>1</v>
      </c>
      <c r="AW201" s="114">
        <f ca="1">1/PRODUCT(AX$194:$CS$194)</f>
        <v>1</v>
      </c>
      <c r="AX201" s="114">
        <f ca="1">1/PRODUCT(AY$194:$CS$194)</f>
        <v>1</v>
      </c>
      <c r="AY201" s="114">
        <f ca="1">1/PRODUCT(AZ$194:$CS$194)</f>
        <v>1</v>
      </c>
      <c r="AZ201" s="114">
        <f ca="1">1/PRODUCT(BA$194:$CS$194)</f>
        <v>1</v>
      </c>
      <c r="BA201" s="114">
        <f ca="1">1/PRODUCT(BB$194:$CS$194)</f>
        <v>1</v>
      </c>
      <c r="BB201" s="114">
        <f ca="1">1/PRODUCT(BC$194:$CS$194)</f>
        <v>1</v>
      </c>
      <c r="BC201" s="114">
        <f ca="1">1/PRODUCT(BD$194:$CS$194)</f>
        <v>1</v>
      </c>
      <c r="BD201" s="114">
        <f ca="1">1/PRODUCT(BE$194:$CS$194)</f>
        <v>1</v>
      </c>
      <c r="BE201" s="114">
        <f ca="1">1/PRODUCT(BF$194:$CS$194)</f>
        <v>1</v>
      </c>
      <c r="BF201" s="114">
        <f ca="1">1/PRODUCT(BG$194:$CS$194)</f>
        <v>1</v>
      </c>
      <c r="BG201" s="114">
        <f ca="1">1/PRODUCT(BH$194:$CS$194)</f>
        <v>1</v>
      </c>
      <c r="BH201" s="114">
        <f ca="1">1/PRODUCT(BI$194:$CS$194)</f>
        <v>1</v>
      </c>
      <c r="BI201" s="114">
        <f ca="1">1/PRODUCT(BJ$194:$CS$194)</f>
        <v>1</v>
      </c>
      <c r="BJ201" s="114">
        <f ca="1">1/PRODUCT(BK$194:$CS$194)</f>
        <v>1</v>
      </c>
      <c r="BK201" s="114">
        <f ca="1">1/PRODUCT(BL$194:$CS$194)</f>
        <v>1</v>
      </c>
      <c r="BL201" s="114">
        <f ca="1">1/PRODUCT(BM$194:$CS$194)</f>
        <v>1</v>
      </c>
      <c r="BM201" s="114">
        <f ca="1">1/PRODUCT(BN$194:$CS$194)</f>
        <v>1</v>
      </c>
      <c r="BN201" s="114">
        <f ca="1">1/PRODUCT(BO$194:$CS$194)</f>
        <v>1</v>
      </c>
      <c r="BO201" s="115">
        <f ca="1">1/PRODUCT(BP$194:$CS$194)</f>
        <v>1</v>
      </c>
      <c r="BP201" s="115">
        <f ca="1">1/PRODUCT(BQ$194:$CS$194)</f>
        <v>1</v>
      </c>
      <c r="BQ201" s="115">
        <f ca="1">1/PRODUCT(BR$194:$CS$194)</f>
        <v>1</v>
      </c>
      <c r="BR201" s="114">
        <f ca="1">1/PRODUCT(BS$194:$CS$194)</f>
        <v>1</v>
      </c>
      <c r="BS201" s="114">
        <f ca="1">1/PRODUCT(BT$194:$CS$194)</f>
        <v>1</v>
      </c>
      <c r="BT201" s="114">
        <f ca="1">1/PRODUCT(BU$194:$CS$194)</f>
        <v>1</v>
      </c>
      <c r="BU201" s="114">
        <f ca="1">1/PRODUCT(BV$194:$CS$194)</f>
        <v>1</v>
      </c>
      <c r="BV201" s="114">
        <f ca="1">1/PRODUCT(BW$194:$CS$194)</f>
        <v>1</v>
      </c>
      <c r="BW201" s="114">
        <f ca="1">1/PRODUCT(BX$194:$CS$194)</f>
        <v>1</v>
      </c>
      <c r="BX201" s="114">
        <f ca="1">1/PRODUCT(BY$194:$CS$194)</f>
        <v>1</v>
      </c>
      <c r="BY201" s="114">
        <f ca="1">1/PRODUCT(BZ$194:$CS$194)</f>
        <v>1</v>
      </c>
      <c r="BZ201" s="114">
        <f ca="1">1/PRODUCT(CA$194:$CS$194)</f>
        <v>1</v>
      </c>
      <c r="CA201" s="114">
        <f ca="1">1/PRODUCT(CB$194:$CS$194)</f>
        <v>1</v>
      </c>
      <c r="CB201" s="114">
        <f ca="1">1/PRODUCT(CC$194:$CS$194)</f>
        <v>1</v>
      </c>
      <c r="CC201" s="114">
        <f ca="1">1/PRODUCT(CD$194:$CS$194)</f>
        <v>1</v>
      </c>
      <c r="CD201" s="114">
        <f ca="1">1/PRODUCT(CE$194:$CS$194)</f>
        <v>1</v>
      </c>
      <c r="CE201" s="114">
        <f ca="1">1/PRODUCT(CF$194:$CS$194)</f>
        <v>1</v>
      </c>
      <c r="CF201" s="114">
        <f ca="1">1/PRODUCT(CG$194:$CS$194)</f>
        <v>1</v>
      </c>
      <c r="CG201" s="114">
        <f ca="1">1/PRODUCT(CH$194:$CS$194)</f>
        <v>1</v>
      </c>
      <c r="CH201" s="114">
        <f ca="1">1/PRODUCT(CI$194:$CS$194)</f>
        <v>1</v>
      </c>
      <c r="CI201" s="114">
        <f ca="1">1/PRODUCT(CJ$194:$CS$194)</f>
        <v>1</v>
      </c>
      <c r="CJ201" s="114">
        <f ca="1">1/PRODUCT(CK$194:$CS$194)</f>
        <v>1</v>
      </c>
      <c r="CK201" s="114">
        <f ca="1">1/PRODUCT(CL$194:$CS$194)</f>
        <v>1</v>
      </c>
      <c r="CL201" s="114">
        <f ca="1">1/PRODUCT(CM$194:$CS$194)</f>
        <v>1</v>
      </c>
      <c r="CM201" s="114">
        <f ca="1">1/PRODUCT(CN$194:$CS$194)</f>
        <v>1</v>
      </c>
      <c r="CN201" s="114">
        <f ca="1">1/PRODUCT(CO$194:$CS$194)</f>
        <v>1</v>
      </c>
      <c r="CO201" s="114">
        <f ca="1">1/PRODUCT(CP$194:$CS$194)</f>
        <v>1</v>
      </c>
      <c r="CP201" s="114">
        <f ca="1">1/PRODUCT(CQ$194:$CS$194)</f>
        <v>1</v>
      </c>
      <c r="CQ201" s="114">
        <f ca="1">1/PRODUCT(CR$194:$CS$194)</f>
        <v>1</v>
      </c>
      <c r="CR201" s="114">
        <f ca="1">1/PRODUCT(CS$194:$CS$194)</f>
        <v>1</v>
      </c>
      <c r="CS201" s="116">
        <f ca="1">1/PRODUCT($CS$194:CT$194)</f>
        <v>1</v>
      </c>
      <c r="CT201" s="50"/>
      <c r="CU201" s="50"/>
      <c r="CV201" s="50"/>
      <c r="CW201" s="49"/>
    </row>
    <row r="202" spans="1:102" x14ac:dyDescent="0.25">
      <c r="A202" s="97">
        <v>1</v>
      </c>
      <c r="B202" s="120"/>
      <c r="C202" s="121"/>
      <c r="D202" s="121"/>
      <c r="E202" s="121"/>
      <c r="F202" s="121"/>
      <c r="G202" s="121"/>
      <c r="H202" s="121"/>
      <c r="I202" s="121"/>
      <c r="J202" s="121"/>
      <c r="K202" s="121"/>
      <c r="L202" s="121"/>
      <c r="M202" s="121"/>
      <c r="N202" s="121"/>
      <c r="O202" s="121"/>
      <c r="P202" s="121"/>
      <c r="Q202" s="121"/>
      <c r="R202" s="121"/>
      <c r="S202" s="121"/>
      <c r="T202" s="121"/>
      <c r="U202" s="121"/>
      <c r="V202" s="121"/>
      <c r="W202" s="121"/>
      <c r="X202" s="121"/>
      <c r="Y202" s="121"/>
      <c r="Z202" s="121"/>
      <c r="AA202" s="121"/>
      <c r="AB202" s="121"/>
      <c r="AC202" s="121"/>
      <c r="AD202" s="121"/>
      <c r="AE202" s="121"/>
      <c r="AF202" s="121"/>
      <c r="AG202" s="121"/>
      <c r="AH202" s="121"/>
      <c r="AI202" s="121"/>
      <c r="AJ202" s="121"/>
      <c r="AK202" s="121"/>
      <c r="AL202" s="121"/>
      <c r="AM202" s="121"/>
      <c r="AN202" s="121"/>
      <c r="AO202" s="121"/>
      <c r="AP202" s="121"/>
      <c r="AQ202" s="121"/>
      <c r="AR202" s="121"/>
      <c r="AS202" s="121"/>
      <c r="AT202" s="121"/>
      <c r="AU202" s="121"/>
      <c r="AV202" s="121"/>
      <c r="AW202" s="121"/>
      <c r="AX202" s="121"/>
      <c r="AY202" s="121"/>
      <c r="AZ202" s="121"/>
      <c r="BA202" s="121"/>
      <c r="BB202" s="121"/>
      <c r="BC202" s="121"/>
      <c r="BD202" s="121"/>
      <c r="BE202" s="121"/>
      <c r="BF202" s="121"/>
      <c r="BG202" s="121"/>
      <c r="BH202" s="121"/>
      <c r="BI202" s="121"/>
      <c r="BJ202" s="121"/>
      <c r="BK202" s="121"/>
      <c r="BL202" s="121"/>
      <c r="BM202" s="121"/>
      <c r="BN202" s="121"/>
      <c r="BO202" s="122"/>
      <c r="BP202" s="122"/>
      <c r="BQ202" s="122"/>
      <c r="BR202" s="121"/>
      <c r="BS202" s="121"/>
      <c r="BT202" s="121"/>
      <c r="BU202" s="121"/>
      <c r="BV202" s="121"/>
      <c r="BW202" s="121"/>
      <c r="BX202" s="121"/>
      <c r="BY202" s="121"/>
      <c r="BZ202" s="121"/>
      <c r="CA202" s="121"/>
      <c r="CB202" s="121"/>
      <c r="CC202" s="121"/>
      <c r="CD202" s="121"/>
      <c r="CE202" s="121"/>
      <c r="CF202" s="121"/>
      <c r="CG202" s="121"/>
      <c r="CH202" s="121"/>
      <c r="CI202" s="121"/>
      <c r="CJ202" s="121"/>
      <c r="CK202" s="121"/>
      <c r="CL202" s="121"/>
      <c r="CM202" s="121"/>
      <c r="CN202" s="121"/>
      <c r="CO202" s="121"/>
      <c r="CP202" s="121"/>
      <c r="CQ202" s="121"/>
      <c r="CR202" s="121"/>
      <c r="CS202" s="121"/>
      <c r="CT202" s="50"/>
      <c r="CU202" s="50"/>
      <c r="CV202" s="50"/>
      <c r="CW202" s="49"/>
    </row>
    <row r="203" spans="1:102" x14ac:dyDescent="0.25">
      <c r="A203" s="97">
        <v>1</v>
      </c>
      <c r="I203" s="11" t="s">
        <v>56</v>
      </c>
    </row>
    <row r="204" spans="1:102" x14ac:dyDescent="0.25">
      <c r="A204" s="97">
        <v>1</v>
      </c>
      <c r="B204" s="19" t="s">
        <v>18</v>
      </c>
      <c r="I204" s="119">
        <v>0.7</v>
      </c>
      <c r="L204" s="16" t="s">
        <v>19</v>
      </c>
      <c r="M204" s="149">
        <v>3</v>
      </c>
    </row>
    <row r="205" spans="1:102" x14ac:dyDescent="0.25">
      <c r="A205" s="97">
        <v>1</v>
      </c>
      <c r="B205" s="41" t="s">
        <v>2</v>
      </c>
      <c r="C205" s="41" t="s">
        <v>20</v>
      </c>
      <c r="D205" s="41" t="s">
        <v>21</v>
      </c>
      <c r="E205" s="41" t="s">
        <v>22</v>
      </c>
      <c r="F205" s="41" t="s">
        <v>55</v>
      </c>
      <c r="G205" s="41" t="s">
        <v>23</v>
      </c>
      <c r="H205" s="41" t="s">
        <v>12</v>
      </c>
      <c r="I205" s="41" t="s">
        <v>13</v>
      </c>
      <c r="J205" s="41" t="s">
        <v>24</v>
      </c>
      <c r="K205" s="41" t="s">
        <v>25</v>
      </c>
      <c r="L205" s="39"/>
      <c r="M205" s="41" t="s">
        <v>26</v>
      </c>
      <c r="N205" s="118"/>
      <c r="O205" s="41" t="s">
        <v>27</v>
      </c>
      <c r="P205" s="41" t="s">
        <v>28</v>
      </c>
      <c r="Q205" s="41" t="s">
        <v>29</v>
      </c>
    </row>
    <row r="206" spans="1:102" hidden="1" x14ac:dyDescent="0.25">
      <c r="A206" s="97">
        <f t="shared" ref="A206:A229" si="91">A14</f>
        <v>0</v>
      </c>
      <c r="B206" s="25">
        <f t="shared" ref="B206:B228" si="92">B207-1</f>
        <v>1996</v>
      </c>
      <c r="C206" s="84">
        <v>100000</v>
      </c>
      <c r="D206" s="13" t="str">
        <f t="shared" ref="D206:D229" si="93">IF(C42=0,"",CT14)</f>
        <v/>
      </c>
      <c r="E206" s="44" t="str">
        <f t="shared" ref="E206:E228" ca="1" si="94">IF(C42=1,OFFSET($C$199,0,CT42),"")</f>
        <v/>
      </c>
      <c r="F206" s="175" t="str">
        <f>IF(D206="","",D206*E206)</f>
        <v/>
      </c>
      <c r="G206" s="13" t="str">
        <f t="shared" ref="G206:G229" si="95">IF(OR(D206="",M206=""),"",M206*(1-1/E206)+D206)</f>
        <v/>
      </c>
      <c r="H206" s="117"/>
      <c r="I206" s="148" t="str">
        <f ca="1">IF(E206="","",IF(1/E206&lt;$I$204,"BF","CL"))</f>
        <v/>
      </c>
      <c r="J206" s="13">
        <f t="shared" ref="J206:J229" ca="1" si="96">IF(I206="CL",F206,IF(I206="BF",G206,H206))</f>
        <v>0</v>
      </c>
      <c r="K206" s="44">
        <f t="shared" ref="K206:K229" si="97">IFERROR(IF(D206="",1,J206/D206),"")</f>
        <v>1</v>
      </c>
      <c r="M206" s="150"/>
      <c r="N206" s="13"/>
      <c r="O206" s="51">
        <f t="shared" ref="O206:O229" ca="1" si="98">IFERROR(J206/C206,"")</f>
        <v>0</v>
      </c>
      <c r="P206" s="1">
        <v>1</v>
      </c>
      <c r="Q206" s="52">
        <f ca="1">IFERROR(SUMPRODUCT($J$206:$J206,$P$206:$P206)/SUMPRODUCT($C$206:$C206,$P$206:$P206),"")</f>
        <v>0</v>
      </c>
    </row>
    <row r="207" spans="1:102" hidden="1" x14ac:dyDescent="0.25">
      <c r="A207" s="97">
        <f t="shared" si="91"/>
        <v>0</v>
      </c>
      <c r="B207" s="25">
        <f t="shared" si="92"/>
        <v>1997</v>
      </c>
      <c r="C207" s="84">
        <v>100000</v>
      </c>
      <c r="D207" s="13" t="str">
        <f t="shared" si="93"/>
        <v/>
      </c>
      <c r="E207" s="44" t="str">
        <f t="shared" ca="1" si="94"/>
        <v/>
      </c>
      <c r="F207" s="175" t="str">
        <f t="shared" ref="F207:F219" si="99">IF(D207="","",D207*E207)</f>
        <v/>
      </c>
      <c r="G207" s="13" t="str">
        <f t="shared" ca="1" si="95"/>
        <v/>
      </c>
      <c r="H207" s="117"/>
      <c r="I207" s="148" t="str">
        <f t="shared" ref="I207:I229" ca="1" si="100">IF(E207="","",IF(1/E207&lt;$I$204,"BF","CL"))</f>
        <v/>
      </c>
      <c r="J207" s="13">
        <f t="shared" ca="1" si="96"/>
        <v>0</v>
      </c>
      <c r="K207" s="44">
        <f t="shared" si="97"/>
        <v>1</v>
      </c>
      <c r="M207" s="151" t="str">
        <f ca="1">IF((COUNTA($C$206:C206)-COUNTBLANK($C$206:C206))&lt;$M$204,"",SUM(OFFSET(J206,-$M$204+1,0,$M$204,1))/SUM(OFFSET(C206,-$M$204+1,0,$M$204,1))*C207)</f>
        <v/>
      </c>
      <c r="N207" s="13"/>
      <c r="O207" s="51">
        <f t="shared" ca="1" si="98"/>
        <v>0</v>
      </c>
      <c r="P207" s="1">
        <v>1</v>
      </c>
      <c r="Q207" s="52">
        <f ca="1">IFERROR(SUMPRODUCT($J$206:$J207,$P$206:$P207)/SUMPRODUCT($C$206:$C207,$P$206:$P207),"")</f>
        <v>0</v>
      </c>
    </row>
    <row r="208" spans="1:102" hidden="1" x14ac:dyDescent="0.25">
      <c r="A208" s="97">
        <f t="shared" si="91"/>
        <v>0</v>
      </c>
      <c r="B208" s="25">
        <f t="shared" si="92"/>
        <v>1998</v>
      </c>
      <c r="C208" s="84">
        <v>100000</v>
      </c>
      <c r="D208" s="13" t="str">
        <f t="shared" si="93"/>
        <v/>
      </c>
      <c r="E208" s="44" t="str">
        <f t="shared" ca="1" si="94"/>
        <v/>
      </c>
      <c r="F208" s="175" t="str">
        <f t="shared" si="99"/>
        <v/>
      </c>
      <c r="G208" s="13" t="str">
        <f t="shared" ca="1" si="95"/>
        <v/>
      </c>
      <c r="H208" s="117"/>
      <c r="I208" s="148" t="str">
        <f t="shared" ca="1" si="100"/>
        <v/>
      </c>
      <c r="J208" s="13">
        <f t="shared" ca="1" si="96"/>
        <v>0</v>
      </c>
      <c r="K208" s="44">
        <f t="shared" si="97"/>
        <v>1</v>
      </c>
      <c r="M208" s="151" t="str">
        <f ca="1">IF((COUNTA($C$206:C207)-COUNTBLANK($C$206:C207))&lt;$M$204,"",SUM(OFFSET(J207,-$M$204+1,0,$M$204,1))/SUM(OFFSET(C207,-$M$204+1,0,$M$204,1))*C208)</f>
        <v/>
      </c>
      <c r="N208" s="13"/>
      <c r="O208" s="51">
        <f t="shared" ca="1" si="98"/>
        <v>0</v>
      </c>
      <c r="P208" s="1">
        <v>1</v>
      </c>
      <c r="Q208" s="52">
        <f ca="1">IFERROR(SUMPRODUCT($J$206:$J208,$P$206:$P208)/SUMPRODUCT($C$206:$C208,$P$206:$P208),"")</f>
        <v>0</v>
      </c>
    </row>
    <row r="209" spans="1:17" hidden="1" x14ac:dyDescent="0.25">
      <c r="A209" s="97">
        <f t="shared" si="91"/>
        <v>0</v>
      </c>
      <c r="B209" s="25">
        <f t="shared" si="92"/>
        <v>1999</v>
      </c>
      <c r="C209" s="84">
        <v>100000</v>
      </c>
      <c r="D209" s="13" t="str">
        <f t="shared" si="93"/>
        <v/>
      </c>
      <c r="E209" s="44" t="str">
        <f t="shared" ca="1" si="94"/>
        <v/>
      </c>
      <c r="F209" s="175" t="str">
        <f t="shared" si="99"/>
        <v/>
      </c>
      <c r="G209" s="13" t="str">
        <f t="shared" ca="1" si="95"/>
        <v/>
      </c>
      <c r="H209" s="117"/>
      <c r="I209" s="148" t="str">
        <f t="shared" ca="1" si="100"/>
        <v/>
      </c>
      <c r="J209" s="13">
        <f t="shared" ca="1" si="96"/>
        <v>0</v>
      </c>
      <c r="K209" s="44">
        <f t="shared" si="97"/>
        <v>1</v>
      </c>
      <c r="M209" s="151">
        <f ca="1">IF((COUNTA($C$206:C208)-COUNTBLANK($C$206:C208))&lt;$M$204,"",SUM(OFFSET(J208,-$M$204+1,0,$M$204,1))/SUM(OFFSET(C208,-$M$204+1,0,$M$204,1))*C209)</f>
        <v>0</v>
      </c>
      <c r="N209" s="13"/>
      <c r="O209" s="51">
        <f t="shared" ca="1" si="98"/>
        <v>0</v>
      </c>
      <c r="P209" s="1">
        <v>1</v>
      </c>
      <c r="Q209" s="52">
        <f ca="1">IFERROR(SUMPRODUCT($J$206:$J209,$P$206:$P209)/SUMPRODUCT($C$206:$C209,$P$206:$P209),"")</f>
        <v>0</v>
      </c>
    </row>
    <row r="210" spans="1:17" x14ac:dyDescent="0.25">
      <c r="A210" s="97">
        <f t="shared" si="91"/>
        <v>0</v>
      </c>
      <c r="B210" s="25">
        <f t="shared" si="92"/>
        <v>2000</v>
      </c>
      <c r="C210" s="84">
        <v>100000</v>
      </c>
      <c r="D210" s="13" t="str">
        <f t="shared" si="93"/>
        <v/>
      </c>
      <c r="E210" s="44" t="str">
        <f t="shared" ca="1" si="94"/>
        <v/>
      </c>
      <c r="F210" s="175" t="str">
        <f t="shared" si="99"/>
        <v/>
      </c>
      <c r="G210" s="13" t="str">
        <f t="shared" ca="1" si="95"/>
        <v/>
      </c>
      <c r="H210" s="117"/>
      <c r="I210" s="148" t="str">
        <f t="shared" ca="1" si="100"/>
        <v/>
      </c>
      <c r="J210" s="13">
        <f t="shared" ca="1" si="96"/>
        <v>0</v>
      </c>
      <c r="K210" s="44">
        <f t="shared" si="97"/>
        <v>1</v>
      </c>
      <c r="M210" s="151">
        <f ca="1">IF((COUNTA($C$206:C209)-COUNTBLANK($C$206:C209))&lt;$M$204,"",SUM(OFFSET(J209,-$M$204+1,0,$M$204,1))/SUM(OFFSET(C209,-$M$204+1,0,$M$204,1))*C210)</f>
        <v>0</v>
      </c>
      <c r="N210" s="13"/>
      <c r="O210" s="51">
        <f t="shared" ca="1" si="98"/>
        <v>0</v>
      </c>
      <c r="P210" s="1">
        <v>1</v>
      </c>
      <c r="Q210" s="52">
        <f ca="1">IFERROR(SUMPRODUCT($J$206:$J210,$P$206:$P210)/SUMPRODUCT($C$206:$C210,$P$206:$P210),"")</f>
        <v>0</v>
      </c>
    </row>
    <row r="211" spans="1:17" x14ac:dyDescent="0.25">
      <c r="A211" s="97">
        <f t="shared" si="91"/>
        <v>0</v>
      </c>
      <c r="B211" s="25">
        <f t="shared" si="92"/>
        <v>2001</v>
      </c>
      <c r="C211" s="84">
        <v>100000</v>
      </c>
      <c r="D211" s="13" t="str">
        <f t="shared" si="93"/>
        <v/>
      </c>
      <c r="E211" s="44" t="str">
        <f t="shared" ca="1" si="94"/>
        <v/>
      </c>
      <c r="F211" s="175" t="str">
        <f t="shared" si="99"/>
        <v/>
      </c>
      <c r="G211" s="13" t="str">
        <f t="shared" ca="1" si="95"/>
        <v/>
      </c>
      <c r="H211" s="117"/>
      <c r="I211" s="148" t="str">
        <f t="shared" ca="1" si="100"/>
        <v/>
      </c>
      <c r="J211" s="13">
        <f t="shared" ca="1" si="96"/>
        <v>0</v>
      </c>
      <c r="K211" s="44">
        <f t="shared" si="97"/>
        <v>1</v>
      </c>
      <c r="M211" s="151">
        <f ca="1">IF((COUNTA($C$206:C210)-COUNTBLANK($C$206:C210))&lt;$M$204,"",SUM(OFFSET(J210,-$M$204+1,0,$M$204,1))/SUM(OFFSET(C210,-$M$204+1,0,$M$204,1))*C211)</f>
        <v>0</v>
      </c>
      <c r="N211" s="13"/>
      <c r="O211" s="51">
        <f t="shared" ca="1" si="98"/>
        <v>0</v>
      </c>
      <c r="P211" s="1">
        <v>1</v>
      </c>
      <c r="Q211" s="52">
        <f ca="1">IFERROR(SUMPRODUCT($J$206:$J211,$P$206:$P211)/SUMPRODUCT($C$206:$C211,$P$206:$P211),"")</f>
        <v>0</v>
      </c>
    </row>
    <row r="212" spans="1:17" x14ac:dyDescent="0.25">
      <c r="A212" s="97">
        <f t="shared" si="91"/>
        <v>0</v>
      </c>
      <c r="B212" s="25">
        <f t="shared" si="92"/>
        <v>2002</v>
      </c>
      <c r="C212" s="84">
        <v>100000</v>
      </c>
      <c r="D212" s="13" t="str">
        <f t="shared" si="93"/>
        <v/>
      </c>
      <c r="E212" s="44" t="str">
        <f t="shared" ca="1" si="94"/>
        <v/>
      </c>
      <c r="F212" s="175" t="str">
        <f t="shared" si="99"/>
        <v/>
      </c>
      <c r="G212" s="13" t="str">
        <f t="shared" ca="1" si="95"/>
        <v/>
      </c>
      <c r="H212" s="117"/>
      <c r="I212" s="148" t="str">
        <f t="shared" ca="1" si="100"/>
        <v/>
      </c>
      <c r="J212" s="13">
        <f t="shared" ca="1" si="96"/>
        <v>0</v>
      </c>
      <c r="K212" s="44">
        <f t="shared" si="97"/>
        <v>1</v>
      </c>
      <c r="M212" s="151">
        <f ca="1">IF((COUNTA($C$206:C211)-COUNTBLANK($C$206:C211))&lt;$M$204,"",SUM(OFFSET(J211,-$M$204+1,0,$M$204,1))/SUM(OFFSET(C211,-$M$204+1,0,$M$204,1))*C212)</f>
        <v>0</v>
      </c>
      <c r="N212" s="13"/>
      <c r="O212" s="51">
        <f t="shared" ca="1" si="98"/>
        <v>0</v>
      </c>
      <c r="P212" s="1">
        <v>1</v>
      </c>
      <c r="Q212" s="52">
        <f ca="1">IFERROR(SUMPRODUCT($J$206:$J212,$P$206:$P212)/SUMPRODUCT($C$206:$C212,$P$206:$P212),"")</f>
        <v>0</v>
      </c>
    </row>
    <row r="213" spans="1:17" x14ac:dyDescent="0.25">
      <c r="A213" s="97">
        <f t="shared" si="91"/>
        <v>0</v>
      </c>
      <c r="B213" s="25">
        <f t="shared" si="92"/>
        <v>2003</v>
      </c>
      <c r="C213" s="84">
        <v>100000</v>
      </c>
      <c r="D213" s="13" t="str">
        <f t="shared" si="93"/>
        <v/>
      </c>
      <c r="E213" s="44" t="str">
        <f t="shared" ca="1" si="94"/>
        <v/>
      </c>
      <c r="F213" s="175" t="str">
        <f t="shared" si="99"/>
        <v/>
      </c>
      <c r="G213" s="13" t="str">
        <f t="shared" ca="1" si="95"/>
        <v/>
      </c>
      <c r="H213" s="117"/>
      <c r="I213" s="148" t="str">
        <f t="shared" ca="1" si="100"/>
        <v/>
      </c>
      <c r="J213" s="13">
        <f t="shared" ca="1" si="96"/>
        <v>0</v>
      </c>
      <c r="K213" s="44">
        <f t="shared" si="97"/>
        <v>1</v>
      </c>
      <c r="M213" s="151">
        <f ca="1">IF((COUNTA($C$206:C212)-COUNTBLANK($C$206:C212))&lt;$M$204,"",SUM(OFFSET(J212,-$M$204+1,0,$M$204,1))/SUM(OFFSET(C212,-$M$204+1,0,$M$204,1))*C213)</f>
        <v>0</v>
      </c>
      <c r="N213" s="13"/>
      <c r="O213" s="51">
        <f t="shared" ca="1" si="98"/>
        <v>0</v>
      </c>
      <c r="P213" s="1">
        <v>1</v>
      </c>
      <c r="Q213" s="52">
        <f ca="1">IFERROR(SUMPRODUCT($J$206:$J213,$P$206:$P213)/SUMPRODUCT($C$206:$C213,$P$206:$P213),"")</f>
        <v>0</v>
      </c>
    </row>
    <row r="214" spans="1:17" x14ac:dyDescent="0.25">
      <c r="A214" s="97">
        <f t="shared" si="91"/>
        <v>0</v>
      </c>
      <c r="B214" s="25">
        <f t="shared" si="92"/>
        <v>2004</v>
      </c>
      <c r="C214" s="84">
        <v>100000</v>
      </c>
      <c r="D214" s="13" t="str">
        <f t="shared" si="93"/>
        <v/>
      </c>
      <c r="E214" s="44" t="str">
        <f t="shared" ca="1" si="94"/>
        <v/>
      </c>
      <c r="F214" s="175" t="str">
        <f t="shared" si="99"/>
        <v/>
      </c>
      <c r="G214" s="13" t="str">
        <f t="shared" ca="1" si="95"/>
        <v/>
      </c>
      <c r="H214" s="117"/>
      <c r="I214" s="148" t="str">
        <f t="shared" ca="1" si="100"/>
        <v/>
      </c>
      <c r="J214" s="13">
        <f t="shared" ca="1" si="96"/>
        <v>0</v>
      </c>
      <c r="K214" s="44">
        <f t="shared" si="97"/>
        <v>1</v>
      </c>
      <c r="M214" s="151">
        <f ca="1">IF((COUNTA($C$206:C213)-COUNTBLANK($C$206:C213))&lt;$M$204,"",SUM(OFFSET(J213,-$M$204+1,0,$M$204,1))/SUM(OFFSET(C213,-$M$204+1,0,$M$204,1))*C214)</f>
        <v>0</v>
      </c>
      <c r="N214" s="13"/>
      <c r="O214" s="51">
        <f t="shared" ca="1" si="98"/>
        <v>0</v>
      </c>
      <c r="P214" s="1">
        <v>1</v>
      </c>
      <c r="Q214" s="52">
        <f ca="1">IFERROR(SUMPRODUCT($J$206:$J214,$P$206:$P214)/SUMPRODUCT($C$206:$C214,$P$206:$P214),"")</f>
        <v>0</v>
      </c>
    </row>
    <row r="215" spans="1:17" x14ac:dyDescent="0.25">
      <c r="A215" s="97">
        <f t="shared" si="91"/>
        <v>0</v>
      </c>
      <c r="B215" s="25">
        <f t="shared" si="92"/>
        <v>2005</v>
      </c>
      <c r="C215" s="84">
        <v>100000</v>
      </c>
      <c r="D215" s="13" t="str">
        <f t="shared" si="93"/>
        <v/>
      </c>
      <c r="E215" s="44" t="str">
        <f t="shared" ca="1" si="94"/>
        <v/>
      </c>
      <c r="F215" s="175" t="str">
        <f t="shared" si="99"/>
        <v/>
      </c>
      <c r="G215" s="13" t="str">
        <f t="shared" ca="1" si="95"/>
        <v/>
      </c>
      <c r="H215" s="117"/>
      <c r="I215" s="148" t="str">
        <f t="shared" ca="1" si="100"/>
        <v/>
      </c>
      <c r="J215" s="13">
        <f t="shared" ca="1" si="96"/>
        <v>0</v>
      </c>
      <c r="K215" s="44">
        <f t="shared" si="97"/>
        <v>1</v>
      </c>
      <c r="M215" s="151">
        <f ca="1">IF((COUNTA($C$206:C214)-COUNTBLANK($C$206:C214))&lt;$M$204,"",SUM(OFFSET(J214,-$M$204+1,0,$M$204,1))/SUM(OFFSET(C214,-$M$204+1,0,$M$204,1))*C215)</f>
        <v>0</v>
      </c>
      <c r="N215" s="13"/>
      <c r="O215" s="51">
        <f t="shared" ca="1" si="98"/>
        <v>0</v>
      </c>
      <c r="P215" s="1">
        <v>1</v>
      </c>
      <c r="Q215" s="52">
        <f ca="1">IFERROR(SUMPRODUCT($J$206:$J215,$P$206:$P215)/SUMPRODUCT($C$206:$C215,$P$206:$P215),"")</f>
        <v>0</v>
      </c>
    </row>
    <row r="216" spans="1:17" x14ac:dyDescent="0.25">
      <c r="A216" s="97">
        <f t="shared" si="91"/>
        <v>0</v>
      </c>
      <c r="B216" s="25">
        <f t="shared" si="92"/>
        <v>2006</v>
      </c>
      <c r="C216" s="84">
        <v>100000</v>
      </c>
      <c r="D216" s="13" t="str">
        <f t="shared" si="93"/>
        <v/>
      </c>
      <c r="E216" s="44" t="str">
        <f t="shared" ca="1" si="94"/>
        <v/>
      </c>
      <c r="F216" s="175" t="str">
        <f t="shared" si="99"/>
        <v/>
      </c>
      <c r="G216" s="13" t="str">
        <f t="shared" ca="1" si="95"/>
        <v/>
      </c>
      <c r="H216" s="117"/>
      <c r="I216" s="148" t="str">
        <f t="shared" ca="1" si="100"/>
        <v/>
      </c>
      <c r="J216" s="13">
        <f t="shared" ca="1" si="96"/>
        <v>0</v>
      </c>
      <c r="K216" s="44">
        <f t="shared" si="97"/>
        <v>1</v>
      </c>
      <c r="M216" s="151">
        <f ca="1">IF((COUNTA($C$206:C215)-COUNTBLANK($C$206:C215))&lt;$M$204,"",SUM(OFFSET(J215,-$M$204+1,0,$M$204,1))/SUM(OFFSET(C215,-$M$204+1,0,$M$204,1))*C216)</f>
        <v>0</v>
      </c>
      <c r="N216" s="13"/>
      <c r="O216" s="51">
        <f t="shared" ca="1" si="98"/>
        <v>0</v>
      </c>
      <c r="P216" s="1">
        <v>1</v>
      </c>
      <c r="Q216" s="52">
        <f ca="1">IFERROR(SUMPRODUCT($J$206:$J216,$P$206:$P216)/SUMPRODUCT($C$206:$C216,$P$206:$P216),"")</f>
        <v>0</v>
      </c>
    </row>
    <row r="217" spans="1:17" x14ac:dyDescent="0.25">
      <c r="A217" s="97">
        <f t="shared" si="91"/>
        <v>0</v>
      </c>
      <c r="B217" s="25">
        <f t="shared" si="92"/>
        <v>2007</v>
      </c>
      <c r="C217" s="84">
        <v>100000</v>
      </c>
      <c r="D217" s="13" t="str">
        <f t="shared" si="93"/>
        <v/>
      </c>
      <c r="E217" s="44" t="str">
        <f t="shared" ca="1" si="94"/>
        <v/>
      </c>
      <c r="F217" s="175" t="str">
        <f t="shared" si="99"/>
        <v/>
      </c>
      <c r="G217" s="13" t="str">
        <f t="shared" ca="1" si="95"/>
        <v/>
      </c>
      <c r="H217" s="117"/>
      <c r="I217" s="148" t="str">
        <f t="shared" ca="1" si="100"/>
        <v/>
      </c>
      <c r="J217" s="13">
        <f t="shared" ca="1" si="96"/>
        <v>0</v>
      </c>
      <c r="K217" s="44">
        <f t="shared" si="97"/>
        <v>1</v>
      </c>
      <c r="M217" s="151">
        <f ca="1">IF((COUNTA($C$206:C216)-COUNTBLANK($C$206:C216))&lt;$M$204,"",SUM(OFFSET(J216,-$M$204+1,0,$M$204,1))/SUM(OFFSET(C216,-$M$204+1,0,$M$204,1))*C217)</f>
        <v>0</v>
      </c>
      <c r="N217" s="13"/>
      <c r="O217" s="51">
        <f t="shared" ca="1" si="98"/>
        <v>0</v>
      </c>
      <c r="P217" s="1">
        <v>1</v>
      </c>
      <c r="Q217" s="52">
        <f ca="1">IFERROR(SUMPRODUCT($J$206:$J217,$P$206:$P217)/SUMPRODUCT($C$206:$C217,$P$206:$P217),"")</f>
        <v>0</v>
      </c>
    </row>
    <row r="218" spans="1:17" x14ac:dyDescent="0.25">
      <c r="A218" s="97">
        <f t="shared" si="91"/>
        <v>0</v>
      </c>
      <c r="B218" s="25">
        <f t="shared" si="92"/>
        <v>2008</v>
      </c>
      <c r="C218" s="84">
        <v>100000</v>
      </c>
      <c r="D218" s="13" t="str">
        <f t="shared" si="93"/>
        <v/>
      </c>
      <c r="E218" s="44" t="str">
        <f t="shared" ca="1" si="94"/>
        <v/>
      </c>
      <c r="F218" s="175" t="str">
        <f t="shared" si="99"/>
        <v/>
      </c>
      <c r="G218" s="13" t="str">
        <f t="shared" ca="1" si="95"/>
        <v/>
      </c>
      <c r="H218" s="117"/>
      <c r="I218" s="148" t="str">
        <f t="shared" ca="1" si="100"/>
        <v/>
      </c>
      <c r="J218" s="13">
        <f t="shared" ca="1" si="96"/>
        <v>0</v>
      </c>
      <c r="K218" s="44">
        <f t="shared" si="97"/>
        <v>1</v>
      </c>
      <c r="M218" s="151">
        <f ca="1">IF((COUNTA($C$206:C217)-COUNTBLANK($C$206:C217))&lt;$M$204,"",SUM(OFFSET(J217,-$M$204+1,0,$M$204,1))/SUM(OFFSET(C217,-$M$204+1,0,$M$204,1))*C218)</f>
        <v>0</v>
      </c>
      <c r="N218" s="13"/>
      <c r="O218" s="51">
        <f t="shared" ca="1" si="98"/>
        <v>0</v>
      </c>
      <c r="P218" s="1">
        <v>1</v>
      </c>
      <c r="Q218" s="52">
        <f ca="1">IFERROR(SUMPRODUCT($J$206:$J218,$P$206:$P218)/SUMPRODUCT($C$206:$C218,$P$206:$P218),"")</f>
        <v>0</v>
      </c>
    </row>
    <row r="219" spans="1:17" x14ac:dyDescent="0.25">
      <c r="A219" s="97">
        <f t="shared" si="91"/>
        <v>0</v>
      </c>
      <c r="B219" s="25">
        <f t="shared" si="92"/>
        <v>2009</v>
      </c>
      <c r="C219" s="84">
        <v>100000</v>
      </c>
      <c r="D219" s="13" t="str">
        <f t="shared" si="93"/>
        <v/>
      </c>
      <c r="E219" s="44" t="str">
        <f t="shared" ca="1" si="94"/>
        <v/>
      </c>
      <c r="F219" s="175" t="str">
        <f t="shared" si="99"/>
        <v/>
      </c>
      <c r="G219" s="13" t="str">
        <f t="shared" ca="1" si="95"/>
        <v/>
      </c>
      <c r="H219" s="117"/>
      <c r="I219" s="148" t="str">
        <f t="shared" ca="1" si="100"/>
        <v/>
      </c>
      <c r="J219" s="13">
        <f t="shared" ca="1" si="96"/>
        <v>0</v>
      </c>
      <c r="K219" s="44">
        <f t="shared" si="97"/>
        <v>1</v>
      </c>
      <c r="M219" s="151">
        <f ca="1">IF((COUNTA($C$206:C218)-COUNTBLANK($C$206:C218))&lt;$M$204,"",SUM(OFFSET(J218,-$M$204+1,0,$M$204,1))/SUM(OFFSET(C218,-$M$204+1,0,$M$204,1))*C219)</f>
        <v>0</v>
      </c>
      <c r="N219" s="13"/>
      <c r="O219" s="51">
        <f t="shared" ca="1" si="98"/>
        <v>0</v>
      </c>
      <c r="P219" s="1">
        <v>1</v>
      </c>
      <c r="Q219" s="52">
        <f ca="1">IFERROR(SUMPRODUCT($J$206:$J219,$P$206:$P219)/SUMPRODUCT($C$206:$C219,$P$206:$P219),"")</f>
        <v>0</v>
      </c>
    </row>
    <row r="220" spans="1:17" x14ac:dyDescent="0.25">
      <c r="A220" s="97">
        <f t="shared" si="91"/>
        <v>1</v>
      </c>
      <c r="B220" s="25">
        <f t="shared" si="92"/>
        <v>2010</v>
      </c>
      <c r="C220" s="84">
        <v>100000</v>
      </c>
      <c r="D220" s="13">
        <f t="shared" ca="1" si="93"/>
        <v>4732200.3166666664</v>
      </c>
      <c r="E220" s="44">
        <f t="shared" ca="1" si="94"/>
        <v>1</v>
      </c>
      <c r="F220" s="175">
        <f ca="1">IF(D220="","",D220*E220)</f>
        <v>4732200.3166666664</v>
      </c>
      <c r="G220" s="13">
        <f t="shared" ca="1" si="95"/>
        <v>4732200.3166666664</v>
      </c>
      <c r="H220" s="117"/>
      <c r="I220" s="148" t="str">
        <f t="shared" ca="1" si="100"/>
        <v>CL</v>
      </c>
      <c r="J220" s="13">
        <f t="shared" ca="1" si="96"/>
        <v>4732200.3166666664</v>
      </c>
      <c r="K220" s="44">
        <f t="shared" ca="1" si="97"/>
        <v>1</v>
      </c>
      <c r="M220" s="151">
        <f ca="1">IF((COUNTA($C$206:C219)-COUNTBLANK($C$206:C219))&lt;$M$204,"",SUM(OFFSET(J219,-$M$204+1,0,$M$204,1))/SUM(OFFSET(C219,-$M$204+1,0,$M$204,1))*C220)</f>
        <v>0</v>
      </c>
      <c r="N220" s="13"/>
      <c r="O220" s="51">
        <f t="shared" ca="1" si="98"/>
        <v>47.322003166666661</v>
      </c>
      <c r="P220" s="1">
        <v>1</v>
      </c>
      <c r="Q220" s="52">
        <f ca="1">IFERROR(SUMPRODUCT($J$206:$J220,$P$206:$P220)/SUMPRODUCT($C$206:$C220,$P$206:$P220),"")</f>
        <v>3.1548002111111111</v>
      </c>
    </row>
    <row r="221" spans="1:17" x14ac:dyDescent="0.25">
      <c r="A221" s="97">
        <f t="shared" si="91"/>
        <v>1</v>
      </c>
      <c r="B221" s="25">
        <f t="shared" si="92"/>
        <v>2011</v>
      </c>
      <c r="C221" s="84">
        <v>100000</v>
      </c>
      <c r="D221" s="13">
        <f t="shared" ca="1" si="93"/>
        <v>651783.57799999998</v>
      </c>
      <c r="E221" s="44">
        <f t="shared" ca="1" si="94"/>
        <v>1</v>
      </c>
      <c r="F221" s="175">
        <f t="shared" ref="F221:F229" ca="1" si="101">IF(D221="","",D221*E221)</f>
        <v>651783.57799999998</v>
      </c>
      <c r="G221" s="13">
        <f t="shared" ca="1" si="95"/>
        <v>651783.57799999998</v>
      </c>
      <c r="H221" s="117"/>
      <c r="I221" s="148" t="str">
        <f t="shared" ca="1" si="100"/>
        <v>CL</v>
      </c>
      <c r="J221" s="13">
        <f t="shared" ca="1" si="96"/>
        <v>651783.57799999998</v>
      </c>
      <c r="K221" s="44">
        <f t="shared" ca="1" si="97"/>
        <v>1</v>
      </c>
      <c r="M221" s="151">
        <f ca="1">IF((COUNTA($C$206:C220)-COUNTBLANK($C$206:C220))&lt;$M$204,"",SUM(OFFSET(J220,-$M$204+1,0,$M$204,1))/SUM(OFFSET(C220,-$M$204+1,0,$M$204,1))*C221)</f>
        <v>1577400.1055555556</v>
      </c>
      <c r="N221" s="13"/>
      <c r="O221" s="51">
        <f t="shared" ca="1" si="98"/>
        <v>6.5178357799999995</v>
      </c>
      <c r="P221" s="1">
        <v>1</v>
      </c>
      <c r="Q221" s="52">
        <f ca="1">IFERROR(SUMPRODUCT($J$206:$J221,$P$206:$P221)/SUMPRODUCT($C$206:$C221,$P$206:$P221),"")</f>
        <v>3.3649899341666663</v>
      </c>
    </row>
    <row r="222" spans="1:17" x14ac:dyDescent="0.25">
      <c r="A222" s="97">
        <f t="shared" si="91"/>
        <v>1</v>
      </c>
      <c r="B222" s="25">
        <f t="shared" si="92"/>
        <v>2012</v>
      </c>
      <c r="C222" s="84">
        <v>100000</v>
      </c>
      <c r="D222" s="13">
        <f t="shared" ca="1" si="93"/>
        <v>3758895.8366666664</v>
      </c>
      <c r="E222" s="44">
        <f t="shared" ca="1" si="94"/>
        <v>1</v>
      </c>
      <c r="F222" s="175">
        <f t="shared" ca="1" si="101"/>
        <v>3758895.8366666664</v>
      </c>
      <c r="G222" s="13">
        <f t="shared" ca="1" si="95"/>
        <v>3758895.8366666664</v>
      </c>
      <c r="H222" s="117"/>
      <c r="I222" s="148" t="str">
        <f t="shared" ca="1" si="100"/>
        <v>CL</v>
      </c>
      <c r="J222" s="13">
        <f t="shared" ca="1" si="96"/>
        <v>3758895.8366666664</v>
      </c>
      <c r="K222" s="44">
        <f t="shared" ca="1" si="97"/>
        <v>1</v>
      </c>
      <c r="M222" s="151">
        <f ca="1">IF((COUNTA($C$206:C221)-COUNTBLANK($C$206:C221))&lt;$M$204,"",SUM(OFFSET(J221,-$M$204+1,0,$M$204,1))/SUM(OFFSET(C221,-$M$204+1,0,$M$204,1))*C222)</f>
        <v>1794661.2982222219</v>
      </c>
      <c r="N222" s="13"/>
      <c r="O222" s="51">
        <f t="shared" ca="1" si="98"/>
        <v>37.588958366666667</v>
      </c>
      <c r="P222" s="1">
        <v>1</v>
      </c>
      <c r="Q222" s="52">
        <f ca="1">IFERROR(SUMPRODUCT($J$206:$J222,$P$206:$P222)/SUMPRODUCT($C$206:$C222,$P$206:$P222),"")</f>
        <v>5.3781645478431361</v>
      </c>
    </row>
    <row r="223" spans="1:17" x14ac:dyDescent="0.25">
      <c r="A223" s="97">
        <f t="shared" si="91"/>
        <v>1</v>
      </c>
      <c r="B223" s="25">
        <f t="shared" si="92"/>
        <v>2013</v>
      </c>
      <c r="C223" s="84">
        <v>100000</v>
      </c>
      <c r="D223" s="13">
        <f t="shared" ca="1" si="93"/>
        <v>0</v>
      </c>
      <c r="E223" s="44">
        <f t="shared" ca="1" si="94"/>
        <v>0.99969018466749615</v>
      </c>
      <c r="F223" s="175">
        <f t="shared" ca="1" si="101"/>
        <v>0</v>
      </c>
      <c r="G223" s="13">
        <f t="shared" ca="1" si="95"/>
        <v>-944.49406007655807</v>
      </c>
      <c r="H223" s="117"/>
      <c r="I223" s="148" t="str">
        <f t="shared" ca="1" si="100"/>
        <v>CL</v>
      </c>
      <c r="J223" s="13">
        <f t="shared" ca="1" si="96"/>
        <v>0</v>
      </c>
      <c r="K223" s="44" t="str">
        <f t="shared" ca="1" si="97"/>
        <v/>
      </c>
      <c r="M223" s="151">
        <f ca="1">IF((COUNTA($C$206:C222)-COUNTBLANK($C$206:C222))&lt;$M$204,"",SUM(OFFSET(J222,-$M$204+1,0,$M$204,1))/SUM(OFFSET(C222,-$M$204+1,0,$M$204,1))*C223)</f>
        <v>3047626.5771111106</v>
      </c>
      <c r="N223" s="13"/>
      <c r="O223" s="51">
        <f t="shared" ca="1" si="98"/>
        <v>0</v>
      </c>
      <c r="P223" s="1">
        <v>1</v>
      </c>
      <c r="Q223" s="52">
        <f ca="1">IFERROR(SUMPRODUCT($J$206:$J223,$P$206:$P223)/SUMPRODUCT($C$206:$C223,$P$206:$P223),"")</f>
        <v>5.0793776285185182</v>
      </c>
    </row>
    <row r="224" spans="1:17" x14ac:dyDescent="0.25">
      <c r="A224" s="97">
        <f t="shared" si="91"/>
        <v>1</v>
      </c>
      <c r="B224" s="25">
        <f t="shared" si="92"/>
        <v>2014</v>
      </c>
      <c r="C224" s="84">
        <v>100000</v>
      </c>
      <c r="D224" s="13">
        <f t="shared" ca="1" si="93"/>
        <v>13827948.91</v>
      </c>
      <c r="E224" s="44">
        <f t="shared" ca="1" si="94"/>
        <v>0.92357923150041021</v>
      </c>
      <c r="F224" s="175">
        <f t="shared" ca="1" si="101"/>
        <v>12771206.427524734</v>
      </c>
      <c r="G224" s="13">
        <f t="shared" ca="1" si="95"/>
        <v>13706296.286172386</v>
      </c>
      <c r="H224" s="117"/>
      <c r="I224" s="148" t="str">
        <f t="shared" ca="1" si="100"/>
        <v>CL</v>
      </c>
      <c r="J224" s="13">
        <f t="shared" ca="1" si="96"/>
        <v>12771206.427524734</v>
      </c>
      <c r="K224" s="44">
        <f t="shared" ca="1" si="97"/>
        <v>0.9235792315004101</v>
      </c>
      <c r="M224" s="151">
        <f ca="1">IF((COUNTA($C$206:C223)-COUNTBLANK($C$206:C223))&lt;$M$204,"",SUM(OFFSET(J223,-$M$204+1,0,$M$204,1))/SUM(OFFSET(C223,-$M$204+1,0,$M$204,1))*C224)</f>
        <v>1470226.4715555555</v>
      </c>
      <c r="N224" s="13"/>
      <c r="O224" s="51">
        <f t="shared" ca="1" si="98"/>
        <v>127.71206427524734</v>
      </c>
      <c r="P224" s="1">
        <v>1</v>
      </c>
      <c r="Q224" s="52">
        <f ca="1">IFERROR(SUMPRODUCT($J$206:$J224,$P$206:$P224)/SUMPRODUCT($C$206:$C224,$P$206:$P224),"")</f>
        <v>11.53372955729372</v>
      </c>
    </row>
    <row r="225" spans="1:101" x14ac:dyDescent="0.25">
      <c r="A225" s="97">
        <f t="shared" si="91"/>
        <v>1</v>
      </c>
      <c r="B225" s="25">
        <f t="shared" si="92"/>
        <v>2015</v>
      </c>
      <c r="C225" s="84">
        <v>100000</v>
      </c>
      <c r="D225" s="13">
        <f t="shared" ca="1" si="93"/>
        <v>0</v>
      </c>
      <c r="E225" s="44">
        <f t="shared" ca="1" si="94"/>
        <v>0.77392854108992848</v>
      </c>
      <c r="F225" s="175">
        <f t="shared" ca="1" si="101"/>
        <v>0</v>
      </c>
      <c r="G225" s="13">
        <f t="shared" ca="1" si="95"/>
        <v>-1609530.3103546691</v>
      </c>
      <c r="H225" s="117"/>
      <c r="I225" s="148" t="str">
        <f t="shared" ca="1" si="100"/>
        <v>CL</v>
      </c>
      <c r="J225" s="13">
        <f t="shared" ca="1" si="96"/>
        <v>0</v>
      </c>
      <c r="K225" s="44" t="str">
        <f t="shared" ca="1" si="97"/>
        <v/>
      </c>
      <c r="M225" s="151">
        <f ca="1">IF((COUNTA($C$206:C224)-COUNTBLANK($C$206:C224))&lt;$M$204,"",SUM(OFFSET(J224,-$M$204+1,0,$M$204,1))/SUM(OFFSET(C224,-$M$204+1,0,$M$204,1))*C225)</f>
        <v>5510034.0880637998</v>
      </c>
      <c r="N225" s="13"/>
      <c r="O225" s="51">
        <f t="shared" ca="1" si="98"/>
        <v>0</v>
      </c>
      <c r="P225" s="1">
        <v>1</v>
      </c>
      <c r="Q225" s="52">
        <f ca="1">IFERROR(SUMPRODUCT($J$206:$J225,$P$206:$P225)/SUMPRODUCT($C$206:$C225,$P$206:$P225),"")</f>
        <v>10.957043079429035</v>
      </c>
    </row>
    <row r="226" spans="1:101" x14ac:dyDescent="0.25">
      <c r="A226" s="97">
        <f t="shared" si="91"/>
        <v>1</v>
      </c>
      <c r="B226" s="25">
        <f t="shared" si="92"/>
        <v>2016</v>
      </c>
      <c r="C226" s="84">
        <v>100000</v>
      </c>
      <c r="D226" s="13">
        <f t="shared" ca="1" si="93"/>
        <v>2249806</v>
      </c>
      <c r="E226" s="44">
        <f t="shared" ca="1" si="94"/>
        <v>0.75034428145504328</v>
      </c>
      <c r="F226" s="175">
        <f t="shared" ca="1" si="101"/>
        <v>1688129.066483245</v>
      </c>
      <c r="G226" s="13">
        <f t="shared" ca="1" si="95"/>
        <v>833387.43226075452</v>
      </c>
      <c r="H226" s="117"/>
      <c r="I226" s="148" t="str">
        <f t="shared" ca="1" si="100"/>
        <v>CL</v>
      </c>
      <c r="J226" s="13">
        <f t="shared" ca="1" si="96"/>
        <v>1688129.066483245</v>
      </c>
      <c r="K226" s="44">
        <f t="shared" ca="1" si="97"/>
        <v>0.75034428145504328</v>
      </c>
      <c r="M226" s="151">
        <f ca="1">IF((COUNTA($C$206:C225)-COUNTBLANK($C$206:C225))&lt;$M$204,"",SUM(OFFSET(J225,-$M$204+1,0,$M$204,1))/SUM(OFFSET(C225,-$M$204+1,0,$M$204,1))*C226)</f>
        <v>4257068.8091749111</v>
      </c>
      <c r="N226" s="13"/>
      <c r="O226" s="51">
        <f t="shared" ca="1" si="98"/>
        <v>16.881290664832449</v>
      </c>
      <c r="P226" s="1">
        <v>1</v>
      </c>
      <c r="Q226" s="52">
        <f ca="1">IFERROR(SUMPRODUCT($J$206:$J226,$P$206:$P226)/SUMPRODUCT($C$206:$C226,$P$206:$P226),"")</f>
        <v>11.239150107305386</v>
      </c>
    </row>
    <row r="227" spans="1:101" x14ac:dyDescent="0.25">
      <c r="A227" s="97">
        <f t="shared" si="91"/>
        <v>1</v>
      </c>
      <c r="B227" s="25">
        <f t="shared" si="92"/>
        <v>2017</v>
      </c>
      <c r="C227" s="84">
        <v>100000</v>
      </c>
      <c r="D227" s="13">
        <f t="shared" ca="1" si="93"/>
        <v>15794218</v>
      </c>
      <c r="E227" s="44">
        <f t="shared" ca="1" si="94"/>
        <v>0.82535130033082105</v>
      </c>
      <c r="F227" s="175">
        <f t="shared" ca="1" si="101"/>
        <v>13035778.36400846</v>
      </c>
      <c r="G227" s="13">
        <f t="shared" ca="1" si="95"/>
        <v>14774327.382474795</v>
      </c>
      <c r="H227" s="117"/>
      <c r="I227" s="148" t="str">
        <f t="shared" ca="1" si="100"/>
        <v>CL</v>
      </c>
      <c r="J227" s="13">
        <f t="shared" ca="1" si="96"/>
        <v>13035778.36400846</v>
      </c>
      <c r="K227" s="44">
        <f t="shared" ca="1" si="97"/>
        <v>0.82535130033082105</v>
      </c>
      <c r="M227" s="151">
        <f ca="1">IF((COUNTA($C$206:C226)-COUNTBLANK($C$206:C226))&lt;$M$204,"",SUM(OFFSET(J226,-$M$204+1,0,$M$204,1))/SUM(OFFSET(C226,-$M$204+1,0,$M$204,1))*C227)</f>
        <v>4819778.4980026595</v>
      </c>
      <c r="N227" s="13"/>
      <c r="O227" s="51">
        <f t="shared" ca="1" si="98"/>
        <v>130.35778364008459</v>
      </c>
      <c r="P227" s="1">
        <v>1</v>
      </c>
      <c r="Q227" s="52">
        <f ca="1">IFERROR(SUMPRODUCT($J$206:$J227,$P$206:$P227)/SUMPRODUCT($C$206:$C227,$P$206:$P227),"")</f>
        <v>16.653633449704444</v>
      </c>
    </row>
    <row r="228" spans="1:101" x14ac:dyDescent="0.25">
      <c r="A228" s="97">
        <f t="shared" si="91"/>
        <v>1</v>
      </c>
      <c r="B228" s="25">
        <f t="shared" si="92"/>
        <v>2018</v>
      </c>
      <c r="C228" s="84">
        <v>100000</v>
      </c>
      <c r="D228" s="13">
        <f t="shared" ca="1" si="93"/>
        <v>5770102</v>
      </c>
      <c r="E228" s="44">
        <f t="shared" ca="1" si="94"/>
        <v>1.1128250754728728</v>
      </c>
      <c r="F228" s="175">
        <f ca="1">IF(D228="","",D228*E228)</f>
        <v>6421114.1936361743</v>
      </c>
      <c r="G228" s="13">
        <f t="shared" ca="1" si="95"/>
        <v>6267702.2080096053</v>
      </c>
      <c r="H228" s="117"/>
      <c r="I228" s="148" t="str">
        <f t="shared" ca="1" si="100"/>
        <v>CL</v>
      </c>
      <c r="J228" s="13">
        <f ca="1">IF(I228="CL",F228,IF(I228="BF",G228,H228))</f>
        <v>6421114.1936361743</v>
      </c>
      <c r="K228" s="44">
        <f t="shared" ca="1" si="97"/>
        <v>1.1128250754728728</v>
      </c>
      <c r="M228" s="151">
        <f ca="1">IF((COUNTA($C$206:C227)-COUNTBLANK($C$206:C227))&lt;$M$204,"",SUM(OFFSET(J227,-$M$204+1,0,$M$204,1))/SUM(OFFSET(C227,-$M$204+1,0,$M$204,1))*C228)</f>
        <v>4907969.1434972342</v>
      </c>
      <c r="N228" s="13"/>
      <c r="O228" s="51">
        <f t="shared" ca="1" si="98"/>
        <v>64.211141936361742</v>
      </c>
      <c r="P228" s="1">
        <v>1</v>
      </c>
      <c r="Q228" s="52">
        <f ca="1">IFERROR(SUMPRODUCT($J$206:$J228,$P$206:$P228)/SUMPRODUCT($C$206:$C228,$P$206:$P228),"")</f>
        <v>18.721351209993891</v>
      </c>
    </row>
    <row r="229" spans="1:101" x14ac:dyDescent="0.25">
      <c r="A229" s="97">
        <f t="shared" si="91"/>
        <v>1</v>
      </c>
      <c r="B229" s="25">
        <f>D9</f>
        <v>2019</v>
      </c>
      <c r="C229" s="84">
        <v>100000</v>
      </c>
      <c r="D229" s="13">
        <f t="shared" ca="1" si="93"/>
        <v>0</v>
      </c>
      <c r="E229" s="44">
        <f ca="1">IF(C65=1,OFFSET($C$199,0,CT65),"")</f>
        <v>2.843149029217539</v>
      </c>
      <c r="F229" s="175">
        <f t="shared" ca="1" si="101"/>
        <v>0</v>
      </c>
      <c r="G229" s="13">
        <f t="shared" ca="1" si="95"/>
        <v>4569279.3071796903</v>
      </c>
      <c r="H229" s="117"/>
      <c r="I229" s="148" t="str">
        <f t="shared" ca="1" si="100"/>
        <v>BF</v>
      </c>
      <c r="J229" s="13">
        <f t="shared" ca="1" si="96"/>
        <v>4569279.3071796903</v>
      </c>
      <c r="K229" s="44" t="str">
        <f t="shared" ca="1" si="97"/>
        <v/>
      </c>
      <c r="M229" s="151">
        <f ca="1">IF((COUNTA($C$206:C228)-COUNTBLANK($C$206:C228))&lt;$M$204,"",SUM(OFFSET(J228,-$M$204+1,0,$M$204,1))/SUM(OFFSET(C228,-$M$204+1,0,$M$204,1))*C229)</f>
        <v>7048340.5413759602</v>
      </c>
      <c r="N229" s="13"/>
      <c r="O229" s="51">
        <f t="shared" ca="1" si="98"/>
        <v>45.692793071796906</v>
      </c>
      <c r="P229" s="1">
        <v>1</v>
      </c>
      <c r="Q229" s="52">
        <f ca="1">IFERROR(SUMPRODUCT($J$206:$J229,$P$206:$P229)/SUMPRODUCT($C$206:$C229,$P$206:$P229),"")</f>
        <v>19.845161287569017</v>
      </c>
    </row>
    <row r="230" spans="1:101" x14ac:dyDescent="0.25">
      <c r="A230" s="97">
        <v>1</v>
      </c>
    </row>
    <row r="231" spans="1:101" ht="15" customHeight="1" x14ac:dyDescent="0.25">
      <c r="A231" s="97">
        <v>1</v>
      </c>
      <c r="CT231" s="12"/>
    </row>
    <row r="232" spans="1:101" x14ac:dyDescent="0.25">
      <c r="A232" s="97">
        <v>1</v>
      </c>
      <c r="B232" s="19" t="s">
        <v>30</v>
      </c>
      <c r="CQ232" s="12"/>
      <c r="CR232" s="12"/>
      <c r="CS232" s="12"/>
      <c r="CT232" s="12"/>
      <c r="CU232" s="12"/>
      <c r="CV232" s="12"/>
      <c r="CW232" s="12"/>
    </row>
    <row r="233" spans="1:101" x14ac:dyDescent="0.25">
      <c r="A233" s="97">
        <v>1</v>
      </c>
      <c r="B233" s="53" t="s">
        <v>42</v>
      </c>
      <c r="C233" s="24">
        <v>0</v>
      </c>
      <c r="D233" s="22">
        <v>1</v>
      </c>
      <c r="E233" s="23">
        <f t="shared" ref="E233:BP233" si="102">D233+1</f>
        <v>2</v>
      </c>
      <c r="F233" s="23">
        <f t="shared" si="102"/>
        <v>3</v>
      </c>
      <c r="G233" s="23">
        <f t="shared" si="102"/>
        <v>4</v>
      </c>
      <c r="H233" s="23">
        <f t="shared" si="102"/>
        <v>5</v>
      </c>
      <c r="I233" s="23">
        <f t="shared" si="102"/>
        <v>6</v>
      </c>
      <c r="J233" s="23">
        <f t="shared" si="102"/>
        <v>7</v>
      </c>
      <c r="K233" s="23">
        <f t="shared" si="102"/>
        <v>8</v>
      </c>
      <c r="L233" s="23">
        <f t="shared" si="102"/>
        <v>9</v>
      </c>
      <c r="M233" s="23">
        <f t="shared" si="102"/>
        <v>10</v>
      </c>
      <c r="N233" s="23">
        <f t="shared" si="102"/>
        <v>11</v>
      </c>
      <c r="O233" s="23">
        <f t="shared" si="102"/>
        <v>12</v>
      </c>
      <c r="P233" s="23">
        <f t="shared" si="102"/>
        <v>13</v>
      </c>
      <c r="Q233" s="23">
        <f t="shared" si="102"/>
        <v>14</v>
      </c>
      <c r="R233" s="23">
        <f t="shared" si="102"/>
        <v>15</v>
      </c>
      <c r="S233" s="23">
        <f t="shared" si="102"/>
        <v>16</v>
      </c>
      <c r="T233" s="23">
        <f t="shared" si="102"/>
        <v>17</v>
      </c>
      <c r="U233" s="23">
        <f t="shared" si="102"/>
        <v>18</v>
      </c>
      <c r="V233" s="23">
        <f t="shared" si="102"/>
        <v>19</v>
      </c>
      <c r="W233" s="23">
        <f t="shared" si="102"/>
        <v>20</v>
      </c>
      <c r="X233" s="23">
        <f t="shared" si="102"/>
        <v>21</v>
      </c>
      <c r="Y233" s="23">
        <f t="shared" si="102"/>
        <v>22</v>
      </c>
      <c r="Z233" s="23">
        <f t="shared" si="102"/>
        <v>23</v>
      </c>
      <c r="AA233" s="23">
        <f t="shared" si="102"/>
        <v>24</v>
      </c>
      <c r="AB233" s="23">
        <f t="shared" si="102"/>
        <v>25</v>
      </c>
      <c r="AC233" s="23">
        <f t="shared" si="102"/>
        <v>26</v>
      </c>
      <c r="AD233" s="23">
        <f t="shared" si="102"/>
        <v>27</v>
      </c>
      <c r="AE233" s="23">
        <f t="shared" si="102"/>
        <v>28</v>
      </c>
      <c r="AF233" s="23">
        <f t="shared" si="102"/>
        <v>29</v>
      </c>
      <c r="AG233" s="23">
        <f t="shared" si="102"/>
        <v>30</v>
      </c>
      <c r="AH233" s="23">
        <f t="shared" si="102"/>
        <v>31</v>
      </c>
      <c r="AI233" s="23">
        <f t="shared" si="102"/>
        <v>32</v>
      </c>
      <c r="AJ233" s="23">
        <f t="shared" si="102"/>
        <v>33</v>
      </c>
      <c r="AK233" s="23">
        <f t="shared" si="102"/>
        <v>34</v>
      </c>
      <c r="AL233" s="23">
        <f t="shared" si="102"/>
        <v>35</v>
      </c>
      <c r="AM233" s="23">
        <f t="shared" si="102"/>
        <v>36</v>
      </c>
      <c r="AN233" s="23">
        <f t="shared" si="102"/>
        <v>37</v>
      </c>
      <c r="AO233" s="23">
        <f t="shared" si="102"/>
        <v>38</v>
      </c>
      <c r="AP233" s="23">
        <f t="shared" si="102"/>
        <v>39</v>
      </c>
      <c r="AQ233" s="23">
        <f t="shared" si="102"/>
        <v>40</v>
      </c>
      <c r="AR233" s="23">
        <f t="shared" si="102"/>
        <v>41</v>
      </c>
      <c r="AS233" s="23">
        <f t="shared" si="102"/>
        <v>42</v>
      </c>
      <c r="AT233" s="23">
        <f t="shared" si="102"/>
        <v>43</v>
      </c>
      <c r="AU233" s="23">
        <f t="shared" si="102"/>
        <v>44</v>
      </c>
      <c r="AV233" s="23">
        <f t="shared" si="102"/>
        <v>45</v>
      </c>
      <c r="AW233" s="23">
        <f t="shared" si="102"/>
        <v>46</v>
      </c>
      <c r="AX233" s="23">
        <f t="shared" si="102"/>
        <v>47</v>
      </c>
      <c r="AY233" s="23">
        <f t="shared" si="102"/>
        <v>48</v>
      </c>
      <c r="AZ233" s="23">
        <f t="shared" si="102"/>
        <v>49</v>
      </c>
      <c r="BA233" s="23">
        <f t="shared" si="102"/>
        <v>50</v>
      </c>
      <c r="BB233" s="23">
        <f t="shared" si="102"/>
        <v>51</v>
      </c>
      <c r="BC233" s="23">
        <f t="shared" si="102"/>
        <v>52</v>
      </c>
      <c r="BD233" s="23">
        <f t="shared" si="102"/>
        <v>53</v>
      </c>
      <c r="BE233" s="23">
        <f t="shared" si="102"/>
        <v>54</v>
      </c>
      <c r="BF233" s="23">
        <f t="shared" si="102"/>
        <v>55</v>
      </c>
      <c r="BG233" s="23">
        <f t="shared" si="102"/>
        <v>56</v>
      </c>
      <c r="BH233" s="23">
        <f t="shared" si="102"/>
        <v>57</v>
      </c>
      <c r="BI233" s="23">
        <f t="shared" si="102"/>
        <v>58</v>
      </c>
      <c r="BJ233" s="23">
        <f t="shared" si="102"/>
        <v>59</v>
      </c>
      <c r="BK233" s="23">
        <f t="shared" si="102"/>
        <v>60</v>
      </c>
      <c r="BL233" s="23">
        <f t="shared" si="102"/>
        <v>61</v>
      </c>
      <c r="BM233" s="23">
        <f t="shared" si="102"/>
        <v>62</v>
      </c>
      <c r="BN233" s="23">
        <f t="shared" si="102"/>
        <v>63</v>
      </c>
      <c r="BO233" s="23">
        <f t="shared" si="102"/>
        <v>64</v>
      </c>
      <c r="BP233" s="23">
        <f t="shared" si="102"/>
        <v>65</v>
      </c>
      <c r="BQ233" s="23">
        <f t="shared" ref="BQ233:CS233" si="103">BP233+1</f>
        <v>66</v>
      </c>
      <c r="BR233" s="23">
        <f t="shared" si="103"/>
        <v>67</v>
      </c>
      <c r="BS233" s="23">
        <f t="shared" si="103"/>
        <v>68</v>
      </c>
      <c r="BT233" s="23">
        <f t="shared" si="103"/>
        <v>69</v>
      </c>
      <c r="BU233" s="23">
        <f t="shared" si="103"/>
        <v>70</v>
      </c>
      <c r="BV233" s="23">
        <f t="shared" si="103"/>
        <v>71</v>
      </c>
      <c r="BW233" s="23">
        <f t="shared" si="103"/>
        <v>72</v>
      </c>
      <c r="BX233" s="23">
        <f t="shared" si="103"/>
        <v>73</v>
      </c>
      <c r="BY233" s="23">
        <f t="shared" si="103"/>
        <v>74</v>
      </c>
      <c r="BZ233" s="23">
        <f t="shared" si="103"/>
        <v>75</v>
      </c>
      <c r="CA233" s="23">
        <f t="shared" si="103"/>
        <v>76</v>
      </c>
      <c r="CB233" s="23">
        <f t="shared" si="103"/>
        <v>77</v>
      </c>
      <c r="CC233" s="23">
        <f t="shared" si="103"/>
        <v>78</v>
      </c>
      <c r="CD233" s="23">
        <f t="shared" si="103"/>
        <v>79</v>
      </c>
      <c r="CE233" s="23">
        <f t="shared" si="103"/>
        <v>80</v>
      </c>
      <c r="CF233" s="23">
        <f t="shared" si="103"/>
        <v>81</v>
      </c>
      <c r="CG233" s="23">
        <f t="shared" si="103"/>
        <v>82</v>
      </c>
      <c r="CH233" s="23">
        <f t="shared" si="103"/>
        <v>83</v>
      </c>
      <c r="CI233" s="23">
        <f t="shared" si="103"/>
        <v>84</v>
      </c>
      <c r="CJ233" s="23">
        <f t="shared" si="103"/>
        <v>85</v>
      </c>
      <c r="CK233" s="23">
        <f t="shared" si="103"/>
        <v>86</v>
      </c>
      <c r="CL233" s="23">
        <f t="shared" si="103"/>
        <v>87</v>
      </c>
      <c r="CM233" s="23">
        <f t="shared" si="103"/>
        <v>88</v>
      </c>
      <c r="CN233" s="23">
        <f t="shared" si="103"/>
        <v>89</v>
      </c>
      <c r="CO233" s="23">
        <f t="shared" si="103"/>
        <v>90</v>
      </c>
      <c r="CP233" s="23">
        <f t="shared" si="103"/>
        <v>91</v>
      </c>
      <c r="CQ233" s="23">
        <f t="shared" si="103"/>
        <v>92</v>
      </c>
      <c r="CR233" s="23">
        <f t="shared" si="103"/>
        <v>93</v>
      </c>
      <c r="CS233" s="23">
        <f t="shared" si="103"/>
        <v>94</v>
      </c>
      <c r="CT233" s="118"/>
      <c r="CU233" s="118"/>
      <c r="CV233" s="118"/>
      <c r="CW233" s="142"/>
    </row>
    <row r="234" spans="1:101" hidden="1" x14ac:dyDescent="0.25">
      <c r="A234" s="97">
        <f>A14</f>
        <v>0</v>
      </c>
      <c r="B234" s="29">
        <f t="shared" ref="B234:B255" si="104">B206</f>
        <v>1996</v>
      </c>
      <c r="C234" s="154" t="str">
        <f>IFERROR(IF(AND(INDEX($AA$263:$AA$284,MATCH($B234,$Y$263:$Y$284,0))=1,C42=1),0,""),"")</f>
        <v/>
      </c>
      <c r="D234" s="110" t="e">
        <f>IF(C42=1,IF(C$13&lt;=COUNT($C14:$CS14),IF(INDEX($F$206:$F$229,MATCH($B234,$B$206:$B$229,FALSE))=0,NA(),INDEX(C$14:C$37,MATCH($B234,$B$14:$B$37,FALSE))/INDEX($F$206:$F$229,MATCH($B234,$B$206:$B$229,FALSE))),NA()),NA())</f>
        <v>#N/A</v>
      </c>
      <c r="E234" s="111" t="e">
        <f>IF(D42=1,IF(D$13&lt;=COUNT($C14:$CS14),IF(INDEX($F$206:$F$229,MATCH($B234,$B$206:$B$229,FALSE))=0,NA(),INDEX(D$14:D$37,MATCH($B234,$B$14:$B$37,FALSE))/INDEX($F$206:$F$229,MATCH($B234,$B$206:$B$229,FALSE))),NA()),NA())</f>
        <v>#N/A</v>
      </c>
      <c r="F234" s="111" t="e">
        <f>IF(E42=1,IF(E$13&lt;=COUNT($C14:$CS14),IF(INDEX($F$206:$F$229,MATCH($B234,$B$206:$B$229,FALSE))=0,NA(),INDEX(E$14:E$37,MATCH($B234,$B$14:$B$37,FALSE))/INDEX($F$206:$F$229,MATCH($B234,$B$206:$B$229,FALSE))),NA()),NA())</f>
        <v>#N/A</v>
      </c>
      <c r="G234" s="111" t="e">
        <f>IF(F42=1,IF(F$13&lt;=COUNT($C14:$CS14),IF(INDEX($F$206:$F$229,MATCH($B234,$B$206:$B$229,FALSE))=0,NA(),INDEX(F$14:F$37,MATCH($B234,$B$14:$B$37,FALSE))/INDEX($F$206:$F$229,MATCH($B234,$B$206:$B$229,FALSE))),NA()),NA())</f>
        <v>#N/A</v>
      </c>
      <c r="H234" s="111" t="e">
        <f>IF(G42=1,IF(G$13&lt;=COUNT($C14:$CS14),IF(INDEX($F$206:$F$229,MATCH($B234,$B$206:$B$229,FALSE))=0,NA(),INDEX(G$14:G$37,MATCH($B234,$B$14:$B$37,FALSE))/INDEX($F$206:$F$229,MATCH($B234,$B$206:$B$229,FALSE))),NA()),NA())</f>
        <v>#N/A</v>
      </c>
      <c r="I234" s="111" t="e">
        <f>IF(H42=1,IF(H$13&lt;=COUNT($C14:$CS14),IF(INDEX($F$206:$F$229,MATCH($B234,$B$206:$B$229,FALSE))=0,NA(),INDEX(H$14:H$37,MATCH($B234,$B$14:$B$37,FALSE))/INDEX($F$206:$F$229,MATCH($B234,$B$206:$B$229,FALSE))),NA()),NA())</f>
        <v>#N/A</v>
      </c>
      <c r="J234" s="111" t="e">
        <f>IF(I42=1,IF(I$13&lt;=COUNT($C14:$CS14),IF(INDEX($F$206:$F$229,MATCH($B234,$B$206:$B$229,FALSE))=0,NA(),INDEX(I$14:I$37,MATCH($B234,$B$14:$B$37,FALSE))/INDEX($F$206:$F$229,MATCH($B234,$B$206:$B$229,FALSE))),NA()),NA())</f>
        <v>#N/A</v>
      </c>
      <c r="K234" s="111" t="e">
        <f>IF(J42=1,IF(J$13&lt;=COUNT($C14:$CS14),IF(INDEX($F$206:$F$229,MATCH($B234,$B$206:$B$229,FALSE))=0,NA(),INDEX(J$14:J$37,MATCH($B234,$B$14:$B$37,FALSE))/INDEX($F$206:$F$229,MATCH($B234,$B$206:$B$229,FALSE))),NA()),NA())</f>
        <v>#N/A</v>
      </c>
      <c r="L234" s="111" t="e">
        <f>IF(K42=1,IF(K$13&lt;=COUNT($C14:$CS14),IF(INDEX($F$206:$F$229,MATCH($B234,$B$206:$B$229,FALSE))=0,NA(),INDEX(K$14:K$37,MATCH($B234,$B$14:$B$37,FALSE))/INDEX($F$206:$F$229,MATCH($B234,$B$206:$B$229,FALSE))),NA()),NA())</f>
        <v>#N/A</v>
      </c>
      <c r="M234" s="111" t="e">
        <f>IF(L42=1,IF(L$13&lt;=COUNT($C14:$CS14),IF(INDEX($F$206:$F$229,MATCH($B234,$B$206:$B$229,FALSE))=0,NA(),INDEX(L$14:L$37,MATCH($B234,$B$14:$B$37,FALSE))/INDEX($F$206:$F$229,MATCH($B234,$B$206:$B$229,FALSE))),NA()),NA())</f>
        <v>#N/A</v>
      </c>
      <c r="N234" s="111" t="e">
        <f>IF(M42=1,IF(M$13&lt;=COUNT($C14:$CS14),IF(INDEX($F$206:$F$229,MATCH($B234,$B$206:$B$229,FALSE))=0,NA(),INDEX(M$14:M$37,MATCH($B234,$B$14:$B$37,FALSE))/INDEX($F$206:$F$229,MATCH($B234,$B$206:$B$229,FALSE))),NA()),NA())</f>
        <v>#N/A</v>
      </c>
      <c r="O234" s="111" t="e">
        <f>IF(N42=1,IF(N$13&lt;=COUNT($C14:$CS14),IF(INDEX($F$206:$F$229,MATCH($B234,$B$206:$B$229,FALSE))=0,NA(),INDEX(N$14:N$37,MATCH($B234,$B$14:$B$37,FALSE))/INDEX($F$206:$F$229,MATCH($B234,$B$206:$B$229,FALSE))),NA()),NA())</f>
        <v>#N/A</v>
      </c>
      <c r="P234" s="111" t="e">
        <f>IF(O42=1,IF(O$13&lt;=COUNT($C14:$CS14),IF(INDEX($F$206:$F$229,MATCH($B234,$B$206:$B$229,FALSE))=0,NA(),INDEX(O$14:O$37,MATCH($B234,$B$14:$B$37,FALSE))/INDEX($F$206:$F$229,MATCH($B234,$B$206:$B$229,FALSE))),NA()),NA())</f>
        <v>#N/A</v>
      </c>
      <c r="Q234" s="111" t="e">
        <f>IF(P42=1,IF(P$13&lt;=COUNT($C14:$CS14),IF(INDEX($F$206:$F$229,MATCH($B234,$B$206:$B$229,FALSE))=0,NA(),INDEX(P$14:P$37,MATCH($B234,$B$14:$B$37,FALSE))/INDEX($F$206:$F$229,MATCH($B234,$B$206:$B$229,FALSE))),NA()),NA())</f>
        <v>#N/A</v>
      </c>
      <c r="R234" s="111" t="e">
        <f>IF(Q42=1,IF(Q$13&lt;=COUNT($C14:$CS14),IF(INDEX($F$206:$F$229,MATCH($B234,$B$206:$B$229,FALSE))=0,NA(),INDEX(Q$14:Q$37,MATCH($B234,$B$14:$B$37,FALSE))/INDEX($F$206:$F$229,MATCH($B234,$B$206:$B$229,FALSE))),NA()),NA())</f>
        <v>#N/A</v>
      </c>
      <c r="S234" s="111" t="e">
        <f>IF(R42=1,IF(R$13&lt;=COUNT($C14:$CS14),IF(INDEX($F$206:$F$229,MATCH($B234,$B$206:$B$229,FALSE))=0,NA(),INDEX(R$14:R$37,MATCH($B234,$B$14:$B$37,FALSE))/INDEX($F$206:$F$229,MATCH($B234,$B$206:$B$229,FALSE))),NA()),NA())</f>
        <v>#N/A</v>
      </c>
      <c r="T234" s="111" t="e">
        <f>IF(S42=1,IF(S$13&lt;=COUNT($C14:$CS14),IF(INDEX($F$206:$F$229,MATCH($B234,$B$206:$B$229,FALSE))=0,NA(),INDEX(S$14:S$37,MATCH($B234,$B$14:$B$37,FALSE))/INDEX($F$206:$F$229,MATCH($B234,$B$206:$B$229,FALSE))),NA()),NA())</f>
        <v>#N/A</v>
      </c>
      <c r="U234" s="111" t="e">
        <f>IF(T42=1,IF(T$13&lt;=COUNT($C14:$CS14),IF(INDEX($F$206:$F$229,MATCH($B234,$B$206:$B$229,FALSE))=0,NA(),INDEX(T$14:T$37,MATCH($B234,$B$14:$B$37,FALSE))/INDEX($F$206:$F$229,MATCH($B234,$B$206:$B$229,FALSE))),NA()),NA())</f>
        <v>#N/A</v>
      </c>
      <c r="V234" s="111" t="e">
        <f>IF(U42=1,IF(U$13&lt;=COUNT($C14:$CS14),IF(INDEX($F$206:$F$229,MATCH($B234,$B$206:$B$229,FALSE))=0,NA(),INDEX(U$14:U$37,MATCH($B234,$B$14:$B$37,FALSE))/INDEX($F$206:$F$229,MATCH($B234,$B$206:$B$229,FALSE))),NA()),NA())</f>
        <v>#N/A</v>
      </c>
      <c r="W234" s="111" t="e">
        <f>IF(V42=1,IF(V$13&lt;=COUNT($C14:$CS14),IF(INDEX($F$206:$F$229,MATCH($B234,$B$206:$B$229,FALSE))=0,NA(),INDEX(V$14:V$37,MATCH($B234,$B$14:$B$37,FALSE))/INDEX($F$206:$F$229,MATCH($B234,$B$206:$B$229,FALSE))),NA()),NA())</f>
        <v>#N/A</v>
      </c>
      <c r="X234" s="111" t="e">
        <f>IF(W42=1,IF(W$13&lt;=COUNT($C14:$CS14),IF(INDEX($F$206:$F$229,MATCH($B234,$B$206:$B$229,FALSE))=0,NA(),INDEX(W$14:W$37,MATCH($B234,$B$14:$B$37,FALSE))/INDEX($F$206:$F$229,MATCH($B234,$B$206:$B$229,FALSE))),NA()),NA())</f>
        <v>#N/A</v>
      </c>
      <c r="Y234" s="111" t="e">
        <f>IF(X42=1,IF(X$13&lt;=COUNT($C14:$CS14),IF(INDEX($F$206:$F$229,MATCH($B234,$B$206:$B$229,FALSE))=0,NA(),INDEX(X$14:X$37,MATCH($B234,$B$14:$B$37,FALSE))/INDEX($F$206:$F$229,MATCH($B234,$B$206:$B$229,FALSE))),NA()),NA())</f>
        <v>#N/A</v>
      </c>
      <c r="Z234" s="111" t="e">
        <f>IF(Y42=1,IF(Y$13&lt;=COUNT($C14:$CS14),IF(INDEX($F$206:$F$229,MATCH($B234,$B$206:$B$229,FALSE))=0,NA(),INDEX(Y$14:Y$37,MATCH($B234,$B$14:$B$37,FALSE))/INDEX($F$206:$F$229,MATCH($B234,$B$206:$B$229,FALSE))),NA()),NA())</f>
        <v>#N/A</v>
      </c>
      <c r="AA234" s="111" t="e">
        <f>IF(Z42=1,IF(Z$13&lt;=COUNT($C14:$CS14),IF(INDEX($F$206:$F$229,MATCH($B234,$B$206:$B$229,FALSE))=0,NA(),INDEX(Z$14:Z$37,MATCH($B234,$B$14:$B$37,FALSE))/INDEX($F$206:$F$229,MATCH($B234,$B$206:$B$229,FALSE))),NA()),NA())</f>
        <v>#N/A</v>
      </c>
      <c r="AB234" s="111" t="e">
        <f>IF(AA42=1,IF(AA$13&lt;=COUNT($C14:$CS14),IF(INDEX($F$206:$F$229,MATCH($B234,$B$206:$B$229,FALSE))=0,NA(),INDEX(AA$14:AA$37,MATCH($B234,$B$14:$B$37,FALSE))/INDEX($F$206:$F$229,MATCH($B234,$B$206:$B$229,FALSE))),NA()),NA())</f>
        <v>#N/A</v>
      </c>
      <c r="AC234" s="111" t="e">
        <f>IF(AB42=1,IF(AB$13&lt;=COUNT($C14:$CS14),IF(INDEX($F$206:$F$229,MATCH($B234,$B$206:$B$229,FALSE))=0,NA(),INDEX(AB$14:AB$37,MATCH($B234,$B$14:$B$37,FALSE))/INDEX($F$206:$F$229,MATCH($B234,$B$206:$B$229,FALSE))),NA()),NA())</f>
        <v>#N/A</v>
      </c>
      <c r="AD234" s="111" t="e">
        <f>IF(AC42=1,IF(AC$13&lt;=COUNT($C14:$CS14),IF(INDEX($F$206:$F$229,MATCH($B234,$B$206:$B$229,FALSE))=0,NA(),INDEX(AC$14:AC$37,MATCH($B234,$B$14:$B$37,FALSE))/INDEX($F$206:$F$229,MATCH($B234,$B$206:$B$229,FALSE))),NA()),NA())</f>
        <v>#N/A</v>
      </c>
      <c r="AE234" s="111" t="e">
        <f>IF(AD42=1,IF(AD$13&lt;=COUNT($C14:$CS14),IF(INDEX($F$206:$F$229,MATCH($B234,$B$206:$B$229,FALSE))=0,NA(),INDEX(AD$14:AD$37,MATCH($B234,$B$14:$B$37,FALSE))/INDEX($F$206:$F$229,MATCH($B234,$B$206:$B$229,FALSE))),NA()),NA())</f>
        <v>#N/A</v>
      </c>
      <c r="AF234" s="111" t="e">
        <f>IF(AE42=1,IF(AE$13&lt;=COUNT($C14:$CS14),IF(INDEX($F$206:$F$229,MATCH($B234,$B$206:$B$229,FALSE))=0,NA(),INDEX(AE$14:AE$37,MATCH($B234,$B$14:$B$37,FALSE))/INDEX($F$206:$F$229,MATCH($B234,$B$206:$B$229,FALSE))),NA()),NA())</f>
        <v>#N/A</v>
      </c>
      <c r="AG234" s="111" t="e">
        <f>IF(AF42=1,IF(AF$13&lt;=COUNT($C14:$CS14),IF(INDEX($F$206:$F$229,MATCH($B234,$B$206:$B$229,FALSE))=0,NA(),INDEX(AF$14:AF$37,MATCH($B234,$B$14:$B$37,FALSE))/INDEX($F$206:$F$229,MATCH($B234,$B$206:$B$229,FALSE))),NA()),NA())</f>
        <v>#N/A</v>
      </c>
      <c r="AH234" s="111" t="e">
        <f>IF(AG42=1,IF(AG$13&lt;=COUNT($C14:$CS14),IF(INDEX($F$206:$F$229,MATCH($B234,$B$206:$B$229,FALSE))=0,NA(),INDEX(AG$14:AG$37,MATCH($B234,$B$14:$B$37,FALSE))/INDEX($F$206:$F$229,MATCH($B234,$B$206:$B$229,FALSE))),NA()),NA())</f>
        <v>#N/A</v>
      </c>
      <c r="AI234" s="111" t="e">
        <f>IF(AH42=1,IF(AH$13&lt;=COUNT($C14:$CS14),IF(INDEX($F$206:$F$229,MATCH($B234,$B$206:$B$229,FALSE))=0,NA(),INDEX(AH$14:AH$37,MATCH($B234,$B$14:$B$37,FALSE))/INDEX($F$206:$F$229,MATCH($B234,$B$206:$B$229,FALSE))),NA()),NA())</f>
        <v>#N/A</v>
      </c>
      <c r="AJ234" s="111" t="e">
        <f>IF(AI42=1,IF(AI$13&lt;=COUNT($C14:$CS14),IF(INDEX($F$206:$F$229,MATCH($B234,$B$206:$B$229,FALSE))=0,NA(),INDEX(AI$14:AI$37,MATCH($B234,$B$14:$B$37,FALSE))/INDEX($F$206:$F$229,MATCH($B234,$B$206:$B$229,FALSE))),NA()),NA())</f>
        <v>#N/A</v>
      </c>
      <c r="AK234" s="111" t="e">
        <f>IF(AJ42=1,IF(AJ$13&lt;=COUNT($C14:$CS14),IF(INDEX($F$206:$F$229,MATCH($B234,$B$206:$B$229,FALSE))=0,NA(),INDEX(AJ$14:AJ$37,MATCH($B234,$B$14:$B$37,FALSE))/INDEX($F$206:$F$229,MATCH($B234,$B$206:$B$229,FALSE))),NA()),NA())</f>
        <v>#N/A</v>
      </c>
      <c r="AL234" s="111" t="e">
        <f>IF(AK42=1,IF(AK$13&lt;=COUNT($C14:$CS14),IF(INDEX($F$206:$F$229,MATCH($B234,$B$206:$B$229,FALSE))=0,NA(),INDEX(AK$14:AK$37,MATCH($B234,$B$14:$B$37,FALSE))/INDEX($F$206:$F$229,MATCH($B234,$B$206:$B$229,FALSE))),NA()),NA())</f>
        <v>#N/A</v>
      </c>
      <c r="AM234" s="111" t="e">
        <f>IF(AL42=1,IF(AL$13&lt;=COUNT($C14:$CS14),IF(INDEX($F$206:$F$229,MATCH($B234,$B$206:$B$229,FALSE))=0,NA(),INDEX(AL$14:AL$37,MATCH($B234,$B$14:$B$37,FALSE))/INDEX($F$206:$F$229,MATCH($B234,$B$206:$B$229,FALSE))),NA()),NA())</f>
        <v>#N/A</v>
      </c>
      <c r="AN234" s="111" t="e">
        <f>IF(AM42=1,IF(AM$13&lt;=COUNT($C14:$CS14),IF(INDEX($F$206:$F$229,MATCH($B234,$B$206:$B$229,FALSE))=0,NA(),INDEX(AM$14:AM$37,MATCH($B234,$B$14:$B$37,FALSE))/INDEX($F$206:$F$229,MATCH($B234,$B$206:$B$229,FALSE))),NA()),NA())</f>
        <v>#N/A</v>
      </c>
      <c r="AO234" s="111" t="e">
        <f>IF(AN42=1,IF(AN$13&lt;=COUNT($C14:$CS14),IF(INDEX($F$206:$F$229,MATCH($B234,$B$206:$B$229,FALSE))=0,NA(),INDEX(AN$14:AN$37,MATCH($B234,$B$14:$B$37,FALSE))/INDEX($F$206:$F$229,MATCH($B234,$B$206:$B$229,FALSE))),NA()),NA())</f>
        <v>#N/A</v>
      </c>
      <c r="AP234" s="111" t="e">
        <f>IF(AO42=1,IF(AO$13&lt;=COUNT($C14:$CS14),IF(INDEX($F$206:$F$229,MATCH($B234,$B$206:$B$229,FALSE))=0,NA(),INDEX(AO$14:AO$37,MATCH($B234,$B$14:$B$37,FALSE))/INDEX($F$206:$F$229,MATCH($B234,$B$206:$B$229,FALSE))),NA()),NA())</f>
        <v>#N/A</v>
      </c>
      <c r="AQ234" s="111" t="e">
        <f>IF(AP42=1,IF(AP$13&lt;=COUNT($C14:$CS14),IF(INDEX($F$206:$F$229,MATCH($B234,$B$206:$B$229,FALSE))=0,NA(),INDEX(AP$14:AP$37,MATCH($B234,$B$14:$B$37,FALSE))/INDEX($F$206:$F$229,MATCH($B234,$B$206:$B$229,FALSE))),NA()),NA())</f>
        <v>#N/A</v>
      </c>
      <c r="AR234" s="111" t="e">
        <f>IF(AQ42=1,IF(AQ$13&lt;=COUNT($C14:$CS14),IF(INDEX($F$206:$F$229,MATCH($B234,$B$206:$B$229,FALSE))=0,NA(),INDEX(AQ$14:AQ$37,MATCH($B234,$B$14:$B$37,FALSE))/INDEX($F$206:$F$229,MATCH($B234,$B$206:$B$229,FALSE))),NA()),NA())</f>
        <v>#N/A</v>
      </c>
      <c r="AS234" s="111" t="e">
        <f>IF(AR42=1,IF(AR$13&lt;=COUNT($C14:$CS14),IF(INDEX($F$206:$F$229,MATCH($B234,$B$206:$B$229,FALSE))=0,NA(),INDEX(AR$14:AR$37,MATCH($B234,$B$14:$B$37,FALSE))/INDEX($F$206:$F$229,MATCH($B234,$B$206:$B$229,FALSE))),NA()),NA())</f>
        <v>#N/A</v>
      </c>
      <c r="AT234" s="111" t="e">
        <f>IF(AS42=1,IF(AS$13&lt;=COUNT($C14:$CS14),IF(INDEX($F$206:$F$229,MATCH($B234,$B$206:$B$229,FALSE))=0,NA(),INDEX(AS$14:AS$37,MATCH($B234,$B$14:$B$37,FALSE))/INDEX($F$206:$F$229,MATCH($B234,$B$206:$B$229,FALSE))),NA()),NA())</f>
        <v>#N/A</v>
      </c>
      <c r="AU234" s="111" t="e">
        <f>IF(AT42=1,IF(AT$13&lt;=COUNT($C14:$CS14),IF(INDEX($F$206:$F$229,MATCH($B234,$B$206:$B$229,FALSE))=0,NA(),INDEX(AT$14:AT$37,MATCH($B234,$B$14:$B$37,FALSE))/INDEX($F$206:$F$229,MATCH($B234,$B$206:$B$229,FALSE))),NA()),NA())</f>
        <v>#N/A</v>
      </c>
      <c r="AV234" s="111" t="e">
        <f>IF(AU42=1,IF(AU$13&lt;=COUNT($C14:$CS14),IF(INDEX($F$206:$F$229,MATCH($B234,$B$206:$B$229,FALSE))=0,NA(),INDEX(AU$14:AU$37,MATCH($B234,$B$14:$B$37,FALSE))/INDEX($F$206:$F$229,MATCH($B234,$B$206:$B$229,FALSE))),NA()),NA())</f>
        <v>#N/A</v>
      </c>
      <c r="AW234" s="111" t="e">
        <f>IF(AV42=1,IF(AV$13&lt;=COUNT($C14:$CS14),IF(INDEX($F$206:$F$229,MATCH($B234,$B$206:$B$229,FALSE))=0,NA(),INDEX(AV$14:AV$37,MATCH($B234,$B$14:$B$37,FALSE))/INDEX($F$206:$F$229,MATCH($B234,$B$206:$B$229,FALSE))),NA()),NA())</f>
        <v>#N/A</v>
      </c>
      <c r="AX234" s="111" t="e">
        <f>IF(AW42=1,IF(AW$13&lt;=COUNT($C14:$CS14),IF(INDEX($F$206:$F$229,MATCH($B234,$B$206:$B$229,FALSE))=0,NA(),INDEX(AW$14:AW$37,MATCH($B234,$B$14:$B$37,FALSE))/INDEX($F$206:$F$229,MATCH($B234,$B$206:$B$229,FALSE))),NA()),NA())</f>
        <v>#N/A</v>
      </c>
      <c r="AY234" s="111" t="e">
        <f>IF(AX42=1,IF(AX$13&lt;=COUNT($C14:$CS14),IF(INDEX($F$206:$F$229,MATCH($B234,$B$206:$B$229,FALSE))=0,NA(),INDEX(AX$14:AX$37,MATCH($B234,$B$14:$B$37,FALSE))/INDEX($F$206:$F$229,MATCH($B234,$B$206:$B$229,FALSE))),NA()),NA())</f>
        <v>#N/A</v>
      </c>
      <c r="AZ234" s="111" t="e">
        <f>IF(AY42=1,IF(AY$13&lt;=COUNT($C14:$CS14),IF(INDEX($F$206:$F$229,MATCH($B234,$B$206:$B$229,FALSE))=0,NA(),INDEX(AY$14:AY$37,MATCH($B234,$B$14:$B$37,FALSE))/INDEX($F$206:$F$229,MATCH($B234,$B$206:$B$229,FALSE))),NA()),NA())</f>
        <v>#N/A</v>
      </c>
      <c r="BA234" s="111" t="e">
        <f>IF(AZ42=1,IF(AZ$13&lt;=COUNT($C14:$CS14),IF(INDEX($F$206:$F$229,MATCH($B234,$B$206:$B$229,FALSE))=0,NA(),INDEX(AZ$14:AZ$37,MATCH($B234,$B$14:$B$37,FALSE))/INDEX($F$206:$F$229,MATCH($B234,$B$206:$B$229,FALSE))),NA()),NA())</f>
        <v>#N/A</v>
      </c>
      <c r="BB234" s="111" t="e">
        <f>IF(BA42=1,IF(BA$13&lt;=COUNT($C14:$CS14),IF(INDEX($F$206:$F$229,MATCH($B234,$B$206:$B$229,FALSE))=0,NA(),INDEX(BA$14:BA$37,MATCH($B234,$B$14:$B$37,FALSE))/INDEX($F$206:$F$229,MATCH($B234,$B$206:$B$229,FALSE))),NA()),NA())</f>
        <v>#N/A</v>
      </c>
      <c r="BC234" s="111" t="e">
        <f>IF(BB42=1,IF(BB$13&lt;=COUNT($C14:$CS14),IF(INDEX($F$206:$F$229,MATCH($B234,$B$206:$B$229,FALSE))=0,NA(),INDEX(BB$14:BB$37,MATCH($B234,$B$14:$B$37,FALSE))/INDEX($F$206:$F$229,MATCH($B234,$B$206:$B$229,FALSE))),NA()),NA())</f>
        <v>#N/A</v>
      </c>
      <c r="BD234" s="111" t="e">
        <f>IF(BC42=1,IF(BC$13&lt;=COUNT($C14:$CS14),IF(INDEX($F$206:$F$229,MATCH($B234,$B$206:$B$229,FALSE))=0,NA(),INDEX(BC$14:BC$37,MATCH($B234,$B$14:$B$37,FALSE))/INDEX($F$206:$F$229,MATCH($B234,$B$206:$B$229,FALSE))),NA()),NA())</f>
        <v>#N/A</v>
      </c>
      <c r="BE234" s="111" t="e">
        <f>IF(BD42=1,IF(BD$13&lt;=COUNT($C14:$CS14),IF(INDEX($F$206:$F$229,MATCH($B234,$B$206:$B$229,FALSE))=0,NA(),INDEX(BD$14:BD$37,MATCH($B234,$B$14:$B$37,FALSE))/INDEX($F$206:$F$229,MATCH($B234,$B$206:$B$229,FALSE))),NA()),NA())</f>
        <v>#N/A</v>
      </c>
      <c r="BF234" s="111" t="e">
        <f>IF(BE42=1,IF(BE$13&lt;=COUNT($C14:$CS14),IF(INDEX($F$206:$F$229,MATCH($B234,$B$206:$B$229,FALSE))=0,NA(),INDEX(BE$14:BE$37,MATCH($B234,$B$14:$B$37,FALSE))/INDEX($F$206:$F$229,MATCH($B234,$B$206:$B$229,FALSE))),NA()),NA())</f>
        <v>#N/A</v>
      </c>
      <c r="BG234" s="111" t="e">
        <f>IF(BF42=1,IF(BF$13&lt;=COUNT($C14:$CS14),IF(INDEX($F$206:$F$229,MATCH($B234,$B$206:$B$229,FALSE))=0,NA(),INDEX(BF$14:BF$37,MATCH($B234,$B$14:$B$37,FALSE))/INDEX($F$206:$F$229,MATCH($B234,$B$206:$B$229,FALSE))),NA()),NA())</f>
        <v>#N/A</v>
      </c>
      <c r="BH234" s="111" t="e">
        <f>IF(BG42=1,IF(BG$13&lt;=COUNT($C14:$CS14),IF(INDEX($F$206:$F$229,MATCH($B234,$B$206:$B$229,FALSE))=0,NA(),INDEX(BG$14:BG$37,MATCH($B234,$B$14:$B$37,FALSE))/INDEX($F$206:$F$229,MATCH($B234,$B$206:$B$229,FALSE))),NA()),NA())</f>
        <v>#N/A</v>
      </c>
      <c r="BI234" s="111" t="e">
        <f>IF(BH42=1,IF(BH$13&lt;=COUNT($C14:$CS14),IF(INDEX($F$206:$F$229,MATCH($B234,$B$206:$B$229,FALSE))=0,NA(),INDEX(BH$14:BH$37,MATCH($B234,$B$14:$B$37,FALSE))/INDEX($F$206:$F$229,MATCH($B234,$B$206:$B$229,FALSE))),NA()),NA())</f>
        <v>#N/A</v>
      </c>
      <c r="BJ234" s="111" t="e">
        <f>IF(BI42=1,IF(BI$13&lt;=COUNT($C14:$CS14),IF(INDEX($F$206:$F$229,MATCH($B234,$B$206:$B$229,FALSE))=0,NA(),INDEX(BI$14:BI$37,MATCH($B234,$B$14:$B$37,FALSE))/INDEX($F$206:$F$229,MATCH($B234,$B$206:$B$229,FALSE))),NA()),NA())</f>
        <v>#N/A</v>
      </c>
      <c r="BK234" s="111" t="e">
        <f>IF(BJ42=1,IF(BJ$13&lt;=COUNT($C14:$CS14),IF(INDEX($F$206:$F$229,MATCH($B234,$B$206:$B$229,FALSE))=0,NA(),INDEX(BJ$14:BJ$37,MATCH($B234,$B$14:$B$37,FALSE))/INDEX($F$206:$F$229,MATCH($B234,$B$206:$B$229,FALSE))),NA()),NA())</f>
        <v>#N/A</v>
      </c>
      <c r="BL234" s="111" t="e">
        <f>IF(BK42=1,IF(BK$13&lt;=COUNT($C14:$CS14),IF(INDEX($F$206:$F$229,MATCH($B234,$B$206:$B$229,FALSE))=0,NA(),INDEX(BK$14:BK$37,MATCH($B234,$B$14:$B$37,FALSE))/INDEX($F$206:$F$229,MATCH($B234,$B$206:$B$229,FALSE))),NA()),NA())</f>
        <v>#N/A</v>
      </c>
      <c r="BM234" s="111" t="e">
        <f>IF(BL42=1,IF(BL$13&lt;=COUNT($C14:$CS14),IF(INDEX($F$206:$F$229,MATCH($B234,$B$206:$B$229,FALSE))=0,NA(),INDEX(BL$14:BL$37,MATCH($B234,$B$14:$B$37,FALSE))/INDEX($F$206:$F$229,MATCH($B234,$B$206:$B$229,FALSE))),NA()),NA())</f>
        <v>#N/A</v>
      </c>
      <c r="BN234" s="111" t="e">
        <f>IF(BM42=1,IF(BM$13&lt;=COUNT($C14:$CS14),IF(INDEX($F$206:$F$229,MATCH($B234,$B$206:$B$229,FALSE))=0,NA(),INDEX(BM$14:BM$37,MATCH($B234,$B$14:$B$37,FALSE))/INDEX($F$206:$F$229,MATCH($B234,$B$206:$B$229,FALSE))),NA()),NA())</f>
        <v>#N/A</v>
      </c>
      <c r="BO234" s="111" t="e">
        <f>IF(BN42=1,IF(BN$13&lt;=COUNT($C14:$CS14),IF(INDEX($F$206:$F$229,MATCH($B234,$B$206:$B$229,FALSE))=0,NA(),INDEX(BN$14:BN$37,MATCH($B234,$B$14:$B$37,FALSE))/INDEX($F$206:$F$229,MATCH($B234,$B$206:$B$229,FALSE))),NA()),NA())</f>
        <v>#N/A</v>
      </c>
      <c r="BP234" s="111" t="e">
        <f>IF(BO42=1,IF(BO$13&lt;=COUNT($C14:$CS14),IF(INDEX($F$206:$F$229,MATCH($B234,$B$206:$B$229,FALSE))=0,NA(),INDEX(BO$14:BO$37,MATCH($B234,$B$14:$B$37,FALSE))/INDEX($F$206:$F$229,MATCH($B234,$B$206:$B$229,FALSE))),NA()),NA())</f>
        <v>#N/A</v>
      </c>
      <c r="BQ234" s="111" t="e">
        <f>IF(BP42=1,IF(BP$13&lt;=COUNT($C14:$CS14),IF(INDEX($F$206:$F$229,MATCH($B234,$B$206:$B$229,FALSE))=0,NA(),INDEX(BP$14:BP$37,MATCH($B234,$B$14:$B$37,FALSE))/INDEX($F$206:$F$229,MATCH($B234,$B$206:$B$229,FALSE))),NA()),NA())</f>
        <v>#N/A</v>
      </c>
      <c r="BR234" s="111" t="e">
        <f>IF(BQ42=1,IF(BQ$13&lt;=COUNT($C14:$CS14),IF(INDEX($F$206:$F$229,MATCH($B234,$B$206:$B$229,FALSE))=0,NA(),INDEX(BQ$14:BQ$37,MATCH($B234,$B$14:$B$37,FALSE))/INDEX($F$206:$F$229,MATCH($B234,$B$206:$B$229,FALSE))),NA()),NA())</f>
        <v>#N/A</v>
      </c>
      <c r="BS234" s="111" t="e">
        <f>IF(BR42=1,IF(BR$13&lt;=COUNT($C14:$CS14),IF(INDEX($F$206:$F$229,MATCH($B234,$B$206:$B$229,FALSE))=0,NA(),INDEX(BR$14:BR$37,MATCH($B234,$B$14:$B$37,FALSE))/INDEX($F$206:$F$229,MATCH($B234,$B$206:$B$229,FALSE))),NA()),NA())</f>
        <v>#N/A</v>
      </c>
      <c r="BT234" s="111" t="e">
        <f>IF(BS42=1,IF(BS$13&lt;=COUNT($C14:$CS14),IF(INDEX($F$206:$F$229,MATCH($B234,$B$206:$B$229,FALSE))=0,NA(),INDEX(BS$14:BS$37,MATCH($B234,$B$14:$B$37,FALSE))/INDEX($F$206:$F$229,MATCH($B234,$B$206:$B$229,FALSE))),NA()),NA())</f>
        <v>#N/A</v>
      </c>
      <c r="BU234" s="111" t="e">
        <f>IF(BT42=1,IF(BT$13&lt;=COUNT($C14:$CS14),IF(INDEX($F$206:$F$229,MATCH($B234,$B$206:$B$229,FALSE))=0,NA(),INDEX(BT$14:BT$37,MATCH($B234,$B$14:$B$37,FALSE))/INDEX($F$206:$F$229,MATCH($B234,$B$206:$B$229,FALSE))),NA()),NA())</f>
        <v>#N/A</v>
      </c>
      <c r="BV234" s="111" t="e">
        <f>IF(BU42=1,IF(BU$13&lt;=COUNT($C14:$CS14),IF(INDEX($F$206:$F$229,MATCH($B234,$B$206:$B$229,FALSE))=0,NA(),INDEX(BU$14:BU$37,MATCH($B234,$B$14:$B$37,FALSE))/INDEX($F$206:$F$229,MATCH($B234,$B$206:$B$229,FALSE))),NA()),NA())</f>
        <v>#N/A</v>
      </c>
      <c r="BW234" s="111" t="e">
        <f>IF(BV42=1,IF(BV$13&lt;=COUNT($C14:$CS14),IF(INDEX($F$206:$F$229,MATCH($B234,$B$206:$B$229,FALSE))=0,NA(),INDEX(BV$14:BV$37,MATCH($B234,$B$14:$B$37,FALSE))/INDEX($F$206:$F$229,MATCH($B234,$B$206:$B$229,FALSE))),NA()),NA())</f>
        <v>#N/A</v>
      </c>
      <c r="BX234" s="111" t="e">
        <f>IF(BW42=1,IF(BW$13&lt;=COUNT($C14:$CS14),IF(INDEX($F$206:$F$229,MATCH($B234,$B$206:$B$229,FALSE))=0,NA(),INDEX(BW$14:BW$37,MATCH($B234,$B$14:$B$37,FALSE))/INDEX($F$206:$F$229,MATCH($B234,$B$206:$B$229,FALSE))),NA()),NA())</f>
        <v>#N/A</v>
      </c>
      <c r="BY234" s="111" t="e">
        <f>IF(BX42=1,IF(BX$13&lt;=COUNT($C14:$CS14),IF(INDEX($F$206:$F$229,MATCH($B234,$B$206:$B$229,FALSE))=0,NA(),INDEX(BX$14:BX$37,MATCH($B234,$B$14:$B$37,FALSE))/INDEX($F$206:$F$229,MATCH($B234,$B$206:$B$229,FALSE))),NA()),NA())</f>
        <v>#N/A</v>
      </c>
      <c r="BZ234" s="111" t="e">
        <f>IF(BY42=1,IF(BY$13&lt;=COUNT($C14:$CS14),IF(INDEX($F$206:$F$229,MATCH($B234,$B$206:$B$229,FALSE))=0,NA(),INDEX(BY$14:BY$37,MATCH($B234,$B$14:$B$37,FALSE))/INDEX($F$206:$F$229,MATCH($B234,$B$206:$B$229,FALSE))),NA()),NA())</f>
        <v>#N/A</v>
      </c>
      <c r="CA234" s="111" t="e">
        <f>IF(BZ42=1,IF(BZ$13&lt;=COUNT($C14:$CS14),IF(INDEX($F$206:$F$229,MATCH($B234,$B$206:$B$229,FALSE))=0,NA(),INDEX(BZ$14:BZ$37,MATCH($B234,$B$14:$B$37,FALSE))/INDEX($F$206:$F$229,MATCH($B234,$B$206:$B$229,FALSE))),NA()),NA())</f>
        <v>#N/A</v>
      </c>
      <c r="CB234" s="111" t="e">
        <f>IF(CA42=1,IF(CA$13&lt;=COUNT($C14:$CS14),IF(INDEX($F$206:$F$229,MATCH($B234,$B$206:$B$229,FALSE))=0,NA(),INDEX(CA$14:CA$37,MATCH($B234,$B$14:$B$37,FALSE))/INDEX($F$206:$F$229,MATCH($B234,$B$206:$B$229,FALSE))),NA()),NA())</f>
        <v>#N/A</v>
      </c>
      <c r="CC234" s="111" t="e">
        <f>IF(CB42=1,IF(CB$13&lt;=COUNT($C14:$CS14),IF(INDEX($F$206:$F$229,MATCH($B234,$B$206:$B$229,FALSE))=0,NA(),INDEX(CB$14:CB$37,MATCH($B234,$B$14:$B$37,FALSE))/INDEX($F$206:$F$229,MATCH($B234,$B$206:$B$229,FALSE))),NA()),NA())</f>
        <v>#N/A</v>
      </c>
      <c r="CD234" s="111" t="e">
        <f>IF(CC42=1,IF(CC$13&lt;=COUNT($C14:$CS14),IF(INDEX($F$206:$F$229,MATCH($B234,$B$206:$B$229,FALSE))=0,NA(),INDEX(CC$14:CC$37,MATCH($B234,$B$14:$B$37,FALSE))/INDEX($F$206:$F$229,MATCH($B234,$B$206:$B$229,FALSE))),NA()),NA())</f>
        <v>#N/A</v>
      </c>
      <c r="CE234" s="111" t="e">
        <f>IF(CD42=1,IF(CD$13&lt;=COUNT($C14:$CS14),IF(INDEX($F$206:$F$229,MATCH($B234,$B$206:$B$229,FALSE))=0,NA(),INDEX(CD$14:CD$37,MATCH($B234,$B$14:$B$37,FALSE))/INDEX($F$206:$F$229,MATCH($B234,$B$206:$B$229,FALSE))),NA()),NA())</f>
        <v>#N/A</v>
      </c>
      <c r="CF234" s="111" t="e">
        <f>IF(CE42=1,IF(CE$13&lt;=COUNT($C14:$CS14),IF(INDEX($F$206:$F$229,MATCH($B234,$B$206:$B$229,FALSE))=0,NA(),INDEX(CE$14:CE$37,MATCH($B234,$B$14:$B$37,FALSE))/INDEX($F$206:$F$229,MATCH($B234,$B$206:$B$229,FALSE))),NA()),NA())</f>
        <v>#N/A</v>
      </c>
      <c r="CG234" s="111" t="e">
        <f>IF(CF42=1,IF(CF$13&lt;=COUNT($C14:$CS14),IF(INDEX($F$206:$F$229,MATCH($B234,$B$206:$B$229,FALSE))=0,NA(),INDEX(CF$14:CF$37,MATCH($B234,$B$14:$B$37,FALSE))/INDEX($F$206:$F$229,MATCH($B234,$B$206:$B$229,FALSE))),NA()),NA())</f>
        <v>#N/A</v>
      </c>
      <c r="CH234" s="111" t="e">
        <f>IF(CG42=1,IF(CG$13&lt;=COUNT($C14:$CS14),IF(INDEX($F$206:$F$229,MATCH($B234,$B$206:$B$229,FALSE))=0,NA(),INDEX(CG$14:CG$37,MATCH($B234,$B$14:$B$37,FALSE))/INDEX($F$206:$F$229,MATCH($B234,$B$206:$B$229,FALSE))),NA()),NA())</f>
        <v>#N/A</v>
      </c>
      <c r="CI234" s="111" t="e">
        <f>IF(CH42=1,IF(CH$13&lt;=COUNT($C14:$CS14),IF(INDEX($F$206:$F$229,MATCH($B234,$B$206:$B$229,FALSE))=0,NA(),INDEX(CH$14:CH$37,MATCH($B234,$B$14:$B$37,FALSE))/INDEX($F$206:$F$229,MATCH($B234,$B$206:$B$229,FALSE))),NA()),NA())</f>
        <v>#N/A</v>
      </c>
      <c r="CJ234" s="111" t="e">
        <f>IF(CI42=1,IF(CI$13&lt;=COUNT($C14:$CS14),IF(INDEX($F$206:$F$229,MATCH($B234,$B$206:$B$229,FALSE))=0,NA(),INDEX(CI$14:CI$37,MATCH($B234,$B$14:$B$37,FALSE))/INDEX($F$206:$F$229,MATCH($B234,$B$206:$B$229,FALSE))),NA()),NA())</f>
        <v>#N/A</v>
      </c>
      <c r="CK234" s="111" t="e">
        <f>IF(CJ42=1,IF(CJ$13&lt;=COUNT($C14:$CS14),IF(INDEX($F$206:$F$229,MATCH($B234,$B$206:$B$229,FALSE))=0,NA(),INDEX(CJ$14:CJ$37,MATCH($B234,$B$14:$B$37,FALSE))/INDEX($F$206:$F$229,MATCH($B234,$B$206:$B$229,FALSE))),NA()),NA())</f>
        <v>#N/A</v>
      </c>
      <c r="CL234" s="111" t="e">
        <f>IF(CK42=1,IF(CK$13&lt;=COUNT($C14:$CS14),IF(INDEX($F$206:$F$229,MATCH($B234,$B$206:$B$229,FALSE))=0,NA(),INDEX(CK$14:CK$37,MATCH($B234,$B$14:$B$37,FALSE))/INDEX($F$206:$F$229,MATCH($B234,$B$206:$B$229,FALSE))),NA()),NA())</f>
        <v>#N/A</v>
      </c>
      <c r="CM234" s="111" t="e">
        <f>IF(CL42=1,IF(CL$13&lt;=COUNT($C14:$CS14),IF(INDEX($F$206:$F$229,MATCH($B234,$B$206:$B$229,FALSE))=0,NA(),INDEX(CL$14:CL$37,MATCH($B234,$B$14:$B$37,FALSE))/INDEX($F$206:$F$229,MATCH($B234,$B$206:$B$229,FALSE))),NA()),NA())</f>
        <v>#N/A</v>
      </c>
      <c r="CN234" s="111" t="e">
        <f>IF(CM42=1,IF(CM$13&lt;=COUNT($C14:$CS14),IF(INDEX($F$206:$F$229,MATCH($B234,$B$206:$B$229,FALSE))=0,NA(),INDEX(CM$14:CM$37,MATCH($B234,$B$14:$B$37,FALSE))/INDEX($F$206:$F$229,MATCH($B234,$B$206:$B$229,FALSE))),NA()),NA())</f>
        <v>#N/A</v>
      </c>
      <c r="CO234" s="111" t="e">
        <f>IF(CN42=1,IF(CN$13&lt;=COUNT($C14:$CS14),IF(INDEX($F$206:$F$229,MATCH($B234,$B$206:$B$229,FALSE))=0,NA(),INDEX(CN$14:CN$37,MATCH($B234,$B$14:$B$37,FALSE))/INDEX($F$206:$F$229,MATCH($B234,$B$206:$B$229,FALSE))),NA()),NA())</f>
        <v>#N/A</v>
      </c>
      <c r="CP234" s="111" t="e">
        <f>IF(CO42=1,IF(CO$13&lt;=COUNT($C14:$CS14),IF(INDEX($F$206:$F$229,MATCH($B234,$B$206:$B$229,FALSE))=0,NA(),INDEX(CO$14:CO$37,MATCH($B234,$B$14:$B$37,FALSE))/INDEX($F$206:$F$229,MATCH($B234,$B$206:$B$229,FALSE))),NA()),NA())</f>
        <v>#N/A</v>
      </c>
      <c r="CQ234" s="111" t="e">
        <f>IF(CP42=1,IF(CP$13&lt;=COUNT($C14:$CS14),IF(INDEX($F$206:$F$229,MATCH($B234,$B$206:$B$229,FALSE))=0,NA(),INDEX(CP$14:CP$37,MATCH($B234,$B$14:$B$37,FALSE))/INDEX($F$206:$F$229,MATCH($B234,$B$206:$B$229,FALSE))),NA()),NA())</f>
        <v>#N/A</v>
      </c>
      <c r="CR234" s="111" t="e">
        <f>IF(CQ42=1,IF(CQ$13&lt;=COUNT($C14:$CS14),IF(INDEX($F$206:$F$229,MATCH($B234,$B$206:$B$229,FALSE))=0,NA(),INDEX(CQ$14:CQ$37,MATCH($B234,$B$14:$B$37,FALSE))/INDEX($F$206:$F$229,MATCH($B234,$B$206:$B$229,FALSE))),NA()),NA())</f>
        <v>#N/A</v>
      </c>
      <c r="CS234" s="111" t="e">
        <f>IF(CR42=1,IF(CR$13&lt;=COUNT($C14:$CS14),IF(INDEX($F$206:$F$229,MATCH($B234,$B$206:$B$229,FALSE))=0,NA(),INDEX(CR$14:CR$37,MATCH($B234,$B$14:$B$37,FALSE))/INDEX($F$206:$F$229,MATCH($B234,$B$206:$B$229,FALSE))),NA()),NA())</f>
        <v>#N/A</v>
      </c>
      <c r="CT234" s="143"/>
      <c r="CU234" s="143"/>
      <c r="CV234" s="143"/>
      <c r="CW234" s="143"/>
    </row>
    <row r="235" spans="1:101" hidden="1" x14ac:dyDescent="0.25">
      <c r="A235" s="97">
        <f t="shared" ref="A235:A258" si="105">A15</f>
        <v>0</v>
      </c>
      <c r="B235" s="29">
        <f t="shared" si="104"/>
        <v>1997</v>
      </c>
      <c r="C235" s="154" t="str">
        <f t="shared" ref="C235:C257" si="106">IFERROR(IF(AND(INDEX($AA$263:$AA$284,MATCH($B235,$Y$263:$Y$284,0))=1,C43=1),0,""),"")</f>
        <v/>
      </c>
      <c r="D235" s="54" t="e">
        <f>IF(C43=1,IF(C$13&lt;=COUNT($C15:$CS15),IF(INDEX($F$206:$F$229,MATCH($B235,$B$206:$B$229,FALSE))=0,NA(),INDEX(C$14:C$37,MATCH($B235,$B$14:$B$37,FALSE))/INDEX($F$206:$F$229,MATCH($B235,$B$206:$B$229,FALSE))),NA()),NA())</f>
        <v>#N/A</v>
      </c>
      <c r="E235" s="65" t="e">
        <f>IF(D43=1,IF(D$13&lt;=COUNT($C15:$CS15),IF(INDEX($F$206:$F$229,MATCH($B235,$B$206:$B$229,FALSE))=0,NA(),INDEX(D$14:D$37,MATCH($B235,$B$14:$B$37,FALSE))/INDEX($F$206:$F$229,MATCH($B235,$B$206:$B$229,FALSE))),NA()),NA())</f>
        <v>#N/A</v>
      </c>
      <c r="F235" s="65" t="e">
        <f>IF(E43=1,IF(E$13&lt;=COUNT($C15:$CS15),IF(INDEX($F$206:$F$229,MATCH($B235,$B$206:$B$229,FALSE))=0,NA(),INDEX(E$14:E$37,MATCH($B235,$B$14:$B$37,FALSE))/INDEX($F$206:$F$229,MATCH($B235,$B$206:$B$229,FALSE))),NA()),NA())</f>
        <v>#N/A</v>
      </c>
      <c r="G235" s="65" t="e">
        <f>IF(F43=1,IF(F$13&lt;=COUNT($C15:$CS15),IF(INDEX($F$206:$F$229,MATCH($B235,$B$206:$B$229,FALSE))=0,NA(),INDEX(F$14:F$37,MATCH($B235,$B$14:$B$37,FALSE))/INDEX($F$206:$F$229,MATCH($B235,$B$206:$B$229,FALSE))),NA()),NA())</f>
        <v>#N/A</v>
      </c>
      <c r="H235" s="65" t="e">
        <f>IF(G43=1,IF(G$13&lt;=COUNT($C15:$CS15),IF(INDEX($F$206:$F$229,MATCH($B235,$B$206:$B$229,FALSE))=0,NA(),INDEX(G$14:G$37,MATCH($B235,$B$14:$B$37,FALSE))/INDEX($F$206:$F$229,MATCH($B235,$B$206:$B$229,FALSE))),NA()),NA())</f>
        <v>#N/A</v>
      </c>
      <c r="I235" s="65" t="e">
        <f>IF(H43=1,IF(H$13&lt;=COUNT($C15:$CS15),IF(INDEX($F$206:$F$229,MATCH($B235,$B$206:$B$229,FALSE))=0,NA(),INDEX(H$14:H$37,MATCH($B235,$B$14:$B$37,FALSE))/INDEX($F$206:$F$229,MATCH($B235,$B$206:$B$229,FALSE))),NA()),NA())</f>
        <v>#N/A</v>
      </c>
      <c r="J235" s="65" t="e">
        <f>IF(I43=1,IF(I$13&lt;=COUNT($C15:$CS15),IF(INDEX($F$206:$F$229,MATCH($B235,$B$206:$B$229,FALSE))=0,NA(),INDEX(I$14:I$37,MATCH($B235,$B$14:$B$37,FALSE))/INDEX($F$206:$F$229,MATCH($B235,$B$206:$B$229,FALSE))),NA()),NA())</f>
        <v>#N/A</v>
      </c>
      <c r="K235" s="65" t="e">
        <f>IF(J43=1,IF(J$13&lt;=COUNT($C15:$CS15),IF(INDEX($F$206:$F$229,MATCH($B235,$B$206:$B$229,FALSE))=0,NA(),INDEX(J$14:J$37,MATCH($B235,$B$14:$B$37,FALSE))/INDEX($F$206:$F$229,MATCH($B235,$B$206:$B$229,FALSE))),NA()),NA())</f>
        <v>#N/A</v>
      </c>
      <c r="L235" s="65" t="e">
        <f>IF(K43=1,IF(K$13&lt;=COUNT($C15:$CS15),IF(INDEX($F$206:$F$229,MATCH($B235,$B$206:$B$229,FALSE))=0,NA(),INDEX(K$14:K$37,MATCH($B235,$B$14:$B$37,FALSE))/INDEX($F$206:$F$229,MATCH($B235,$B$206:$B$229,FALSE))),NA()),NA())</f>
        <v>#N/A</v>
      </c>
      <c r="M235" s="65" t="e">
        <f>IF(L43=1,IF(L$13&lt;=COUNT($C15:$CS15),IF(INDEX($F$206:$F$229,MATCH($B235,$B$206:$B$229,FALSE))=0,NA(),INDEX(L$14:L$37,MATCH($B235,$B$14:$B$37,FALSE))/INDEX($F$206:$F$229,MATCH($B235,$B$206:$B$229,FALSE))),NA()),NA())</f>
        <v>#N/A</v>
      </c>
      <c r="N235" s="65" t="e">
        <f>IF(M43=1,IF(M$13&lt;=COUNT($C15:$CS15),IF(INDEX($F$206:$F$229,MATCH($B235,$B$206:$B$229,FALSE))=0,NA(),INDEX(M$14:M$37,MATCH($B235,$B$14:$B$37,FALSE))/INDEX($F$206:$F$229,MATCH($B235,$B$206:$B$229,FALSE))),NA()),NA())</f>
        <v>#N/A</v>
      </c>
      <c r="O235" s="65" t="e">
        <f>IF(N43=1,IF(N$13&lt;=COUNT($C15:$CS15),IF(INDEX($F$206:$F$229,MATCH($B235,$B$206:$B$229,FALSE))=0,NA(),INDEX(N$14:N$37,MATCH($B235,$B$14:$B$37,FALSE))/INDEX($F$206:$F$229,MATCH($B235,$B$206:$B$229,FALSE))),NA()),NA())</f>
        <v>#N/A</v>
      </c>
      <c r="P235" s="65" t="e">
        <f>IF(O43=1,IF(O$13&lt;=COUNT($C15:$CS15),IF(INDEX($F$206:$F$229,MATCH($B235,$B$206:$B$229,FALSE))=0,NA(),INDEX(O$14:O$37,MATCH($B235,$B$14:$B$37,FALSE))/INDEX($F$206:$F$229,MATCH($B235,$B$206:$B$229,FALSE))),NA()),NA())</f>
        <v>#N/A</v>
      </c>
      <c r="Q235" s="65" t="e">
        <f>IF(P43=1,IF(P$13&lt;=COUNT($C15:$CS15),IF(INDEX($F$206:$F$229,MATCH($B235,$B$206:$B$229,FALSE))=0,NA(),INDEX(P$14:P$37,MATCH($B235,$B$14:$B$37,FALSE))/INDEX($F$206:$F$229,MATCH($B235,$B$206:$B$229,FALSE))),NA()),NA())</f>
        <v>#N/A</v>
      </c>
      <c r="R235" s="65" t="e">
        <f>IF(Q43=1,IF(Q$13&lt;=COUNT($C15:$CS15),IF(INDEX($F$206:$F$229,MATCH($B235,$B$206:$B$229,FALSE))=0,NA(),INDEX(Q$14:Q$37,MATCH($B235,$B$14:$B$37,FALSE))/INDEX($F$206:$F$229,MATCH($B235,$B$206:$B$229,FALSE))),NA()),NA())</f>
        <v>#N/A</v>
      </c>
      <c r="S235" s="65" t="e">
        <f>IF(R43=1,IF(R$13&lt;=COUNT($C15:$CS15),IF(INDEX($F$206:$F$229,MATCH($B235,$B$206:$B$229,FALSE))=0,NA(),INDEX(R$14:R$37,MATCH($B235,$B$14:$B$37,FALSE))/INDEX($F$206:$F$229,MATCH($B235,$B$206:$B$229,FALSE))),NA()),NA())</f>
        <v>#N/A</v>
      </c>
      <c r="T235" s="65" t="e">
        <f>IF(S43=1,IF(S$13&lt;=COUNT($C15:$CS15),IF(INDEX($F$206:$F$229,MATCH($B235,$B$206:$B$229,FALSE))=0,NA(),INDEX(S$14:S$37,MATCH($B235,$B$14:$B$37,FALSE))/INDEX($F$206:$F$229,MATCH($B235,$B$206:$B$229,FALSE))),NA()),NA())</f>
        <v>#N/A</v>
      </c>
      <c r="U235" s="65" t="e">
        <f>IF(T43=1,IF(T$13&lt;=COUNT($C15:$CS15),IF(INDEX($F$206:$F$229,MATCH($B235,$B$206:$B$229,FALSE))=0,NA(),INDEX(T$14:T$37,MATCH($B235,$B$14:$B$37,FALSE))/INDEX($F$206:$F$229,MATCH($B235,$B$206:$B$229,FALSE))),NA()),NA())</f>
        <v>#N/A</v>
      </c>
      <c r="V235" s="65" t="e">
        <f>IF(U43=1,IF(U$13&lt;=COUNT($C15:$CS15),IF(INDEX($F$206:$F$229,MATCH($B235,$B$206:$B$229,FALSE))=0,NA(),INDEX(U$14:U$37,MATCH($B235,$B$14:$B$37,FALSE))/INDEX($F$206:$F$229,MATCH($B235,$B$206:$B$229,FALSE))),NA()),NA())</f>
        <v>#N/A</v>
      </c>
      <c r="W235" s="65" t="e">
        <f>IF(V43=1,IF(V$13&lt;=COUNT($C15:$CS15),IF(INDEX($F$206:$F$229,MATCH($B235,$B$206:$B$229,FALSE))=0,NA(),INDEX(V$14:V$37,MATCH($B235,$B$14:$B$37,FALSE))/INDEX($F$206:$F$229,MATCH($B235,$B$206:$B$229,FALSE))),NA()),NA())</f>
        <v>#N/A</v>
      </c>
      <c r="X235" s="65" t="e">
        <f>IF(W43=1,IF(W$13&lt;=COUNT($C15:$CS15),IF(INDEX($F$206:$F$229,MATCH($B235,$B$206:$B$229,FALSE))=0,NA(),INDEX(W$14:W$37,MATCH($B235,$B$14:$B$37,FALSE))/INDEX($F$206:$F$229,MATCH($B235,$B$206:$B$229,FALSE))),NA()),NA())</f>
        <v>#N/A</v>
      </c>
      <c r="Y235" s="65" t="e">
        <f>IF(X43=1,IF(X$13&lt;=COUNT($C15:$CS15),IF(INDEX($F$206:$F$229,MATCH($B235,$B$206:$B$229,FALSE))=0,NA(),INDEX(X$14:X$37,MATCH($B235,$B$14:$B$37,FALSE))/INDEX($F$206:$F$229,MATCH($B235,$B$206:$B$229,FALSE))),NA()),NA())</f>
        <v>#N/A</v>
      </c>
      <c r="Z235" s="65" t="e">
        <f>IF(Y43=1,IF(Y$13&lt;=COUNT($C15:$CS15),IF(INDEX($F$206:$F$229,MATCH($B235,$B$206:$B$229,FALSE))=0,NA(),INDEX(Y$14:Y$37,MATCH($B235,$B$14:$B$37,FALSE))/INDEX($F$206:$F$229,MATCH($B235,$B$206:$B$229,FALSE))),NA()),NA())</f>
        <v>#N/A</v>
      </c>
      <c r="AA235" s="65" t="e">
        <f>IF(Z43=1,IF(Z$13&lt;=COUNT($C15:$CS15),IF(INDEX($F$206:$F$229,MATCH($B235,$B$206:$B$229,FALSE))=0,NA(),INDEX(Z$14:Z$37,MATCH($B235,$B$14:$B$37,FALSE))/INDEX($F$206:$F$229,MATCH($B235,$B$206:$B$229,FALSE))),NA()),NA())</f>
        <v>#N/A</v>
      </c>
      <c r="AB235" s="65" t="e">
        <f>IF(AA43=1,IF(AA$13&lt;=COUNT($C15:$CS15),IF(INDEX($F$206:$F$229,MATCH($B235,$B$206:$B$229,FALSE))=0,NA(),INDEX(AA$14:AA$37,MATCH($B235,$B$14:$B$37,FALSE))/INDEX($F$206:$F$229,MATCH($B235,$B$206:$B$229,FALSE))),NA()),NA())</f>
        <v>#N/A</v>
      </c>
      <c r="AC235" s="65" t="e">
        <f>IF(AB43=1,IF(AB$13&lt;=COUNT($C15:$CS15),IF(INDEX($F$206:$F$229,MATCH($B235,$B$206:$B$229,FALSE))=0,NA(),INDEX(AB$14:AB$37,MATCH($B235,$B$14:$B$37,FALSE))/INDEX($F$206:$F$229,MATCH($B235,$B$206:$B$229,FALSE))),NA()),NA())</f>
        <v>#N/A</v>
      </c>
      <c r="AD235" s="65" t="e">
        <f>IF(AC43=1,IF(AC$13&lt;=COUNT($C15:$CS15),IF(INDEX($F$206:$F$229,MATCH($B235,$B$206:$B$229,FALSE))=0,NA(),INDEX(AC$14:AC$37,MATCH($B235,$B$14:$B$37,FALSE))/INDEX($F$206:$F$229,MATCH($B235,$B$206:$B$229,FALSE))),NA()),NA())</f>
        <v>#N/A</v>
      </c>
      <c r="AE235" s="65" t="e">
        <f>IF(AD43=1,IF(AD$13&lt;=COUNT($C15:$CS15),IF(INDEX($F$206:$F$229,MATCH($B235,$B$206:$B$229,FALSE))=0,NA(),INDEX(AD$14:AD$37,MATCH($B235,$B$14:$B$37,FALSE))/INDEX($F$206:$F$229,MATCH($B235,$B$206:$B$229,FALSE))),NA()),NA())</f>
        <v>#N/A</v>
      </c>
      <c r="AF235" s="65" t="e">
        <f>IF(AE43=1,IF(AE$13&lt;=COUNT($C15:$CS15),IF(INDEX($F$206:$F$229,MATCH($B235,$B$206:$B$229,FALSE))=0,NA(),INDEX(AE$14:AE$37,MATCH($B235,$B$14:$B$37,FALSE))/INDEX($F$206:$F$229,MATCH($B235,$B$206:$B$229,FALSE))),NA()),NA())</f>
        <v>#N/A</v>
      </c>
      <c r="AG235" s="65" t="e">
        <f>IF(AF43=1,IF(AF$13&lt;=COUNT($C15:$CS15),IF(INDEX($F$206:$F$229,MATCH($B235,$B$206:$B$229,FALSE))=0,NA(),INDEX(AF$14:AF$37,MATCH($B235,$B$14:$B$37,FALSE))/INDEX($F$206:$F$229,MATCH($B235,$B$206:$B$229,FALSE))),NA()),NA())</f>
        <v>#N/A</v>
      </c>
      <c r="AH235" s="65" t="e">
        <f>IF(AG43=1,IF(AG$13&lt;=COUNT($C15:$CS15),IF(INDEX($F$206:$F$229,MATCH($B235,$B$206:$B$229,FALSE))=0,NA(),INDEX(AG$14:AG$37,MATCH($B235,$B$14:$B$37,FALSE))/INDEX($F$206:$F$229,MATCH($B235,$B$206:$B$229,FALSE))),NA()),NA())</f>
        <v>#N/A</v>
      </c>
      <c r="AI235" s="65" t="e">
        <f>IF(AH43=1,IF(AH$13&lt;=COUNT($C15:$CS15),IF(INDEX($F$206:$F$229,MATCH($B235,$B$206:$B$229,FALSE))=0,NA(),INDEX(AH$14:AH$37,MATCH($B235,$B$14:$B$37,FALSE))/INDEX($F$206:$F$229,MATCH($B235,$B$206:$B$229,FALSE))),NA()),NA())</f>
        <v>#N/A</v>
      </c>
      <c r="AJ235" s="65" t="e">
        <f>IF(AI43=1,IF(AI$13&lt;=COUNT($C15:$CS15),IF(INDEX($F$206:$F$229,MATCH($B235,$B$206:$B$229,FALSE))=0,NA(),INDEX(AI$14:AI$37,MATCH($B235,$B$14:$B$37,FALSE))/INDEX($F$206:$F$229,MATCH($B235,$B$206:$B$229,FALSE))),NA()),NA())</f>
        <v>#N/A</v>
      </c>
      <c r="AK235" s="65" t="e">
        <f>IF(AJ43=1,IF(AJ$13&lt;=COUNT($C15:$CS15),IF(INDEX($F$206:$F$229,MATCH($B235,$B$206:$B$229,FALSE))=0,NA(),INDEX(AJ$14:AJ$37,MATCH($B235,$B$14:$B$37,FALSE))/INDEX($F$206:$F$229,MATCH($B235,$B$206:$B$229,FALSE))),NA()),NA())</f>
        <v>#N/A</v>
      </c>
      <c r="AL235" s="65" t="e">
        <f>IF(AK43=1,IF(AK$13&lt;=COUNT($C15:$CS15),IF(INDEX($F$206:$F$229,MATCH($B235,$B$206:$B$229,FALSE))=0,NA(),INDEX(AK$14:AK$37,MATCH($B235,$B$14:$B$37,FALSE))/INDEX($F$206:$F$229,MATCH($B235,$B$206:$B$229,FALSE))),NA()),NA())</f>
        <v>#N/A</v>
      </c>
      <c r="AM235" s="65" t="e">
        <f>IF(AL43=1,IF(AL$13&lt;=COUNT($C15:$CS15),IF(INDEX($F$206:$F$229,MATCH($B235,$B$206:$B$229,FALSE))=0,NA(),INDEX(AL$14:AL$37,MATCH($B235,$B$14:$B$37,FALSE))/INDEX($F$206:$F$229,MATCH($B235,$B$206:$B$229,FALSE))),NA()),NA())</f>
        <v>#N/A</v>
      </c>
      <c r="AN235" s="65" t="e">
        <f>IF(AM43=1,IF(AM$13&lt;=COUNT($C15:$CS15),IF(INDEX($F$206:$F$229,MATCH($B235,$B$206:$B$229,FALSE))=0,NA(),INDEX(AM$14:AM$37,MATCH($B235,$B$14:$B$37,FALSE))/INDEX($F$206:$F$229,MATCH($B235,$B$206:$B$229,FALSE))),NA()),NA())</f>
        <v>#N/A</v>
      </c>
      <c r="AO235" s="65" t="e">
        <f>IF(AN43=1,IF(AN$13&lt;=COUNT($C15:$CS15),IF(INDEX($F$206:$F$229,MATCH($B235,$B$206:$B$229,FALSE))=0,NA(),INDEX(AN$14:AN$37,MATCH($B235,$B$14:$B$37,FALSE))/INDEX($F$206:$F$229,MATCH($B235,$B$206:$B$229,FALSE))),NA()),NA())</f>
        <v>#N/A</v>
      </c>
      <c r="AP235" s="65" t="e">
        <f>IF(AO43=1,IF(AO$13&lt;=COUNT($C15:$CS15),IF(INDEX($F$206:$F$229,MATCH($B235,$B$206:$B$229,FALSE))=0,NA(),INDEX(AO$14:AO$37,MATCH($B235,$B$14:$B$37,FALSE))/INDEX($F$206:$F$229,MATCH($B235,$B$206:$B$229,FALSE))),NA()),NA())</f>
        <v>#N/A</v>
      </c>
      <c r="AQ235" s="65" t="e">
        <f>IF(AP43=1,IF(AP$13&lt;=COUNT($C15:$CS15),IF(INDEX($F$206:$F$229,MATCH($B235,$B$206:$B$229,FALSE))=0,NA(),INDEX(AP$14:AP$37,MATCH($B235,$B$14:$B$37,FALSE))/INDEX($F$206:$F$229,MATCH($B235,$B$206:$B$229,FALSE))),NA()),NA())</f>
        <v>#N/A</v>
      </c>
      <c r="AR235" s="65" t="e">
        <f>IF(AQ43=1,IF(AQ$13&lt;=COUNT($C15:$CS15),IF(INDEX($F$206:$F$229,MATCH($B235,$B$206:$B$229,FALSE))=0,NA(),INDEX(AQ$14:AQ$37,MATCH($B235,$B$14:$B$37,FALSE))/INDEX($F$206:$F$229,MATCH($B235,$B$206:$B$229,FALSE))),NA()),NA())</f>
        <v>#N/A</v>
      </c>
      <c r="AS235" s="65" t="e">
        <f>IF(AR43=1,IF(AR$13&lt;=COUNT($C15:$CS15),IF(INDEX($F$206:$F$229,MATCH($B235,$B$206:$B$229,FALSE))=0,NA(),INDEX(AR$14:AR$37,MATCH($B235,$B$14:$B$37,FALSE))/INDEX($F$206:$F$229,MATCH($B235,$B$206:$B$229,FALSE))),NA()),NA())</f>
        <v>#N/A</v>
      </c>
      <c r="AT235" s="65" t="e">
        <f>IF(AS43=1,IF(AS$13&lt;=COUNT($C15:$CS15),IF(INDEX($F$206:$F$229,MATCH($B235,$B$206:$B$229,FALSE))=0,NA(),INDEX(AS$14:AS$37,MATCH($B235,$B$14:$B$37,FALSE))/INDEX($F$206:$F$229,MATCH($B235,$B$206:$B$229,FALSE))),NA()),NA())</f>
        <v>#N/A</v>
      </c>
      <c r="AU235" s="65" t="e">
        <f>IF(AT43=1,IF(AT$13&lt;=COUNT($C15:$CS15),IF(INDEX($F$206:$F$229,MATCH($B235,$B$206:$B$229,FALSE))=0,NA(),INDEX(AT$14:AT$37,MATCH($B235,$B$14:$B$37,FALSE))/INDEX($F$206:$F$229,MATCH($B235,$B$206:$B$229,FALSE))),NA()),NA())</f>
        <v>#N/A</v>
      </c>
      <c r="AV235" s="65" t="e">
        <f>IF(AU43=1,IF(AU$13&lt;=COUNT($C15:$CS15),IF(INDEX($F$206:$F$229,MATCH($B235,$B$206:$B$229,FALSE))=0,NA(),INDEX(AU$14:AU$37,MATCH($B235,$B$14:$B$37,FALSE))/INDEX($F$206:$F$229,MATCH($B235,$B$206:$B$229,FALSE))),NA()),NA())</f>
        <v>#N/A</v>
      </c>
      <c r="AW235" s="65" t="e">
        <f>IF(AV43=1,IF(AV$13&lt;=COUNT($C15:$CS15),IF(INDEX($F$206:$F$229,MATCH($B235,$B$206:$B$229,FALSE))=0,NA(),INDEX(AV$14:AV$37,MATCH($B235,$B$14:$B$37,FALSE))/INDEX($F$206:$F$229,MATCH($B235,$B$206:$B$229,FALSE))),NA()),NA())</f>
        <v>#N/A</v>
      </c>
      <c r="AX235" s="65" t="e">
        <f>IF(AW43=1,IF(AW$13&lt;=COUNT($C15:$CS15),IF(INDEX($F$206:$F$229,MATCH($B235,$B$206:$B$229,FALSE))=0,NA(),INDEX(AW$14:AW$37,MATCH($B235,$B$14:$B$37,FALSE))/INDEX($F$206:$F$229,MATCH($B235,$B$206:$B$229,FALSE))),NA()),NA())</f>
        <v>#N/A</v>
      </c>
      <c r="AY235" s="65" t="e">
        <f>IF(AX43=1,IF(AX$13&lt;=COUNT($C15:$CS15),IF(INDEX($F$206:$F$229,MATCH($B235,$B$206:$B$229,FALSE))=0,NA(),INDEX(AX$14:AX$37,MATCH($B235,$B$14:$B$37,FALSE))/INDEX($F$206:$F$229,MATCH($B235,$B$206:$B$229,FALSE))),NA()),NA())</f>
        <v>#N/A</v>
      </c>
      <c r="AZ235" s="65" t="e">
        <f>IF(AY43=1,IF(AY$13&lt;=COUNT($C15:$CS15),IF(INDEX($F$206:$F$229,MATCH($B235,$B$206:$B$229,FALSE))=0,NA(),INDEX(AY$14:AY$37,MATCH($B235,$B$14:$B$37,FALSE))/INDEX($F$206:$F$229,MATCH($B235,$B$206:$B$229,FALSE))),NA()),NA())</f>
        <v>#N/A</v>
      </c>
      <c r="BA235" s="65" t="e">
        <f>IF(AZ43=1,IF(AZ$13&lt;=COUNT($C15:$CS15),IF(INDEX($F$206:$F$229,MATCH($B235,$B$206:$B$229,FALSE))=0,NA(),INDEX(AZ$14:AZ$37,MATCH($B235,$B$14:$B$37,FALSE))/INDEX($F$206:$F$229,MATCH($B235,$B$206:$B$229,FALSE))),NA()),NA())</f>
        <v>#N/A</v>
      </c>
      <c r="BB235" s="65" t="e">
        <f>IF(BA43=1,IF(BA$13&lt;=COUNT($C15:$CS15),IF(INDEX($F$206:$F$229,MATCH($B235,$B$206:$B$229,FALSE))=0,NA(),INDEX(BA$14:BA$37,MATCH($B235,$B$14:$B$37,FALSE))/INDEX($F$206:$F$229,MATCH($B235,$B$206:$B$229,FALSE))),NA()),NA())</f>
        <v>#N/A</v>
      </c>
      <c r="BC235" s="65" t="e">
        <f>IF(BB43=1,IF(BB$13&lt;=COUNT($C15:$CS15),IF(INDEX($F$206:$F$229,MATCH($B235,$B$206:$B$229,FALSE))=0,NA(),INDEX(BB$14:BB$37,MATCH($B235,$B$14:$B$37,FALSE))/INDEX($F$206:$F$229,MATCH($B235,$B$206:$B$229,FALSE))),NA()),NA())</f>
        <v>#N/A</v>
      </c>
      <c r="BD235" s="65" t="e">
        <f>IF(BC43=1,IF(BC$13&lt;=COUNT($C15:$CS15),IF(INDEX($F$206:$F$229,MATCH($B235,$B$206:$B$229,FALSE))=0,NA(),INDEX(BC$14:BC$37,MATCH($B235,$B$14:$B$37,FALSE))/INDEX($F$206:$F$229,MATCH($B235,$B$206:$B$229,FALSE))),NA()),NA())</f>
        <v>#N/A</v>
      </c>
      <c r="BE235" s="65" t="e">
        <f>IF(BD43=1,IF(BD$13&lt;=COUNT($C15:$CS15),IF(INDEX($F$206:$F$229,MATCH($B235,$B$206:$B$229,FALSE))=0,NA(),INDEX(BD$14:BD$37,MATCH($B235,$B$14:$B$37,FALSE))/INDEX($F$206:$F$229,MATCH($B235,$B$206:$B$229,FALSE))),NA()),NA())</f>
        <v>#N/A</v>
      </c>
      <c r="BF235" s="65" t="e">
        <f>IF(BE43=1,IF(BE$13&lt;=COUNT($C15:$CS15),IF(INDEX($F$206:$F$229,MATCH($B235,$B$206:$B$229,FALSE))=0,NA(),INDEX(BE$14:BE$37,MATCH($B235,$B$14:$B$37,FALSE))/INDEX($F$206:$F$229,MATCH($B235,$B$206:$B$229,FALSE))),NA()),NA())</f>
        <v>#N/A</v>
      </c>
      <c r="BG235" s="65" t="e">
        <f>IF(BF43=1,IF(BF$13&lt;=COUNT($C15:$CS15),IF(INDEX($F$206:$F$229,MATCH($B235,$B$206:$B$229,FALSE))=0,NA(),INDEX(BF$14:BF$37,MATCH($B235,$B$14:$B$37,FALSE))/INDEX($F$206:$F$229,MATCH($B235,$B$206:$B$229,FALSE))),NA()),NA())</f>
        <v>#N/A</v>
      </c>
      <c r="BH235" s="65" t="e">
        <f>IF(BG43=1,IF(BG$13&lt;=COUNT($C15:$CS15),IF(INDEX($F$206:$F$229,MATCH($B235,$B$206:$B$229,FALSE))=0,NA(),INDEX(BG$14:BG$37,MATCH($B235,$B$14:$B$37,FALSE))/INDEX($F$206:$F$229,MATCH($B235,$B$206:$B$229,FALSE))),NA()),NA())</f>
        <v>#N/A</v>
      </c>
      <c r="BI235" s="65" t="e">
        <f>IF(BH43=1,IF(BH$13&lt;=COUNT($C15:$CS15),IF(INDEX($F$206:$F$229,MATCH($B235,$B$206:$B$229,FALSE))=0,NA(),INDEX(BH$14:BH$37,MATCH($B235,$B$14:$B$37,FALSE))/INDEX($F$206:$F$229,MATCH($B235,$B$206:$B$229,FALSE))),NA()),NA())</f>
        <v>#N/A</v>
      </c>
      <c r="BJ235" s="65" t="e">
        <f>IF(BI43=1,IF(BI$13&lt;=COUNT($C15:$CS15),IF(INDEX($F$206:$F$229,MATCH($B235,$B$206:$B$229,FALSE))=0,NA(),INDEX(BI$14:BI$37,MATCH($B235,$B$14:$B$37,FALSE))/INDEX($F$206:$F$229,MATCH($B235,$B$206:$B$229,FALSE))),NA()),NA())</f>
        <v>#N/A</v>
      </c>
      <c r="BK235" s="65" t="e">
        <f>IF(BJ43=1,IF(BJ$13&lt;=COUNT($C15:$CS15),IF(INDEX($F$206:$F$229,MATCH($B235,$B$206:$B$229,FALSE))=0,NA(),INDEX(BJ$14:BJ$37,MATCH($B235,$B$14:$B$37,FALSE))/INDEX($F$206:$F$229,MATCH($B235,$B$206:$B$229,FALSE))),NA()),NA())</f>
        <v>#N/A</v>
      </c>
      <c r="BL235" s="65" t="e">
        <f>IF(BK43=1,IF(BK$13&lt;=COUNT($C15:$CS15),IF(INDEX($F$206:$F$229,MATCH($B235,$B$206:$B$229,FALSE))=0,NA(),INDEX(BK$14:BK$37,MATCH($B235,$B$14:$B$37,FALSE))/INDEX($F$206:$F$229,MATCH($B235,$B$206:$B$229,FALSE))),NA()),NA())</f>
        <v>#N/A</v>
      </c>
      <c r="BM235" s="65" t="e">
        <f>IF(BL43=1,IF(BL$13&lt;=COUNT($C15:$CS15),IF(INDEX($F$206:$F$229,MATCH($B235,$B$206:$B$229,FALSE))=0,NA(),INDEX(BL$14:BL$37,MATCH($B235,$B$14:$B$37,FALSE))/INDEX($F$206:$F$229,MATCH($B235,$B$206:$B$229,FALSE))),NA()),NA())</f>
        <v>#N/A</v>
      </c>
      <c r="BN235" s="65" t="e">
        <f>IF(BM43=1,IF(BM$13&lt;=COUNT($C15:$CS15),IF(INDEX($F$206:$F$229,MATCH($B235,$B$206:$B$229,FALSE))=0,NA(),INDEX(BM$14:BM$37,MATCH($B235,$B$14:$B$37,FALSE))/INDEX($F$206:$F$229,MATCH($B235,$B$206:$B$229,FALSE))),NA()),NA())</f>
        <v>#N/A</v>
      </c>
      <c r="BO235" s="65" t="e">
        <f>IF(BN43=1,IF(BN$13&lt;=COUNT($C15:$CS15),IF(INDEX($F$206:$F$229,MATCH($B235,$B$206:$B$229,FALSE))=0,NA(),INDEX(BN$14:BN$37,MATCH($B235,$B$14:$B$37,FALSE))/INDEX($F$206:$F$229,MATCH($B235,$B$206:$B$229,FALSE))),NA()),NA())</f>
        <v>#N/A</v>
      </c>
      <c r="BP235" s="65" t="e">
        <f>IF(BO43=1,IF(BO$13&lt;=COUNT($C15:$CS15),IF(INDEX($F$206:$F$229,MATCH($B235,$B$206:$B$229,FALSE))=0,NA(),INDEX(BO$14:BO$37,MATCH($B235,$B$14:$B$37,FALSE))/INDEX($F$206:$F$229,MATCH($B235,$B$206:$B$229,FALSE))),NA()),NA())</f>
        <v>#N/A</v>
      </c>
      <c r="BQ235" s="65" t="e">
        <f>IF(BP43=1,IF(BP$13&lt;=COUNT($C15:$CS15),IF(INDEX($F$206:$F$229,MATCH($B235,$B$206:$B$229,FALSE))=0,NA(),INDEX(BP$14:BP$37,MATCH($B235,$B$14:$B$37,FALSE))/INDEX($F$206:$F$229,MATCH($B235,$B$206:$B$229,FALSE))),NA()),NA())</f>
        <v>#N/A</v>
      </c>
      <c r="BR235" s="65" t="e">
        <f>IF(BQ43=1,IF(BQ$13&lt;=COUNT($C15:$CS15),IF(INDEX($F$206:$F$229,MATCH($B235,$B$206:$B$229,FALSE))=0,NA(),INDEX(BQ$14:BQ$37,MATCH($B235,$B$14:$B$37,FALSE))/INDEX($F$206:$F$229,MATCH($B235,$B$206:$B$229,FALSE))),NA()),NA())</f>
        <v>#N/A</v>
      </c>
      <c r="BS235" s="65" t="e">
        <f>IF(BR43=1,IF(BR$13&lt;=COUNT($C15:$CS15),IF(INDEX($F$206:$F$229,MATCH($B235,$B$206:$B$229,FALSE))=0,NA(),INDEX(BR$14:BR$37,MATCH($B235,$B$14:$B$37,FALSE))/INDEX($F$206:$F$229,MATCH($B235,$B$206:$B$229,FALSE))),NA()),NA())</f>
        <v>#N/A</v>
      </c>
      <c r="BT235" s="65" t="e">
        <f>IF(BS43=1,IF(BS$13&lt;=COUNT($C15:$CS15),IF(INDEX($F$206:$F$229,MATCH($B235,$B$206:$B$229,FALSE))=0,NA(),INDEX(BS$14:BS$37,MATCH($B235,$B$14:$B$37,FALSE))/INDEX($F$206:$F$229,MATCH($B235,$B$206:$B$229,FALSE))),NA()),NA())</f>
        <v>#N/A</v>
      </c>
      <c r="BU235" s="65" t="e">
        <f>IF(BT43=1,IF(BT$13&lt;=COUNT($C15:$CS15),IF(INDEX($F$206:$F$229,MATCH($B235,$B$206:$B$229,FALSE))=0,NA(),INDEX(BT$14:BT$37,MATCH($B235,$B$14:$B$37,FALSE))/INDEX($F$206:$F$229,MATCH($B235,$B$206:$B$229,FALSE))),NA()),NA())</f>
        <v>#N/A</v>
      </c>
      <c r="BV235" s="65" t="e">
        <f>IF(BU43=1,IF(BU$13&lt;=COUNT($C15:$CS15),IF(INDEX($F$206:$F$229,MATCH($B235,$B$206:$B$229,FALSE))=0,NA(),INDEX(BU$14:BU$37,MATCH($B235,$B$14:$B$37,FALSE))/INDEX($F$206:$F$229,MATCH($B235,$B$206:$B$229,FALSE))),NA()),NA())</f>
        <v>#N/A</v>
      </c>
      <c r="BW235" s="65" t="e">
        <f>IF(BV43=1,IF(BV$13&lt;=COUNT($C15:$CS15),IF(INDEX($F$206:$F$229,MATCH($B235,$B$206:$B$229,FALSE))=0,NA(),INDEX(BV$14:BV$37,MATCH($B235,$B$14:$B$37,FALSE))/INDEX($F$206:$F$229,MATCH($B235,$B$206:$B$229,FALSE))),NA()),NA())</f>
        <v>#N/A</v>
      </c>
      <c r="BX235" s="65" t="e">
        <f>IF(BW43=1,IF(BW$13&lt;=COUNT($C15:$CS15),IF(INDEX($F$206:$F$229,MATCH($B235,$B$206:$B$229,FALSE))=0,NA(),INDEX(BW$14:BW$37,MATCH($B235,$B$14:$B$37,FALSE))/INDEX($F$206:$F$229,MATCH($B235,$B$206:$B$229,FALSE))),NA()),NA())</f>
        <v>#N/A</v>
      </c>
      <c r="BY235" s="65" t="e">
        <f>IF(BX43=1,IF(BX$13&lt;=COUNT($C15:$CS15),IF(INDEX($F$206:$F$229,MATCH($B235,$B$206:$B$229,FALSE))=0,NA(),INDEX(BX$14:BX$37,MATCH($B235,$B$14:$B$37,FALSE))/INDEX($F$206:$F$229,MATCH($B235,$B$206:$B$229,FALSE))),NA()),NA())</f>
        <v>#N/A</v>
      </c>
      <c r="BZ235" s="65" t="e">
        <f>IF(BY43=1,IF(BY$13&lt;=COUNT($C15:$CS15),IF(INDEX($F$206:$F$229,MATCH($B235,$B$206:$B$229,FALSE))=0,NA(),INDEX(BY$14:BY$37,MATCH($B235,$B$14:$B$37,FALSE))/INDEX($F$206:$F$229,MATCH($B235,$B$206:$B$229,FALSE))),NA()),NA())</f>
        <v>#N/A</v>
      </c>
      <c r="CA235" s="65" t="e">
        <f>IF(BZ43=1,IF(BZ$13&lt;=COUNT($C15:$CS15),IF(INDEX($F$206:$F$229,MATCH($B235,$B$206:$B$229,FALSE))=0,NA(),INDEX(BZ$14:BZ$37,MATCH($B235,$B$14:$B$37,FALSE))/INDEX($F$206:$F$229,MATCH($B235,$B$206:$B$229,FALSE))),NA()),NA())</f>
        <v>#N/A</v>
      </c>
      <c r="CB235" s="65" t="e">
        <f>IF(CA43=1,IF(CA$13&lt;=COUNT($C15:$CS15),IF(INDEX($F$206:$F$229,MATCH($B235,$B$206:$B$229,FALSE))=0,NA(),INDEX(CA$14:CA$37,MATCH($B235,$B$14:$B$37,FALSE))/INDEX($F$206:$F$229,MATCH($B235,$B$206:$B$229,FALSE))),NA()),NA())</f>
        <v>#N/A</v>
      </c>
      <c r="CC235" s="65" t="e">
        <f>IF(CB43=1,IF(CB$13&lt;=COUNT($C15:$CS15),IF(INDEX($F$206:$F$229,MATCH($B235,$B$206:$B$229,FALSE))=0,NA(),INDEX(CB$14:CB$37,MATCH($B235,$B$14:$B$37,FALSE))/INDEX($F$206:$F$229,MATCH($B235,$B$206:$B$229,FALSE))),NA()),NA())</f>
        <v>#N/A</v>
      </c>
      <c r="CD235" s="65" t="e">
        <f>IF(CC43=1,IF(CC$13&lt;=COUNT($C15:$CS15),IF(INDEX($F$206:$F$229,MATCH($B235,$B$206:$B$229,FALSE))=0,NA(),INDEX(CC$14:CC$37,MATCH($B235,$B$14:$B$37,FALSE))/INDEX($F$206:$F$229,MATCH($B235,$B$206:$B$229,FALSE))),NA()),NA())</f>
        <v>#N/A</v>
      </c>
      <c r="CE235" s="65" t="e">
        <f>IF(CD43=1,IF(CD$13&lt;=COUNT($C15:$CS15),IF(INDEX($F$206:$F$229,MATCH($B235,$B$206:$B$229,FALSE))=0,NA(),INDEX(CD$14:CD$37,MATCH($B235,$B$14:$B$37,FALSE))/INDEX($F$206:$F$229,MATCH($B235,$B$206:$B$229,FALSE))),NA()),NA())</f>
        <v>#N/A</v>
      </c>
      <c r="CF235" s="65" t="e">
        <f>IF(CE43=1,IF(CE$13&lt;=COUNT($C15:$CS15),IF(INDEX($F$206:$F$229,MATCH($B235,$B$206:$B$229,FALSE))=0,NA(),INDEX(CE$14:CE$37,MATCH($B235,$B$14:$B$37,FALSE))/INDEX($F$206:$F$229,MATCH($B235,$B$206:$B$229,FALSE))),NA()),NA())</f>
        <v>#N/A</v>
      </c>
      <c r="CG235" s="65" t="e">
        <f>IF(CF43=1,IF(CF$13&lt;=COUNT($C15:$CS15),IF(INDEX($F$206:$F$229,MATCH($B235,$B$206:$B$229,FALSE))=0,NA(),INDEX(CF$14:CF$37,MATCH($B235,$B$14:$B$37,FALSE))/INDEX($F$206:$F$229,MATCH($B235,$B$206:$B$229,FALSE))),NA()),NA())</f>
        <v>#N/A</v>
      </c>
      <c r="CH235" s="65" t="e">
        <f>IF(CG43=1,IF(CG$13&lt;=COUNT($C15:$CS15),IF(INDEX($F$206:$F$229,MATCH($B235,$B$206:$B$229,FALSE))=0,NA(),INDEX(CG$14:CG$37,MATCH($B235,$B$14:$B$37,FALSE))/INDEX($F$206:$F$229,MATCH($B235,$B$206:$B$229,FALSE))),NA()),NA())</f>
        <v>#N/A</v>
      </c>
      <c r="CI235" s="65" t="e">
        <f>IF(CH43=1,IF(CH$13&lt;=COUNT($C15:$CS15),IF(INDEX($F$206:$F$229,MATCH($B235,$B$206:$B$229,FALSE))=0,NA(),INDEX(CH$14:CH$37,MATCH($B235,$B$14:$B$37,FALSE))/INDEX($F$206:$F$229,MATCH($B235,$B$206:$B$229,FALSE))),NA()),NA())</f>
        <v>#N/A</v>
      </c>
      <c r="CJ235" s="65" t="e">
        <f>IF(CI43=1,IF(CI$13&lt;=COUNT($C15:$CS15),IF(INDEX($F$206:$F$229,MATCH($B235,$B$206:$B$229,FALSE))=0,NA(),INDEX(CI$14:CI$37,MATCH($B235,$B$14:$B$37,FALSE))/INDEX($F$206:$F$229,MATCH($B235,$B$206:$B$229,FALSE))),NA()),NA())</f>
        <v>#N/A</v>
      </c>
      <c r="CK235" s="65" t="e">
        <f>IF(CJ43=1,IF(CJ$13&lt;=COUNT($C15:$CS15),IF(INDEX($F$206:$F$229,MATCH($B235,$B$206:$B$229,FALSE))=0,NA(),INDEX(CJ$14:CJ$37,MATCH($B235,$B$14:$B$37,FALSE))/INDEX($F$206:$F$229,MATCH($B235,$B$206:$B$229,FALSE))),NA()),NA())</f>
        <v>#N/A</v>
      </c>
      <c r="CL235" s="65" t="e">
        <f>IF(CK43=1,IF(CK$13&lt;=COUNT($C15:$CS15),IF(INDEX($F$206:$F$229,MATCH($B235,$B$206:$B$229,FALSE))=0,NA(),INDEX(CK$14:CK$37,MATCH($B235,$B$14:$B$37,FALSE))/INDEX($F$206:$F$229,MATCH($B235,$B$206:$B$229,FALSE))),NA()),NA())</f>
        <v>#N/A</v>
      </c>
      <c r="CM235" s="65" t="e">
        <f>IF(CL43=1,IF(CL$13&lt;=COUNT($C15:$CS15),IF(INDEX($F$206:$F$229,MATCH($B235,$B$206:$B$229,FALSE))=0,NA(),INDEX(CL$14:CL$37,MATCH($B235,$B$14:$B$37,FALSE))/INDEX($F$206:$F$229,MATCH($B235,$B$206:$B$229,FALSE))),NA()),NA())</f>
        <v>#N/A</v>
      </c>
      <c r="CN235" s="65" t="e">
        <f>IF(CM43=1,IF(CM$13&lt;=COUNT($C15:$CS15),IF(INDEX($F$206:$F$229,MATCH($B235,$B$206:$B$229,FALSE))=0,NA(),INDEX(CM$14:CM$37,MATCH($B235,$B$14:$B$37,FALSE))/INDEX($F$206:$F$229,MATCH($B235,$B$206:$B$229,FALSE))),NA()),NA())</f>
        <v>#N/A</v>
      </c>
      <c r="CO235" s="65" t="e">
        <f>IF(CN43=1,IF(CN$13&lt;=COUNT($C15:$CS15),IF(INDEX($F$206:$F$229,MATCH($B235,$B$206:$B$229,FALSE))=0,NA(),INDEX(CN$14:CN$37,MATCH($B235,$B$14:$B$37,FALSE))/INDEX($F$206:$F$229,MATCH($B235,$B$206:$B$229,FALSE))),NA()),NA())</f>
        <v>#N/A</v>
      </c>
      <c r="CP235" s="65" t="e">
        <f>IF(CO43=1,IF(CO$13&lt;=COUNT($C15:$CS15),IF(INDEX($F$206:$F$229,MATCH($B235,$B$206:$B$229,FALSE))=0,NA(),INDEX(CO$14:CO$37,MATCH($B235,$B$14:$B$37,FALSE))/INDEX($F$206:$F$229,MATCH($B235,$B$206:$B$229,FALSE))),NA()),NA())</f>
        <v>#N/A</v>
      </c>
      <c r="CQ235" s="65" t="e">
        <f>IF(CP43=1,IF(CP$13&lt;=COUNT($C15:$CS15),IF(INDEX($F$206:$F$229,MATCH($B235,$B$206:$B$229,FALSE))=0,NA(),INDEX(CP$14:CP$37,MATCH($B235,$B$14:$B$37,FALSE))/INDEX($F$206:$F$229,MATCH($B235,$B$206:$B$229,FALSE))),NA()),NA())</f>
        <v>#N/A</v>
      </c>
      <c r="CR235" s="65" t="e">
        <f>IF(CQ43=1,IF(CQ$13&lt;=COUNT($C15:$CS15),IF(INDEX($F$206:$F$229,MATCH($B235,$B$206:$B$229,FALSE))=0,NA(),INDEX(CQ$14:CQ$37,MATCH($B235,$B$14:$B$37,FALSE))/INDEX($F$206:$F$229,MATCH($B235,$B$206:$B$229,FALSE))),NA()),NA())</f>
        <v>#N/A</v>
      </c>
      <c r="CS235" s="65" t="e">
        <f>IF(CR43=1,IF(CR$13&lt;=COUNT($C15:$CS15),IF(INDEX($F$206:$F$229,MATCH($B235,$B$206:$B$229,FALSE))=0,NA(),INDEX(CR$14:CR$37,MATCH($B235,$B$14:$B$37,FALSE))/INDEX($F$206:$F$229,MATCH($B235,$B$206:$B$229,FALSE))),NA()),NA())</f>
        <v>#N/A</v>
      </c>
      <c r="CT235" s="143"/>
      <c r="CU235" s="143"/>
      <c r="CV235" s="143"/>
      <c r="CW235" s="143"/>
    </row>
    <row r="236" spans="1:101" hidden="1" x14ac:dyDescent="0.25">
      <c r="A236" s="97">
        <f t="shared" si="105"/>
        <v>0</v>
      </c>
      <c r="B236" s="29">
        <f t="shared" si="104"/>
        <v>1998</v>
      </c>
      <c r="C236" s="154" t="str">
        <f t="shared" si="106"/>
        <v/>
      </c>
      <c r="D236" s="54" t="e">
        <f>IF(C44=1,IF(C$13&lt;=COUNT($C16:$CS16),IF(INDEX($F$206:$F$229,MATCH($B236,$B$206:$B$229,FALSE))=0,NA(),INDEX(C$14:C$37,MATCH($B236,$B$14:$B$37,FALSE))/INDEX($F$206:$F$229,MATCH($B236,$B$206:$B$229,FALSE))),NA()),NA())</f>
        <v>#N/A</v>
      </c>
      <c r="E236" s="65" t="e">
        <f>IF(D44=1,IF(D$13&lt;=COUNT($C16:$CS16),IF(INDEX($F$206:$F$229,MATCH($B236,$B$206:$B$229,FALSE))=0,NA(),INDEX(D$14:D$37,MATCH($B236,$B$14:$B$37,FALSE))/INDEX($F$206:$F$229,MATCH($B236,$B$206:$B$229,FALSE))),NA()),NA())</f>
        <v>#N/A</v>
      </c>
      <c r="F236" s="65" t="e">
        <f>IF(E44=1,IF(E$13&lt;=COUNT($C16:$CS16),IF(INDEX($F$206:$F$229,MATCH($B236,$B$206:$B$229,FALSE))=0,NA(),INDEX(E$14:E$37,MATCH($B236,$B$14:$B$37,FALSE))/INDEX($F$206:$F$229,MATCH($B236,$B$206:$B$229,FALSE))),NA()),NA())</f>
        <v>#N/A</v>
      </c>
      <c r="G236" s="65" t="e">
        <f>IF(F44=1,IF(F$13&lt;=COUNT($C16:$CS16),IF(INDEX($F$206:$F$229,MATCH($B236,$B$206:$B$229,FALSE))=0,NA(),INDEX(F$14:F$37,MATCH($B236,$B$14:$B$37,FALSE))/INDEX($F$206:$F$229,MATCH($B236,$B$206:$B$229,FALSE))),NA()),NA())</f>
        <v>#N/A</v>
      </c>
      <c r="H236" s="65" t="e">
        <f>IF(G44=1,IF(G$13&lt;=COUNT($C16:$CS16),IF(INDEX($F$206:$F$229,MATCH($B236,$B$206:$B$229,FALSE))=0,NA(),INDEX(G$14:G$37,MATCH($B236,$B$14:$B$37,FALSE))/INDEX($F$206:$F$229,MATCH($B236,$B$206:$B$229,FALSE))),NA()),NA())</f>
        <v>#N/A</v>
      </c>
      <c r="I236" s="65" t="e">
        <f>IF(H44=1,IF(H$13&lt;=COUNT($C16:$CS16),IF(INDEX($F$206:$F$229,MATCH($B236,$B$206:$B$229,FALSE))=0,NA(),INDEX(H$14:H$37,MATCH($B236,$B$14:$B$37,FALSE))/INDEX($F$206:$F$229,MATCH($B236,$B$206:$B$229,FALSE))),NA()),NA())</f>
        <v>#N/A</v>
      </c>
      <c r="J236" s="65" t="e">
        <f>IF(I44=1,IF(I$13&lt;=COUNT($C16:$CS16),IF(INDEX($F$206:$F$229,MATCH($B236,$B$206:$B$229,FALSE))=0,NA(),INDEX(I$14:I$37,MATCH($B236,$B$14:$B$37,FALSE))/INDEX($F$206:$F$229,MATCH($B236,$B$206:$B$229,FALSE))),NA()),NA())</f>
        <v>#N/A</v>
      </c>
      <c r="K236" s="65" t="e">
        <f>IF(J44=1,IF(J$13&lt;=COUNT($C16:$CS16),IF(INDEX($F$206:$F$229,MATCH($B236,$B$206:$B$229,FALSE))=0,NA(),INDEX(J$14:J$37,MATCH($B236,$B$14:$B$37,FALSE))/INDEX($F$206:$F$229,MATCH($B236,$B$206:$B$229,FALSE))),NA()),NA())</f>
        <v>#N/A</v>
      </c>
      <c r="L236" s="65" t="e">
        <f>IF(K44=1,IF(K$13&lt;=COUNT($C16:$CS16),IF(INDEX($F$206:$F$229,MATCH($B236,$B$206:$B$229,FALSE))=0,NA(),INDEX(K$14:K$37,MATCH($B236,$B$14:$B$37,FALSE))/INDEX($F$206:$F$229,MATCH($B236,$B$206:$B$229,FALSE))),NA()),NA())</f>
        <v>#N/A</v>
      </c>
      <c r="M236" s="65" t="e">
        <f>IF(L44=1,IF(L$13&lt;=COUNT($C16:$CS16),IF(INDEX($F$206:$F$229,MATCH($B236,$B$206:$B$229,FALSE))=0,NA(),INDEX(L$14:L$37,MATCH($B236,$B$14:$B$37,FALSE))/INDEX($F$206:$F$229,MATCH($B236,$B$206:$B$229,FALSE))),NA()),NA())</f>
        <v>#N/A</v>
      </c>
      <c r="N236" s="65" t="e">
        <f>IF(M44=1,IF(M$13&lt;=COUNT($C16:$CS16),IF(INDEX($F$206:$F$229,MATCH($B236,$B$206:$B$229,FALSE))=0,NA(),INDEX(M$14:M$37,MATCH($B236,$B$14:$B$37,FALSE))/INDEX($F$206:$F$229,MATCH($B236,$B$206:$B$229,FALSE))),NA()),NA())</f>
        <v>#N/A</v>
      </c>
      <c r="O236" s="65" t="e">
        <f>IF(N44=1,IF(N$13&lt;=COUNT($C16:$CS16),IF(INDEX($F$206:$F$229,MATCH($B236,$B$206:$B$229,FALSE))=0,NA(),INDEX(N$14:N$37,MATCH($B236,$B$14:$B$37,FALSE))/INDEX($F$206:$F$229,MATCH($B236,$B$206:$B$229,FALSE))),NA()),NA())</f>
        <v>#N/A</v>
      </c>
      <c r="P236" s="65" t="e">
        <f>IF(O44=1,IF(O$13&lt;=COUNT($C16:$CS16),IF(INDEX($F$206:$F$229,MATCH($B236,$B$206:$B$229,FALSE))=0,NA(),INDEX(O$14:O$37,MATCH($B236,$B$14:$B$37,FALSE))/INDEX($F$206:$F$229,MATCH($B236,$B$206:$B$229,FALSE))),NA()),NA())</f>
        <v>#N/A</v>
      </c>
      <c r="Q236" s="65" t="e">
        <f>IF(P44=1,IF(P$13&lt;=COUNT($C16:$CS16),IF(INDEX($F$206:$F$229,MATCH($B236,$B$206:$B$229,FALSE))=0,NA(),INDEX(P$14:P$37,MATCH($B236,$B$14:$B$37,FALSE))/INDEX($F$206:$F$229,MATCH($B236,$B$206:$B$229,FALSE))),NA()),NA())</f>
        <v>#N/A</v>
      </c>
      <c r="R236" s="65" t="e">
        <f>IF(Q44=1,IF(Q$13&lt;=COUNT($C16:$CS16),IF(INDEX($F$206:$F$229,MATCH($B236,$B$206:$B$229,FALSE))=0,NA(),INDEX(Q$14:Q$37,MATCH($B236,$B$14:$B$37,FALSE))/INDEX($F$206:$F$229,MATCH($B236,$B$206:$B$229,FALSE))),NA()),NA())</f>
        <v>#N/A</v>
      </c>
      <c r="S236" s="65" t="e">
        <f>IF(R44=1,IF(R$13&lt;=COUNT($C16:$CS16),IF(INDEX($F$206:$F$229,MATCH($B236,$B$206:$B$229,FALSE))=0,NA(),INDEX(R$14:R$37,MATCH($B236,$B$14:$B$37,FALSE))/INDEX($F$206:$F$229,MATCH($B236,$B$206:$B$229,FALSE))),NA()),NA())</f>
        <v>#N/A</v>
      </c>
      <c r="T236" s="65" t="e">
        <f>IF(S44=1,IF(S$13&lt;=COUNT($C16:$CS16),IF(INDEX($F$206:$F$229,MATCH($B236,$B$206:$B$229,FALSE))=0,NA(),INDEX(S$14:S$37,MATCH($B236,$B$14:$B$37,FALSE))/INDEX($F$206:$F$229,MATCH($B236,$B$206:$B$229,FALSE))),NA()),NA())</f>
        <v>#N/A</v>
      </c>
      <c r="U236" s="65" t="e">
        <f>IF(T44=1,IF(T$13&lt;=COUNT($C16:$CS16),IF(INDEX($F$206:$F$229,MATCH($B236,$B$206:$B$229,FALSE))=0,NA(),INDEX(T$14:T$37,MATCH($B236,$B$14:$B$37,FALSE))/INDEX($F$206:$F$229,MATCH($B236,$B$206:$B$229,FALSE))),NA()),NA())</f>
        <v>#N/A</v>
      </c>
      <c r="V236" s="65" t="e">
        <f>IF(U44=1,IF(U$13&lt;=COUNT($C16:$CS16),IF(INDEX($F$206:$F$229,MATCH($B236,$B$206:$B$229,FALSE))=0,NA(),INDEX(U$14:U$37,MATCH($B236,$B$14:$B$37,FALSE))/INDEX($F$206:$F$229,MATCH($B236,$B$206:$B$229,FALSE))),NA()),NA())</f>
        <v>#N/A</v>
      </c>
      <c r="W236" s="65" t="e">
        <f>IF(V44=1,IF(V$13&lt;=COUNT($C16:$CS16),IF(INDEX($F$206:$F$229,MATCH($B236,$B$206:$B$229,FALSE))=0,NA(),INDEX(V$14:V$37,MATCH($B236,$B$14:$B$37,FALSE))/INDEX($F$206:$F$229,MATCH($B236,$B$206:$B$229,FALSE))),NA()),NA())</f>
        <v>#N/A</v>
      </c>
      <c r="X236" s="65" t="e">
        <f>IF(W44=1,IF(W$13&lt;=COUNT($C16:$CS16),IF(INDEX($F$206:$F$229,MATCH($B236,$B$206:$B$229,FALSE))=0,NA(),INDEX(W$14:W$37,MATCH($B236,$B$14:$B$37,FALSE))/INDEX($F$206:$F$229,MATCH($B236,$B$206:$B$229,FALSE))),NA()),NA())</f>
        <v>#N/A</v>
      </c>
      <c r="Y236" s="65" t="e">
        <f>IF(X44=1,IF(X$13&lt;=COUNT($C16:$CS16),IF(INDEX($F$206:$F$229,MATCH($B236,$B$206:$B$229,FALSE))=0,NA(),INDEX(X$14:X$37,MATCH($B236,$B$14:$B$37,FALSE))/INDEX($F$206:$F$229,MATCH($B236,$B$206:$B$229,FALSE))),NA()),NA())</f>
        <v>#N/A</v>
      </c>
      <c r="Z236" s="65" t="e">
        <f>IF(Y44=1,IF(Y$13&lt;=COUNT($C16:$CS16),IF(INDEX($F$206:$F$229,MATCH($B236,$B$206:$B$229,FALSE))=0,NA(),INDEX(Y$14:Y$37,MATCH($B236,$B$14:$B$37,FALSE))/INDEX($F$206:$F$229,MATCH($B236,$B$206:$B$229,FALSE))),NA()),NA())</f>
        <v>#N/A</v>
      </c>
      <c r="AA236" s="65" t="e">
        <f>IF(Z44=1,IF(Z$13&lt;=COUNT($C16:$CS16),IF(INDEX($F$206:$F$229,MATCH($B236,$B$206:$B$229,FALSE))=0,NA(),INDEX(Z$14:Z$37,MATCH($B236,$B$14:$B$37,FALSE))/INDEX($F$206:$F$229,MATCH($B236,$B$206:$B$229,FALSE))),NA()),NA())</f>
        <v>#N/A</v>
      </c>
      <c r="AB236" s="65" t="e">
        <f>IF(AA44=1,IF(AA$13&lt;=COUNT($C16:$CS16),IF(INDEX($F$206:$F$229,MATCH($B236,$B$206:$B$229,FALSE))=0,NA(),INDEX(AA$14:AA$37,MATCH($B236,$B$14:$B$37,FALSE))/INDEX($F$206:$F$229,MATCH($B236,$B$206:$B$229,FALSE))),NA()),NA())</f>
        <v>#N/A</v>
      </c>
      <c r="AC236" s="65" t="e">
        <f>IF(AB44=1,IF(AB$13&lt;=COUNT($C16:$CS16),IF(INDEX($F$206:$F$229,MATCH($B236,$B$206:$B$229,FALSE))=0,NA(),INDEX(AB$14:AB$37,MATCH($B236,$B$14:$B$37,FALSE))/INDEX($F$206:$F$229,MATCH($B236,$B$206:$B$229,FALSE))),NA()),NA())</f>
        <v>#N/A</v>
      </c>
      <c r="AD236" s="65" t="e">
        <f>IF(AC44=1,IF(AC$13&lt;=COUNT($C16:$CS16),IF(INDEX($F$206:$F$229,MATCH($B236,$B$206:$B$229,FALSE))=0,NA(),INDEX(AC$14:AC$37,MATCH($B236,$B$14:$B$37,FALSE))/INDEX($F$206:$F$229,MATCH($B236,$B$206:$B$229,FALSE))),NA()),NA())</f>
        <v>#N/A</v>
      </c>
      <c r="AE236" s="65" t="e">
        <f>IF(AD44=1,IF(AD$13&lt;=COUNT($C16:$CS16),IF(INDEX($F$206:$F$229,MATCH($B236,$B$206:$B$229,FALSE))=0,NA(),INDEX(AD$14:AD$37,MATCH($B236,$B$14:$B$37,FALSE))/INDEX($F$206:$F$229,MATCH($B236,$B$206:$B$229,FALSE))),NA()),NA())</f>
        <v>#N/A</v>
      </c>
      <c r="AF236" s="65" t="e">
        <f>IF(AE44=1,IF(AE$13&lt;=COUNT($C16:$CS16),IF(INDEX($F$206:$F$229,MATCH($B236,$B$206:$B$229,FALSE))=0,NA(),INDEX(AE$14:AE$37,MATCH($B236,$B$14:$B$37,FALSE))/INDEX($F$206:$F$229,MATCH($B236,$B$206:$B$229,FALSE))),NA()),NA())</f>
        <v>#N/A</v>
      </c>
      <c r="AG236" s="65" t="e">
        <f>IF(AF44=1,IF(AF$13&lt;=COUNT($C16:$CS16),IF(INDEX($F$206:$F$229,MATCH($B236,$B$206:$B$229,FALSE))=0,NA(),INDEX(AF$14:AF$37,MATCH($B236,$B$14:$B$37,FALSE))/INDEX($F$206:$F$229,MATCH($B236,$B$206:$B$229,FALSE))),NA()),NA())</f>
        <v>#N/A</v>
      </c>
      <c r="AH236" s="65" t="e">
        <f>IF(AG44=1,IF(AG$13&lt;=COUNT($C16:$CS16),IF(INDEX($F$206:$F$229,MATCH($B236,$B$206:$B$229,FALSE))=0,NA(),INDEX(AG$14:AG$37,MATCH($B236,$B$14:$B$37,FALSE))/INDEX($F$206:$F$229,MATCH($B236,$B$206:$B$229,FALSE))),NA()),NA())</f>
        <v>#N/A</v>
      </c>
      <c r="AI236" s="65" t="e">
        <f>IF(AH44=1,IF(AH$13&lt;=COUNT($C16:$CS16),IF(INDEX($F$206:$F$229,MATCH($B236,$B$206:$B$229,FALSE))=0,NA(),INDEX(AH$14:AH$37,MATCH($B236,$B$14:$B$37,FALSE))/INDEX($F$206:$F$229,MATCH($B236,$B$206:$B$229,FALSE))),NA()),NA())</f>
        <v>#N/A</v>
      </c>
      <c r="AJ236" s="65" t="e">
        <f>IF(AI44=1,IF(AI$13&lt;=COUNT($C16:$CS16),IF(INDEX($F$206:$F$229,MATCH($B236,$B$206:$B$229,FALSE))=0,NA(),INDEX(AI$14:AI$37,MATCH($B236,$B$14:$B$37,FALSE))/INDEX($F$206:$F$229,MATCH($B236,$B$206:$B$229,FALSE))),NA()),NA())</f>
        <v>#N/A</v>
      </c>
      <c r="AK236" s="65" t="e">
        <f>IF(AJ44=1,IF(AJ$13&lt;=COUNT($C16:$CS16),IF(INDEX($F$206:$F$229,MATCH($B236,$B$206:$B$229,FALSE))=0,NA(),INDEX(AJ$14:AJ$37,MATCH($B236,$B$14:$B$37,FALSE))/INDEX($F$206:$F$229,MATCH($B236,$B$206:$B$229,FALSE))),NA()),NA())</f>
        <v>#N/A</v>
      </c>
      <c r="AL236" s="65" t="e">
        <f>IF(AK44=1,IF(AK$13&lt;=COUNT($C16:$CS16),IF(INDEX($F$206:$F$229,MATCH($B236,$B$206:$B$229,FALSE))=0,NA(),INDEX(AK$14:AK$37,MATCH($B236,$B$14:$B$37,FALSE))/INDEX($F$206:$F$229,MATCH($B236,$B$206:$B$229,FALSE))),NA()),NA())</f>
        <v>#N/A</v>
      </c>
      <c r="AM236" s="65" t="e">
        <f>IF(AL44=1,IF(AL$13&lt;=COUNT($C16:$CS16),IF(INDEX($F$206:$F$229,MATCH($B236,$B$206:$B$229,FALSE))=0,NA(),INDEX(AL$14:AL$37,MATCH($B236,$B$14:$B$37,FALSE))/INDEX($F$206:$F$229,MATCH($B236,$B$206:$B$229,FALSE))),NA()),NA())</f>
        <v>#N/A</v>
      </c>
      <c r="AN236" s="65" t="e">
        <f>IF(AM44=1,IF(AM$13&lt;=COUNT($C16:$CS16),IF(INDEX($F$206:$F$229,MATCH($B236,$B$206:$B$229,FALSE))=0,NA(),INDEX(AM$14:AM$37,MATCH($B236,$B$14:$B$37,FALSE))/INDEX($F$206:$F$229,MATCH($B236,$B$206:$B$229,FALSE))),NA()),NA())</f>
        <v>#N/A</v>
      </c>
      <c r="AO236" s="65" t="e">
        <f>IF(AN44=1,IF(AN$13&lt;=COUNT($C16:$CS16),IF(INDEX($F$206:$F$229,MATCH($B236,$B$206:$B$229,FALSE))=0,NA(),INDEX(AN$14:AN$37,MATCH($B236,$B$14:$B$37,FALSE))/INDEX($F$206:$F$229,MATCH($B236,$B$206:$B$229,FALSE))),NA()),NA())</f>
        <v>#N/A</v>
      </c>
      <c r="AP236" s="65" t="e">
        <f>IF(AO44=1,IF(AO$13&lt;=COUNT($C16:$CS16),IF(INDEX($F$206:$F$229,MATCH($B236,$B$206:$B$229,FALSE))=0,NA(),INDEX(AO$14:AO$37,MATCH($B236,$B$14:$B$37,FALSE))/INDEX($F$206:$F$229,MATCH($B236,$B$206:$B$229,FALSE))),NA()),NA())</f>
        <v>#N/A</v>
      </c>
      <c r="AQ236" s="65" t="e">
        <f>IF(AP44=1,IF(AP$13&lt;=COUNT($C16:$CS16),IF(INDEX($F$206:$F$229,MATCH($B236,$B$206:$B$229,FALSE))=0,NA(),INDEX(AP$14:AP$37,MATCH($B236,$B$14:$B$37,FALSE))/INDEX($F$206:$F$229,MATCH($B236,$B$206:$B$229,FALSE))),NA()),NA())</f>
        <v>#N/A</v>
      </c>
      <c r="AR236" s="65" t="e">
        <f>IF(AQ44=1,IF(AQ$13&lt;=COUNT($C16:$CS16),IF(INDEX($F$206:$F$229,MATCH($B236,$B$206:$B$229,FALSE))=0,NA(),INDEX(AQ$14:AQ$37,MATCH($B236,$B$14:$B$37,FALSE))/INDEX($F$206:$F$229,MATCH($B236,$B$206:$B$229,FALSE))),NA()),NA())</f>
        <v>#N/A</v>
      </c>
      <c r="AS236" s="65" t="e">
        <f>IF(AR44=1,IF(AR$13&lt;=COUNT($C16:$CS16),IF(INDEX($F$206:$F$229,MATCH($B236,$B$206:$B$229,FALSE))=0,NA(),INDEX(AR$14:AR$37,MATCH($B236,$B$14:$B$37,FALSE))/INDEX($F$206:$F$229,MATCH($B236,$B$206:$B$229,FALSE))),NA()),NA())</f>
        <v>#N/A</v>
      </c>
      <c r="AT236" s="65" t="e">
        <f>IF(AS44=1,IF(AS$13&lt;=COUNT($C16:$CS16),IF(INDEX($F$206:$F$229,MATCH($B236,$B$206:$B$229,FALSE))=0,NA(),INDEX(AS$14:AS$37,MATCH($B236,$B$14:$B$37,FALSE))/INDEX($F$206:$F$229,MATCH($B236,$B$206:$B$229,FALSE))),NA()),NA())</f>
        <v>#N/A</v>
      </c>
      <c r="AU236" s="65" t="e">
        <f>IF(AT44=1,IF(AT$13&lt;=COUNT($C16:$CS16),IF(INDEX($F$206:$F$229,MATCH($B236,$B$206:$B$229,FALSE))=0,NA(),INDEX(AT$14:AT$37,MATCH($B236,$B$14:$B$37,FALSE))/INDEX($F$206:$F$229,MATCH($B236,$B$206:$B$229,FALSE))),NA()),NA())</f>
        <v>#N/A</v>
      </c>
      <c r="AV236" s="65" t="e">
        <f>IF(AU44=1,IF(AU$13&lt;=COUNT($C16:$CS16),IF(INDEX($F$206:$F$229,MATCH($B236,$B$206:$B$229,FALSE))=0,NA(),INDEX(AU$14:AU$37,MATCH($B236,$B$14:$B$37,FALSE))/INDEX($F$206:$F$229,MATCH($B236,$B$206:$B$229,FALSE))),NA()),NA())</f>
        <v>#N/A</v>
      </c>
      <c r="AW236" s="65" t="e">
        <f>IF(AV44=1,IF(AV$13&lt;=COUNT($C16:$CS16),IF(INDEX($F$206:$F$229,MATCH($B236,$B$206:$B$229,FALSE))=0,NA(),INDEX(AV$14:AV$37,MATCH($B236,$B$14:$B$37,FALSE))/INDEX($F$206:$F$229,MATCH($B236,$B$206:$B$229,FALSE))),NA()),NA())</f>
        <v>#N/A</v>
      </c>
      <c r="AX236" s="65" t="e">
        <f>IF(AW44=1,IF(AW$13&lt;=COUNT($C16:$CS16),IF(INDEX($F$206:$F$229,MATCH($B236,$B$206:$B$229,FALSE))=0,NA(),INDEX(AW$14:AW$37,MATCH($B236,$B$14:$B$37,FALSE))/INDEX($F$206:$F$229,MATCH($B236,$B$206:$B$229,FALSE))),NA()),NA())</f>
        <v>#N/A</v>
      </c>
      <c r="AY236" s="65" t="e">
        <f>IF(AX44=1,IF(AX$13&lt;=COUNT($C16:$CS16),IF(INDEX($F$206:$F$229,MATCH($B236,$B$206:$B$229,FALSE))=0,NA(),INDEX(AX$14:AX$37,MATCH($B236,$B$14:$B$37,FALSE))/INDEX($F$206:$F$229,MATCH($B236,$B$206:$B$229,FALSE))),NA()),NA())</f>
        <v>#N/A</v>
      </c>
      <c r="AZ236" s="65" t="e">
        <f>IF(AY44=1,IF(AY$13&lt;=COUNT($C16:$CS16),IF(INDEX($F$206:$F$229,MATCH($B236,$B$206:$B$229,FALSE))=0,NA(),INDEX(AY$14:AY$37,MATCH($B236,$B$14:$B$37,FALSE))/INDEX($F$206:$F$229,MATCH($B236,$B$206:$B$229,FALSE))),NA()),NA())</f>
        <v>#N/A</v>
      </c>
      <c r="BA236" s="65" t="e">
        <f>IF(AZ44=1,IF(AZ$13&lt;=COUNT($C16:$CS16),IF(INDEX($F$206:$F$229,MATCH($B236,$B$206:$B$229,FALSE))=0,NA(),INDEX(AZ$14:AZ$37,MATCH($B236,$B$14:$B$37,FALSE))/INDEX($F$206:$F$229,MATCH($B236,$B$206:$B$229,FALSE))),NA()),NA())</f>
        <v>#N/A</v>
      </c>
      <c r="BB236" s="65" t="e">
        <f>IF(BA44=1,IF(BA$13&lt;=COUNT($C16:$CS16),IF(INDEX($F$206:$F$229,MATCH($B236,$B$206:$B$229,FALSE))=0,NA(),INDEX(BA$14:BA$37,MATCH($B236,$B$14:$B$37,FALSE))/INDEX($F$206:$F$229,MATCH($B236,$B$206:$B$229,FALSE))),NA()),NA())</f>
        <v>#N/A</v>
      </c>
      <c r="BC236" s="65" t="e">
        <f>IF(BB44=1,IF(BB$13&lt;=COUNT($C16:$CS16),IF(INDEX($F$206:$F$229,MATCH($B236,$B$206:$B$229,FALSE))=0,NA(),INDEX(BB$14:BB$37,MATCH($B236,$B$14:$B$37,FALSE))/INDEX($F$206:$F$229,MATCH($B236,$B$206:$B$229,FALSE))),NA()),NA())</f>
        <v>#N/A</v>
      </c>
      <c r="BD236" s="65" t="e">
        <f>IF(BC44=1,IF(BC$13&lt;=COUNT($C16:$CS16),IF(INDEX($F$206:$F$229,MATCH($B236,$B$206:$B$229,FALSE))=0,NA(),INDEX(BC$14:BC$37,MATCH($B236,$B$14:$B$37,FALSE))/INDEX($F$206:$F$229,MATCH($B236,$B$206:$B$229,FALSE))),NA()),NA())</f>
        <v>#N/A</v>
      </c>
      <c r="BE236" s="65" t="e">
        <f>IF(BD44=1,IF(BD$13&lt;=COUNT($C16:$CS16),IF(INDEX($F$206:$F$229,MATCH($B236,$B$206:$B$229,FALSE))=0,NA(),INDEX(BD$14:BD$37,MATCH($B236,$B$14:$B$37,FALSE))/INDEX($F$206:$F$229,MATCH($B236,$B$206:$B$229,FALSE))),NA()),NA())</f>
        <v>#N/A</v>
      </c>
      <c r="BF236" s="65" t="e">
        <f>IF(BE44=1,IF(BE$13&lt;=COUNT($C16:$CS16),IF(INDEX($F$206:$F$229,MATCH($B236,$B$206:$B$229,FALSE))=0,NA(),INDEX(BE$14:BE$37,MATCH($B236,$B$14:$B$37,FALSE))/INDEX($F$206:$F$229,MATCH($B236,$B$206:$B$229,FALSE))),NA()),NA())</f>
        <v>#N/A</v>
      </c>
      <c r="BG236" s="65" t="e">
        <f>IF(BF44=1,IF(BF$13&lt;=COUNT($C16:$CS16),IF(INDEX($F$206:$F$229,MATCH($B236,$B$206:$B$229,FALSE))=0,NA(),INDEX(BF$14:BF$37,MATCH($B236,$B$14:$B$37,FALSE))/INDEX($F$206:$F$229,MATCH($B236,$B$206:$B$229,FALSE))),NA()),NA())</f>
        <v>#N/A</v>
      </c>
      <c r="BH236" s="65" t="e">
        <f>IF(BG44=1,IF(BG$13&lt;=COUNT($C16:$CS16),IF(INDEX($F$206:$F$229,MATCH($B236,$B$206:$B$229,FALSE))=0,NA(),INDEX(BG$14:BG$37,MATCH($B236,$B$14:$B$37,FALSE))/INDEX($F$206:$F$229,MATCH($B236,$B$206:$B$229,FALSE))),NA()),NA())</f>
        <v>#N/A</v>
      </c>
      <c r="BI236" s="65" t="e">
        <f>IF(BH44=1,IF(BH$13&lt;=COUNT($C16:$CS16),IF(INDEX($F$206:$F$229,MATCH($B236,$B$206:$B$229,FALSE))=0,NA(),INDEX(BH$14:BH$37,MATCH($B236,$B$14:$B$37,FALSE))/INDEX($F$206:$F$229,MATCH($B236,$B$206:$B$229,FALSE))),NA()),NA())</f>
        <v>#N/A</v>
      </c>
      <c r="BJ236" s="65" t="e">
        <f>IF(BI44=1,IF(BI$13&lt;=COUNT($C16:$CS16),IF(INDEX($F$206:$F$229,MATCH($B236,$B$206:$B$229,FALSE))=0,NA(),INDEX(BI$14:BI$37,MATCH($B236,$B$14:$B$37,FALSE))/INDEX($F$206:$F$229,MATCH($B236,$B$206:$B$229,FALSE))),NA()),NA())</f>
        <v>#N/A</v>
      </c>
      <c r="BK236" s="65" t="e">
        <f>IF(BJ44=1,IF(BJ$13&lt;=COUNT($C16:$CS16),IF(INDEX($F$206:$F$229,MATCH($B236,$B$206:$B$229,FALSE))=0,NA(),INDEX(BJ$14:BJ$37,MATCH($B236,$B$14:$B$37,FALSE))/INDEX($F$206:$F$229,MATCH($B236,$B$206:$B$229,FALSE))),NA()),NA())</f>
        <v>#N/A</v>
      </c>
      <c r="BL236" s="65" t="e">
        <f>IF(BK44=1,IF(BK$13&lt;=COUNT($C16:$CS16),IF(INDEX($F$206:$F$229,MATCH($B236,$B$206:$B$229,FALSE))=0,NA(),INDEX(BK$14:BK$37,MATCH($B236,$B$14:$B$37,FALSE))/INDEX($F$206:$F$229,MATCH($B236,$B$206:$B$229,FALSE))),NA()),NA())</f>
        <v>#N/A</v>
      </c>
      <c r="BM236" s="65" t="e">
        <f>IF(BL44=1,IF(BL$13&lt;=COUNT($C16:$CS16),IF(INDEX($F$206:$F$229,MATCH($B236,$B$206:$B$229,FALSE))=0,NA(),INDEX(BL$14:BL$37,MATCH($B236,$B$14:$B$37,FALSE))/INDEX($F$206:$F$229,MATCH($B236,$B$206:$B$229,FALSE))),NA()),NA())</f>
        <v>#N/A</v>
      </c>
      <c r="BN236" s="65" t="e">
        <f>IF(BM44=1,IF(BM$13&lt;=COUNT($C16:$CS16),IF(INDEX($F$206:$F$229,MATCH($B236,$B$206:$B$229,FALSE))=0,NA(),INDEX(BM$14:BM$37,MATCH($B236,$B$14:$B$37,FALSE))/INDEX($F$206:$F$229,MATCH($B236,$B$206:$B$229,FALSE))),NA()),NA())</f>
        <v>#N/A</v>
      </c>
      <c r="BO236" s="65" t="e">
        <f>IF(BN44=1,IF(BN$13&lt;=COUNT($C16:$CS16),IF(INDEX($F$206:$F$229,MATCH($B236,$B$206:$B$229,FALSE))=0,NA(),INDEX(BN$14:BN$37,MATCH($B236,$B$14:$B$37,FALSE))/INDEX($F$206:$F$229,MATCH($B236,$B$206:$B$229,FALSE))),NA()),NA())</f>
        <v>#N/A</v>
      </c>
      <c r="BP236" s="65" t="e">
        <f>IF(BO44=1,IF(BO$13&lt;=COUNT($C16:$CS16),IF(INDEX($F$206:$F$229,MATCH($B236,$B$206:$B$229,FALSE))=0,NA(),INDEX(BO$14:BO$37,MATCH($B236,$B$14:$B$37,FALSE))/INDEX($F$206:$F$229,MATCH($B236,$B$206:$B$229,FALSE))),NA()),NA())</f>
        <v>#N/A</v>
      </c>
      <c r="BQ236" s="65" t="e">
        <f>IF(BP44=1,IF(BP$13&lt;=COUNT($C16:$CS16),IF(INDEX($F$206:$F$229,MATCH($B236,$B$206:$B$229,FALSE))=0,NA(),INDEX(BP$14:BP$37,MATCH($B236,$B$14:$B$37,FALSE))/INDEX($F$206:$F$229,MATCH($B236,$B$206:$B$229,FALSE))),NA()),NA())</f>
        <v>#N/A</v>
      </c>
      <c r="BR236" s="65" t="e">
        <f>IF(BQ44=1,IF(BQ$13&lt;=COUNT($C16:$CS16),IF(INDEX($F$206:$F$229,MATCH($B236,$B$206:$B$229,FALSE))=0,NA(),INDEX(BQ$14:BQ$37,MATCH($B236,$B$14:$B$37,FALSE))/INDEX($F$206:$F$229,MATCH($B236,$B$206:$B$229,FALSE))),NA()),NA())</f>
        <v>#N/A</v>
      </c>
      <c r="BS236" s="65" t="e">
        <f>IF(BR44=1,IF(BR$13&lt;=COUNT($C16:$CS16),IF(INDEX($F$206:$F$229,MATCH($B236,$B$206:$B$229,FALSE))=0,NA(),INDEX(BR$14:BR$37,MATCH($B236,$B$14:$B$37,FALSE))/INDEX($F$206:$F$229,MATCH($B236,$B$206:$B$229,FALSE))),NA()),NA())</f>
        <v>#N/A</v>
      </c>
      <c r="BT236" s="65" t="e">
        <f>IF(BS44=1,IF(BS$13&lt;=COUNT($C16:$CS16),IF(INDEX($F$206:$F$229,MATCH($B236,$B$206:$B$229,FALSE))=0,NA(),INDEX(BS$14:BS$37,MATCH($B236,$B$14:$B$37,FALSE))/INDEX($F$206:$F$229,MATCH($B236,$B$206:$B$229,FALSE))),NA()),NA())</f>
        <v>#N/A</v>
      </c>
      <c r="BU236" s="65" t="e">
        <f>IF(BT44=1,IF(BT$13&lt;=COUNT($C16:$CS16),IF(INDEX($F$206:$F$229,MATCH($B236,$B$206:$B$229,FALSE))=0,NA(),INDEX(BT$14:BT$37,MATCH($B236,$B$14:$B$37,FALSE))/INDEX($F$206:$F$229,MATCH($B236,$B$206:$B$229,FALSE))),NA()),NA())</f>
        <v>#N/A</v>
      </c>
      <c r="BV236" s="65" t="e">
        <f>IF(BU44=1,IF(BU$13&lt;=COUNT($C16:$CS16),IF(INDEX($F$206:$F$229,MATCH($B236,$B$206:$B$229,FALSE))=0,NA(),INDEX(BU$14:BU$37,MATCH($B236,$B$14:$B$37,FALSE))/INDEX($F$206:$F$229,MATCH($B236,$B$206:$B$229,FALSE))),NA()),NA())</f>
        <v>#N/A</v>
      </c>
      <c r="BW236" s="65" t="e">
        <f>IF(BV44=1,IF(BV$13&lt;=COUNT($C16:$CS16),IF(INDEX($F$206:$F$229,MATCH($B236,$B$206:$B$229,FALSE))=0,NA(),INDEX(BV$14:BV$37,MATCH($B236,$B$14:$B$37,FALSE))/INDEX($F$206:$F$229,MATCH($B236,$B$206:$B$229,FALSE))),NA()),NA())</f>
        <v>#N/A</v>
      </c>
      <c r="BX236" s="65" t="e">
        <f>IF(BW44=1,IF(BW$13&lt;=COUNT($C16:$CS16),IF(INDEX($F$206:$F$229,MATCH($B236,$B$206:$B$229,FALSE))=0,NA(),INDEX(BW$14:BW$37,MATCH($B236,$B$14:$B$37,FALSE))/INDEX($F$206:$F$229,MATCH($B236,$B$206:$B$229,FALSE))),NA()),NA())</f>
        <v>#N/A</v>
      </c>
      <c r="BY236" s="65" t="e">
        <f>IF(BX44=1,IF(BX$13&lt;=COUNT($C16:$CS16),IF(INDEX($F$206:$F$229,MATCH($B236,$B$206:$B$229,FALSE))=0,NA(),INDEX(BX$14:BX$37,MATCH($B236,$B$14:$B$37,FALSE))/INDEX($F$206:$F$229,MATCH($B236,$B$206:$B$229,FALSE))),NA()),NA())</f>
        <v>#N/A</v>
      </c>
      <c r="BZ236" s="65" t="e">
        <f>IF(BY44=1,IF(BY$13&lt;=COUNT($C16:$CS16),IF(INDEX($F$206:$F$229,MATCH($B236,$B$206:$B$229,FALSE))=0,NA(),INDEX(BY$14:BY$37,MATCH($B236,$B$14:$B$37,FALSE))/INDEX($F$206:$F$229,MATCH($B236,$B$206:$B$229,FALSE))),NA()),NA())</f>
        <v>#N/A</v>
      </c>
      <c r="CA236" s="65" t="e">
        <f>IF(BZ44=1,IF(BZ$13&lt;=COUNT($C16:$CS16),IF(INDEX($F$206:$F$229,MATCH($B236,$B$206:$B$229,FALSE))=0,NA(),INDEX(BZ$14:BZ$37,MATCH($B236,$B$14:$B$37,FALSE))/INDEX($F$206:$F$229,MATCH($B236,$B$206:$B$229,FALSE))),NA()),NA())</f>
        <v>#N/A</v>
      </c>
      <c r="CB236" s="65" t="e">
        <f>IF(CA44=1,IF(CA$13&lt;=COUNT($C16:$CS16),IF(INDEX($F$206:$F$229,MATCH($B236,$B$206:$B$229,FALSE))=0,NA(),INDEX(CA$14:CA$37,MATCH($B236,$B$14:$B$37,FALSE))/INDEX($F$206:$F$229,MATCH($B236,$B$206:$B$229,FALSE))),NA()),NA())</f>
        <v>#N/A</v>
      </c>
      <c r="CC236" s="65" t="e">
        <f>IF(CB44=1,IF(CB$13&lt;=COUNT($C16:$CS16),IF(INDEX($F$206:$F$229,MATCH($B236,$B$206:$B$229,FALSE))=0,NA(),INDEX(CB$14:CB$37,MATCH($B236,$B$14:$B$37,FALSE))/INDEX($F$206:$F$229,MATCH($B236,$B$206:$B$229,FALSE))),NA()),NA())</f>
        <v>#N/A</v>
      </c>
      <c r="CD236" s="65" t="e">
        <f>IF(CC44=1,IF(CC$13&lt;=COUNT($C16:$CS16),IF(INDEX($F$206:$F$229,MATCH($B236,$B$206:$B$229,FALSE))=0,NA(),INDEX(CC$14:CC$37,MATCH($B236,$B$14:$B$37,FALSE))/INDEX($F$206:$F$229,MATCH($B236,$B$206:$B$229,FALSE))),NA()),NA())</f>
        <v>#N/A</v>
      </c>
      <c r="CE236" s="65" t="e">
        <f>IF(CD44=1,IF(CD$13&lt;=COUNT($C16:$CS16),IF(INDEX($F$206:$F$229,MATCH($B236,$B$206:$B$229,FALSE))=0,NA(),INDEX(CD$14:CD$37,MATCH($B236,$B$14:$B$37,FALSE))/INDEX($F$206:$F$229,MATCH($B236,$B$206:$B$229,FALSE))),NA()),NA())</f>
        <v>#N/A</v>
      </c>
      <c r="CF236" s="65" t="e">
        <f>IF(CE44=1,IF(CE$13&lt;=COUNT($C16:$CS16),IF(INDEX($F$206:$F$229,MATCH($B236,$B$206:$B$229,FALSE))=0,NA(),INDEX(CE$14:CE$37,MATCH($B236,$B$14:$B$37,FALSE))/INDEX($F$206:$F$229,MATCH($B236,$B$206:$B$229,FALSE))),NA()),NA())</f>
        <v>#N/A</v>
      </c>
      <c r="CG236" s="65" t="e">
        <f>IF(CF44=1,IF(CF$13&lt;=COUNT($C16:$CS16),IF(INDEX($F$206:$F$229,MATCH($B236,$B$206:$B$229,FALSE))=0,NA(),INDEX(CF$14:CF$37,MATCH($B236,$B$14:$B$37,FALSE))/INDEX($F$206:$F$229,MATCH($B236,$B$206:$B$229,FALSE))),NA()),NA())</f>
        <v>#N/A</v>
      </c>
      <c r="CH236" s="65" t="e">
        <f>IF(CG44=1,IF(CG$13&lt;=COUNT($C16:$CS16),IF(INDEX($F$206:$F$229,MATCH($B236,$B$206:$B$229,FALSE))=0,NA(),INDEX(CG$14:CG$37,MATCH($B236,$B$14:$B$37,FALSE))/INDEX($F$206:$F$229,MATCH($B236,$B$206:$B$229,FALSE))),NA()),NA())</f>
        <v>#N/A</v>
      </c>
      <c r="CI236" s="65" t="e">
        <f>IF(CH44=1,IF(CH$13&lt;=COUNT($C16:$CS16),IF(INDEX($F$206:$F$229,MATCH($B236,$B$206:$B$229,FALSE))=0,NA(),INDEX(CH$14:CH$37,MATCH($B236,$B$14:$B$37,FALSE))/INDEX($F$206:$F$229,MATCH($B236,$B$206:$B$229,FALSE))),NA()),NA())</f>
        <v>#N/A</v>
      </c>
      <c r="CJ236" s="65" t="e">
        <f>IF(CI44=1,IF(CI$13&lt;=COUNT($C16:$CS16),IF(INDEX($F$206:$F$229,MATCH($B236,$B$206:$B$229,FALSE))=0,NA(),INDEX(CI$14:CI$37,MATCH($B236,$B$14:$B$37,FALSE))/INDEX($F$206:$F$229,MATCH($B236,$B$206:$B$229,FALSE))),NA()),NA())</f>
        <v>#N/A</v>
      </c>
      <c r="CK236" s="65" t="e">
        <f>IF(CJ44=1,IF(CJ$13&lt;=COUNT($C16:$CS16),IF(INDEX($F$206:$F$229,MATCH($B236,$B$206:$B$229,FALSE))=0,NA(),INDEX(CJ$14:CJ$37,MATCH($B236,$B$14:$B$37,FALSE))/INDEX($F$206:$F$229,MATCH($B236,$B$206:$B$229,FALSE))),NA()),NA())</f>
        <v>#N/A</v>
      </c>
      <c r="CL236" s="65" t="e">
        <f>IF(CK44=1,IF(CK$13&lt;=COUNT($C16:$CS16),IF(INDEX($F$206:$F$229,MATCH($B236,$B$206:$B$229,FALSE))=0,NA(),INDEX(CK$14:CK$37,MATCH($B236,$B$14:$B$37,FALSE))/INDEX($F$206:$F$229,MATCH($B236,$B$206:$B$229,FALSE))),NA()),NA())</f>
        <v>#N/A</v>
      </c>
      <c r="CM236" s="65" t="e">
        <f>IF(CL44=1,IF(CL$13&lt;=COUNT($C16:$CS16),IF(INDEX($F$206:$F$229,MATCH($B236,$B$206:$B$229,FALSE))=0,NA(),INDEX(CL$14:CL$37,MATCH($B236,$B$14:$B$37,FALSE))/INDEX($F$206:$F$229,MATCH($B236,$B$206:$B$229,FALSE))),NA()),NA())</f>
        <v>#N/A</v>
      </c>
      <c r="CN236" s="65" t="e">
        <f>IF(CM44=1,IF(CM$13&lt;=COUNT($C16:$CS16),IF(INDEX($F$206:$F$229,MATCH($B236,$B$206:$B$229,FALSE))=0,NA(),INDEX(CM$14:CM$37,MATCH($B236,$B$14:$B$37,FALSE))/INDEX($F$206:$F$229,MATCH($B236,$B$206:$B$229,FALSE))),NA()),NA())</f>
        <v>#N/A</v>
      </c>
      <c r="CO236" s="65" t="e">
        <f>IF(CN44=1,IF(CN$13&lt;=COUNT($C16:$CS16),IF(INDEX($F$206:$F$229,MATCH($B236,$B$206:$B$229,FALSE))=0,NA(),INDEX(CN$14:CN$37,MATCH($B236,$B$14:$B$37,FALSE))/INDEX($F$206:$F$229,MATCH($B236,$B$206:$B$229,FALSE))),NA()),NA())</f>
        <v>#N/A</v>
      </c>
      <c r="CP236" s="65" t="e">
        <f>IF(CO44=1,IF(CO$13&lt;=COUNT($C16:$CS16),IF(INDEX($F$206:$F$229,MATCH($B236,$B$206:$B$229,FALSE))=0,NA(),INDEX(CO$14:CO$37,MATCH($B236,$B$14:$B$37,FALSE))/INDEX($F$206:$F$229,MATCH($B236,$B$206:$B$229,FALSE))),NA()),NA())</f>
        <v>#N/A</v>
      </c>
      <c r="CQ236" s="65" t="e">
        <f>IF(CP44=1,IF(CP$13&lt;=COUNT($C16:$CS16),IF(INDEX($F$206:$F$229,MATCH($B236,$B$206:$B$229,FALSE))=0,NA(),INDEX(CP$14:CP$37,MATCH($B236,$B$14:$B$37,FALSE))/INDEX($F$206:$F$229,MATCH($B236,$B$206:$B$229,FALSE))),NA()),NA())</f>
        <v>#N/A</v>
      </c>
      <c r="CR236" s="65" t="e">
        <f>IF(CQ44=1,IF(CQ$13&lt;=COUNT($C16:$CS16),IF(INDEX($F$206:$F$229,MATCH($B236,$B$206:$B$229,FALSE))=0,NA(),INDEX(CQ$14:CQ$37,MATCH($B236,$B$14:$B$37,FALSE))/INDEX($F$206:$F$229,MATCH($B236,$B$206:$B$229,FALSE))),NA()),NA())</f>
        <v>#N/A</v>
      </c>
      <c r="CS236" s="65" t="e">
        <f>IF(CR44=1,IF(CR$13&lt;=COUNT($C16:$CS16),IF(INDEX($F$206:$F$229,MATCH($B236,$B$206:$B$229,FALSE))=0,NA(),INDEX(CR$14:CR$37,MATCH($B236,$B$14:$B$37,FALSE))/INDEX($F$206:$F$229,MATCH($B236,$B$206:$B$229,FALSE))),NA()),NA())</f>
        <v>#N/A</v>
      </c>
      <c r="CT236" s="49"/>
      <c r="CU236" s="49"/>
      <c r="CV236" s="49"/>
      <c r="CW236" s="49"/>
    </row>
    <row r="237" spans="1:101" hidden="1" x14ac:dyDescent="0.25">
      <c r="A237" s="97">
        <f t="shared" si="105"/>
        <v>0</v>
      </c>
      <c r="B237" s="29">
        <f t="shared" si="104"/>
        <v>1999</v>
      </c>
      <c r="C237" s="154" t="str">
        <f t="shared" si="106"/>
        <v/>
      </c>
      <c r="D237" s="54" t="e">
        <f>IF(C45=1,IF(C$13&lt;=COUNT($C17:$CS17),IF(INDEX($F$206:$F$229,MATCH($B237,$B$206:$B$229,FALSE))=0,NA(),INDEX(C$14:C$37,MATCH($B237,$B$14:$B$37,FALSE))/INDEX($F$206:$F$229,MATCH($B237,$B$206:$B$229,FALSE))),NA()),NA())</f>
        <v>#N/A</v>
      </c>
      <c r="E237" s="65" t="e">
        <f>IF(D45=1,IF(D$13&lt;=COUNT($C17:$CS17),IF(INDEX($F$206:$F$229,MATCH($B237,$B$206:$B$229,FALSE))=0,NA(),INDEX(D$14:D$37,MATCH($B237,$B$14:$B$37,FALSE))/INDEX($F$206:$F$229,MATCH($B237,$B$206:$B$229,FALSE))),NA()),NA())</f>
        <v>#N/A</v>
      </c>
      <c r="F237" s="65" t="e">
        <f>IF(E45=1,IF(E$13&lt;=COUNT($C17:$CS17),IF(INDEX($F$206:$F$229,MATCH($B237,$B$206:$B$229,FALSE))=0,NA(),INDEX(E$14:E$37,MATCH($B237,$B$14:$B$37,FALSE))/INDEX($F$206:$F$229,MATCH($B237,$B$206:$B$229,FALSE))),NA()),NA())</f>
        <v>#N/A</v>
      </c>
      <c r="G237" s="65" t="e">
        <f>IF(F45=1,IF(F$13&lt;=COUNT($C17:$CS17),IF(INDEX($F$206:$F$229,MATCH($B237,$B$206:$B$229,FALSE))=0,NA(),INDEX(F$14:F$37,MATCH($B237,$B$14:$B$37,FALSE))/INDEX($F$206:$F$229,MATCH($B237,$B$206:$B$229,FALSE))),NA()),NA())</f>
        <v>#N/A</v>
      </c>
      <c r="H237" s="65" t="e">
        <f>IF(G45=1,IF(G$13&lt;=COUNT($C17:$CS17),IF(INDEX($F$206:$F$229,MATCH($B237,$B$206:$B$229,FALSE))=0,NA(),INDEX(G$14:G$37,MATCH($B237,$B$14:$B$37,FALSE))/INDEX($F$206:$F$229,MATCH($B237,$B$206:$B$229,FALSE))),NA()),NA())</f>
        <v>#N/A</v>
      </c>
      <c r="I237" s="65" t="e">
        <f>IF(H45=1,IF(H$13&lt;=COUNT($C17:$CS17),IF(INDEX($F$206:$F$229,MATCH($B237,$B$206:$B$229,FALSE))=0,NA(),INDEX(H$14:H$37,MATCH($B237,$B$14:$B$37,FALSE))/INDEX($F$206:$F$229,MATCH($B237,$B$206:$B$229,FALSE))),NA()),NA())</f>
        <v>#N/A</v>
      </c>
      <c r="J237" s="65" t="e">
        <f>IF(I45=1,IF(I$13&lt;=COUNT($C17:$CS17),IF(INDEX($F$206:$F$229,MATCH($B237,$B$206:$B$229,FALSE))=0,NA(),INDEX(I$14:I$37,MATCH($B237,$B$14:$B$37,FALSE))/INDEX($F$206:$F$229,MATCH($B237,$B$206:$B$229,FALSE))),NA()),NA())</f>
        <v>#N/A</v>
      </c>
      <c r="K237" s="65" t="e">
        <f>IF(J45=1,IF(J$13&lt;=COUNT($C17:$CS17),IF(INDEX($F$206:$F$229,MATCH($B237,$B$206:$B$229,FALSE))=0,NA(),INDEX(J$14:J$37,MATCH($B237,$B$14:$B$37,FALSE))/INDEX($F$206:$F$229,MATCH($B237,$B$206:$B$229,FALSE))),NA()),NA())</f>
        <v>#N/A</v>
      </c>
      <c r="L237" s="65" t="e">
        <f>IF(K45=1,IF(K$13&lt;=COUNT($C17:$CS17),IF(INDEX($F$206:$F$229,MATCH($B237,$B$206:$B$229,FALSE))=0,NA(),INDEX(K$14:K$37,MATCH($B237,$B$14:$B$37,FALSE))/INDEX($F$206:$F$229,MATCH($B237,$B$206:$B$229,FALSE))),NA()),NA())</f>
        <v>#N/A</v>
      </c>
      <c r="M237" s="65" t="e">
        <f>IF(L45=1,IF(L$13&lt;=COUNT($C17:$CS17),IF(INDEX($F$206:$F$229,MATCH($B237,$B$206:$B$229,FALSE))=0,NA(),INDEX(L$14:L$37,MATCH($B237,$B$14:$B$37,FALSE))/INDEX($F$206:$F$229,MATCH($B237,$B$206:$B$229,FALSE))),NA()),NA())</f>
        <v>#N/A</v>
      </c>
      <c r="N237" s="65" t="e">
        <f>IF(M45=1,IF(M$13&lt;=COUNT($C17:$CS17),IF(INDEX($F$206:$F$229,MATCH($B237,$B$206:$B$229,FALSE))=0,NA(),INDEX(M$14:M$37,MATCH($B237,$B$14:$B$37,FALSE))/INDEX($F$206:$F$229,MATCH($B237,$B$206:$B$229,FALSE))),NA()),NA())</f>
        <v>#N/A</v>
      </c>
      <c r="O237" s="65" t="e">
        <f>IF(N45=1,IF(N$13&lt;=COUNT($C17:$CS17),IF(INDEX($F$206:$F$229,MATCH($B237,$B$206:$B$229,FALSE))=0,NA(),INDEX(N$14:N$37,MATCH($B237,$B$14:$B$37,FALSE))/INDEX($F$206:$F$229,MATCH($B237,$B$206:$B$229,FALSE))),NA()),NA())</f>
        <v>#N/A</v>
      </c>
      <c r="P237" s="65" t="e">
        <f>IF(O45=1,IF(O$13&lt;=COUNT($C17:$CS17),IF(INDEX($F$206:$F$229,MATCH($B237,$B$206:$B$229,FALSE))=0,NA(),INDEX(O$14:O$37,MATCH($B237,$B$14:$B$37,FALSE))/INDEX($F$206:$F$229,MATCH($B237,$B$206:$B$229,FALSE))),NA()),NA())</f>
        <v>#N/A</v>
      </c>
      <c r="Q237" s="65" t="e">
        <f>IF(P45=1,IF(P$13&lt;=COUNT($C17:$CS17),IF(INDEX($F$206:$F$229,MATCH($B237,$B$206:$B$229,FALSE))=0,NA(),INDEX(P$14:P$37,MATCH($B237,$B$14:$B$37,FALSE))/INDEX($F$206:$F$229,MATCH($B237,$B$206:$B$229,FALSE))),NA()),NA())</f>
        <v>#N/A</v>
      </c>
      <c r="R237" s="65" t="e">
        <f>IF(Q45=1,IF(Q$13&lt;=COUNT($C17:$CS17),IF(INDEX($F$206:$F$229,MATCH($B237,$B$206:$B$229,FALSE))=0,NA(),INDEX(Q$14:Q$37,MATCH($B237,$B$14:$B$37,FALSE))/INDEX($F$206:$F$229,MATCH($B237,$B$206:$B$229,FALSE))),NA()),NA())</f>
        <v>#N/A</v>
      </c>
      <c r="S237" s="65" t="e">
        <f>IF(R45=1,IF(R$13&lt;=COUNT($C17:$CS17),IF(INDEX($F$206:$F$229,MATCH($B237,$B$206:$B$229,FALSE))=0,NA(),INDEX(R$14:R$37,MATCH($B237,$B$14:$B$37,FALSE))/INDEX($F$206:$F$229,MATCH($B237,$B$206:$B$229,FALSE))),NA()),NA())</f>
        <v>#N/A</v>
      </c>
      <c r="T237" s="65" t="e">
        <f>IF(S45=1,IF(S$13&lt;=COUNT($C17:$CS17),IF(INDEX($F$206:$F$229,MATCH($B237,$B$206:$B$229,FALSE))=0,NA(),INDEX(S$14:S$37,MATCH($B237,$B$14:$B$37,FALSE))/INDEX($F$206:$F$229,MATCH($B237,$B$206:$B$229,FALSE))),NA()),NA())</f>
        <v>#N/A</v>
      </c>
      <c r="U237" s="65" t="e">
        <f>IF(T45=1,IF(T$13&lt;=COUNT($C17:$CS17),IF(INDEX($F$206:$F$229,MATCH($B237,$B$206:$B$229,FALSE))=0,NA(),INDEX(T$14:T$37,MATCH($B237,$B$14:$B$37,FALSE))/INDEX($F$206:$F$229,MATCH($B237,$B$206:$B$229,FALSE))),NA()),NA())</f>
        <v>#N/A</v>
      </c>
      <c r="V237" s="65" t="e">
        <f>IF(U45=1,IF(U$13&lt;=COUNT($C17:$CS17),IF(INDEX($F$206:$F$229,MATCH($B237,$B$206:$B$229,FALSE))=0,NA(),INDEX(U$14:U$37,MATCH($B237,$B$14:$B$37,FALSE))/INDEX($F$206:$F$229,MATCH($B237,$B$206:$B$229,FALSE))),NA()),NA())</f>
        <v>#N/A</v>
      </c>
      <c r="W237" s="65" t="e">
        <f>IF(V45=1,IF(V$13&lt;=COUNT($C17:$CS17),IF(INDEX($F$206:$F$229,MATCH($B237,$B$206:$B$229,FALSE))=0,NA(),INDEX(V$14:V$37,MATCH($B237,$B$14:$B$37,FALSE))/INDEX($F$206:$F$229,MATCH($B237,$B$206:$B$229,FALSE))),NA()),NA())</f>
        <v>#N/A</v>
      </c>
      <c r="X237" s="65" t="e">
        <f>IF(W45=1,IF(W$13&lt;=COUNT($C17:$CS17),IF(INDEX($F$206:$F$229,MATCH($B237,$B$206:$B$229,FALSE))=0,NA(),INDEX(W$14:W$37,MATCH($B237,$B$14:$B$37,FALSE))/INDEX($F$206:$F$229,MATCH($B237,$B$206:$B$229,FALSE))),NA()),NA())</f>
        <v>#N/A</v>
      </c>
      <c r="Y237" s="65" t="e">
        <f>IF(X45=1,IF(X$13&lt;=COUNT($C17:$CS17),IF(INDEX($F$206:$F$229,MATCH($B237,$B$206:$B$229,FALSE))=0,NA(),INDEX(X$14:X$37,MATCH($B237,$B$14:$B$37,FALSE))/INDEX($F$206:$F$229,MATCH($B237,$B$206:$B$229,FALSE))),NA()),NA())</f>
        <v>#N/A</v>
      </c>
      <c r="Z237" s="65" t="e">
        <f>IF(Y45=1,IF(Y$13&lt;=COUNT($C17:$CS17),IF(INDEX($F$206:$F$229,MATCH($B237,$B$206:$B$229,FALSE))=0,NA(),INDEX(Y$14:Y$37,MATCH($B237,$B$14:$B$37,FALSE))/INDEX($F$206:$F$229,MATCH($B237,$B$206:$B$229,FALSE))),NA()),NA())</f>
        <v>#N/A</v>
      </c>
      <c r="AA237" s="65" t="e">
        <f>IF(Z45=1,IF(Z$13&lt;=COUNT($C17:$CS17),IF(INDEX($F$206:$F$229,MATCH($B237,$B$206:$B$229,FALSE))=0,NA(),INDEX(Z$14:Z$37,MATCH($B237,$B$14:$B$37,FALSE))/INDEX($F$206:$F$229,MATCH($B237,$B$206:$B$229,FALSE))),NA()),NA())</f>
        <v>#N/A</v>
      </c>
      <c r="AB237" s="65" t="e">
        <f>IF(AA45=1,IF(AA$13&lt;=COUNT($C17:$CS17),IF(INDEX($F$206:$F$229,MATCH($B237,$B$206:$B$229,FALSE))=0,NA(),INDEX(AA$14:AA$37,MATCH($B237,$B$14:$B$37,FALSE))/INDEX($F$206:$F$229,MATCH($B237,$B$206:$B$229,FALSE))),NA()),NA())</f>
        <v>#N/A</v>
      </c>
      <c r="AC237" s="65" t="e">
        <f>IF(AB45=1,IF(AB$13&lt;=COUNT($C17:$CS17),IF(INDEX($F$206:$F$229,MATCH($B237,$B$206:$B$229,FALSE))=0,NA(),INDEX(AB$14:AB$37,MATCH($B237,$B$14:$B$37,FALSE))/INDEX($F$206:$F$229,MATCH($B237,$B$206:$B$229,FALSE))),NA()),NA())</f>
        <v>#N/A</v>
      </c>
      <c r="AD237" s="65" t="e">
        <f>IF(AC45=1,IF(AC$13&lt;=COUNT($C17:$CS17),IF(INDEX($F$206:$F$229,MATCH($B237,$B$206:$B$229,FALSE))=0,NA(),INDEX(AC$14:AC$37,MATCH($B237,$B$14:$B$37,FALSE))/INDEX($F$206:$F$229,MATCH($B237,$B$206:$B$229,FALSE))),NA()),NA())</f>
        <v>#N/A</v>
      </c>
      <c r="AE237" s="65" t="e">
        <f>IF(AD45=1,IF(AD$13&lt;=COUNT($C17:$CS17),IF(INDEX($F$206:$F$229,MATCH($B237,$B$206:$B$229,FALSE))=0,NA(),INDEX(AD$14:AD$37,MATCH($B237,$B$14:$B$37,FALSE))/INDEX($F$206:$F$229,MATCH($B237,$B$206:$B$229,FALSE))),NA()),NA())</f>
        <v>#N/A</v>
      </c>
      <c r="AF237" s="65" t="e">
        <f>IF(AE45=1,IF(AE$13&lt;=COUNT($C17:$CS17),IF(INDEX($F$206:$F$229,MATCH($B237,$B$206:$B$229,FALSE))=0,NA(),INDEX(AE$14:AE$37,MATCH($B237,$B$14:$B$37,FALSE))/INDEX($F$206:$F$229,MATCH($B237,$B$206:$B$229,FALSE))),NA()),NA())</f>
        <v>#N/A</v>
      </c>
      <c r="AG237" s="65" t="e">
        <f>IF(AF45=1,IF(AF$13&lt;=COUNT($C17:$CS17),IF(INDEX($F$206:$F$229,MATCH($B237,$B$206:$B$229,FALSE))=0,NA(),INDEX(AF$14:AF$37,MATCH($B237,$B$14:$B$37,FALSE))/INDEX($F$206:$F$229,MATCH($B237,$B$206:$B$229,FALSE))),NA()),NA())</f>
        <v>#N/A</v>
      </c>
      <c r="AH237" s="65" t="e">
        <f>IF(AG45=1,IF(AG$13&lt;=COUNT($C17:$CS17),IF(INDEX($F$206:$F$229,MATCH($B237,$B$206:$B$229,FALSE))=0,NA(),INDEX(AG$14:AG$37,MATCH($B237,$B$14:$B$37,FALSE))/INDEX($F$206:$F$229,MATCH($B237,$B$206:$B$229,FALSE))),NA()),NA())</f>
        <v>#N/A</v>
      </c>
      <c r="AI237" s="65" t="e">
        <f>IF(AH45=1,IF(AH$13&lt;=COUNT($C17:$CS17),IF(INDEX($F$206:$F$229,MATCH($B237,$B$206:$B$229,FALSE))=0,NA(),INDEX(AH$14:AH$37,MATCH($B237,$B$14:$B$37,FALSE))/INDEX($F$206:$F$229,MATCH($B237,$B$206:$B$229,FALSE))),NA()),NA())</f>
        <v>#N/A</v>
      </c>
      <c r="AJ237" s="65" t="e">
        <f>IF(AI45=1,IF(AI$13&lt;=COUNT($C17:$CS17),IF(INDEX($F$206:$F$229,MATCH($B237,$B$206:$B$229,FALSE))=0,NA(),INDEX(AI$14:AI$37,MATCH($B237,$B$14:$B$37,FALSE))/INDEX($F$206:$F$229,MATCH($B237,$B$206:$B$229,FALSE))),NA()),NA())</f>
        <v>#N/A</v>
      </c>
      <c r="AK237" s="65" t="e">
        <f>IF(AJ45=1,IF(AJ$13&lt;=COUNT($C17:$CS17),IF(INDEX($F$206:$F$229,MATCH($B237,$B$206:$B$229,FALSE))=0,NA(),INDEX(AJ$14:AJ$37,MATCH($B237,$B$14:$B$37,FALSE))/INDEX($F$206:$F$229,MATCH($B237,$B$206:$B$229,FALSE))),NA()),NA())</f>
        <v>#N/A</v>
      </c>
      <c r="AL237" s="65" t="e">
        <f>IF(AK45=1,IF(AK$13&lt;=COUNT($C17:$CS17),IF(INDEX($F$206:$F$229,MATCH($B237,$B$206:$B$229,FALSE))=0,NA(),INDEX(AK$14:AK$37,MATCH($B237,$B$14:$B$37,FALSE))/INDEX($F$206:$F$229,MATCH($B237,$B$206:$B$229,FALSE))),NA()),NA())</f>
        <v>#N/A</v>
      </c>
      <c r="AM237" s="65" t="e">
        <f>IF(AL45=1,IF(AL$13&lt;=COUNT($C17:$CS17),IF(INDEX($F$206:$F$229,MATCH($B237,$B$206:$B$229,FALSE))=0,NA(),INDEX(AL$14:AL$37,MATCH($B237,$B$14:$B$37,FALSE))/INDEX($F$206:$F$229,MATCH($B237,$B$206:$B$229,FALSE))),NA()),NA())</f>
        <v>#N/A</v>
      </c>
      <c r="AN237" s="65" t="e">
        <f>IF(AM45=1,IF(AM$13&lt;=COUNT($C17:$CS17),IF(INDEX($F$206:$F$229,MATCH($B237,$B$206:$B$229,FALSE))=0,NA(),INDEX(AM$14:AM$37,MATCH($B237,$B$14:$B$37,FALSE))/INDEX($F$206:$F$229,MATCH($B237,$B$206:$B$229,FALSE))),NA()),NA())</f>
        <v>#N/A</v>
      </c>
      <c r="AO237" s="65" t="e">
        <f>IF(AN45=1,IF(AN$13&lt;=COUNT($C17:$CS17),IF(INDEX($F$206:$F$229,MATCH($B237,$B$206:$B$229,FALSE))=0,NA(),INDEX(AN$14:AN$37,MATCH($B237,$B$14:$B$37,FALSE))/INDEX($F$206:$F$229,MATCH($B237,$B$206:$B$229,FALSE))),NA()),NA())</f>
        <v>#N/A</v>
      </c>
      <c r="AP237" s="65" t="e">
        <f>IF(AO45=1,IF(AO$13&lt;=COUNT($C17:$CS17),IF(INDEX($F$206:$F$229,MATCH($B237,$B$206:$B$229,FALSE))=0,NA(),INDEX(AO$14:AO$37,MATCH($B237,$B$14:$B$37,FALSE))/INDEX($F$206:$F$229,MATCH($B237,$B$206:$B$229,FALSE))),NA()),NA())</f>
        <v>#N/A</v>
      </c>
      <c r="AQ237" s="65" t="e">
        <f>IF(AP45=1,IF(AP$13&lt;=COUNT($C17:$CS17),IF(INDEX($F$206:$F$229,MATCH($B237,$B$206:$B$229,FALSE))=0,NA(),INDEX(AP$14:AP$37,MATCH($B237,$B$14:$B$37,FALSE))/INDEX($F$206:$F$229,MATCH($B237,$B$206:$B$229,FALSE))),NA()),NA())</f>
        <v>#N/A</v>
      </c>
      <c r="AR237" s="65" t="e">
        <f>IF(AQ45=1,IF(AQ$13&lt;=COUNT($C17:$CS17),IF(INDEX($F$206:$F$229,MATCH($B237,$B$206:$B$229,FALSE))=0,NA(),INDEX(AQ$14:AQ$37,MATCH($B237,$B$14:$B$37,FALSE))/INDEX($F$206:$F$229,MATCH($B237,$B$206:$B$229,FALSE))),NA()),NA())</f>
        <v>#N/A</v>
      </c>
      <c r="AS237" s="65" t="e">
        <f>IF(AR45=1,IF(AR$13&lt;=COUNT($C17:$CS17),IF(INDEX($F$206:$F$229,MATCH($B237,$B$206:$B$229,FALSE))=0,NA(),INDEX(AR$14:AR$37,MATCH($B237,$B$14:$B$37,FALSE))/INDEX($F$206:$F$229,MATCH($B237,$B$206:$B$229,FALSE))),NA()),NA())</f>
        <v>#N/A</v>
      </c>
      <c r="AT237" s="65" t="e">
        <f>IF(AS45=1,IF(AS$13&lt;=COUNT($C17:$CS17),IF(INDEX($F$206:$F$229,MATCH($B237,$B$206:$B$229,FALSE))=0,NA(),INDEX(AS$14:AS$37,MATCH($B237,$B$14:$B$37,FALSE))/INDEX($F$206:$F$229,MATCH($B237,$B$206:$B$229,FALSE))),NA()),NA())</f>
        <v>#N/A</v>
      </c>
      <c r="AU237" s="65" t="e">
        <f>IF(AT45=1,IF(AT$13&lt;=COUNT($C17:$CS17),IF(INDEX($F$206:$F$229,MATCH($B237,$B$206:$B$229,FALSE))=0,NA(),INDEX(AT$14:AT$37,MATCH($B237,$B$14:$B$37,FALSE))/INDEX($F$206:$F$229,MATCH($B237,$B$206:$B$229,FALSE))),NA()),NA())</f>
        <v>#N/A</v>
      </c>
      <c r="AV237" s="65" t="e">
        <f>IF(AU45=1,IF(AU$13&lt;=COUNT($C17:$CS17),IF(INDEX($F$206:$F$229,MATCH($B237,$B$206:$B$229,FALSE))=0,NA(),INDEX(AU$14:AU$37,MATCH($B237,$B$14:$B$37,FALSE))/INDEX($F$206:$F$229,MATCH($B237,$B$206:$B$229,FALSE))),NA()),NA())</f>
        <v>#N/A</v>
      </c>
      <c r="AW237" s="65" t="e">
        <f>IF(AV45=1,IF(AV$13&lt;=COUNT($C17:$CS17),IF(INDEX($F$206:$F$229,MATCH($B237,$B$206:$B$229,FALSE))=0,NA(),INDEX(AV$14:AV$37,MATCH($B237,$B$14:$B$37,FALSE))/INDEX($F$206:$F$229,MATCH($B237,$B$206:$B$229,FALSE))),NA()),NA())</f>
        <v>#N/A</v>
      </c>
      <c r="AX237" s="65" t="e">
        <f>IF(AW45=1,IF(AW$13&lt;=COUNT($C17:$CS17),IF(INDEX($F$206:$F$229,MATCH($B237,$B$206:$B$229,FALSE))=0,NA(),INDEX(AW$14:AW$37,MATCH($B237,$B$14:$B$37,FALSE))/INDEX($F$206:$F$229,MATCH($B237,$B$206:$B$229,FALSE))),NA()),NA())</f>
        <v>#N/A</v>
      </c>
      <c r="AY237" s="65" t="e">
        <f>IF(AX45=1,IF(AX$13&lt;=COUNT($C17:$CS17),IF(INDEX($F$206:$F$229,MATCH($B237,$B$206:$B$229,FALSE))=0,NA(),INDEX(AX$14:AX$37,MATCH($B237,$B$14:$B$37,FALSE))/INDEX($F$206:$F$229,MATCH($B237,$B$206:$B$229,FALSE))),NA()),NA())</f>
        <v>#N/A</v>
      </c>
      <c r="AZ237" s="65" t="e">
        <f>IF(AY45=1,IF(AY$13&lt;=COUNT($C17:$CS17),IF(INDEX($F$206:$F$229,MATCH($B237,$B$206:$B$229,FALSE))=0,NA(),INDEX(AY$14:AY$37,MATCH($B237,$B$14:$B$37,FALSE))/INDEX($F$206:$F$229,MATCH($B237,$B$206:$B$229,FALSE))),NA()),NA())</f>
        <v>#N/A</v>
      </c>
      <c r="BA237" s="65" t="e">
        <f>IF(AZ45=1,IF(AZ$13&lt;=COUNT($C17:$CS17),IF(INDEX($F$206:$F$229,MATCH($B237,$B$206:$B$229,FALSE))=0,NA(),INDEX(AZ$14:AZ$37,MATCH($B237,$B$14:$B$37,FALSE))/INDEX($F$206:$F$229,MATCH($B237,$B$206:$B$229,FALSE))),NA()),NA())</f>
        <v>#N/A</v>
      </c>
      <c r="BB237" s="65" t="e">
        <f>IF(BA45=1,IF(BA$13&lt;=COUNT($C17:$CS17),IF(INDEX($F$206:$F$229,MATCH($B237,$B$206:$B$229,FALSE))=0,NA(),INDEX(BA$14:BA$37,MATCH($B237,$B$14:$B$37,FALSE))/INDEX($F$206:$F$229,MATCH($B237,$B$206:$B$229,FALSE))),NA()),NA())</f>
        <v>#N/A</v>
      </c>
      <c r="BC237" s="65" t="e">
        <f>IF(BB45=1,IF(BB$13&lt;=COUNT($C17:$CS17),IF(INDEX($F$206:$F$229,MATCH($B237,$B$206:$B$229,FALSE))=0,NA(),INDEX(BB$14:BB$37,MATCH($B237,$B$14:$B$37,FALSE))/INDEX($F$206:$F$229,MATCH($B237,$B$206:$B$229,FALSE))),NA()),NA())</f>
        <v>#N/A</v>
      </c>
      <c r="BD237" s="65" t="e">
        <f>IF(BC45=1,IF(BC$13&lt;=COUNT($C17:$CS17),IF(INDEX($F$206:$F$229,MATCH($B237,$B$206:$B$229,FALSE))=0,NA(),INDEX(BC$14:BC$37,MATCH($B237,$B$14:$B$37,FALSE))/INDEX($F$206:$F$229,MATCH($B237,$B$206:$B$229,FALSE))),NA()),NA())</f>
        <v>#N/A</v>
      </c>
      <c r="BE237" s="65" t="e">
        <f>IF(BD45=1,IF(BD$13&lt;=COUNT($C17:$CS17),IF(INDEX($F$206:$F$229,MATCH($B237,$B$206:$B$229,FALSE))=0,NA(),INDEX(BD$14:BD$37,MATCH($B237,$B$14:$B$37,FALSE))/INDEX($F$206:$F$229,MATCH($B237,$B$206:$B$229,FALSE))),NA()),NA())</f>
        <v>#N/A</v>
      </c>
      <c r="BF237" s="65" t="e">
        <f>IF(BE45=1,IF(BE$13&lt;=COUNT($C17:$CS17),IF(INDEX($F$206:$F$229,MATCH($B237,$B$206:$B$229,FALSE))=0,NA(),INDEX(BE$14:BE$37,MATCH($B237,$B$14:$B$37,FALSE))/INDEX($F$206:$F$229,MATCH($B237,$B$206:$B$229,FALSE))),NA()),NA())</f>
        <v>#N/A</v>
      </c>
      <c r="BG237" s="65" t="e">
        <f>IF(BF45=1,IF(BF$13&lt;=COUNT($C17:$CS17),IF(INDEX($F$206:$F$229,MATCH($B237,$B$206:$B$229,FALSE))=0,NA(),INDEX(BF$14:BF$37,MATCH($B237,$B$14:$B$37,FALSE))/INDEX($F$206:$F$229,MATCH($B237,$B$206:$B$229,FALSE))),NA()),NA())</f>
        <v>#N/A</v>
      </c>
      <c r="BH237" s="65" t="e">
        <f>IF(BG45=1,IF(BG$13&lt;=COUNT($C17:$CS17),IF(INDEX($F$206:$F$229,MATCH($B237,$B$206:$B$229,FALSE))=0,NA(),INDEX(BG$14:BG$37,MATCH($B237,$B$14:$B$37,FALSE))/INDEX($F$206:$F$229,MATCH($B237,$B$206:$B$229,FALSE))),NA()),NA())</f>
        <v>#N/A</v>
      </c>
      <c r="BI237" s="65" t="e">
        <f>IF(BH45=1,IF(BH$13&lt;=COUNT($C17:$CS17),IF(INDEX($F$206:$F$229,MATCH($B237,$B$206:$B$229,FALSE))=0,NA(),INDEX(BH$14:BH$37,MATCH($B237,$B$14:$B$37,FALSE))/INDEX($F$206:$F$229,MATCH($B237,$B$206:$B$229,FALSE))),NA()),NA())</f>
        <v>#N/A</v>
      </c>
      <c r="BJ237" s="65" t="e">
        <f>IF(BI45=1,IF(BI$13&lt;=COUNT($C17:$CS17),IF(INDEX($F$206:$F$229,MATCH($B237,$B$206:$B$229,FALSE))=0,NA(),INDEX(BI$14:BI$37,MATCH($B237,$B$14:$B$37,FALSE))/INDEX($F$206:$F$229,MATCH($B237,$B$206:$B$229,FALSE))),NA()),NA())</f>
        <v>#N/A</v>
      </c>
      <c r="BK237" s="65" t="e">
        <f>IF(BJ45=1,IF(BJ$13&lt;=COUNT($C17:$CS17),IF(INDEX($F$206:$F$229,MATCH($B237,$B$206:$B$229,FALSE))=0,NA(),INDEX(BJ$14:BJ$37,MATCH($B237,$B$14:$B$37,FALSE))/INDEX($F$206:$F$229,MATCH($B237,$B$206:$B$229,FALSE))),NA()),NA())</f>
        <v>#N/A</v>
      </c>
      <c r="BL237" s="65" t="e">
        <f>IF(BK45=1,IF(BK$13&lt;=COUNT($C17:$CS17),IF(INDEX($F$206:$F$229,MATCH($B237,$B$206:$B$229,FALSE))=0,NA(),INDEX(BK$14:BK$37,MATCH($B237,$B$14:$B$37,FALSE))/INDEX($F$206:$F$229,MATCH($B237,$B$206:$B$229,FALSE))),NA()),NA())</f>
        <v>#N/A</v>
      </c>
      <c r="BM237" s="65" t="e">
        <f>IF(BL45=1,IF(BL$13&lt;=COUNT($C17:$CS17),IF(INDEX($F$206:$F$229,MATCH($B237,$B$206:$B$229,FALSE))=0,NA(),INDEX(BL$14:BL$37,MATCH($B237,$B$14:$B$37,FALSE))/INDEX($F$206:$F$229,MATCH($B237,$B$206:$B$229,FALSE))),NA()),NA())</f>
        <v>#N/A</v>
      </c>
      <c r="BN237" s="65" t="e">
        <f>IF(BM45=1,IF(BM$13&lt;=COUNT($C17:$CS17),IF(INDEX($F$206:$F$229,MATCH($B237,$B$206:$B$229,FALSE))=0,NA(),INDEX(BM$14:BM$37,MATCH($B237,$B$14:$B$37,FALSE))/INDEX($F$206:$F$229,MATCH($B237,$B$206:$B$229,FALSE))),NA()),NA())</f>
        <v>#N/A</v>
      </c>
      <c r="BO237" s="65" t="e">
        <f>IF(BN45=1,IF(BN$13&lt;=COUNT($C17:$CS17),IF(INDEX($F$206:$F$229,MATCH($B237,$B$206:$B$229,FALSE))=0,NA(),INDEX(BN$14:BN$37,MATCH($B237,$B$14:$B$37,FALSE))/INDEX($F$206:$F$229,MATCH($B237,$B$206:$B$229,FALSE))),NA()),NA())</f>
        <v>#N/A</v>
      </c>
      <c r="BP237" s="65" t="e">
        <f>IF(BO45=1,IF(BO$13&lt;=COUNT($C17:$CS17),IF(INDEX($F$206:$F$229,MATCH($B237,$B$206:$B$229,FALSE))=0,NA(),INDEX(BO$14:BO$37,MATCH($B237,$B$14:$B$37,FALSE))/INDEX($F$206:$F$229,MATCH($B237,$B$206:$B$229,FALSE))),NA()),NA())</f>
        <v>#N/A</v>
      </c>
      <c r="BQ237" s="65" t="e">
        <f>IF(BP45=1,IF(BP$13&lt;=COUNT($C17:$CS17),IF(INDEX($F$206:$F$229,MATCH($B237,$B$206:$B$229,FALSE))=0,NA(),INDEX(BP$14:BP$37,MATCH($B237,$B$14:$B$37,FALSE))/INDEX($F$206:$F$229,MATCH($B237,$B$206:$B$229,FALSE))),NA()),NA())</f>
        <v>#N/A</v>
      </c>
      <c r="BR237" s="65" t="e">
        <f>IF(BQ45=1,IF(BQ$13&lt;=COUNT($C17:$CS17),IF(INDEX($F$206:$F$229,MATCH($B237,$B$206:$B$229,FALSE))=0,NA(),INDEX(BQ$14:BQ$37,MATCH($B237,$B$14:$B$37,FALSE))/INDEX($F$206:$F$229,MATCH($B237,$B$206:$B$229,FALSE))),NA()),NA())</f>
        <v>#N/A</v>
      </c>
      <c r="BS237" s="65" t="e">
        <f>IF(BR45=1,IF(BR$13&lt;=COUNT($C17:$CS17),IF(INDEX($F$206:$F$229,MATCH($B237,$B$206:$B$229,FALSE))=0,NA(),INDEX(BR$14:BR$37,MATCH($B237,$B$14:$B$37,FALSE))/INDEX($F$206:$F$229,MATCH($B237,$B$206:$B$229,FALSE))),NA()),NA())</f>
        <v>#N/A</v>
      </c>
      <c r="BT237" s="65" t="e">
        <f>IF(BS45=1,IF(BS$13&lt;=COUNT($C17:$CS17),IF(INDEX($F$206:$F$229,MATCH($B237,$B$206:$B$229,FALSE))=0,NA(),INDEX(BS$14:BS$37,MATCH($B237,$B$14:$B$37,FALSE))/INDEX($F$206:$F$229,MATCH($B237,$B$206:$B$229,FALSE))),NA()),NA())</f>
        <v>#N/A</v>
      </c>
      <c r="BU237" s="65" t="e">
        <f>IF(BT45=1,IF(BT$13&lt;=COUNT($C17:$CS17),IF(INDEX($F$206:$F$229,MATCH($B237,$B$206:$B$229,FALSE))=0,NA(),INDEX(BT$14:BT$37,MATCH($B237,$B$14:$B$37,FALSE))/INDEX($F$206:$F$229,MATCH($B237,$B$206:$B$229,FALSE))),NA()),NA())</f>
        <v>#N/A</v>
      </c>
      <c r="BV237" s="65" t="e">
        <f>IF(BU45=1,IF(BU$13&lt;=COUNT($C17:$CS17),IF(INDEX($F$206:$F$229,MATCH($B237,$B$206:$B$229,FALSE))=0,NA(),INDEX(BU$14:BU$37,MATCH($B237,$B$14:$B$37,FALSE))/INDEX($F$206:$F$229,MATCH($B237,$B$206:$B$229,FALSE))),NA()),NA())</f>
        <v>#N/A</v>
      </c>
      <c r="BW237" s="65" t="e">
        <f>IF(BV45=1,IF(BV$13&lt;=COUNT($C17:$CS17),IF(INDEX($F$206:$F$229,MATCH($B237,$B$206:$B$229,FALSE))=0,NA(),INDEX(BV$14:BV$37,MATCH($B237,$B$14:$B$37,FALSE))/INDEX($F$206:$F$229,MATCH($B237,$B$206:$B$229,FALSE))),NA()),NA())</f>
        <v>#N/A</v>
      </c>
      <c r="BX237" s="65" t="e">
        <f>IF(BW45=1,IF(BW$13&lt;=COUNT($C17:$CS17),IF(INDEX($F$206:$F$229,MATCH($B237,$B$206:$B$229,FALSE))=0,NA(),INDEX(BW$14:BW$37,MATCH($B237,$B$14:$B$37,FALSE))/INDEX($F$206:$F$229,MATCH($B237,$B$206:$B$229,FALSE))),NA()),NA())</f>
        <v>#N/A</v>
      </c>
      <c r="BY237" s="65" t="e">
        <f>IF(BX45=1,IF(BX$13&lt;=COUNT($C17:$CS17),IF(INDEX($F$206:$F$229,MATCH($B237,$B$206:$B$229,FALSE))=0,NA(),INDEX(BX$14:BX$37,MATCH($B237,$B$14:$B$37,FALSE))/INDEX($F$206:$F$229,MATCH($B237,$B$206:$B$229,FALSE))),NA()),NA())</f>
        <v>#N/A</v>
      </c>
      <c r="BZ237" s="65" t="e">
        <f>IF(BY45=1,IF(BY$13&lt;=COUNT($C17:$CS17),IF(INDEX($F$206:$F$229,MATCH($B237,$B$206:$B$229,FALSE))=0,NA(),INDEX(BY$14:BY$37,MATCH($B237,$B$14:$B$37,FALSE))/INDEX($F$206:$F$229,MATCH($B237,$B$206:$B$229,FALSE))),NA()),NA())</f>
        <v>#N/A</v>
      </c>
      <c r="CA237" s="65" t="e">
        <f>IF(BZ45=1,IF(BZ$13&lt;=COUNT($C17:$CS17),IF(INDEX($F$206:$F$229,MATCH($B237,$B$206:$B$229,FALSE))=0,NA(),INDEX(BZ$14:BZ$37,MATCH($B237,$B$14:$B$37,FALSE))/INDEX($F$206:$F$229,MATCH($B237,$B$206:$B$229,FALSE))),NA()),NA())</f>
        <v>#N/A</v>
      </c>
      <c r="CB237" s="65" t="e">
        <f>IF(CA45=1,IF(CA$13&lt;=COUNT($C17:$CS17),IF(INDEX($F$206:$F$229,MATCH($B237,$B$206:$B$229,FALSE))=0,NA(),INDEX(CA$14:CA$37,MATCH($B237,$B$14:$B$37,FALSE))/INDEX($F$206:$F$229,MATCH($B237,$B$206:$B$229,FALSE))),NA()),NA())</f>
        <v>#N/A</v>
      </c>
      <c r="CC237" s="65" t="e">
        <f>IF(CB45=1,IF(CB$13&lt;=COUNT($C17:$CS17),IF(INDEX($F$206:$F$229,MATCH($B237,$B$206:$B$229,FALSE))=0,NA(),INDEX(CB$14:CB$37,MATCH($B237,$B$14:$B$37,FALSE))/INDEX($F$206:$F$229,MATCH($B237,$B$206:$B$229,FALSE))),NA()),NA())</f>
        <v>#N/A</v>
      </c>
      <c r="CD237" s="65" t="e">
        <f>IF(CC45=1,IF(CC$13&lt;=COUNT($C17:$CS17),IF(INDEX($F$206:$F$229,MATCH($B237,$B$206:$B$229,FALSE))=0,NA(),INDEX(CC$14:CC$37,MATCH($B237,$B$14:$B$37,FALSE))/INDEX($F$206:$F$229,MATCH($B237,$B$206:$B$229,FALSE))),NA()),NA())</f>
        <v>#N/A</v>
      </c>
      <c r="CE237" s="65" t="e">
        <f>IF(CD45=1,IF(CD$13&lt;=COUNT($C17:$CS17),IF(INDEX($F$206:$F$229,MATCH($B237,$B$206:$B$229,FALSE))=0,NA(),INDEX(CD$14:CD$37,MATCH($B237,$B$14:$B$37,FALSE))/INDEX($F$206:$F$229,MATCH($B237,$B$206:$B$229,FALSE))),NA()),NA())</f>
        <v>#N/A</v>
      </c>
      <c r="CF237" s="65" t="e">
        <f>IF(CE45=1,IF(CE$13&lt;=COUNT($C17:$CS17),IF(INDEX($F$206:$F$229,MATCH($B237,$B$206:$B$229,FALSE))=0,NA(),INDEX(CE$14:CE$37,MATCH($B237,$B$14:$B$37,FALSE))/INDEX($F$206:$F$229,MATCH($B237,$B$206:$B$229,FALSE))),NA()),NA())</f>
        <v>#N/A</v>
      </c>
      <c r="CG237" s="65" t="e">
        <f>IF(CF45=1,IF(CF$13&lt;=COUNT($C17:$CS17),IF(INDEX($F$206:$F$229,MATCH($B237,$B$206:$B$229,FALSE))=0,NA(),INDEX(CF$14:CF$37,MATCH($B237,$B$14:$B$37,FALSE))/INDEX($F$206:$F$229,MATCH($B237,$B$206:$B$229,FALSE))),NA()),NA())</f>
        <v>#N/A</v>
      </c>
      <c r="CH237" s="65" t="e">
        <f>IF(CG45=1,IF(CG$13&lt;=COUNT($C17:$CS17),IF(INDEX($F$206:$F$229,MATCH($B237,$B$206:$B$229,FALSE))=0,NA(),INDEX(CG$14:CG$37,MATCH($B237,$B$14:$B$37,FALSE))/INDEX($F$206:$F$229,MATCH($B237,$B$206:$B$229,FALSE))),NA()),NA())</f>
        <v>#N/A</v>
      </c>
      <c r="CI237" s="65" t="e">
        <f>IF(CH45=1,IF(CH$13&lt;=COUNT($C17:$CS17),IF(INDEX($F$206:$F$229,MATCH($B237,$B$206:$B$229,FALSE))=0,NA(),INDEX(CH$14:CH$37,MATCH($B237,$B$14:$B$37,FALSE))/INDEX($F$206:$F$229,MATCH($B237,$B$206:$B$229,FALSE))),NA()),NA())</f>
        <v>#N/A</v>
      </c>
      <c r="CJ237" s="65" t="e">
        <f>IF(CI45=1,IF(CI$13&lt;=COUNT($C17:$CS17),IF(INDEX($F$206:$F$229,MATCH($B237,$B$206:$B$229,FALSE))=0,NA(),INDEX(CI$14:CI$37,MATCH($B237,$B$14:$B$37,FALSE))/INDEX($F$206:$F$229,MATCH($B237,$B$206:$B$229,FALSE))),NA()),NA())</f>
        <v>#N/A</v>
      </c>
      <c r="CK237" s="65" t="e">
        <f>IF(CJ45=1,IF(CJ$13&lt;=COUNT($C17:$CS17),IF(INDEX($F$206:$F$229,MATCH($B237,$B$206:$B$229,FALSE))=0,NA(),INDEX(CJ$14:CJ$37,MATCH($B237,$B$14:$B$37,FALSE))/INDEX($F$206:$F$229,MATCH($B237,$B$206:$B$229,FALSE))),NA()),NA())</f>
        <v>#N/A</v>
      </c>
      <c r="CL237" s="65" t="e">
        <f>IF(CK45=1,IF(CK$13&lt;=COUNT($C17:$CS17),IF(INDEX($F$206:$F$229,MATCH($B237,$B$206:$B$229,FALSE))=0,NA(),INDEX(CK$14:CK$37,MATCH($B237,$B$14:$B$37,FALSE))/INDEX($F$206:$F$229,MATCH($B237,$B$206:$B$229,FALSE))),NA()),NA())</f>
        <v>#N/A</v>
      </c>
      <c r="CM237" s="65" t="e">
        <f>IF(CL45=1,IF(CL$13&lt;=COUNT($C17:$CS17),IF(INDEX($F$206:$F$229,MATCH($B237,$B$206:$B$229,FALSE))=0,NA(),INDEX(CL$14:CL$37,MATCH($B237,$B$14:$B$37,FALSE))/INDEX($F$206:$F$229,MATCH($B237,$B$206:$B$229,FALSE))),NA()),NA())</f>
        <v>#N/A</v>
      </c>
      <c r="CN237" s="65" t="e">
        <f>IF(CM45=1,IF(CM$13&lt;=COUNT($C17:$CS17),IF(INDEX($F$206:$F$229,MATCH($B237,$B$206:$B$229,FALSE))=0,NA(),INDEX(CM$14:CM$37,MATCH($B237,$B$14:$B$37,FALSE))/INDEX($F$206:$F$229,MATCH($B237,$B$206:$B$229,FALSE))),NA()),NA())</f>
        <v>#N/A</v>
      </c>
      <c r="CO237" s="65" t="e">
        <f>IF(CN45=1,IF(CN$13&lt;=COUNT($C17:$CS17),IF(INDEX($F$206:$F$229,MATCH($B237,$B$206:$B$229,FALSE))=0,NA(),INDEX(CN$14:CN$37,MATCH($B237,$B$14:$B$37,FALSE))/INDEX($F$206:$F$229,MATCH($B237,$B$206:$B$229,FALSE))),NA()),NA())</f>
        <v>#N/A</v>
      </c>
      <c r="CP237" s="65" t="e">
        <f>IF(CO45=1,IF(CO$13&lt;=COUNT($C17:$CS17),IF(INDEX($F$206:$F$229,MATCH($B237,$B$206:$B$229,FALSE))=0,NA(),INDEX(CO$14:CO$37,MATCH($B237,$B$14:$B$37,FALSE))/INDEX($F$206:$F$229,MATCH($B237,$B$206:$B$229,FALSE))),NA()),NA())</f>
        <v>#N/A</v>
      </c>
      <c r="CQ237" s="65" t="e">
        <f>IF(CP45=1,IF(CP$13&lt;=COUNT($C17:$CS17),IF(INDEX($F$206:$F$229,MATCH($B237,$B$206:$B$229,FALSE))=0,NA(),INDEX(CP$14:CP$37,MATCH($B237,$B$14:$B$37,FALSE))/INDEX($F$206:$F$229,MATCH($B237,$B$206:$B$229,FALSE))),NA()),NA())</f>
        <v>#N/A</v>
      </c>
      <c r="CR237" s="65" t="e">
        <f>IF(CQ45=1,IF(CQ$13&lt;=COUNT($C17:$CS17),IF(INDEX($F$206:$F$229,MATCH($B237,$B$206:$B$229,FALSE))=0,NA(),INDEX(CQ$14:CQ$37,MATCH($B237,$B$14:$B$37,FALSE))/INDEX($F$206:$F$229,MATCH($B237,$B$206:$B$229,FALSE))),NA()),NA())</f>
        <v>#N/A</v>
      </c>
      <c r="CS237" s="65" t="e">
        <f>IF(CR45=1,IF(CR$13&lt;=COUNT($C17:$CS17),IF(INDEX($F$206:$F$229,MATCH($B237,$B$206:$B$229,FALSE))=0,NA(),INDEX(CR$14:CR$37,MATCH($B237,$B$14:$B$37,FALSE))/INDEX($F$206:$F$229,MATCH($B237,$B$206:$B$229,FALSE))),NA()),NA())</f>
        <v>#N/A</v>
      </c>
      <c r="CT237" s="49"/>
      <c r="CU237" s="49"/>
      <c r="CV237" s="49"/>
      <c r="CW237" s="49"/>
    </row>
    <row r="238" spans="1:101" x14ac:dyDescent="0.25">
      <c r="A238" s="97">
        <f t="shared" si="105"/>
        <v>0</v>
      </c>
      <c r="B238" s="29">
        <f t="shared" si="104"/>
        <v>2000</v>
      </c>
      <c r="C238" s="154" t="str">
        <f t="shared" si="106"/>
        <v/>
      </c>
      <c r="D238" s="54" t="e">
        <f>IF(C46=1,IF(C$13&lt;=COUNT($C18:$CS18),IF(INDEX($F$206:$F$229,MATCH($B238,$B$206:$B$229,FALSE))=0,NA(),INDEX(C$14:C$37,MATCH($B238,$B$14:$B$37,FALSE))/INDEX($F$206:$F$229,MATCH($B238,$B$206:$B$229,FALSE))),NA()),NA())</f>
        <v>#N/A</v>
      </c>
      <c r="E238" s="65" t="e">
        <f>IF(D46=1,IF(D$13&lt;=COUNT($C18:$CS18),IF(INDEX($F$206:$F$229,MATCH($B238,$B$206:$B$229,FALSE))=0,NA(),INDEX(D$14:D$37,MATCH($B238,$B$14:$B$37,FALSE))/INDEX($F$206:$F$229,MATCH($B238,$B$206:$B$229,FALSE))),NA()),NA())</f>
        <v>#N/A</v>
      </c>
      <c r="F238" s="65" t="e">
        <f>IF(E46=1,IF(E$13&lt;=COUNT($C18:$CS18),IF(INDEX($F$206:$F$229,MATCH($B238,$B$206:$B$229,FALSE))=0,NA(),INDEX(E$14:E$37,MATCH($B238,$B$14:$B$37,FALSE))/INDEX($F$206:$F$229,MATCH($B238,$B$206:$B$229,FALSE))),NA()),NA())</f>
        <v>#N/A</v>
      </c>
      <c r="G238" s="65" t="e">
        <f>IF(F46=1,IF(F$13&lt;=COUNT($C18:$CS18),IF(INDEX($F$206:$F$229,MATCH($B238,$B$206:$B$229,FALSE))=0,NA(),INDEX(F$14:F$37,MATCH($B238,$B$14:$B$37,FALSE))/INDEX($F$206:$F$229,MATCH($B238,$B$206:$B$229,FALSE))),NA()),NA())</f>
        <v>#N/A</v>
      </c>
      <c r="H238" s="65" t="e">
        <f>IF(G46=1,IF(G$13&lt;=COUNT($C18:$CS18),IF(INDEX($F$206:$F$229,MATCH($B238,$B$206:$B$229,FALSE))=0,NA(),INDEX(G$14:G$37,MATCH($B238,$B$14:$B$37,FALSE))/INDEX($F$206:$F$229,MATCH($B238,$B$206:$B$229,FALSE))),NA()),NA())</f>
        <v>#N/A</v>
      </c>
      <c r="I238" s="65" t="e">
        <f>IF(H46=1,IF(H$13&lt;=COUNT($C18:$CS18),IF(INDEX($F$206:$F$229,MATCH($B238,$B$206:$B$229,FALSE))=0,NA(),INDEX(H$14:H$37,MATCH($B238,$B$14:$B$37,FALSE))/INDEX($F$206:$F$229,MATCH($B238,$B$206:$B$229,FALSE))),NA()),NA())</f>
        <v>#N/A</v>
      </c>
      <c r="J238" s="65" t="e">
        <f>IF(I46=1,IF(I$13&lt;=COUNT($C18:$CS18),IF(INDEX($F$206:$F$229,MATCH($B238,$B$206:$B$229,FALSE))=0,NA(),INDEX(I$14:I$37,MATCH($B238,$B$14:$B$37,FALSE))/INDEX($F$206:$F$229,MATCH($B238,$B$206:$B$229,FALSE))),NA()),NA())</f>
        <v>#N/A</v>
      </c>
      <c r="K238" s="65" t="e">
        <f>IF(J46=1,IF(J$13&lt;=COUNT($C18:$CS18),IF(INDEX($F$206:$F$229,MATCH($B238,$B$206:$B$229,FALSE))=0,NA(),INDEX(J$14:J$37,MATCH($B238,$B$14:$B$37,FALSE))/INDEX($F$206:$F$229,MATCH($B238,$B$206:$B$229,FALSE))),NA()),NA())</f>
        <v>#N/A</v>
      </c>
      <c r="L238" s="65" t="e">
        <f>IF(K46=1,IF(K$13&lt;=COUNT($C18:$CS18),IF(INDEX($F$206:$F$229,MATCH($B238,$B$206:$B$229,FALSE))=0,NA(),INDEX(K$14:K$37,MATCH($B238,$B$14:$B$37,FALSE))/INDEX($F$206:$F$229,MATCH($B238,$B$206:$B$229,FALSE))),NA()),NA())</f>
        <v>#N/A</v>
      </c>
      <c r="M238" s="65" t="e">
        <f>IF(L46=1,IF(L$13&lt;=COUNT($C18:$CS18),IF(INDEX($F$206:$F$229,MATCH($B238,$B$206:$B$229,FALSE))=0,NA(),INDEX(L$14:L$37,MATCH($B238,$B$14:$B$37,FALSE))/INDEX($F$206:$F$229,MATCH($B238,$B$206:$B$229,FALSE))),NA()),NA())</f>
        <v>#N/A</v>
      </c>
      <c r="N238" s="65" t="e">
        <f>IF(M46=1,IF(M$13&lt;=COUNT($C18:$CS18),IF(INDEX($F$206:$F$229,MATCH($B238,$B$206:$B$229,FALSE))=0,NA(),INDEX(M$14:M$37,MATCH($B238,$B$14:$B$37,FALSE))/INDEX($F$206:$F$229,MATCH($B238,$B$206:$B$229,FALSE))),NA()),NA())</f>
        <v>#N/A</v>
      </c>
      <c r="O238" s="65" t="e">
        <f>IF(N46=1,IF(N$13&lt;=COUNT($C18:$CS18),IF(INDEX($F$206:$F$229,MATCH($B238,$B$206:$B$229,FALSE))=0,NA(),INDEX(N$14:N$37,MATCH($B238,$B$14:$B$37,FALSE))/INDEX($F$206:$F$229,MATCH($B238,$B$206:$B$229,FALSE))),NA()),NA())</f>
        <v>#N/A</v>
      </c>
      <c r="P238" s="65" t="e">
        <f>IF(O46=1,IF(O$13&lt;=COUNT($C18:$CS18),IF(INDEX($F$206:$F$229,MATCH($B238,$B$206:$B$229,FALSE))=0,NA(),INDEX(O$14:O$37,MATCH($B238,$B$14:$B$37,FALSE))/INDEX($F$206:$F$229,MATCH($B238,$B$206:$B$229,FALSE))),NA()),NA())</f>
        <v>#N/A</v>
      </c>
      <c r="Q238" s="65" t="e">
        <f>IF(P46=1,IF(P$13&lt;=COUNT($C18:$CS18),IF(INDEX($F$206:$F$229,MATCH($B238,$B$206:$B$229,FALSE))=0,NA(),INDEX(P$14:P$37,MATCH($B238,$B$14:$B$37,FALSE))/INDEX($F$206:$F$229,MATCH($B238,$B$206:$B$229,FALSE))),NA()),NA())</f>
        <v>#N/A</v>
      </c>
      <c r="R238" s="65" t="e">
        <f>IF(Q46=1,IF(Q$13&lt;=COUNT($C18:$CS18),IF(INDEX($F$206:$F$229,MATCH($B238,$B$206:$B$229,FALSE))=0,NA(),INDEX(Q$14:Q$37,MATCH($B238,$B$14:$B$37,FALSE))/INDEX($F$206:$F$229,MATCH($B238,$B$206:$B$229,FALSE))),NA()),NA())</f>
        <v>#N/A</v>
      </c>
      <c r="S238" s="65" t="e">
        <f>IF(R46=1,IF(R$13&lt;=COUNT($C18:$CS18),IF(INDEX($F$206:$F$229,MATCH($B238,$B$206:$B$229,FALSE))=0,NA(),INDEX(R$14:R$37,MATCH($B238,$B$14:$B$37,FALSE))/INDEX($F$206:$F$229,MATCH($B238,$B$206:$B$229,FALSE))),NA()),NA())</f>
        <v>#N/A</v>
      </c>
      <c r="T238" s="65" t="e">
        <f>IF(S46=1,IF(S$13&lt;=COUNT($C18:$CS18),IF(INDEX($F$206:$F$229,MATCH($B238,$B$206:$B$229,FALSE))=0,NA(),INDEX(S$14:S$37,MATCH($B238,$B$14:$B$37,FALSE))/INDEX($F$206:$F$229,MATCH($B238,$B$206:$B$229,FALSE))),NA()),NA())</f>
        <v>#N/A</v>
      </c>
      <c r="U238" s="65" t="e">
        <f>IF(T46=1,IF(T$13&lt;=COUNT($C18:$CS18),IF(INDEX($F$206:$F$229,MATCH($B238,$B$206:$B$229,FALSE))=0,NA(),INDEX(T$14:T$37,MATCH($B238,$B$14:$B$37,FALSE))/INDEX($F$206:$F$229,MATCH($B238,$B$206:$B$229,FALSE))),NA()),NA())</f>
        <v>#N/A</v>
      </c>
      <c r="V238" s="65" t="e">
        <f>IF(U46=1,IF(U$13&lt;=COUNT($C18:$CS18),IF(INDEX($F$206:$F$229,MATCH($B238,$B$206:$B$229,FALSE))=0,NA(),INDEX(U$14:U$37,MATCH($B238,$B$14:$B$37,FALSE))/INDEX($F$206:$F$229,MATCH($B238,$B$206:$B$229,FALSE))),NA()),NA())</f>
        <v>#N/A</v>
      </c>
      <c r="W238" s="65" t="e">
        <f>IF(V46=1,IF(V$13&lt;=COUNT($C18:$CS18),IF(INDEX($F$206:$F$229,MATCH($B238,$B$206:$B$229,FALSE))=0,NA(),INDEX(V$14:V$37,MATCH($B238,$B$14:$B$37,FALSE))/INDEX($F$206:$F$229,MATCH($B238,$B$206:$B$229,FALSE))),NA()),NA())</f>
        <v>#N/A</v>
      </c>
      <c r="X238" s="65" t="e">
        <f>IF(W46=1,IF(W$13&lt;=COUNT($C18:$CS18),IF(INDEX($F$206:$F$229,MATCH($B238,$B$206:$B$229,FALSE))=0,NA(),INDEX(W$14:W$37,MATCH($B238,$B$14:$B$37,FALSE))/INDEX($F$206:$F$229,MATCH($B238,$B$206:$B$229,FALSE))),NA()),NA())</f>
        <v>#N/A</v>
      </c>
      <c r="Y238" s="65" t="e">
        <f>IF(X46=1,IF(X$13&lt;=COUNT($C18:$CS18),IF(INDEX($F$206:$F$229,MATCH($B238,$B$206:$B$229,FALSE))=0,NA(),INDEX(X$14:X$37,MATCH($B238,$B$14:$B$37,FALSE))/INDEX($F$206:$F$229,MATCH($B238,$B$206:$B$229,FALSE))),NA()),NA())</f>
        <v>#N/A</v>
      </c>
      <c r="Z238" s="65" t="e">
        <f>IF(Y46=1,IF(Y$13&lt;=COUNT($C18:$CS18),IF(INDEX($F$206:$F$229,MATCH($B238,$B$206:$B$229,FALSE))=0,NA(),INDEX(Y$14:Y$37,MATCH($B238,$B$14:$B$37,FALSE))/INDEX($F$206:$F$229,MATCH($B238,$B$206:$B$229,FALSE))),NA()),NA())</f>
        <v>#N/A</v>
      </c>
      <c r="AA238" s="65" t="e">
        <f>IF(Z46=1,IF(Z$13&lt;=COUNT($C18:$CS18),IF(INDEX($F$206:$F$229,MATCH($B238,$B$206:$B$229,FALSE))=0,NA(),INDEX(Z$14:Z$37,MATCH($B238,$B$14:$B$37,FALSE))/INDEX($F$206:$F$229,MATCH($B238,$B$206:$B$229,FALSE))),NA()),NA())</f>
        <v>#N/A</v>
      </c>
      <c r="AB238" s="65" t="e">
        <f>IF(AA46=1,IF(AA$13&lt;=COUNT($C18:$CS18),IF(INDEX($F$206:$F$229,MATCH($B238,$B$206:$B$229,FALSE))=0,NA(),INDEX(AA$14:AA$37,MATCH($B238,$B$14:$B$37,FALSE))/INDEX($F$206:$F$229,MATCH($B238,$B$206:$B$229,FALSE))),NA()),NA())</f>
        <v>#N/A</v>
      </c>
      <c r="AC238" s="65" t="e">
        <f>IF(AB46=1,IF(AB$13&lt;=COUNT($C18:$CS18),IF(INDEX($F$206:$F$229,MATCH($B238,$B$206:$B$229,FALSE))=0,NA(),INDEX(AB$14:AB$37,MATCH($B238,$B$14:$B$37,FALSE))/INDEX($F$206:$F$229,MATCH($B238,$B$206:$B$229,FALSE))),NA()),NA())</f>
        <v>#N/A</v>
      </c>
      <c r="AD238" s="65" t="e">
        <f>IF(AC46=1,IF(AC$13&lt;=COUNT($C18:$CS18),IF(INDEX($F$206:$F$229,MATCH($B238,$B$206:$B$229,FALSE))=0,NA(),INDEX(AC$14:AC$37,MATCH($B238,$B$14:$B$37,FALSE))/INDEX($F$206:$F$229,MATCH($B238,$B$206:$B$229,FALSE))),NA()),NA())</f>
        <v>#N/A</v>
      </c>
      <c r="AE238" s="65" t="e">
        <f>IF(AD46=1,IF(AD$13&lt;=COUNT($C18:$CS18),IF(INDEX($F$206:$F$229,MATCH($B238,$B$206:$B$229,FALSE))=0,NA(),INDEX(AD$14:AD$37,MATCH($B238,$B$14:$B$37,FALSE))/INDEX($F$206:$F$229,MATCH($B238,$B$206:$B$229,FALSE))),NA()),NA())</f>
        <v>#N/A</v>
      </c>
      <c r="AF238" s="65" t="e">
        <f>IF(AE46=1,IF(AE$13&lt;=COUNT($C18:$CS18),IF(INDEX($F$206:$F$229,MATCH($B238,$B$206:$B$229,FALSE))=0,NA(),INDEX(AE$14:AE$37,MATCH($B238,$B$14:$B$37,FALSE))/INDEX($F$206:$F$229,MATCH($B238,$B$206:$B$229,FALSE))),NA()),NA())</f>
        <v>#N/A</v>
      </c>
      <c r="AG238" s="65" t="e">
        <f>IF(AF46=1,IF(AF$13&lt;=COUNT($C18:$CS18),IF(INDEX($F$206:$F$229,MATCH($B238,$B$206:$B$229,FALSE))=0,NA(),INDEX(AF$14:AF$37,MATCH($B238,$B$14:$B$37,FALSE))/INDEX($F$206:$F$229,MATCH($B238,$B$206:$B$229,FALSE))),NA()),NA())</f>
        <v>#N/A</v>
      </c>
      <c r="AH238" s="65" t="e">
        <f>IF(AG46=1,IF(AG$13&lt;=COUNT($C18:$CS18),IF(INDEX($F$206:$F$229,MATCH($B238,$B$206:$B$229,FALSE))=0,NA(),INDEX(AG$14:AG$37,MATCH($B238,$B$14:$B$37,FALSE))/INDEX($F$206:$F$229,MATCH($B238,$B$206:$B$229,FALSE))),NA()),NA())</f>
        <v>#N/A</v>
      </c>
      <c r="AI238" s="65" t="e">
        <f>IF(AH46=1,IF(AH$13&lt;=COUNT($C18:$CS18),IF(INDEX($F$206:$F$229,MATCH($B238,$B$206:$B$229,FALSE))=0,NA(),INDEX(AH$14:AH$37,MATCH($B238,$B$14:$B$37,FALSE))/INDEX($F$206:$F$229,MATCH($B238,$B$206:$B$229,FALSE))),NA()),NA())</f>
        <v>#N/A</v>
      </c>
      <c r="AJ238" s="65" t="e">
        <f>IF(AI46=1,IF(AI$13&lt;=COUNT($C18:$CS18),IF(INDEX($F$206:$F$229,MATCH($B238,$B$206:$B$229,FALSE))=0,NA(),INDEX(AI$14:AI$37,MATCH($B238,$B$14:$B$37,FALSE))/INDEX($F$206:$F$229,MATCH($B238,$B$206:$B$229,FALSE))),NA()),NA())</f>
        <v>#N/A</v>
      </c>
      <c r="AK238" s="65" t="e">
        <f>IF(AJ46=1,IF(AJ$13&lt;=COUNT($C18:$CS18),IF(INDEX($F$206:$F$229,MATCH($B238,$B$206:$B$229,FALSE))=0,NA(),INDEX(AJ$14:AJ$37,MATCH($B238,$B$14:$B$37,FALSE))/INDEX($F$206:$F$229,MATCH($B238,$B$206:$B$229,FALSE))),NA()),NA())</f>
        <v>#N/A</v>
      </c>
      <c r="AL238" s="65" t="e">
        <f>IF(AK46=1,IF(AK$13&lt;=COUNT($C18:$CS18),IF(INDEX($F$206:$F$229,MATCH($B238,$B$206:$B$229,FALSE))=0,NA(),INDEX(AK$14:AK$37,MATCH($B238,$B$14:$B$37,FALSE))/INDEX($F$206:$F$229,MATCH($B238,$B$206:$B$229,FALSE))),NA()),NA())</f>
        <v>#N/A</v>
      </c>
      <c r="AM238" s="65" t="e">
        <f>IF(AL46=1,IF(AL$13&lt;=COUNT($C18:$CS18),IF(INDEX($F$206:$F$229,MATCH($B238,$B$206:$B$229,FALSE))=0,NA(),INDEX(AL$14:AL$37,MATCH($B238,$B$14:$B$37,FALSE))/INDEX($F$206:$F$229,MATCH($B238,$B$206:$B$229,FALSE))),NA()),NA())</f>
        <v>#N/A</v>
      </c>
      <c r="AN238" s="65" t="e">
        <f>IF(AM46=1,IF(AM$13&lt;=COUNT($C18:$CS18),IF(INDEX($F$206:$F$229,MATCH($B238,$B$206:$B$229,FALSE))=0,NA(),INDEX(AM$14:AM$37,MATCH($B238,$B$14:$B$37,FALSE))/INDEX($F$206:$F$229,MATCH($B238,$B$206:$B$229,FALSE))),NA()),NA())</f>
        <v>#N/A</v>
      </c>
      <c r="AO238" s="65" t="e">
        <f>IF(AN46=1,IF(AN$13&lt;=COUNT($C18:$CS18),IF(INDEX($F$206:$F$229,MATCH($B238,$B$206:$B$229,FALSE))=0,NA(),INDEX(AN$14:AN$37,MATCH($B238,$B$14:$B$37,FALSE))/INDEX($F$206:$F$229,MATCH($B238,$B$206:$B$229,FALSE))),NA()),NA())</f>
        <v>#N/A</v>
      </c>
      <c r="AP238" s="65" t="e">
        <f>IF(AO46=1,IF(AO$13&lt;=COUNT($C18:$CS18),IF(INDEX($F$206:$F$229,MATCH($B238,$B$206:$B$229,FALSE))=0,NA(),INDEX(AO$14:AO$37,MATCH($B238,$B$14:$B$37,FALSE))/INDEX($F$206:$F$229,MATCH($B238,$B$206:$B$229,FALSE))),NA()),NA())</f>
        <v>#N/A</v>
      </c>
      <c r="AQ238" s="65" t="e">
        <f>IF(AP46=1,IF(AP$13&lt;=COUNT($C18:$CS18),IF(INDEX($F$206:$F$229,MATCH($B238,$B$206:$B$229,FALSE))=0,NA(),INDEX(AP$14:AP$37,MATCH($B238,$B$14:$B$37,FALSE))/INDEX($F$206:$F$229,MATCH($B238,$B$206:$B$229,FALSE))),NA()),NA())</f>
        <v>#N/A</v>
      </c>
      <c r="AR238" s="65" t="e">
        <f>IF(AQ46=1,IF(AQ$13&lt;=COUNT($C18:$CS18),IF(INDEX($F$206:$F$229,MATCH($B238,$B$206:$B$229,FALSE))=0,NA(),INDEX(AQ$14:AQ$37,MATCH($B238,$B$14:$B$37,FALSE))/INDEX($F$206:$F$229,MATCH($B238,$B$206:$B$229,FALSE))),NA()),NA())</f>
        <v>#N/A</v>
      </c>
      <c r="AS238" s="65" t="e">
        <f>IF(AR46=1,IF(AR$13&lt;=COUNT($C18:$CS18),IF(INDEX($F$206:$F$229,MATCH($B238,$B$206:$B$229,FALSE))=0,NA(),INDEX(AR$14:AR$37,MATCH($B238,$B$14:$B$37,FALSE))/INDEX($F$206:$F$229,MATCH($B238,$B$206:$B$229,FALSE))),NA()),NA())</f>
        <v>#N/A</v>
      </c>
      <c r="AT238" s="65" t="e">
        <f>IF(AS46=1,IF(AS$13&lt;=COUNT($C18:$CS18),IF(INDEX($F$206:$F$229,MATCH($B238,$B$206:$B$229,FALSE))=0,NA(),INDEX(AS$14:AS$37,MATCH($B238,$B$14:$B$37,FALSE))/INDEX($F$206:$F$229,MATCH($B238,$B$206:$B$229,FALSE))),NA()),NA())</f>
        <v>#N/A</v>
      </c>
      <c r="AU238" s="65" t="e">
        <f>IF(AT46=1,IF(AT$13&lt;=COUNT($C18:$CS18),IF(INDEX($F$206:$F$229,MATCH($B238,$B$206:$B$229,FALSE))=0,NA(),INDEX(AT$14:AT$37,MATCH($B238,$B$14:$B$37,FALSE))/INDEX($F$206:$F$229,MATCH($B238,$B$206:$B$229,FALSE))),NA()),NA())</f>
        <v>#N/A</v>
      </c>
      <c r="AV238" s="65" t="e">
        <f>IF(AU46=1,IF(AU$13&lt;=COUNT($C18:$CS18),IF(INDEX($F$206:$F$229,MATCH($B238,$B$206:$B$229,FALSE))=0,NA(),INDEX(AU$14:AU$37,MATCH($B238,$B$14:$B$37,FALSE))/INDEX($F$206:$F$229,MATCH($B238,$B$206:$B$229,FALSE))),NA()),NA())</f>
        <v>#N/A</v>
      </c>
      <c r="AW238" s="65" t="e">
        <f>IF(AV46=1,IF(AV$13&lt;=COUNT($C18:$CS18),IF(INDEX($F$206:$F$229,MATCH($B238,$B$206:$B$229,FALSE))=0,NA(),INDEX(AV$14:AV$37,MATCH($B238,$B$14:$B$37,FALSE))/INDEX($F$206:$F$229,MATCH($B238,$B$206:$B$229,FALSE))),NA()),NA())</f>
        <v>#N/A</v>
      </c>
      <c r="AX238" s="65" t="e">
        <f>IF(AW46=1,IF(AW$13&lt;=COUNT($C18:$CS18),IF(INDEX($F$206:$F$229,MATCH($B238,$B$206:$B$229,FALSE))=0,NA(),INDEX(AW$14:AW$37,MATCH($B238,$B$14:$B$37,FALSE))/INDEX($F$206:$F$229,MATCH($B238,$B$206:$B$229,FALSE))),NA()),NA())</f>
        <v>#N/A</v>
      </c>
      <c r="AY238" s="65" t="e">
        <f>IF(AX46=1,IF(AX$13&lt;=COUNT($C18:$CS18),IF(INDEX($F$206:$F$229,MATCH($B238,$B$206:$B$229,FALSE))=0,NA(),INDEX(AX$14:AX$37,MATCH($B238,$B$14:$B$37,FALSE))/INDEX($F$206:$F$229,MATCH($B238,$B$206:$B$229,FALSE))),NA()),NA())</f>
        <v>#N/A</v>
      </c>
      <c r="AZ238" s="65" t="e">
        <f>IF(AY46=1,IF(AY$13&lt;=COUNT($C18:$CS18),IF(INDEX($F$206:$F$229,MATCH($B238,$B$206:$B$229,FALSE))=0,NA(),INDEX(AY$14:AY$37,MATCH($B238,$B$14:$B$37,FALSE))/INDEX($F$206:$F$229,MATCH($B238,$B$206:$B$229,FALSE))),NA()),NA())</f>
        <v>#N/A</v>
      </c>
      <c r="BA238" s="65" t="e">
        <f>IF(AZ46=1,IF(AZ$13&lt;=COUNT($C18:$CS18),IF(INDEX($F$206:$F$229,MATCH($B238,$B$206:$B$229,FALSE))=0,NA(),INDEX(AZ$14:AZ$37,MATCH($B238,$B$14:$B$37,FALSE))/INDEX($F$206:$F$229,MATCH($B238,$B$206:$B$229,FALSE))),NA()),NA())</f>
        <v>#N/A</v>
      </c>
      <c r="BB238" s="65" t="e">
        <f>IF(BA46=1,IF(BA$13&lt;=COUNT($C18:$CS18),IF(INDEX($F$206:$F$229,MATCH($B238,$B$206:$B$229,FALSE))=0,NA(),INDEX(BA$14:BA$37,MATCH($B238,$B$14:$B$37,FALSE))/INDEX($F$206:$F$229,MATCH($B238,$B$206:$B$229,FALSE))),NA()),NA())</f>
        <v>#N/A</v>
      </c>
      <c r="BC238" s="65" t="e">
        <f>IF(BB46=1,IF(BB$13&lt;=COUNT($C18:$CS18),IF(INDEX($F$206:$F$229,MATCH($B238,$B$206:$B$229,FALSE))=0,NA(),INDEX(BB$14:BB$37,MATCH($B238,$B$14:$B$37,FALSE))/INDEX($F$206:$F$229,MATCH($B238,$B$206:$B$229,FALSE))),NA()),NA())</f>
        <v>#N/A</v>
      </c>
      <c r="BD238" s="65" t="e">
        <f>IF(BC46=1,IF(BC$13&lt;=COUNT($C18:$CS18),IF(INDEX($F$206:$F$229,MATCH($B238,$B$206:$B$229,FALSE))=0,NA(),INDEX(BC$14:BC$37,MATCH($B238,$B$14:$B$37,FALSE))/INDEX($F$206:$F$229,MATCH($B238,$B$206:$B$229,FALSE))),NA()),NA())</f>
        <v>#N/A</v>
      </c>
      <c r="BE238" s="65" t="e">
        <f>IF(BD46=1,IF(BD$13&lt;=COUNT($C18:$CS18),IF(INDEX($F$206:$F$229,MATCH($B238,$B$206:$B$229,FALSE))=0,NA(),INDEX(BD$14:BD$37,MATCH($B238,$B$14:$B$37,FALSE))/INDEX($F$206:$F$229,MATCH($B238,$B$206:$B$229,FALSE))),NA()),NA())</f>
        <v>#N/A</v>
      </c>
      <c r="BF238" s="65" t="e">
        <f>IF(BE46=1,IF(BE$13&lt;=COUNT($C18:$CS18),IF(INDEX($F$206:$F$229,MATCH($B238,$B$206:$B$229,FALSE))=0,NA(),INDEX(BE$14:BE$37,MATCH($B238,$B$14:$B$37,FALSE))/INDEX($F$206:$F$229,MATCH($B238,$B$206:$B$229,FALSE))),NA()),NA())</f>
        <v>#N/A</v>
      </c>
      <c r="BG238" s="65" t="e">
        <f>IF(BF46=1,IF(BF$13&lt;=COUNT($C18:$CS18),IF(INDEX($F$206:$F$229,MATCH($B238,$B$206:$B$229,FALSE))=0,NA(),INDEX(BF$14:BF$37,MATCH($B238,$B$14:$B$37,FALSE))/INDEX($F$206:$F$229,MATCH($B238,$B$206:$B$229,FALSE))),NA()),NA())</f>
        <v>#N/A</v>
      </c>
      <c r="BH238" s="65" t="e">
        <f>IF(BG46=1,IF(BG$13&lt;=COUNT($C18:$CS18),IF(INDEX($F$206:$F$229,MATCH($B238,$B$206:$B$229,FALSE))=0,NA(),INDEX(BG$14:BG$37,MATCH($B238,$B$14:$B$37,FALSE))/INDEX($F$206:$F$229,MATCH($B238,$B$206:$B$229,FALSE))),NA()),NA())</f>
        <v>#N/A</v>
      </c>
      <c r="BI238" s="65" t="e">
        <f>IF(BH46=1,IF(BH$13&lt;=COUNT($C18:$CS18),IF(INDEX($F$206:$F$229,MATCH($B238,$B$206:$B$229,FALSE))=0,NA(),INDEX(BH$14:BH$37,MATCH($B238,$B$14:$B$37,FALSE))/INDEX($F$206:$F$229,MATCH($B238,$B$206:$B$229,FALSE))),NA()),NA())</f>
        <v>#N/A</v>
      </c>
      <c r="BJ238" s="65" t="e">
        <f>IF(BI46=1,IF(BI$13&lt;=COUNT($C18:$CS18),IF(INDEX($F$206:$F$229,MATCH($B238,$B$206:$B$229,FALSE))=0,NA(),INDEX(BI$14:BI$37,MATCH($B238,$B$14:$B$37,FALSE))/INDEX($F$206:$F$229,MATCH($B238,$B$206:$B$229,FALSE))),NA()),NA())</f>
        <v>#N/A</v>
      </c>
      <c r="BK238" s="65" t="e">
        <f>IF(BJ46=1,IF(BJ$13&lt;=COUNT($C18:$CS18),IF(INDEX($F$206:$F$229,MATCH($B238,$B$206:$B$229,FALSE))=0,NA(),INDEX(BJ$14:BJ$37,MATCH($B238,$B$14:$B$37,FALSE))/INDEX($F$206:$F$229,MATCH($B238,$B$206:$B$229,FALSE))),NA()),NA())</f>
        <v>#N/A</v>
      </c>
      <c r="BL238" s="65" t="e">
        <f>IF(BK46=1,IF(BK$13&lt;=COUNT($C18:$CS18),IF(INDEX($F$206:$F$229,MATCH($B238,$B$206:$B$229,FALSE))=0,NA(),INDEX(BK$14:BK$37,MATCH($B238,$B$14:$B$37,FALSE))/INDEX($F$206:$F$229,MATCH($B238,$B$206:$B$229,FALSE))),NA()),NA())</f>
        <v>#N/A</v>
      </c>
      <c r="BM238" s="65" t="e">
        <f>IF(BL46=1,IF(BL$13&lt;=COUNT($C18:$CS18),IF(INDEX($F$206:$F$229,MATCH($B238,$B$206:$B$229,FALSE))=0,NA(),INDEX(BL$14:BL$37,MATCH($B238,$B$14:$B$37,FALSE))/INDEX($F$206:$F$229,MATCH($B238,$B$206:$B$229,FALSE))),NA()),NA())</f>
        <v>#N/A</v>
      </c>
      <c r="BN238" s="65" t="e">
        <f>IF(BM46=1,IF(BM$13&lt;=COUNT($C18:$CS18),IF(INDEX($F$206:$F$229,MATCH($B238,$B$206:$B$229,FALSE))=0,NA(),INDEX(BM$14:BM$37,MATCH($B238,$B$14:$B$37,FALSE))/INDEX($F$206:$F$229,MATCH($B238,$B$206:$B$229,FALSE))),NA()),NA())</f>
        <v>#N/A</v>
      </c>
      <c r="BO238" s="65" t="e">
        <f>IF(BN46=1,IF(BN$13&lt;=COUNT($C18:$CS18),IF(INDEX($F$206:$F$229,MATCH($B238,$B$206:$B$229,FALSE))=0,NA(),INDEX(BN$14:BN$37,MATCH($B238,$B$14:$B$37,FALSE))/INDEX($F$206:$F$229,MATCH($B238,$B$206:$B$229,FALSE))),NA()),NA())</f>
        <v>#N/A</v>
      </c>
      <c r="BP238" s="65" t="e">
        <f>IF(BO46=1,IF(BO$13&lt;=COUNT($C18:$CS18),IF(INDEX($F$206:$F$229,MATCH($B238,$B$206:$B$229,FALSE))=0,NA(),INDEX(BO$14:BO$37,MATCH($B238,$B$14:$B$37,FALSE))/INDEX($F$206:$F$229,MATCH($B238,$B$206:$B$229,FALSE))),NA()),NA())</f>
        <v>#N/A</v>
      </c>
      <c r="BQ238" s="65" t="e">
        <f>IF(BP46=1,IF(BP$13&lt;=COUNT($C18:$CS18),IF(INDEX($F$206:$F$229,MATCH($B238,$B$206:$B$229,FALSE))=0,NA(),INDEX(BP$14:BP$37,MATCH($B238,$B$14:$B$37,FALSE))/INDEX($F$206:$F$229,MATCH($B238,$B$206:$B$229,FALSE))),NA()),NA())</f>
        <v>#N/A</v>
      </c>
      <c r="BR238" s="65" t="e">
        <f>IF(BQ46=1,IF(BQ$13&lt;=COUNT($C18:$CS18),IF(INDEX($F$206:$F$229,MATCH($B238,$B$206:$B$229,FALSE))=0,NA(),INDEX(BQ$14:BQ$37,MATCH($B238,$B$14:$B$37,FALSE))/INDEX($F$206:$F$229,MATCH($B238,$B$206:$B$229,FALSE))),NA()),NA())</f>
        <v>#N/A</v>
      </c>
      <c r="BS238" s="65" t="e">
        <f>IF(BR46=1,IF(BR$13&lt;=COUNT($C18:$CS18),IF(INDEX($F$206:$F$229,MATCH($B238,$B$206:$B$229,FALSE))=0,NA(),INDEX(BR$14:BR$37,MATCH($B238,$B$14:$B$37,FALSE))/INDEX($F$206:$F$229,MATCH($B238,$B$206:$B$229,FALSE))),NA()),NA())</f>
        <v>#N/A</v>
      </c>
      <c r="BT238" s="65" t="e">
        <f>IF(BS46=1,IF(BS$13&lt;=COUNT($C18:$CS18),IF(INDEX($F$206:$F$229,MATCH($B238,$B$206:$B$229,FALSE))=0,NA(),INDEX(BS$14:BS$37,MATCH($B238,$B$14:$B$37,FALSE))/INDEX($F$206:$F$229,MATCH($B238,$B$206:$B$229,FALSE))),NA()),NA())</f>
        <v>#N/A</v>
      </c>
      <c r="BU238" s="65" t="e">
        <f>IF(BT46=1,IF(BT$13&lt;=COUNT($C18:$CS18),IF(INDEX($F$206:$F$229,MATCH($B238,$B$206:$B$229,FALSE))=0,NA(),INDEX(BT$14:BT$37,MATCH($B238,$B$14:$B$37,FALSE))/INDEX($F$206:$F$229,MATCH($B238,$B$206:$B$229,FALSE))),NA()),NA())</f>
        <v>#N/A</v>
      </c>
      <c r="BV238" s="65" t="e">
        <f>IF(BU46=1,IF(BU$13&lt;=COUNT($C18:$CS18),IF(INDEX($F$206:$F$229,MATCH($B238,$B$206:$B$229,FALSE))=0,NA(),INDEX(BU$14:BU$37,MATCH($B238,$B$14:$B$37,FALSE))/INDEX($F$206:$F$229,MATCH($B238,$B$206:$B$229,FALSE))),NA()),NA())</f>
        <v>#N/A</v>
      </c>
      <c r="BW238" s="65" t="e">
        <f>IF(BV46=1,IF(BV$13&lt;=COUNT($C18:$CS18),IF(INDEX($F$206:$F$229,MATCH($B238,$B$206:$B$229,FALSE))=0,NA(),INDEX(BV$14:BV$37,MATCH($B238,$B$14:$B$37,FALSE))/INDEX($F$206:$F$229,MATCH($B238,$B$206:$B$229,FALSE))),NA()),NA())</f>
        <v>#N/A</v>
      </c>
      <c r="BX238" s="65" t="e">
        <f>IF(BW46=1,IF(BW$13&lt;=COUNT($C18:$CS18),IF(INDEX($F$206:$F$229,MATCH($B238,$B$206:$B$229,FALSE))=0,NA(),INDEX(BW$14:BW$37,MATCH($B238,$B$14:$B$37,FALSE))/INDEX($F$206:$F$229,MATCH($B238,$B$206:$B$229,FALSE))),NA()),NA())</f>
        <v>#N/A</v>
      </c>
      <c r="BY238" s="65" t="e">
        <f>IF(BX46=1,IF(BX$13&lt;=COUNT($C18:$CS18),IF(INDEX($F$206:$F$229,MATCH($B238,$B$206:$B$229,FALSE))=0,NA(),INDEX(BX$14:BX$37,MATCH($B238,$B$14:$B$37,FALSE))/INDEX($F$206:$F$229,MATCH($B238,$B$206:$B$229,FALSE))),NA()),NA())</f>
        <v>#N/A</v>
      </c>
      <c r="BZ238" s="65" t="e">
        <f>IF(BY46=1,IF(BY$13&lt;=COUNT($C18:$CS18),IF(INDEX($F$206:$F$229,MATCH($B238,$B$206:$B$229,FALSE))=0,NA(),INDEX(BY$14:BY$37,MATCH($B238,$B$14:$B$37,FALSE))/INDEX($F$206:$F$229,MATCH($B238,$B$206:$B$229,FALSE))),NA()),NA())</f>
        <v>#N/A</v>
      </c>
      <c r="CA238" s="65" t="e">
        <f>IF(BZ46=1,IF(BZ$13&lt;=COUNT($C18:$CS18),IF(INDEX($F$206:$F$229,MATCH($B238,$B$206:$B$229,FALSE))=0,NA(),INDEX(BZ$14:BZ$37,MATCH($B238,$B$14:$B$37,FALSE))/INDEX($F$206:$F$229,MATCH($B238,$B$206:$B$229,FALSE))),NA()),NA())</f>
        <v>#N/A</v>
      </c>
      <c r="CB238" s="65" t="e">
        <f>IF(CA46=1,IF(CA$13&lt;=COUNT($C18:$CS18),IF(INDEX($F$206:$F$229,MATCH($B238,$B$206:$B$229,FALSE))=0,NA(),INDEX(CA$14:CA$37,MATCH($B238,$B$14:$B$37,FALSE))/INDEX($F$206:$F$229,MATCH($B238,$B$206:$B$229,FALSE))),NA()),NA())</f>
        <v>#N/A</v>
      </c>
      <c r="CC238" s="65" t="e">
        <f>IF(CB46=1,IF(CB$13&lt;=COUNT($C18:$CS18),IF(INDEX($F$206:$F$229,MATCH($B238,$B$206:$B$229,FALSE))=0,NA(),INDEX(CB$14:CB$37,MATCH($B238,$B$14:$B$37,FALSE))/INDEX($F$206:$F$229,MATCH($B238,$B$206:$B$229,FALSE))),NA()),NA())</f>
        <v>#N/A</v>
      </c>
      <c r="CD238" s="65" t="e">
        <f>IF(CC46=1,IF(CC$13&lt;=COUNT($C18:$CS18),IF(INDEX($F$206:$F$229,MATCH($B238,$B$206:$B$229,FALSE))=0,NA(),INDEX(CC$14:CC$37,MATCH($B238,$B$14:$B$37,FALSE))/INDEX($F$206:$F$229,MATCH($B238,$B$206:$B$229,FALSE))),NA()),NA())</f>
        <v>#N/A</v>
      </c>
      <c r="CE238" s="65" t="e">
        <f>IF(CD46=1,IF(CD$13&lt;=COUNT($C18:$CS18),IF(INDEX($F$206:$F$229,MATCH($B238,$B$206:$B$229,FALSE))=0,NA(),INDEX(CD$14:CD$37,MATCH($B238,$B$14:$B$37,FALSE))/INDEX($F$206:$F$229,MATCH($B238,$B$206:$B$229,FALSE))),NA()),NA())</f>
        <v>#N/A</v>
      </c>
      <c r="CF238" s="65" t="e">
        <f>IF(CE46=1,IF(CE$13&lt;=COUNT($C18:$CS18),IF(INDEX($F$206:$F$229,MATCH($B238,$B$206:$B$229,FALSE))=0,NA(),INDEX(CE$14:CE$37,MATCH($B238,$B$14:$B$37,FALSE))/INDEX($F$206:$F$229,MATCH($B238,$B$206:$B$229,FALSE))),NA()),NA())</f>
        <v>#N/A</v>
      </c>
      <c r="CG238" s="65" t="e">
        <f>IF(CF46=1,IF(CF$13&lt;=COUNT($C18:$CS18),IF(INDEX($F$206:$F$229,MATCH($B238,$B$206:$B$229,FALSE))=0,NA(),INDEX(CF$14:CF$37,MATCH($B238,$B$14:$B$37,FALSE))/INDEX($F$206:$F$229,MATCH($B238,$B$206:$B$229,FALSE))),NA()),NA())</f>
        <v>#N/A</v>
      </c>
      <c r="CH238" s="65" t="e">
        <f>IF(CG46=1,IF(CG$13&lt;=COUNT($C18:$CS18),IF(INDEX($F$206:$F$229,MATCH($B238,$B$206:$B$229,FALSE))=0,NA(),INDEX(CG$14:CG$37,MATCH($B238,$B$14:$B$37,FALSE))/INDEX($F$206:$F$229,MATCH($B238,$B$206:$B$229,FALSE))),NA()),NA())</f>
        <v>#N/A</v>
      </c>
      <c r="CI238" s="65" t="e">
        <f>IF(CH46=1,IF(CH$13&lt;=COUNT($C18:$CS18),IF(INDEX($F$206:$F$229,MATCH($B238,$B$206:$B$229,FALSE))=0,NA(),INDEX(CH$14:CH$37,MATCH($B238,$B$14:$B$37,FALSE))/INDEX($F$206:$F$229,MATCH($B238,$B$206:$B$229,FALSE))),NA()),NA())</f>
        <v>#N/A</v>
      </c>
      <c r="CJ238" s="65" t="e">
        <f>IF(CI46=1,IF(CI$13&lt;=COUNT($C18:$CS18),IF(INDEX($F$206:$F$229,MATCH($B238,$B$206:$B$229,FALSE))=0,NA(),INDEX(CI$14:CI$37,MATCH($B238,$B$14:$B$37,FALSE))/INDEX($F$206:$F$229,MATCH($B238,$B$206:$B$229,FALSE))),NA()),NA())</f>
        <v>#N/A</v>
      </c>
      <c r="CK238" s="65" t="e">
        <f>IF(CJ46=1,IF(CJ$13&lt;=COUNT($C18:$CS18),IF(INDEX($F$206:$F$229,MATCH($B238,$B$206:$B$229,FALSE))=0,NA(),INDEX(CJ$14:CJ$37,MATCH($B238,$B$14:$B$37,FALSE))/INDEX($F$206:$F$229,MATCH($B238,$B$206:$B$229,FALSE))),NA()),NA())</f>
        <v>#N/A</v>
      </c>
      <c r="CL238" s="65" t="e">
        <f>IF(CK46=1,IF(CK$13&lt;=COUNT($C18:$CS18),IF(INDEX($F$206:$F$229,MATCH($B238,$B$206:$B$229,FALSE))=0,NA(),INDEX(CK$14:CK$37,MATCH($B238,$B$14:$B$37,FALSE))/INDEX($F$206:$F$229,MATCH($B238,$B$206:$B$229,FALSE))),NA()),NA())</f>
        <v>#N/A</v>
      </c>
      <c r="CM238" s="65" t="e">
        <f>IF(CL46=1,IF(CL$13&lt;=COUNT($C18:$CS18),IF(INDEX($F$206:$F$229,MATCH($B238,$B$206:$B$229,FALSE))=0,NA(),INDEX(CL$14:CL$37,MATCH($B238,$B$14:$B$37,FALSE))/INDEX($F$206:$F$229,MATCH($B238,$B$206:$B$229,FALSE))),NA()),NA())</f>
        <v>#N/A</v>
      </c>
      <c r="CN238" s="65" t="e">
        <f>IF(CM46=1,IF(CM$13&lt;=COUNT($C18:$CS18),IF(INDEX($F$206:$F$229,MATCH($B238,$B$206:$B$229,FALSE))=0,NA(),INDEX(CM$14:CM$37,MATCH($B238,$B$14:$B$37,FALSE))/INDEX($F$206:$F$229,MATCH($B238,$B$206:$B$229,FALSE))),NA()),NA())</f>
        <v>#N/A</v>
      </c>
      <c r="CO238" s="65" t="e">
        <f>IF(CN46=1,IF(CN$13&lt;=COUNT($C18:$CS18),IF(INDEX($F$206:$F$229,MATCH($B238,$B$206:$B$229,FALSE))=0,NA(),INDEX(CN$14:CN$37,MATCH($B238,$B$14:$B$37,FALSE))/INDEX($F$206:$F$229,MATCH($B238,$B$206:$B$229,FALSE))),NA()),NA())</f>
        <v>#N/A</v>
      </c>
      <c r="CP238" s="65" t="e">
        <f>IF(CO46=1,IF(CO$13&lt;=COUNT($C18:$CS18),IF(INDEX($F$206:$F$229,MATCH($B238,$B$206:$B$229,FALSE))=0,NA(),INDEX(CO$14:CO$37,MATCH($B238,$B$14:$B$37,FALSE))/INDEX($F$206:$F$229,MATCH($B238,$B$206:$B$229,FALSE))),NA()),NA())</f>
        <v>#N/A</v>
      </c>
      <c r="CQ238" s="65" t="e">
        <f>IF(CP46=1,IF(CP$13&lt;=COUNT($C18:$CS18),IF(INDEX($F$206:$F$229,MATCH($B238,$B$206:$B$229,FALSE))=0,NA(),INDEX(CP$14:CP$37,MATCH($B238,$B$14:$B$37,FALSE))/INDEX($F$206:$F$229,MATCH($B238,$B$206:$B$229,FALSE))),NA()),NA())</f>
        <v>#N/A</v>
      </c>
      <c r="CR238" s="65" t="e">
        <f>IF(CQ46=1,IF(CQ$13&lt;=COUNT($C18:$CS18),IF(INDEX($F$206:$F$229,MATCH($B238,$B$206:$B$229,FALSE))=0,NA(),INDEX(CQ$14:CQ$37,MATCH($B238,$B$14:$B$37,FALSE))/INDEX($F$206:$F$229,MATCH($B238,$B$206:$B$229,FALSE))),NA()),NA())</f>
        <v>#N/A</v>
      </c>
      <c r="CS238" s="65" t="e">
        <f>IF(CR46=1,IF(CR$13&lt;=COUNT($C18:$CS18),IF(INDEX($F$206:$F$229,MATCH($B238,$B$206:$B$229,FALSE))=0,NA(),INDEX(CR$14:CR$37,MATCH($B238,$B$14:$B$37,FALSE))/INDEX($F$206:$F$229,MATCH($B238,$B$206:$B$229,FALSE))),NA()),NA())</f>
        <v>#N/A</v>
      </c>
      <c r="CT238" s="49"/>
      <c r="CU238" s="49"/>
      <c r="CV238" s="49"/>
      <c r="CW238" s="49"/>
    </row>
    <row r="239" spans="1:101" x14ac:dyDescent="0.25">
      <c r="A239" s="97">
        <f t="shared" si="105"/>
        <v>0</v>
      </c>
      <c r="B239" s="29">
        <f t="shared" si="104"/>
        <v>2001</v>
      </c>
      <c r="C239" s="154" t="str">
        <f t="shared" si="106"/>
        <v/>
      </c>
      <c r="D239" s="54" t="e">
        <f>IF(C47=1,IF(C$13&lt;=COUNT($C19:$CS19),IF(INDEX($F$206:$F$229,MATCH($B239,$B$206:$B$229,FALSE))=0,NA(),INDEX(C$14:C$37,MATCH($B239,$B$14:$B$37,FALSE))/INDEX($F$206:$F$229,MATCH($B239,$B$206:$B$229,FALSE))),NA()),NA())</f>
        <v>#N/A</v>
      </c>
      <c r="E239" s="65" t="e">
        <f>IF(D47=1,IF(D$13&lt;=COUNT($C19:$CS19),IF(INDEX($F$206:$F$229,MATCH($B239,$B$206:$B$229,FALSE))=0,NA(),INDEX(D$14:D$37,MATCH($B239,$B$14:$B$37,FALSE))/INDEX($F$206:$F$229,MATCH($B239,$B$206:$B$229,FALSE))),NA()),NA())</f>
        <v>#N/A</v>
      </c>
      <c r="F239" s="65" t="e">
        <f>IF(E47=1,IF(E$13&lt;=COUNT($C19:$CS19),IF(INDEX($F$206:$F$229,MATCH($B239,$B$206:$B$229,FALSE))=0,NA(),INDEX(E$14:E$37,MATCH($B239,$B$14:$B$37,FALSE))/INDEX($F$206:$F$229,MATCH($B239,$B$206:$B$229,FALSE))),NA()),NA())</f>
        <v>#N/A</v>
      </c>
      <c r="G239" s="65" t="e">
        <f>IF(F47=1,IF(F$13&lt;=COUNT($C19:$CS19),IF(INDEX($F$206:$F$229,MATCH($B239,$B$206:$B$229,FALSE))=0,NA(),INDEX(F$14:F$37,MATCH($B239,$B$14:$B$37,FALSE))/INDEX($F$206:$F$229,MATCH($B239,$B$206:$B$229,FALSE))),NA()),NA())</f>
        <v>#N/A</v>
      </c>
      <c r="H239" s="65" t="e">
        <f>IF(G47=1,IF(G$13&lt;=COUNT($C19:$CS19),IF(INDEX($F$206:$F$229,MATCH($B239,$B$206:$B$229,FALSE))=0,NA(),INDEX(G$14:G$37,MATCH($B239,$B$14:$B$37,FALSE))/INDEX($F$206:$F$229,MATCH($B239,$B$206:$B$229,FALSE))),NA()),NA())</f>
        <v>#N/A</v>
      </c>
      <c r="I239" s="65" t="e">
        <f>IF(H47=1,IF(H$13&lt;=COUNT($C19:$CS19),IF(INDEX($F$206:$F$229,MATCH($B239,$B$206:$B$229,FALSE))=0,NA(),INDEX(H$14:H$37,MATCH($B239,$B$14:$B$37,FALSE))/INDEX($F$206:$F$229,MATCH($B239,$B$206:$B$229,FALSE))),NA()),NA())</f>
        <v>#N/A</v>
      </c>
      <c r="J239" s="65" t="e">
        <f>IF(I47=1,IF(I$13&lt;=COUNT($C19:$CS19),IF(INDEX($F$206:$F$229,MATCH($B239,$B$206:$B$229,FALSE))=0,NA(),INDEX(I$14:I$37,MATCH($B239,$B$14:$B$37,FALSE))/INDEX($F$206:$F$229,MATCH($B239,$B$206:$B$229,FALSE))),NA()),NA())</f>
        <v>#N/A</v>
      </c>
      <c r="K239" s="65" t="e">
        <f>IF(J47=1,IF(J$13&lt;=COUNT($C19:$CS19),IF(INDEX($F$206:$F$229,MATCH($B239,$B$206:$B$229,FALSE))=0,NA(),INDEX(J$14:J$37,MATCH($B239,$B$14:$B$37,FALSE))/INDEX($F$206:$F$229,MATCH($B239,$B$206:$B$229,FALSE))),NA()),NA())</f>
        <v>#N/A</v>
      </c>
      <c r="L239" s="65" t="e">
        <f>IF(K47=1,IF(K$13&lt;=COUNT($C19:$CS19),IF(INDEX($F$206:$F$229,MATCH($B239,$B$206:$B$229,FALSE))=0,NA(),INDEX(K$14:K$37,MATCH($B239,$B$14:$B$37,FALSE))/INDEX($F$206:$F$229,MATCH($B239,$B$206:$B$229,FALSE))),NA()),NA())</f>
        <v>#N/A</v>
      </c>
      <c r="M239" s="65" t="e">
        <f>IF(L47=1,IF(L$13&lt;=COUNT($C19:$CS19),IF(INDEX($F$206:$F$229,MATCH($B239,$B$206:$B$229,FALSE))=0,NA(),INDEX(L$14:L$37,MATCH($B239,$B$14:$B$37,FALSE))/INDEX($F$206:$F$229,MATCH($B239,$B$206:$B$229,FALSE))),NA()),NA())</f>
        <v>#N/A</v>
      </c>
      <c r="N239" s="65" t="e">
        <f>IF(M47=1,IF(M$13&lt;=COUNT($C19:$CS19),IF(INDEX($F$206:$F$229,MATCH($B239,$B$206:$B$229,FALSE))=0,NA(),INDEX(M$14:M$37,MATCH($B239,$B$14:$B$37,FALSE))/INDEX($F$206:$F$229,MATCH($B239,$B$206:$B$229,FALSE))),NA()),NA())</f>
        <v>#N/A</v>
      </c>
      <c r="O239" s="65" t="e">
        <f>IF(N47=1,IF(N$13&lt;=COUNT($C19:$CS19),IF(INDEX($F$206:$F$229,MATCH($B239,$B$206:$B$229,FALSE))=0,NA(),INDEX(N$14:N$37,MATCH($B239,$B$14:$B$37,FALSE))/INDEX($F$206:$F$229,MATCH($B239,$B$206:$B$229,FALSE))),NA()),NA())</f>
        <v>#N/A</v>
      </c>
      <c r="P239" s="65" t="e">
        <f>IF(O47=1,IF(O$13&lt;=COUNT($C19:$CS19),IF(INDEX($F$206:$F$229,MATCH($B239,$B$206:$B$229,FALSE))=0,NA(),INDEX(O$14:O$37,MATCH($B239,$B$14:$B$37,FALSE))/INDEX($F$206:$F$229,MATCH($B239,$B$206:$B$229,FALSE))),NA()),NA())</f>
        <v>#N/A</v>
      </c>
      <c r="Q239" s="65" t="e">
        <f>IF(P47=1,IF(P$13&lt;=COUNT($C19:$CS19),IF(INDEX($F$206:$F$229,MATCH($B239,$B$206:$B$229,FALSE))=0,NA(),INDEX(P$14:P$37,MATCH($B239,$B$14:$B$37,FALSE))/INDEX($F$206:$F$229,MATCH($B239,$B$206:$B$229,FALSE))),NA()),NA())</f>
        <v>#N/A</v>
      </c>
      <c r="R239" s="65" t="e">
        <f>IF(Q47=1,IF(Q$13&lt;=COUNT($C19:$CS19),IF(INDEX($F$206:$F$229,MATCH($B239,$B$206:$B$229,FALSE))=0,NA(),INDEX(Q$14:Q$37,MATCH($B239,$B$14:$B$37,FALSE))/INDEX($F$206:$F$229,MATCH($B239,$B$206:$B$229,FALSE))),NA()),NA())</f>
        <v>#N/A</v>
      </c>
      <c r="S239" s="65" t="e">
        <f>IF(R47=1,IF(R$13&lt;=COUNT($C19:$CS19),IF(INDEX($F$206:$F$229,MATCH($B239,$B$206:$B$229,FALSE))=0,NA(),INDEX(R$14:R$37,MATCH($B239,$B$14:$B$37,FALSE))/INDEX($F$206:$F$229,MATCH($B239,$B$206:$B$229,FALSE))),NA()),NA())</f>
        <v>#N/A</v>
      </c>
      <c r="T239" s="65" t="e">
        <f>IF(S47=1,IF(S$13&lt;=COUNT($C19:$CS19),IF(INDEX($F$206:$F$229,MATCH($B239,$B$206:$B$229,FALSE))=0,NA(),INDEX(S$14:S$37,MATCH($B239,$B$14:$B$37,FALSE))/INDEX($F$206:$F$229,MATCH($B239,$B$206:$B$229,FALSE))),NA()),NA())</f>
        <v>#N/A</v>
      </c>
      <c r="U239" s="65" t="e">
        <f>IF(T47=1,IF(T$13&lt;=COUNT($C19:$CS19),IF(INDEX($F$206:$F$229,MATCH($B239,$B$206:$B$229,FALSE))=0,NA(),INDEX(T$14:T$37,MATCH($B239,$B$14:$B$37,FALSE))/INDEX($F$206:$F$229,MATCH($B239,$B$206:$B$229,FALSE))),NA()),NA())</f>
        <v>#N/A</v>
      </c>
      <c r="V239" s="65" t="e">
        <f>IF(U47=1,IF(U$13&lt;=COUNT($C19:$CS19),IF(INDEX($F$206:$F$229,MATCH($B239,$B$206:$B$229,FALSE))=0,NA(),INDEX(U$14:U$37,MATCH($B239,$B$14:$B$37,FALSE))/INDEX($F$206:$F$229,MATCH($B239,$B$206:$B$229,FALSE))),NA()),NA())</f>
        <v>#N/A</v>
      </c>
      <c r="W239" s="65" t="e">
        <f>IF(V47=1,IF(V$13&lt;=COUNT($C19:$CS19),IF(INDEX($F$206:$F$229,MATCH($B239,$B$206:$B$229,FALSE))=0,NA(),INDEX(V$14:V$37,MATCH($B239,$B$14:$B$37,FALSE))/INDEX($F$206:$F$229,MATCH($B239,$B$206:$B$229,FALSE))),NA()),NA())</f>
        <v>#N/A</v>
      </c>
      <c r="X239" s="65" t="e">
        <f>IF(W47=1,IF(W$13&lt;=COUNT($C19:$CS19),IF(INDEX($F$206:$F$229,MATCH($B239,$B$206:$B$229,FALSE))=0,NA(),INDEX(W$14:W$37,MATCH($B239,$B$14:$B$37,FALSE))/INDEX($F$206:$F$229,MATCH($B239,$B$206:$B$229,FALSE))),NA()),NA())</f>
        <v>#N/A</v>
      </c>
      <c r="Y239" s="65" t="e">
        <f>IF(X47=1,IF(X$13&lt;=COUNT($C19:$CS19),IF(INDEX($F$206:$F$229,MATCH($B239,$B$206:$B$229,FALSE))=0,NA(),INDEX(X$14:X$37,MATCH($B239,$B$14:$B$37,FALSE))/INDEX($F$206:$F$229,MATCH($B239,$B$206:$B$229,FALSE))),NA()),NA())</f>
        <v>#N/A</v>
      </c>
      <c r="Z239" s="65" t="e">
        <f>IF(Y47=1,IF(Y$13&lt;=COUNT($C19:$CS19),IF(INDEX($F$206:$F$229,MATCH($B239,$B$206:$B$229,FALSE))=0,NA(),INDEX(Y$14:Y$37,MATCH($B239,$B$14:$B$37,FALSE))/INDEX($F$206:$F$229,MATCH($B239,$B$206:$B$229,FALSE))),NA()),NA())</f>
        <v>#N/A</v>
      </c>
      <c r="AA239" s="65" t="e">
        <f>IF(Z47=1,IF(Z$13&lt;=COUNT($C19:$CS19),IF(INDEX($F$206:$F$229,MATCH($B239,$B$206:$B$229,FALSE))=0,NA(),INDEX(Z$14:Z$37,MATCH($B239,$B$14:$B$37,FALSE))/INDEX($F$206:$F$229,MATCH($B239,$B$206:$B$229,FALSE))),NA()),NA())</f>
        <v>#N/A</v>
      </c>
      <c r="AB239" s="65" t="e">
        <f>IF(AA47=1,IF(AA$13&lt;=COUNT($C19:$CS19),IF(INDEX($F$206:$F$229,MATCH($B239,$B$206:$B$229,FALSE))=0,NA(),INDEX(AA$14:AA$37,MATCH($B239,$B$14:$B$37,FALSE))/INDEX($F$206:$F$229,MATCH($B239,$B$206:$B$229,FALSE))),NA()),NA())</f>
        <v>#N/A</v>
      </c>
      <c r="AC239" s="65" t="e">
        <f>IF(AB47=1,IF(AB$13&lt;=COUNT($C19:$CS19),IF(INDEX($F$206:$F$229,MATCH($B239,$B$206:$B$229,FALSE))=0,NA(),INDEX(AB$14:AB$37,MATCH($B239,$B$14:$B$37,FALSE))/INDEX($F$206:$F$229,MATCH($B239,$B$206:$B$229,FALSE))),NA()),NA())</f>
        <v>#N/A</v>
      </c>
      <c r="AD239" s="65" t="e">
        <f>IF(AC47=1,IF(AC$13&lt;=COUNT($C19:$CS19),IF(INDEX($F$206:$F$229,MATCH($B239,$B$206:$B$229,FALSE))=0,NA(),INDEX(AC$14:AC$37,MATCH($B239,$B$14:$B$37,FALSE))/INDEX($F$206:$F$229,MATCH($B239,$B$206:$B$229,FALSE))),NA()),NA())</f>
        <v>#N/A</v>
      </c>
      <c r="AE239" s="65" t="e">
        <f>IF(AD47=1,IF(AD$13&lt;=COUNT($C19:$CS19),IF(INDEX($F$206:$F$229,MATCH($B239,$B$206:$B$229,FALSE))=0,NA(),INDEX(AD$14:AD$37,MATCH($B239,$B$14:$B$37,FALSE))/INDEX($F$206:$F$229,MATCH($B239,$B$206:$B$229,FALSE))),NA()),NA())</f>
        <v>#N/A</v>
      </c>
      <c r="AF239" s="65" t="e">
        <f>IF(AE47=1,IF(AE$13&lt;=COUNT($C19:$CS19),IF(INDEX($F$206:$F$229,MATCH($B239,$B$206:$B$229,FALSE))=0,NA(),INDEX(AE$14:AE$37,MATCH($B239,$B$14:$B$37,FALSE))/INDEX($F$206:$F$229,MATCH($B239,$B$206:$B$229,FALSE))),NA()),NA())</f>
        <v>#N/A</v>
      </c>
      <c r="AG239" s="65" t="e">
        <f>IF(AF47=1,IF(AF$13&lt;=COUNT($C19:$CS19),IF(INDEX($F$206:$F$229,MATCH($B239,$B$206:$B$229,FALSE))=0,NA(),INDEX(AF$14:AF$37,MATCH($B239,$B$14:$B$37,FALSE))/INDEX($F$206:$F$229,MATCH($B239,$B$206:$B$229,FALSE))),NA()),NA())</f>
        <v>#N/A</v>
      </c>
      <c r="AH239" s="65" t="e">
        <f>IF(AG47=1,IF(AG$13&lt;=COUNT($C19:$CS19),IF(INDEX($F$206:$F$229,MATCH($B239,$B$206:$B$229,FALSE))=0,NA(),INDEX(AG$14:AG$37,MATCH($B239,$B$14:$B$37,FALSE))/INDEX($F$206:$F$229,MATCH($B239,$B$206:$B$229,FALSE))),NA()),NA())</f>
        <v>#N/A</v>
      </c>
      <c r="AI239" s="65" t="e">
        <f>IF(AH47=1,IF(AH$13&lt;=COUNT($C19:$CS19),IF(INDEX($F$206:$F$229,MATCH($B239,$B$206:$B$229,FALSE))=0,NA(),INDEX(AH$14:AH$37,MATCH($B239,$B$14:$B$37,FALSE))/INDEX($F$206:$F$229,MATCH($B239,$B$206:$B$229,FALSE))),NA()),NA())</f>
        <v>#N/A</v>
      </c>
      <c r="AJ239" s="65" t="e">
        <f>IF(AI47=1,IF(AI$13&lt;=COUNT($C19:$CS19),IF(INDEX($F$206:$F$229,MATCH($B239,$B$206:$B$229,FALSE))=0,NA(),INDEX(AI$14:AI$37,MATCH($B239,$B$14:$B$37,FALSE))/INDEX($F$206:$F$229,MATCH($B239,$B$206:$B$229,FALSE))),NA()),NA())</f>
        <v>#N/A</v>
      </c>
      <c r="AK239" s="65" t="e">
        <f>IF(AJ47=1,IF(AJ$13&lt;=COUNT($C19:$CS19),IF(INDEX($F$206:$F$229,MATCH($B239,$B$206:$B$229,FALSE))=0,NA(),INDEX(AJ$14:AJ$37,MATCH($B239,$B$14:$B$37,FALSE))/INDEX($F$206:$F$229,MATCH($B239,$B$206:$B$229,FALSE))),NA()),NA())</f>
        <v>#N/A</v>
      </c>
      <c r="AL239" s="65" t="e">
        <f>IF(AK47=1,IF(AK$13&lt;=COUNT($C19:$CS19),IF(INDEX($F$206:$F$229,MATCH($B239,$B$206:$B$229,FALSE))=0,NA(),INDEX(AK$14:AK$37,MATCH($B239,$B$14:$B$37,FALSE))/INDEX($F$206:$F$229,MATCH($B239,$B$206:$B$229,FALSE))),NA()),NA())</f>
        <v>#N/A</v>
      </c>
      <c r="AM239" s="65" t="e">
        <f>IF(AL47=1,IF(AL$13&lt;=COUNT($C19:$CS19),IF(INDEX($F$206:$F$229,MATCH($B239,$B$206:$B$229,FALSE))=0,NA(),INDEX(AL$14:AL$37,MATCH($B239,$B$14:$B$37,FALSE))/INDEX($F$206:$F$229,MATCH($B239,$B$206:$B$229,FALSE))),NA()),NA())</f>
        <v>#N/A</v>
      </c>
      <c r="AN239" s="65" t="e">
        <f>IF(AM47=1,IF(AM$13&lt;=COUNT($C19:$CS19),IF(INDEX($F$206:$F$229,MATCH($B239,$B$206:$B$229,FALSE))=0,NA(),INDEX(AM$14:AM$37,MATCH($B239,$B$14:$B$37,FALSE))/INDEX($F$206:$F$229,MATCH($B239,$B$206:$B$229,FALSE))),NA()),NA())</f>
        <v>#N/A</v>
      </c>
      <c r="AO239" s="65" t="e">
        <f>IF(AN47=1,IF(AN$13&lt;=COUNT($C19:$CS19),IF(INDEX($F$206:$F$229,MATCH($B239,$B$206:$B$229,FALSE))=0,NA(),INDEX(AN$14:AN$37,MATCH($B239,$B$14:$B$37,FALSE))/INDEX($F$206:$F$229,MATCH($B239,$B$206:$B$229,FALSE))),NA()),NA())</f>
        <v>#N/A</v>
      </c>
      <c r="AP239" s="65" t="e">
        <f>IF(AO47=1,IF(AO$13&lt;=COUNT($C19:$CS19),IF(INDEX($F$206:$F$229,MATCH($B239,$B$206:$B$229,FALSE))=0,NA(),INDEX(AO$14:AO$37,MATCH($B239,$B$14:$B$37,FALSE))/INDEX($F$206:$F$229,MATCH($B239,$B$206:$B$229,FALSE))),NA()),NA())</f>
        <v>#N/A</v>
      </c>
      <c r="AQ239" s="65" t="e">
        <f>IF(AP47=1,IF(AP$13&lt;=COUNT($C19:$CS19),IF(INDEX($F$206:$F$229,MATCH($B239,$B$206:$B$229,FALSE))=0,NA(),INDEX(AP$14:AP$37,MATCH($B239,$B$14:$B$37,FALSE))/INDEX($F$206:$F$229,MATCH($B239,$B$206:$B$229,FALSE))),NA()),NA())</f>
        <v>#N/A</v>
      </c>
      <c r="AR239" s="65" t="e">
        <f>IF(AQ47=1,IF(AQ$13&lt;=COUNT($C19:$CS19),IF(INDEX($F$206:$F$229,MATCH($B239,$B$206:$B$229,FALSE))=0,NA(),INDEX(AQ$14:AQ$37,MATCH($B239,$B$14:$B$37,FALSE))/INDEX($F$206:$F$229,MATCH($B239,$B$206:$B$229,FALSE))),NA()),NA())</f>
        <v>#N/A</v>
      </c>
      <c r="AS239" s="65" t="e">
        <f>IF(AR47=1,IF(AR$13&lt;=COUNT($C19:$CS19),IF(INDEX($F$206:$F$229,MATCH($B239,$B$206:$B$229,FALSE))=0,NA(),INDEX(AR$14:AR$37,MATCH($B239,$B$14:$B$37,FALSE))/INDEX($F$206:$F$229,MATCH($B239,$B$206:$B$229,FALSE))),NA()),NA())</f>
        <v>#N/A</v>
      </c>
      <c r="AT239" s="65" t="e">
        <f>IF(AS47=1,IF(AS$13&lt;=COUNT($C19:$CS19),IF(INDEX($F$206:$F$229,MATCH($B239,$B$206:$B$229,FALSE))=0,NA(),INDEX(AS$14:AS$37,MATCH($B239,$B$14:$B$37,FALSE))/INDEX($F$206:$F$229,MATCH($B239,$B$206:$B$229,FALSE))),NA()),NA())</f>
        <v>#N/A</v>
      </c>
      <c r="AU239" s="65" t="e">
        <f>IF(AT47=1,IF(AT$13&lt;=COUNT($C19:$CS19),IF(INDEX($F$206:$F$229,MATCH($B239,$B$206:$B$229,FALSE))=0,NA(),INDEX(AT$14:AT$37,MATCH($B239,$B$14:$B$37,FALSE))/INDEX($F$206:$F$229,MATCH($B239,$B$206:$B$229,FALSE))),NA()),NA())</f>
        <v>#N/A</v>
      </c>
      <c r="AV239" s="65" t="e">
        <f>IF(AU47=1,IF(AU$13&lt;=COUNT($C19:$CS19),IF(INDEX($F$206:$F$229,MATCH($B239,$B$206:$B$229,FALSE))=0,NA(),INDEX(AU$14:AU$37,MATCH($B239,$B$14:$B$37,FALSE))/INDEX($F$206:$F$229,MATCH($B239,$B$206:$B$229,FALSE))),NA()),NA())</f>
        <v>#N/A</v>
      </c>
      <c r="AW239" s="65" t="e">
        <f>IF(AV47=1,IF(AV$13&lt;=COUNT($C19:$CS19),IF(INDEX($F$206:$F$229,MATCH($B239,$B$206:$B$229,FALSE))=0,NA(),INDEX(AV$14:AV$37,MATCH($B239,$B$14:$B$37,FALSE))/INDEX($F$206:$F$229,MATCH($B239,$B$206:$B$229,FALSE))),NA()),NA())</f>
        <v>#N/A</v>
      </c>
      <c r="AX239" s="65" t="e">
        <f>IF(AW47=1,IF(AW$13&lt;=COUNT($C19:$CS19),IF(INDEX($F$206:$F$229,MATCH($B239,$B$206:$B$229,FALSE))=0,NA(),INDEX(AW$14:AW$37,MATCH($B239,$B$14:$B$37,FALSE))/INDEX($F$206:$F$229,MATCH($B239,$B$206:$B$229,FALSE))),NA()),NA())</f>
        <v>#N/A</v>
      </c>
      <c r="AY239" s="65" t="e">
        <f>IF(AX47=1,IF(AX$13&lt;=COUNT($C19:$CS19),IF(INDEX($F$206:$F$229,MATCH($B239,$B$206:$B$229,FALSE))=0,NA(),INDEX(AX$14:AX$37,MATCH($B239,$B$14:$B$37,FALSE))/INDEX($F$206:$F$229,MATCH($B239,$B$206:$B$229,FALSE))),NA()),NA())</f>
        <v>#N/A</v>
      </c>
      <c r="AZ239" s="65" t="e">
        <f>IF(AY47=1,IF(AY$13&lt;=COUNT($C19:$CS19),IF(INDEX($F$206:$F$229,MATCH($B239,$B$206:$B$229,FALSE))=0,NA(),INDEX(AY$14:AY$37,MATCH($B239,$B$14:$B$37,FALSE))/INDEX($F$206:$F$229,MATCH($B239,$B$206:$B$229,FALSE))),NA()),NA())</f>
        <v>#N/A</v>
      </c>
      <c r="BA239" s="65" t="e">
        <f>IF(AZ47=1,IF(AZ$13&lt;=COUNT($C19:$CS19),IF(INDEX($F$206:$F$229,MATCH($B239,$B$206:$B$229,FALSE))=0,NA(),INDEX(AZ$14:AZ$37,MATCH($B239,$B$14:$B$37,FALSE))/INDEX($F$206:$F$229,MATCH($B239,$B$206:$B$229,FALSE))),NA()),NA())</f>
        <v>#N/A</v>
      </c>
      <c r="BB239" s="65" t="e">
        <f>IF(BA47=1,IF(BA$13&lt;=COUNT($C19:$CS19),IF(INDEX($F$206:$F$229,MATCH($B239,$B$206:$B$229,FALSE))=0,NA(),INDEX(BA$14:BA$37,MATCH($B239,$B$14:$B$37,FALSE))/INDEX($F$206:$F$229,MATCH($B239,$B$206:$B$229,FALSE))),NA()),NA())</f>
        <v>#N/A</v>
      </c>
      <c r="BC239" s="65" t="e">
        <f>IF(BB47=1,IF(BB$13&lt;=COUNT($C19:$CS19),IF(INDEX($F$206:$F$229,MATCH($B239,$B$206:$B$229,FALSE))=0,NA(),INDEX(BB$14:BB$37,MATCH($B239,$B$14:$B$37,FALSE))/INDEX($F$206:$F$229,MATCH($B239,$B$206:$B$229,FALSE))),NA()),NA())</f>
        <v>#N/A</v>
      </c>
      <c r="BD239" s="65" t="e">
        <f>IF(BC47=1,IF(BC$13&lt;=COUNT($C19:$CS19),IF(INDEX($F$206:$F$229,MATCH($B239,$B$206:$B$229,FALSE))=0,NA(),INDEX(BC$14:BC$37,MATCH($B239,$B$14:$B$37,FALSE))/INDEX($F$206:$F$229,MATCH($B239,$B$206:$B$229,FALSE))),NA()),NA())</f>
        <v>#N/A</v>
      </c>
      <c r="BE239" s="65" t="e">
        <f>IF(BD47=1,IF(BD$13&lt;=COUNT($C19:$CS19),IF(INDEX($F$206:$F$229,MATCH($B239,$B$206:$B$229,FALSE))=0,NA(),INDEX(BD$14:BD$37,MATCH($B239,$B$14:$B$37,FALSE))/INDEX($F$206:$F$229,MATCH($B239,$B$206:$B$229,FALSE))),NA()),NA())</f>
        <v>#N/A</v>
      </c>
      <c r="BF239" s="65" t="e">
        <f>IF(BE47=1,IF(BE$13&lt;=COUNT($C19:$CS19),IF(INDEX($F$206:$F$229,MATCH($B239,$B$206:$B$229,FALSE))=0,NA(),INDEX(BE$14:BE$37,MATCH($B239,$B$14:$B$37,FALSE))/INDEX($F$206:$F$229,MATCH($B239,$B$206:$B$229,FALSE))),NA()),NA())</f>
        <v>#N/A</v>
      </c>
      <c r="BG239" s="65" t="e">
        <f>IF(BF47=1,IF(BF$13&lt;=COUNT($C19:$CS19),IF(INDEX($F$206:$F$229,MATCH($B239,$B$206:$B$229,FALSE))=0,NA(),INDEX(BF$14:BF$37,MATCH($B239,$B$14:$B$37,FALSE))/INDEX($F$206:$F$229,MATCH($B239,$B$206:$B$229,FALSE))),NA()),NA())</f>
        <v>#N/A</v>
      </c>
      <c r="BH239" s="65" t="e">
        <f>IF(BG47=1,IF(BG$13&lt;=COUNT($C19:$CS19),IF(INDEX($F$206:$F$229,MATCH($B239,$B$206:$B$229,FALSE))=0,NA(),INDEX(BG$14:BG$37,MATCH($B239,$B$14:$B$37,FALSE))/INDEX($F$206:$F$229,MATCH($B239,$B$206:$B$229,FALSE))),NA()),NA())</f>
        <v>#N/A</v>
      </c>
      <c r="BI239" s="65" t="e">
        <f>IF(BH47=1,IF(BH$13&lt;=COUNT($C19:$CS19),IF(INDEX($F$206:$F$229,MATCH($B239,$B$206:$B$229,FALSE))=0,NA(),INDEX(BH$14:BH$37,MATCH($B239,$B$14:$B$37,FALSE))/INDEX($F$206:$F$229,MATCH($B239,$B$206:$B$229,FALSE))),NA()),NA())</f>
        <v>#N/A</v>
      </c>
      <c r="BJ239" s="65" t="e">
        <f>IF(BI47=1,IF(BI$13&lt;=COUNT($C19:$CS19),IF(INDEX($F$206:$F$229,MATCH($B239,$B$206:$B$229,FALSE))=0,NA(),INDEX(BI$14:BI$37,MATCH($B239,$B$14:$B$37,FALSE))/INDEX($F$206:$F$229,MATCH($B239,$B$206:$B$229,FALSE))),NA()),NA())</f>
        <v>#N/A</v>
      </c>
      <c r="BK239" s="65" t="e">
        <f>IF(BJ47=1,IF(BJ$13&lt;=COUNT($C19:$CS19),IF(INDEX($F$206:$F$229,MATCH($B239,$B$206:$B$229,FALSE))=0,NA(),INDEX(BJ$14:BJ$37,MATCH($B239,$B$14:$B$37,FALSE))/INDEX($F$206:$F$229,MATCH($B239,$B$206:$B$229,FALSE))),NA()),NA())</f>
        <v>#N/A</v>
      </c>
      <c r="BL239" s="65" t="e">
        <f>IF(BK47=1,IF(BK$13&lt;=COUNT($C19:$CS19),IF(INDEX($F$206:$F$229,MATCH($B239,$B$206:$B$229,FALSE))=0,NA(),INDEX(BK$14:BK$37,MATCH($B239,$B$14:$B$37,FALSE))/INDEX($F$206:$F$229,MATCH($B239,$B$206:$B$229,FALSE))),NA()),NA())</f>
        <v>#N/A</v>
      </c>
      <c r="BM239" s="65" t="e">
        <f>IF(BL47=1,IF(BL$13&lt;=COUNT($C19:$CS19),IF(INDEX($F$206:$F$229,MATCH($B239,$B$206:$B$229,FALSE))=0,NA(),INDEX(BL$14:BL$37,MATCH($B239,$B$14:$B$37,FALSE))/INDEX($F$206:$F$229,MATCH($B239,$B$206:$B$229,FALSE))),NA()),NA())</f>
        <v>#N/A</v>
      </c>
      <c r="BN239" s="65" t="e">
        <f>IF(BM47=1,IF(BM$13&lt;=COUNT($C19:$CS19),IF(INDEX($F$206:$F$229,MATCH($B239,$B$206:$B$229,FALSE))=0,NA(),INDEX(BM$14:BM$37,MATCH($B239,$B$14:$B$37,FALSE))/INDEX($F$206:$F$229,MATCH($B239,$B$206:$B$229,FALSE))),NA()),NA())</f>
        <v>#N/A</v>
      </c>
      <c r="BO239" s="65" t="e">
        <f>IF(BN47=1,IF(BN$13&lt;=COUNT($C19:$CS19),IF(INDEX($F$206:$F$229,MATCH($B239,$B$206:$B$229,FALSE))=0,NA(),INDEX(BN$14:BN$37,MATCH($B239,$B$14:$B$37,FALSE))/INDEX($F$206:$F$229,MATCH($B239,$B$206:$B$229,FALSE))),NA()),NA())</f>
        <v>#N/A</v>
      </c>
      <c r="BP239" s="65" t="e">
        <f>IF(BO47=1,IF(BO$13&lt;=COUNT($C19:$CS19),IF(INDEX($F$206:$F$229,MATCH($B239,$B$206:$B$229,FALSE))=0,NA(),INDEX(BO$14:BO$37,MATCH($B239,$B$14:$B$37,FALSE))/INDEX($F$206:$F$229,MATCH($B239,$B$206:$B$229,FALSE))),NA()),NA())</f>
        <v>#N/A</v>
      </c>
      <c r="BQ239" s="65" t="e">
        <f>IF(BP47=1,IF(BP$13&lt;=COUNT($C19:$CS19),IF(INDEX($F$206:$F$229,MATCH($B239,$B$206:$B$229,FALSE))=0,NA(),INDEX(BP$14:BP$37,MATCH($B239,$B$14:$B$37,FALSE))/INDEX($F$206:$F$229,MATCH($B239,$B$206:$B$229,FALSE))),NA()),NA())</f>
        <v>#N/A</v>
      </c>
      <c r="BR239" s="65" t="e">
        <f>IF(BQ47=1,IF(BQ$13&lt;=COUNT($C19:$CS19),IF(INDEX($F$206:$F$229,MATCH($B239,$B$206:$B$229,FALSE))=0,NA(),INDEX(BQ$14:BQ$37,MATCH($B239,$B$14:$B$37,FALSE))/INDEX($F$206:$F$229,MATCH($B239,$B$206:$B$229,FALSE))),NA()),NA())</f>
        <v>#N/A</v>
      </c>
      <c r="BS239" s="65" t="e">
        <f>IF(BR47=1,IF(BR$13&lt;=COUNT($C19:$CS19),IF(INDEX($F$206:$F$229,MATCH($B239,$B$206:$B$229,FALSE))=0,NA(),INDEX(BR$14:BR$37,MATCH($B239,$B$14:$B$37,FALSE))/INDEX($F$206:$F$229,MATCH($B239,$B$206:$B$229,FALSE))),NA()),NA())</f>
        <v>#N/A</v>
      </c>
      <c r="BT239" s="65" t="e">
        <f>IF(BS47=1,IF(BS$13&lt;=COUNT($C19:$CS19),IF(INDEX($F$206:$F$229,MATCH($B239,$B$206:$B$229,FALSE))=0,NA(),INDEX(BS$14:BS$37,MATCH($B239,$B$14:$B$37,FALSE))/INDEX($F$206:$F$229,MATCH($B239,$B$206:$B$229,FALSE))),NA()),NA())</f>
        <v>#N/A</v>
      </c>
      <c r="BU239" s="65" t="e">
        <f>IF(BT47=1,IF(BT$13&lt;=COUNT($C19:$CS19),IF(INDEX($F$206:$F$229,MATCH($B239,$B$206:$B$229,FALSE))=0,NA(),INDEX(BT$14:BT$37,MATCH($B239,$B$14:$B$37,FALSE))/INDEX($F$206:$F$229,MATCH($B239,$B$206:$B$229,FALSE))),NA()),NA())</f>
        <v>#N/A</v>
      </c>
      <c r="BV239" s="65" t="e">
        <f>IF(BU47=1,IF(BU$13&lt;=COUNT($C19:$CS19),IF(INDEX($F$206:$F$229,MATCH($B239,$B$206:$B$229,FALSE))=0,NA(),INDEX(BU$14:BU$37,MATCH($B239,$B$14:$B$37,FALSE))/INDEX($F$206:$F$229,MATCH($B239,$B$206:$B$229,FALSE))),NA()),NA())</f>
        <v>#N/A</v>
      </c>
      <c r="BW239" s="65" t="e">
        <f>IF(BV47=1,IF(BV$13&lt;=COUNT($C19:$CS19),IF(INDEX($F$206:$F$229,MATCH($B239,$B$206:$B$229,FALSE))=0,NA(),INDEX(BV$14:BV$37,MATCH($B239,$B$14:$B$37,FALSE))/INDEX($F$206:$F$229,MATCH($B239,$B$206:$B$229,FALSE))),NA()),NA())</f>
        <v>#N/A</v>
      </c>
      <c r="BX239" s="65" t="e">
        <f>IF(BW47=1,IF(BW$13&lt;=COUNT($C19:$CS19),IF(INDEX($F$206:$F$229,MATCH($B239,$B$206:$B$229,FALSE))=0,NA(),INDEX(BW$14:BW$37,MATCH($B239,$B$14:$B$37,FALSE))/INDEX($F$206:$F$229,MATCH($B239,$B$206:$B$229,FALSE))),NA()),NA())</f>
        <v>#N/A</v>
      </c>
      <c r="BY239" s="65" t="e">
        <f>IF(BX47=1,IF(BX$13&lt;=COUNT($C19:$CS19),IF(INDEX($F$206:$F$229,MATCH($B239,$B$206:$B$229,FALSE))=0,NA(),INDEX(BX$14:BX$37,MATCH($B239,$B$14:$B$37,FALSE))/INDEX($F$206:$F$229,MATCH($B239,$B$206:$B$229,FALSE))),NA()),NA())</f>
        <v>#N/A</v>
      </c>
      <c r="BZ239" s="65" t="e">
        <f>IF(BY47=1,IF(BY$13&lt;=COUNT($C19:$CS19),IF(INDEX($F$206:$F$229,MATCH($B239,$B$206:$B$229,FALSE))=0,NA(),INDEX(BY$14:BY$37,MATCH($B239,$B$14:$B$37,FALSE))/INDEX($F$206:$F$229,MATCH($B239,$B$206:$B$229,FALSE))),NA()),NA())</f>
        <v>#N/A</v>
      </c>
      <c r="CA239" s="65" t="e">
        <f>IF(BZ47=1,IF(BZ$13&lt;=COUNT($C19:$CS19),IF(INDEX($F$206:$F$229,MATCH($B239,$B$206:$B$229,FALSE))=0,NA(),INDEX(BZ$14:BZ$37,MATCH($B239,$B$14:$B$37,FALSE))/INDEX($F$206:$F$229,MATCH($B239,$B$206:$B$229,FALSE))),NA()),NA())</f>
        <v>#N/A</v>
      </c>
      <c r="CB239" s="65" t="e">
        <f>IF(CA47=1,IF(CA$13&lt;=COUNT($C19:$CS19),IF(INDEX($F$206:$F$229,MATCH($B239,$B$206:$B$229,FALSE))=0,NA(),INDEX(CA$14:CA$37,MATCH($B239,$B$14:$B$37,FALSE))/INDEX($F$206:$F$229,MATCH($B239,$B$206:$B$229,FALSE))),NA()),NA())</f>
        <v>#N/A</v>
      </c>
      <c r="CC239" s="65" t="e">
        <f>IF(CB47=1,IF(CB$13&lt;=COUNT($C19:$CS19),IF(INDEX($F$206:$F$229,MATCH($B239,$B$206:$B$229,FALSE))=0,NA(),INDEX(CB$14:CB$37,MATCH($B239,$B$14:$B$37,FALSE))/INDEX($F$206:$F$229,MATCH($B239,$B$206:$B$229,FALSE))),NA()),NA())</f>
        <v>#N/A</v>
      </c>
      <c r="CD239" s="65" t="e">
        <f>IF(CC47=1,IF(CC$13&lt;=COUNT($C19:$CS19),IF(INDEX($F$206:$F$229,MATCH($B239,$B$206:$B$229,FALSE))=0,NA(),INDEX(CC$14:CC$37,MATCH($B239,$B$14:$B$37,FALSE))/INDEX($F$206:$F$229,MATCH($B239,$B$206:$B$229,FALSE))),NA()),NA())</f>
        <v>#N/A</v>
      </c>
      <c r="CE239" s="65" t="e">
        <f>IF(CD47=1,IF(CD$13&lt;=COUNT($C19:$CS19),IF(INDEX($F$206:$F$229,MATCH($B239,$B$206:$B$229,FALSE))=0,NA(),INDEX(CD$14:CD$37,MATCH($B239,$B$14:$B$37,FALSE))/INDEX($F$206:$F$229,MATCH($B239,$B$206:$B$229,FALSE))),NA()),NA())</f>
        <v>#N/A</v>
      </c>
      <c r="CF239" s="65" t="e">
        <f>IF(CE47=1,IF(CE$13&lt;=COUNT($C19:$CS19),IF(INDEX($F$206:$F$229,MATCH($B239,$B$206:$B$229,FALSE))=0,NA(),INDEX(CE$14:CE$37,MATCH($B239,$B$14:$B$37,FALSE))/INDEX($F$206:$F$229,MATCH($B239,$B$206:$B$229,FALSE))),NA()),NA())</f>
        <v>#N/A</v>
      </c>
      <c r="CG239" s="65" t="e">
        <f>IF(CF47=1,IF(CF$13&lt;=COUNT($C19:$CS19),IF(INDEX($F$206:$F$229,MATCH($B239,$B$206:$B$229,FALSE))=0,NA(),INDEX(CF$14:CF$37,MATCH($B239,$B$14:$B$37,FALSE))/INDEX($F$206:$F$229,MATCH($B239,$B$206:$B$229,FALSE))),NA()),NA())</f>
        <v>#N/A</v>
      </c>
      <c r="CH239" s="65" t="e">
        <f>IF(CG47=1,IF(CG$13&lt;=COUNT($C19:$CS19),IF(INDEX($F$206:$F$229,MATCH($B239,$B$206:$B$229,FALSE))=0,NA(),INDEX(CG$14:CG$37,MATCH($B239,$B$14:$B$37,FALSE))/INDEX($F$206:$F$229,MATCH($B239,$B$206:$B$229,FALSE))),NA()),NA())</f>
        <v>#N/A</v>
      </c>
      <c r="CI239" s="65" t="e">
        <f>IF(CH47=1,IF(CH$13&lt;=COUNT($C19:$CS19),IF(INDEX($F$206:$F$229,MATCH($B239,$B$206:$B$229,FALSE))=0,NA(),INDEX(CH$14:CH$37,MATCH($B239,$B$14:$B$37,FALSE))/INDEX($F$206:$F$229,MATCH($B239,$B$206:$B$229,FALSE))),NA()),NA())</f>
        <v>#N/A</v>
      </c>
      <c r="CJ239" s="65" t="e">
        <f>IF(CI47=1,IF(CI$13&lt;=COUNT($C19:$CS19),IF(INDEX($F$206:$F$229,MATCH($B239,$B$206:$B$229,FALSE))=0,NA(),INDEX(CI$14:CI$37,MATCH($B239,$B$14:$B$37,FALSE))/INDEX($F$206:$F$229,MATCH($B239,$B$206:$B$229,FALSE))),NA()),NA())</f>
        <v>#N/A</v>
      </c>
      <c r="CK239" s="65" t="e">
        <f>IF(CJ47=1,IF(CJ$13&lt;=COUNT($C19:$CS19),IF(INDEX($F$206:$F$229,MATCH($B239,$B$206:$B$229,FALSE))=0,NA(),INDEX(CJ$14:CJ$37,MATCH($B239,$B$14:$B$37,FALSE))/INDEX($F$206:$F$229,MATCH($B239,$B$206:$B$229,FALSE))),NA()),NA())</f>
        <v>#N/A</v>
      </c>
      <c r="CL239" s="65" t="e">
        <f>IF(CK47=1,IF(CK$13&lt;=COUNT($C19:$CS19),IF(INDEX($F$206:$F$229,MATCH($B239,$B$206:$B$229,FALSE))=0,NA(),INDEX(CK$14:CK$37,MATCH($B239,$B$14:$B$37,FALSE))/INDEX($F$206:$F$229,MATCH($B239,$B$206:$B$229,FALSE))),NA()),NA())</f>
        <v>#N/A</v>
      </c>
      <c r="CM239" s="65" t="e">
        <f>IF(CL47=1,IF(CL$13&lt;=COUNT($C19:$CS19),IF(INDEX($F$206:$F$229,MATCH($B239,$B$206:$B$229,FALSE))=0,NA(),INDEX(CL$14:CL$37,MATCH($B239,$B$14:$B$37,FALSE))/INDEX($F$206:$F$229,MATCH($B239,$B$206:$B$229,FALSE))),NA()),NA())</f>
        <v>#N/A</v>
      </c>
      <c r="CN239" s="65" t="e">
        <f>IF(CM47=1,IF(CM$13&lt;=COUNT($C19:$CS19),IF(INDEX($F$206:$F$229,MATCH($B239,$B$206:$B$229,FALSE))=0,NA(),INDEX(CM$14:CM$37,MATCH($B239,$B$14:$B$37,FALSE))/INDEX($F$206:$F$229,MATCH($B239,$B$206:$B$229,FALSE))),NA()),NA())</f>
        <v>#N/A</v>
      </c>
      <c r="CO239" s="65" t="e">
        <f>IF(CN47=1,IF(CN$13&lt;=COUNT($C19:$CS19),IF(INDEX($F$206:$F$229,MATCH($B239,$B$206:$B$229,FALSE))=0,NA(),INDEX(CN$14:CN$37,MATCH($B239,$B$14:$B$37,FALSE))/INDEX($F$206:$F$229,MATCH($B239,$B$206:$B$229,FALSE))),NA()),NA())</f>
        <v>#N/A</v>
      </c>
      <c r="CP239" s="65" t="e">
        <f>IF(CO47=1,IF(CO$13&lt;=COUNT($C19:$CS19),IF(INDEX($F$206:$F$229,MATCH($B239,$B$206:$B$229,FALSE))=0,NA(),INDEX(CO$14:CO$37,MATCH($B239,$B$14:$B$37,FALSE))/INDEX($F$206:$F$229,MATCH($B239,$B$206:$B$229,FALSE))),NA()),NA())</f>
        <v>#N/A</v>
      </c>
      <c r="CQ239" s="65" t="e">
        <f>IF(CP47=1,IF(CP$13&lt;=COUNT($C19:$CS19),IF(INDEX($F$206:$F$229,MATCH($B239,$B$206:$B$229,FALSE))=0,NA(),INDEX(CP$14:CP$37,MATCH($B239,$B$14:$B$37,FALSE))/INDEX($F$206:$F$229,MATCH($B239,$B$206:$B$229,FALSE))),NA()),NA())</f>
        <v>#N/A</v>
      </c>
      <c r="CR239" s="65" t="e">
        <f>IF(CQ47=1,IF(CQ$13&lt;=COUNT($C19:$CS19),IF(INDEX($F$206:$F$229,MATCH($B239,$B$206:$B$229,FALSE))=0,NA(),INDEX(CQ$14:CQ$37,MATCH($B239,$B$14:$B$37,FALSE))/INDEX($F$206:$F$229,MATCH($B239,$B$206:$B$229,FALSE))),NA()),NA())</f>
        <v>#N/A</v>
      </c>
      <c r="CS239" s="65" t="e">
        <f>IF(CR47=1,IF(CR$13&lt;=COUNT($C19:$CS19),IF(INDEX($F$206:$F$229,MATCH($B239,$B$206:$B$229,FALSE))=0,NA(),INDEX(CR$14:CR$37,MATCH($B239,$B$14:$B$37,FALSE))/INDEX($F$206:$F$229,MATCH($B239,$B$206:$B$229,FALSE))),NA()),NA())</f>
        <v>#N/A</v>
      </c>
      <c r="CT239" s="49"/>
      <c r="CU239" s="49"/>
      <c r="CV239" s="49"/>
      <c r="CW239" s="49"/>
    </row>
    <row r="240" spans="1:101" x14ac:dyDescent="0.25">
      <c r="A240" s="97">
        <f t="shared" si="105"/>
        <v>0</v>
      </c>
      <c r="B240" s="29">
        <f t="shared" si="104"/>
        <v>2002</v>
      </c>
      <c r="C240" s="154" t="str">
        <f t="shared" si="106"/>
        <v/>
      </c>
      <c r="D240" s="54" t="e">
        <f>IF(C48=1,IF(C$13&lt;=COUNT($C20:$CS20),IF(INDEX($F$206:$F$229,MATCH($B240,$B$206:$B$229,FALSE))=0,NA(),INDEX(C$14:C$37,MATCH($B240,$B$14:$B$37,FALSE))/INDEX($F$206:$F$229,MATCH($B240,$B$206:$B$229,FALSE))),NA()),NA())</f>
        <v>#N/A</v>
      </c>
      <c r="E240" s="65" t="e">
        <f>IF(D48=1,IF(D$13&lt;=COUNT($C20:$CS20),IF(INDEX($F$206:$F$229,MATCH($B240,$B$206:$B$229,FALSE))=0,NA(),INDEX(D$14:D$37,MATCH($B240,$B$14:$B$37,FALSE))/INDEX($F$206:$F$229,MATCH($B240,$B$206:$B$229,FALSE))),NA()),NA())</f>
        <v>#N/A</v>
      </c>
      <c r="F240" s="65" t="e">
        <f>IF(E48=1,IF(E$13&lt;=COUNT($C20:$CS20),IF(INDEX($F$206:$F$229,MATCH($B240,$B$206:$B$229,FALSE))=0,NA(),INDEX(E$14:E$37,MATCH($B240,$B$14:$B$37,FALSE))/INDEX($F$206:$F$229,MATCH($B240,$B$206:$B$229,FALSE))),NA()),NA())</f>
        <v>#N/A</v>
      </c>
      <c r="G240" s="65" t="e">
        <f>IF(F48=1,IF(F$13&lt;=COUNT($C20:$CS20),IF(INDEX($F$206:$F$229,MATCH($B240,$B$206:$B$229,FALSE))=0,NA(),INDEX(F$14:F$37,MATCH($B240,$B$14:$B$37,FALSE))/INDEX($F$206:$F$229,MATCH($B240,$B$206:$B$229,FALSE))),NA()),NA())</f>
        <v>#N/A</v>
      </c>
      <c r="H240" s="65" t="e">
        <f>IF(G48=1,IF(G$13&lt;=COUNT($C20:$CS20),IF(INDEX($F$206:$F$229,MATCH($B240,$B$206:$B$229,FALSE))=0,NA(),INDEX(G$14:G$37,MATCH($B240,$B$14:$B$37,FALSE))/INDEX($F$206:$F$229,MATCH($B240,$B$206:$B$229,FALSE))),NA()),NA())</f>
        <v>#N/A</v>
      </c>
      <c r="I240" s="65" t="e">
        <f>IF(H48=1,IF(H$13&lt;=COUNT($C20:$CS20),IF(INDEX($F$206:$F$229,MATCH($B240,$B$206:$B$229,FALSE))=0,NA(),INDEX(H$14:H$37,MATCH($B240,$B$14:$B$37,FALSE))/INDEX($F$206:$F$229,MATCH($B240,$B$206:$B$229,FALSE))),NA()),NA())</f>
        <v>#N/A</v>
      </c>
      <c r="J240" s="65" t="e">
        <f>IF(I48=1,IF(I$13&lt;=COUNT($C20:$CS20),IF(INDEX($F$206:$F$229,MATCH($B240,$B$206:$B$229,FALSE))=0,NA(),INDEX(I$14:I$37,MATCH($B240,$B$14:$B$37,FALSE))/INDEX($F$206:$F$229,MATCH($B240,$B$206:$B$229,FALSE))),NA()),NA())</f>
        <v>#N/A</v>
      </c>
      <c r="K240" s="65" t="e">
        <f>IF(J48=1,IF(J$13&lt;=COUNT($C20:$CS20),IF(INDEX($F$206:$F$229,MATCH($B240,$B$206:$B$229,FALSE))=0,NA(),INDEX(J$14:J$37,MATCH($B240,$B$14:$B$37,FALSE))/INDEX($F$206:$F$229,MATCH($B240,$B$206:$B$229,FALSE))),NA()),NA())</f>
        <v>#N/A</v>
      </c>
      <c r="L240" s="65" t="e">
        <f>IF(K48=1,IF(K$13&lt;=COUNT($C20:$CS20),IF(INDEX($F$206:$F$229,MATCH($B240,$B$206:$B$229,FALSE))=0,NA(),INDEX(K$14:K$37,MATCH($B240,$B$14:$B$37,FALSE))/INDEX($F$206:$F$229,MATCH($B240,$B$206:$B$229,FALSE))),NA()),NA())</f>
        <v>#N/A</v>
      </c>
      <c r="M240" s="65" t="e">
        <f>IF(L48=1,IF(L$13&lt;=COUNT($C20:$CS20),IF(INDEX($F$206:$F$229,MATCH($B240,$B$206:$B$229,FALSE))=0,NA(),INDEX(L$14:L$37,MATCH($B240,$B$14:$B$37,FALSE))/INDEX($F$206:$F$229,MATCH($B240,$B$206:$B$229,FALSE))),NA()),NA())</f>
        <v>#N/A</v>
      </c>
      <c r="N240" s="65" t="e">
        <f>IF(M48=1,IF(M$13&lt;=COUNT($C20:$CS20),IF(INDEX($F$206:$F$229,MATCH($B240,$B$206:$B$229,FALSE))=0,NA(),INDEX(M$14:M$37,MATCH($B240,$B$14:$B$37,FALSE))/INDEX($F$206:$F$229,MATCH($B240,$B$206:$B$229,FALSE))),NA()),NA())</f>
        <v>#N/A</v>
      </c>
      <c r="O240" s="65" t="e">
        <f>IF(N48=1,IF(N$13&lt;=COUNT($C20:$CS20),IF(INDEX($F$206:$F$229,MATCH($B240,$B$206:$B$229,FALSE))=0,NA(),INDEX(N$14:N$37,MATCH($B240,$B$14:$B$37,FALSE))/INDEX($F$206:$F$229,MATCH($B240,$B$206:$B$229,FALSE))),NA()),NA())</f>
        <v>#N/A</v>
      </c>
      <c r="P240" s="65" t="e">
        <f>IF(O48=1,IF(O$13&lt;=COUNT($C20:$CS20),IF(INDEX($F$206:$F$229,MATCH($B240,$B$206:$B$229,FALSE))=0,NA(),INDEX(O$14:O$37,MATCH($B240,$B$14:$B$37,FALSE))/INDEX($F$206:$F$229,MATCH($B240,$B$206:$B$229,FALSE))),NA()),NA())</f>
        <v>#N/A</v>
      </c>
      <c r="Q240" s="65" t="e">
        <f>IF(P48=1,IF(P$13&lt;=COUNT($C20:$CS20),IF(INDEX($F$206:$F$229,MATCH($B240,$B$206:$B$229,FALSE))=0,NA(),INDEX(P$14:P$37,MATCH($B240,$B$14:$B$37,FALSE))/INDEX($F$206:$F$229,MATCH($B240,$B$206:$B$229,FALSE))),NA()),NA())</f>
        <v>#N/A</v>
      </c>
      <c r="R240" s="65" t="e">
        <f>IF(Q48=1,IF(Q$13&lt;=COUNT($C20:$CS20),IF(INDEX($F$206:$F$229,MATCH($B240,$B$206:$B$229,FALSE))=0,NA(),INDEX(Q$14:Q$37,MATCH($B240,$B$14:$B$37,FALSE))/INDEX($F$206:$F$229,MATCH($B240,$B$206:$B$229,FALSE))),NA()),NA())</f>
        <v>#N/A</v>
      </c>
      <c r="S240" s="65" t="e">
        <f>IF(R48=1,IF(R$13&lt;=COUNT($C20:$CS20),IF(INDEX($F$206:$F$229,MATCH($B240,$B$206:$B$229,FALSE))=0,NA(),INDEX(R$14:R$37,MATCH($B240,$B$14:$B$37,FALSE))/INDEX($F$206:$F$229,MATCH($B240,$B$206:$B$229,FALSE))),NA()),NA())</f>
        <v>#N/A</v>
      </c>
      <c r="T240" s="65" t="e">
        <f>IF(S48=1,IF(S$13&lt;=COUNT($C20:$CS20),IF(INDEX($F$206:$F$229,MATCH($B240,$B$206:$B$229,FALSE))=0,NA(),INDEX(S$14:S$37,MATCH($B240,$B$14:$B$37,FALSE))/INDEX($F$206:$F$229,MATCH($B240,$B$206:$B$229,FALSE))),NA()),NA())</f>
        <v>#N/A</v>
      </c>
      <c r="U240" s="65" t="e">
        <f>IF(T48=1,IF(T$13&lt;=COUNT($C20:$CS20),IF(INDEX($F$206:$F$229,MATCH($B240,$B$206:$B$229,FALSE))=0,NA(),INDEX(T$14:T$37,MATCH($B240,$B$14:$B$37,FALSE))/INDEX($F$206:$F$229,MATCH($B240,$B$206:$B$229,FALSE))),NA()),NA())</f>
        <v>#N/A</v>
      </c>
      <c r="V240" s="65" t="e">
        <f>IF(U48=1,IF(U$13&lt;=COUNT($C20:$CS20),IF(INDEX($F$206:$F$229,MATCH($B240,$B$206:$B$229,FALSE))=0,NA(),INDEX(U$14:U$37,MATCH($B240,$B$14:$B$37,FALSE))/INDEX($F$206:$F$229,MATCH($B240,$B$206:$B$229,FALSE))),NA()),NA())</f>
        <v>#N/A</v>
      </c>
      <c r="W240" s="65" t="e">
        <f>IF(V48=1,IF(V$13&lt;=COUNT($C20:$CS20),IF(INDEX($F$206:$F$229,MATCH($B240,$B$206:$B$229,FALSE))=0,NA(),INDEX(V$14:V$37,MATCH($B240,$B$14:$B$37,FALSE))/INDEX($F$206:$F$229,MATCH($B240,$B$206:$B$229,FALSE))),NA()),NA())</f>
        <v>#N/A</v>
      </c>
      <c r="X240" s="65" t="e">
        <f>IF(W48=1,IF(W$13&lt;=COUNT($C20:$CS20),IF(INDEX($F$206:$F$229,MATCH($B240,$B$206:$B$229,FALSE))=0,NA(),INDEX(W$14:W$37,MATCH($B240,$B$14:$B$37,FALSE))/INDEX($F$206:$F$229,MATCH($B240,$B$206:$B$229,FALSE))),NA()),NA())</f>
        <v>#N/A</v>
      </c>
      <c r="Y240" s="65" t="e">
        <f>IF(X48=1,IF(X$13&lt;=COUNT($C20:$CS20),IF(INDEX($F$206:$F$229,MATCH($B240,$B$206:$B$229,FALSE))=0,NA(),INDEX(X$14:X$37,MATCH($B240,$B$14:$B$37,FALSE))/INDEX($F$206:$F$229,MATCH($B240,$B$206:$B$229,FALSE))),NA()),NA())</f>
        <v>#N/A</v>
      </c>
      <c r="Z240" s="65" t="e">
        <f>IF(Y48=1,IF(Y$13&lt;=COUNT($C20:$CS20),IF(INDEX($F$206:$F$229,MATCH($B240,$B$206:$B$229,FALSE))=0,NA(),INDEX(Y$14:Y$37,MATCH($B240,$B$14:$B$37,FALSE))/INDEX($F$206:$F$229,MATCH($B240,$B$206:$B$229,FALSE))),NA()),NA())</f>
        <v>#N/A</v>
      </c>
      <c r="AA240" s="65" t="e">
        <f>IF(Z48=1,IF(Z$13&lt;=COUNT($C20:$CS20),IF(INDEX($F$206:$F$229,MATCH($B240,$B$206:$B$229,FALSE))=0,NA(),INDEX(Z$14:Z$37,MATCH($B240,$B$14:$B$37,FALSE))/INDEX($F$206:$F$229,MATCH($B240,$B$206:$B$229,FALSE))),NA()),NA())</f>
        <v>#N/A</v>
      </c>
      <c r="AB240" s="65" t="e">
        <f>IF(AA48=1,IF(AA$13&lt;=COUNT($C20:$CS20),IF(INDEX($F$206:$F$229,MATCH($B240,$B$206:$B$229,FALSE))=0,NA(),INDEX(AA$14:AA$37,MATCH($B240,$B$14:$B$37,FALSE))/INDEX($F$206:$F$229,MATCH($B240,$B$206:$B$229,FALSE))),NA()),NA())</f>
        <v>#N/A</v>
      </c>
      <c r="AC240" s="65" t="e">
        <f>IF(AB48=1,IF(AB$13&lt;=COUNT($C20:$CS20),IF(INDEX($F$206:$F$229,MATCH($B240,$B$206:$B$229,FALSE))=0,NA(),INDEX(AB$14:AB$37,MATCH($B240,$B$14:$B$37,FALSE))/INDEX($F$206:$F$229,MATCH($B240,$B$206:$B$229,FALSE))),NA()),NA())</f>
        <v>#N/A</v>
      </c>
      <c r="AD240" s="65" t="e">
        <f>IF(AC48=1,IF(AC$13&lt;=COUNT($C20:$CS20),IF(INDEX($F$206:$F$229,MATCH($B240,$B$206:$B$229,FALSE))=0,NA(),INDEX(AC$14:AC$37,MATCH($B240,$B$14:$B$37,FALSE))/INDEX($F$206:$F$229,MATCH($B240,$B$206:$B$229,FALSE))),NA()),NA())</f>
        <v>#N/A</v>
      </c>
      <c r="AE240" s="65" t="e">
        <f>IF(AD48=1,IF(AD$13&lt;=COUNT($C20:$CS20),IF(INDEX($F$206:$F$229,MATCH($B240,$B$206:$B$229,FALSE))=0,NA(),INDEX(AD$14:AD$37,MATCH($B240,$B$14:$B$37,FALSE))/INDEX($F$206:$F$229,MATCH($B240,$B$206:$B$229,FALSE))),NA()),NA())</f>
        <v>#N/A</v>
      </c>
      <c r="AF240" s="65" t="e">
        <f>IF(AE48=1,IF(AE$13&lt;=COUNT($C20:$CS20),IF(INDEX($F$206:$F$229,MATCH($B240,$B$206:$B$229,FALSE))=0,NA(),INDEX(AE$14:AE$37,MATCH($B240,$B$14:$B$37,FALSE))/INDEX($F$206:$F$229,MATCH($B240,$B$206:$B$229,FALSE))),NA()),NA())</f>
        <v>#N/A</v>
      </c>
      <c r="AG240" s="65" t="e">
        <f>IF(AF48=1,IF(AF$13&lt;=COUNT($C20:$CS20),IF(INDEX($F$206:$F$229,MATCH($B240,$B$206:$B$229,FALSE))=0,NA(),INDEX(AF$14:AF$37,MATCH($B240,$B$14:$B$37,FALSE))/INDEX($F$206:$F$229,MATCH($B240,$B$206:$B$229,FALSE))),NA()),NA())</f>
        <v>#N/A</v>
      </c>
      <c r="AH240" s="65" t="e">
        <f>IF(AG48=1,IF(AG$13&lt;=COUNT($C20:$CS20),IF(INDEX($F$206:$F$229,MATCH($B240,$B$206:$B$229,FALSE))=0,NA(),INDEX(AG$14:AG$37,MATCH($B240,$B$14:$B$37,FALSE))/INDEX($F$206:$F$229,MATCH($B240,$B$206:$B$229,FALSE))),NA()),NA())</f>
        <v>#N/A</v>
      </c>
      <c r="AI240" s="65" t="e">
        <f>IF(AH48=1,IF(AH$13&lt;=COUNT($C20:$CS20),IF(INDEX($F$206:$F$229,MATCH($B240,$B$206:$B$229,FALSE))=0,NA(),INDEX(AH$14:AH$37,MATCH($B240,$B$14:$B$37,FALSE))/INDEX($F$206:$F$229,MATCH($B240,$B$206:$B$229,FALSE))),NA()),NA())</f>
        <v>#N/A</v>
      </c>
      <c r="AJ240" s="65" t="e">
        <f>IF(AI48=1,IF(AI$13&lt;=COUNT($C20:$CS20),IF(INDEX($F$206:$F$229,MATCH($B240,$B$206:$B$229,FALSE))=0,NA(),INDEX(AI$14:AI$37,MATCH($B240,$B$14:$B$37,FALSE))/INDEX($F$206:$F$229,MATCH($B240,$B$206:$B$229,FALSE))),NA()),NA())</f>
        <v>#N/A</v>
      </c>
      <c r="AK240" s="65" t="e">
        <f>IF(AJ48=1,IF(AJ$13&lt;=COUNT($C20:$CS20),IF(INDEX($F$206:$F$229,MATCH($B240,$B$206:$B$229,FALSE))=0,NA(),INDEX(AJ$14:AJ$37,MATCH($B240,$B$14:$B$37,FALSE))/INDEX($F$206:$F$229,MATCH($B240,$B$206:$B$229,FALSE))),NA()),NA())</f>
        <v>#N/A</v>
      </c>
      <c r="AL240" s="65" t="e">
        <f>IF(AK48=1,IF(AK$13&lt;=COUNT($C20:$CS20),IF(INDEX($F$206:$F$229,MATCH($B240,$B$206:$B$229,FALSE))=0,NA(),INDEX(AK$14:AK$37,MATCH($B240,$B$14:$B$37,FALSE))/INDEX($F$206:$F$229,MATCH($B240,$B$206:$B$229,FALSE))),NA()),NA())</f>
        <v>#N/A</v>
      </c>
      <c r="AM240" s="65" t="e">
        <f>IF(AL48=1,IF(AL$13&lt;=COUNT($C20:$CS20),IF(INDEX($F$206:$F$229,MATCH($B240,$B$206:$B$229,FALSE))=0,NA(),INDEX(AL$14:AL$37,MATCH($B240,$B$14:$B$37,FALSE))/INDEX($F$206:$F$229,MATCH($B240,$B$206:$B$229,FALSE))),NA()),NA())</f>
        <v>#N/A</v>
      </c>
      <c r="AN240" s="65" t="e">
        <f>IF(AM48=1,IF(AM$13&lt;=COUNT($C20:$CS20),IF(INDEX($F$206:$F$229,MATCH($B240,$B$206:$B$229,FALSE))=0,NA(),INDEX(AM$14:AM$37,MATCH($B240,$B$14:$B$37,FALSE))/INDEX($F$206:$F$229,MATCH($B240,$B$206:$B$229,FALSE))),NA()),NA())</f>
        <v>#N/A</v>
      </c>
      <c r="AO240" s="65" t="e">
        <f>IF(AN48=1,IF(AN$13&lt;=COUNT($C20:$CS20),IF(INDEX($F$206:$F$229,MATCH($B240,$B$206:$B$229,FALSE))=0,NA(),INDEX(AN$14:AN$37,MATCH($B240,$B$14:$B$37,FALSE))/INDEX($F$206:$F$229,MATCH($B240,$B$206:$B$229,FALSE))),NA()),NA())</f>
        <v>#N/A</v>
      </c>
      <c r="AP240" s="65" t="e">
        <f>IF(AO48=1,IF(AO$13&lt;=COUNT($C20:$CS20),IF(INDEX($F$206:$F$229,MATCH($B240,$B$206:$B$229,FALSE))=0,NA(),INDEX(AO$14:AO$37,MATCH($B240,$B$14:$B$37,FALSE))/INDEX($F$206:$F$229,MATCH($B240,$B$206:$B$229,FALSE))),NA()),NA())</f>
        <v>#N/A</v>
      </c>
      <c r="AQ240" s="65" t="e">
        <f>IF(AP48=1,IF(AP$13&lt;=COUNT($C20:$CS20),IF(INDEX($F$206:$F$229,MATCH($B240,$B$206:$B$229,FALSE))=0,NA(),INDEX(AP$14:AP$37,MATCH($B240,$B$14:$B$37,FALSE))/INDEX($F$206:$F$229,MATCH($B240,$B$206:$B$229,FALSE))),NA()),NA())</f>
        <v>#N/A</v>
      </c>
      <c r="AR240" s="65" t="e">
        <f>IF(AQ48=1,IF(AQ$13&lt;=COUNT($C20:$CS20),IF(INDEX($F$206:$F$229,MATCH($B240,$B$206:$B$229,FALSE))=0,NA(),INDEX(AQ$14:AQ$37,MATCH($B240,$B$14:$B$37,FALSE))/INDEX($F$206:$F$229,MATCH($B240,$B$206:$B$229,FALSE))),NA()),NA())</f>
        <v>#N/A</v>
      </c>
      <c r="AS240" s="65" t="e">
        <f>IF(AR48=1,IF(AR$13&lt;=COUNT($C20:$CS20),IF(INDEX($F$206:$F$229,MATCH($B240,$B$206:$B$229,FALSE))=0,NA(),INDEX(AR$14:AR$37,MATCH($B240,$B$14:$B$37,FALSE))/INDEX($F$206:$F$229,MATCH($B240,$B$206:$B$229,FALSE))),NA()),NA())</f>
        <v>#N/A</v>
      </c>
      <c r="AT240" s="65" t="e">
        <f>IF(AS48=1,IF(AS$13&lt;=COUNT($C20:$CS20),IF(INDEX($F$206:$F$229,MATCH($B240,$B$206:$B$229,FALSE))=0,NA(),INDEX(AS$14:AS$37,MATCH($B240,$B$14:$B$37,FALSE))/INDEX($F$206:$F$229,MATCH($B240,$B$206:$B$229,FALSE))),NA()),NA())</f>
        <v>#N/A</v>
      </c>
      <c r="AU240" s="65" t="e">
        <f>IF(AT48=1,IF(AT$13&lt;=COUNT($C20:$CS20),IF(INDEX($F$206:$F$229,MATCH($B240,$B$206:$B$229,FALSE))=0,NA(),INDEX(AT$14:AT$37,MATCH($B240,$B$14:$B$37,FALSE))/INDEX($F$206:$F$229,MATCH($B240,$B$206:$B$229,FALSE))),NA()),NA())</f>
        <v>#N/A</v>
      </c>
      <c r="AV240" s="65" t="e">
        <f>IF(AU48=1,IF(AU$13&lt;=COUNT($C20:$CS20),IF(INDEX($F$206:$F$229,MATCH($B240,$B$206:$B$229,FALSE))=0,NA(),INDEX(AU$14:AU$37,MATCH($B240,$B$14:$B$37,FALSE))/INDEX($F$206:$F$229,MATCH($B240,$B$206:$B$229,FALSE))),NA()),NA())</f>
        <v>#N/A</v>
      </c>
      <c r="AW240" s="65" t="e">
        <f>IF(AV48=1,IF(AV$13&lt;=COUNT($C20:$CS20),IF(INDEX($F$206:$F$229,MATCH($B240,$B$206:$B$229,FALSE))=0,NA(),INDEX(AV$14:AV$37,MATCH($B240,$B$14:$B$37,FALSE))/INDEX($F$206:$F$229,MATCH($B240,$B$206:$B$229,FALSE))),NA()),NA())</f>
        <v>#N/A</v>
      </c>
      <c r="AX240" s="65" t="e">
        <f>IF(AW48=1,IF(AW$13&lt;=COUNT($C20:$CS20),IF(INDEX($F$206:$F$229,MATCH($B240,$B$206:$B$229,FALSE))=0,NA(),INDEX(AW$14:AW$37,MATCH($B240,$B$14:$B$37,FALSE))/INDEX($F$206:$F$229,MATCH($B240,$B$206:$B$229,FALSE))),NA()),NA())</f>
        <v>#N/A</v>
      </c>
      <c r="AY240" s="65" t="e">
        <f>IF(AX48=1,IF(AX$13&lt;=COUNT($C20:$CS20),IF(INDEX($F$206:$F$229,MATCH($B240,$B$206:$B$229,FALSE))=0,NA(),INDEX(AX$14:AX$37,MATCH($B240,$B$14:$B$37,FALSE))/INDEX($F$206:$F$229,MATCH($B240,$B$206:$B$229,FALSE))),NA()),NA())</f>
        <v>#N/A</v>
      </c>
      <c r="AZ240" s="65" t="e">
        <f>IF(AY48=1,IF(AY$13&lt;=COUNT($C20:$CS20),IF(INDEX($F$206:$F$229,MATCH($B240,$B$206:$B$229,FALSE))=0,NA(),INDEX(AY$14:AY$37,MATCH($B240,$B$14:$B$37,FALSE))/INDEX($F$206:$F$229,MATCH($B240,$B$206:$B$229,FALSE))),NA()),NA())</f>
        <v>#N/A</v>
      </c>
      <c r="BA240" s="65" t="e">
        <f>IF(AZ48=1,IF(AZ$13&lt;=COUNT($C20:$CS20),IF(INDEX($F$206:$F$229,MATCH($B240,$B$206:$B$229,FALSE))=0,NA(),INDEX(AZ$14:AZ$37,MATCH($B240,$B$14:$B$37,FALSE))/INDEX($F$206:$F$229,MATCH($B240,$B$206:$B$229,FALSE))),NA()),NA())</f>
        <v>#N/A</v>
      </c>
      <c r="BB240" s="65" t="e">
        <f>IF(BA48=1,IF(BA$13&lt;=COUNT($C20:$CS20),IF(INDEX($F$206:$F$229,MATCH($B240,$B$206:$B$229,FALSE))=0,NA(),INDEX(BA$14:BA$37,MATCH($B240,$B$14:$B$37,FALSE))/INDEX($F$206:$F$229,MATCH($B240,$B$206:$B$229,FALSE))),NA()),NA())</f>
        <v>#N/A</v>
      </c>
      <c r="BC240" s="65" t="e">
        <f>IF(BB48=1,IF(BB$13&lt;=COUNT($C20:$CS20),IF(INDEX($F$206:$F$229,MATCH($B240,$B$206:$B$229,FALSE))=0,NA(),INDEX(BB$14:BB$37,MATCH($B240,$B$14:$B$37,FALSE))/INDEX($F$206:$F$229,MATCH($B240,$B$206:$B$229,FALSE))),NA()),NA())</f>
        <v>#N/A</v>
      </c>
      <c r="BD240" s="65" t="e">
        <f>IF(BC48=1,IF(BC$13&lt;=COUNT($C20:$CS20),IF(INDEX($F$206:$F$229,MATCH($B240,$B$206:$B$229,FALSE))=0,NA(),INDEX(BC$14:BC$37,MATCH($B240,$B$14:$B$37,FALSE))/INDEX($F$206:$F$229,MATCH($B240,$B$206:$B$229,FALSE))),NA()),NA())</f>
        <v>#N/A</v>
      </c>
      <c r="BE240" s="65" t="e">
        <f>IF(BD48=1,IF(BD$13&lt;=COUNT($C20:$CS20),IF(INDEX($F$206:$F$229,MATCH($B240,$B$206:$B$229,FALSE))=0,NA(),INDEX(BD$14:BD$37,MATCH($B240,$B$14:$B$37,FALSE))/INDEX($F$206:$F$229,MATCH($B240,$B$206:$B$229,FALSE))),NA()),NA())</f>
        <v>#N/A</v>
      </c>
      <c r="BF240" s="65" t="e">
        <f>IF(BE48=1,IF(BE$13&lt;=COUNT($C20:$CS20),IF(INDEX($F$206:$F$229,MATCH($B240,$B$206:$B$229,FALSE))=0,NA(),INDEX(BE$14:BE$37,MATCH($B240,$B$14:$B$37,FALSE))/INDEX($F$206:$F$229,MATCH($B240,$B$206:$B$229,FALSE))),NA()),NA())</f>
        <v>#N/A</v>
      </c>
      <c r="BG240" s="65" t="e">
        <f>IF(BF48=1,IF(BF$13&lt;=COUNT($C20:$CS20),IF(INDEX($F$206:$F$229,MATCH($B240,$B$206:$B$229,FALSE))=0,NA(),INDEX(BF$14:BF$37,MATCH($B240,$B$14:$B$37,FALSE))/INDEX($F$206:$F$229,MATCH($B240,$B$206:$B$229,FALSE))),NA()),NA())</f>
        <v>#N/A</v>
      </c>
      <c r="BH240" s="65" t="e">
        <f>IF(BG48=1,IF(BG$13&lt;=COUNT($C20:$CS20),IF(INDEX($F$206:$F$229,MATCH($B240,$B$206:$B$229,FALSE))=0,NA(),INDEX(BG$14:BG$37,MATCH($B240,$B$14:$B$37,FALSE))/INDEX($F$206:$F$229,MATCH($B240,$B$206:$B$229,FALSE))),NA()),NA())</f>
        <v>#N/A</v>
      </c>
      <c r="BI240" s="65" t="e">
        <f>IF(BH48=1,IF(BH$13&lt;=COUNT($C20:$CS20),IF(INDEX($F$206:$F$229,MATCH($B240,$B$206:$B$229,FALSE))=0,NA(),INDEX(BH$14:BH$37,MATCH($B240,$B$14:$B$37,FALSE))/INDEX($F$206:$F$229,MATCH($B240,$B$206:$B$229,FALSE))),NA()),NA())</f>
        <v>#N/A</v>
      </c>
      <c r="BJ240" s="65" t="e">
        <f>IF(BI48=1,IF(BI$13&lt;=COUNT($C20:$CS20),IF(INDEX($F$206:$F$229,MATCH($B240,$B$206:$B$229,FALSE))=0,NA(),INDEX(BI$14:BI$37,MATCH($B240,$B$14:$B$37,FALSE))/INDEX($F$206:$F$229,MATCH($B240,$B$206:$B$229,FALSE))),NA()),NA())</f>
        <v>#N/A</v>
      </c>
      <c r="BK240" s="65" t="e">
        <f>IF(BJ48=1,IF(BJ$13&lt;=COUNT($C20:$CS20),IF(INDEX($F$206:$F$229,MATCH($B240,$B$206:$B$229,FALSE))=0,NA(),INDEX(BJ$14:BJ$37,MATCH($B240,$B$14:$B$37,FALSE))/INDEX($F$206:$F$229,MATCH($B240,$B$206:$B$229,FALSE))),NA()),NA())</f>
        <v>#N/A</v>
      </c>
      <c r="BL240" s="65" t="e">
        <f>IF(BK48=1,IF(BK$13&lt;=COUNT($C20:$CS20),IF(INDEX($F$206:$F$229,MATCH($B240,$B$206:$B$229,FALSE))=0,NA(),INDEX(BK$14:BK$37,MATCH($B240,$B$14:$B$37,FALSE))/INDEX($F$206:$F$229,MATCH($B240,$B$206:$B$229,FALSE))),NA()),NA())</f>
        <v>#N/A</v>
      </c>
      <c r="BM240" s="65" t="e">
        <f>IF(BL48=1,IF(BL$13&lt;=COUNT($C20:$CS20),IF(INDEX($F$206:$F$229,MATCH($B240,$B$206:$B$229,FALSE))=0,NA(),INDEX(BL$14:BL$37,MATCH($B240,$B$14:$B$37,FALSE))/INDEX($F$206:$F$229,MATCH($B240,$B$206:$B$229,FALSE))),NA()),NA())</f>
        <v>#N/A</v>
      </c>
      <c r="BN240" s="65" t="e">
        <f>IF(BM48=1,IF(BM$13&lt;=COUNT($C20:$CS20),IF(INDEX($F$206:$F$229,MATCH($B240,$B$206:$B$229,FALSE))=0,NA(),INDEX(BM$14:BM$37,MATCH($B240,$B$14:$B$37,FALSE))/INDEX($F$206:$F$229,MATCH($B240,$B$206:$B$229,FALSE))),NA()),NA())</f>
        <v>#N/A</v>
      </c>
      <c r="BO240" s="65" t="e">
        <f>IF(BN48=1,IF(BN$13&lt;=COUNT($C20:$CS20),IF(INDEX($F$206:$F$229,MATCH($B240,$B$206:$B$229,FALSE))=0,NA(),INDEX(BN$14:BN$37,MATCH($B240,$B$14:$B$37,FALSE))/INDEX($F$206:$F$229,MATCH($B240,$B$206:$B$229,FALSE))),NA()),NA())</f>
        <v>#N/A</v>
      </c>
      <c r="BP240" s="65" t="e">
        <f>IF(BO48=1,IF(BO$13&lt;=COUNT($C20:$CS20),IF(INDEX($F$206:$F$229,MATCH($B240,$B$206:$B$229,FALSE))=0,NA(),INDEX(BO$14:BO$37,MATCH($B240,$B$14:$B$37,FALSE))/INDEX($F$206:$F$229,MATCH($B240,$B$206:$B$229,FALSE))),NA()),NA())</f>
        <v>#N/A</v>
      </c>
      <c r="BQ240" s="65" t="e">
        <f>IF(BP48=1,IF(BP$13&lt;=COUNT($C20:$CS20),IF(INDEX($F$206:$F$229,MATCH($B240,$B$206:$B$229,FALSE))=0,NA(),INDEX(BP$14:BP$37,MATCH($B240,$B$14:$B$37,FALSE))/INDEX($F$206:$F$229,MATCH($B240,$B$206:$B$229,FALSE))),NA()),NA())</f>
        <v>#N/A</v>
      </c>
      <c r="BR240" s="65" t="e">
        <f>IF(BQ48=1,IF(BQ$13&lt;=COUNT($C20:$CS20),IF(INDEX($F$206:$F$229,MATCH($B240,$B$206:$B$229,FALSE))=0,NA(),INDEX(BQ$14:BQ$37,MATCH($B240,$B$14:$B$37,FALSE))/INDEX($F$206:$F$229,MATCH($B240,$B$206:$B$229,FALSE))),NA()),NA())</f>
        <v>#N/A</v>
      </c>
      <c r="BS240" s="65" t="e">
        <f>IF(BR48=1,IF(BR$13&lt;=COUNT($C20:$CS20),IF(INDEX($F$206:$F$229,MATCH($B240,$B$206:$B$229,FALSE))=0,NA(),INDEX(BR$14:BR$37,MATCH($B240,$B$14:$B$37,FALSE))/INDEX($F$206:$F$229,MATCH($B240,$B$206:$B$229,FALSE))),NA()),NA())</f>
        <v>#N/A</v>
      </c>
      <c r="BT240" s="65" t="e">
        <f>IF(BS48=1,IF(BS$13&lt;=COUNT($C20:$CS20),IF(INDEX($F$206:$F$229,MATCH($B240,$B$206:$B$229,FALSE))=0,NA(),INDEX(BS$14:BS$37,MATCH($B240,$B$14:$B$37,FALSE))/INDEX($F$206:$F$229,MATCH($B240,$B$206:$B$229,FALSE))),NA()),NA())</f>
        <v>#N/A</v>
      </c>
      <c r="BU240" s="65" t="e">
        <f>IF(BT48=1,IF(BT$13&lt;=COUNT($C20:$CS20),IF(INDEX($F$206:$F$229,MATCH($B240,$B$206:$B$229,FALSE))=0,NA(),INDEX(BT$14:BT$37,MATCH($B240,$B$14:$B$37,FALSE))/INDEX($F$206:$F$229,MATCH($B240,$B$206:$B$229,FALSE))),NA()),NA())</f>
        <v>#N/A</v>
      </c>
      <c r="BV240" s="65" t="e">
        <f>IF(BU48=1,IF(BU$13&lt;=COUNT($C20:$CS20),IF(INDEX($F$206:$F$229,MATCH($B240,$B$206:$B$229,FALSE))=0,NA(),INDEX(BU$14:BU$37,MATCH($B240,$B$14:$B$37,FALSE))/INDEX($F$206:$F$229,MATCH($B240,$B$206:$B$229,FALSE))),NA()),NA())</f>
        <v>#N/A</v>
      </c>
      <c r="BW240" s="65" t="e">
        <f>IF(BV48=1,IF(BV$13&lt;=COUNT($C20:$CS20),IF(INDEX($F$206:$F$229,MATCH($B240,$B$206:$B$229,FALSE))=0,NA(),INDEX(BV$14:BV$37,MATCH($B240,$B$14:$B$37,FALSE))/INDEX($F$206:$F$229,MATCH($B240,$B$206:$B$229,FALSE))),NA()),NA())</f>
        <v>#N/A</v>
      </c>
      <c r="BX240" s="65" t="e">
        <f>IF(BW48=1,IF(BW$13&lt;=COUNT($C20:$CS20),IF(INDEX($F$206:$F$229,MATCH($B240,$B$206:$B$229,FALSE))=0,NA(),INDEX(BW$14:BW$37,MATCH($B240,$B$14:$B$37,FALSE))/INDEX($F$206:$F$229,MATCH($B240,$B$206:$B$229,FALSE))),NA()),NA())</f>
        <v>#N/A</v>
      </c>
      <c r="BY240" s="65" t="e">
        <f>IF(BX48=1,IF(BX$13&lt;=COUNT($C20:$CS20),IF(INDEX($F$206:$F$229,MATCH($B240,$B$206:$B$229,FALSE))=0,NA(),INDEX(BX$14:BX$37,MATCH($B240,$B$14:$B$37,FALSE))/INDEX($F$206:$F$229,MATCH($B240,$B$206:$B$229,FALSE))),NA()),NA())</f>
        <v>#N/A</v>
      </c>
      <c r="BZ240" s="65" t="e">
        <f>IF(BY48=1,IF(BY$13&lt;=COUNT($C20:$CS20),IF(INDEX($F$206:$F$229,MATCH($B240,$B$206:$B$229,FALSE))=0,NA(),INDEX(BY$14:BY$37,MATCH($B240,$B$14:$B$37,FALSE))/INDEX($F$206:$F$229,MATCH($B240,$B$206:$B$229,FALSE))),NA()),NA())</f>
        <v>#N/A</v>
      </c>
      <c r="CA240" s="65" t="e">
        <f>IF(BZ48=1,IF(BZ$13&lt;=COUNT($C20:$CS20),IF(INDEX($F$206:$F$229,MATCH($B240,$B$206:$B$229,FALSE))=0,NA(),INDEX(BZ$14:BZ$37,MATCH($B240,$B$14:$B$37,FALSE))/INDEX($F$206:$F$229,MATCH($B240,$B$206:$B$229,FALSE))),NA()),NA())</f>
        <v>#N/A</v>
      </c>
      <c r="CB240" s="65" t="e">
        <f>IF(CA48=1,IF(CA$13&lt;=COUNT($C20:$CS20),IF(INDEX($F$206:$F$229,MATCH($B240,$B$206:$B$229,FALSE))=0,NA(),INDEX(CA$14:CA$37,MATCH($B240,$B$14:$B$37,FALSE))/INDEX($F$206:$F$229,MATCH($B240,$B$206:$B$229,FALSE))),NA()),NA())</f>
        <v>#N/A</v>
      </c>
      <c r="CC240" s="65" t="e">
        <f>IF(CB48=1,IF(CB$13&lt;=COUNT($C20:$CS20),IF(INDEX($F$206:$F$229,MATCH($B240,$B$206:$B$229,FALSE))=0,NA(),INDEX(CB$14:CB$37,MATCH($B240,$B$14:$B$37,FALSE))/INDEX($F$206:$F$229,MATCH($B240,$B$206:$B$229,FALSE))),NA()),NA())</f>
        <v>#N/A</v>
      </c>
      <c r="CD240" s="65" t="e">
        <f>IF(CC48=1,IF(CC$13&lt;=COUNT($C20:$CS20),IF(INDEX($F$206:$F$229,MATCH($B240,$B$206:$B$229,FALSE))=0,NA(),INDEX(CC$14:CC$37,MATCH($B240,$B$14:$B$37,FALSE))/INDEX($F$206:$F$229,MATCH($B240,$B$206:$B$229,FALSE))),NA()),NA())</f>
        <v>#N/A</v>
      </c>
      <c r="CE240" s="65" t="e">
        <f>IF(CD48=1,IF(CD$13&lt;=COUNT($C20:$CS20),IF(INDEX($F$206:$F$229,MATCH($B240,$B$206:$B$229,FALSE))=0,NA(),INDEX(CD$14:CD$37,MATCH($B240,$B$14:$B$37,FALSE))/INDEX($F$206:$F$229,MATCH($B240,$B$206:$B$229,FALSE))),NA()),NA())</f>
        <v>#N/A</v>
      </c>
      <c r="CF240" s="65" t="e">
        <f>IF(CE48=1,IF(CE$13&lt;=COUNT($C20:$CS20),IF(INDEX($F$206:$F$229,MATCH($B240,$B$206:$B$229,FALSE))=0,NA(),INDEX(CE$14:CE$37,MATCH($B240,$B$14:$B$37,FALSE))/INDEX($F$206:$F$229,MATCH($B240,$B$206:$B$229,FALSE))),NA()),NA())</f>
        <v>#N/A</v>
      </c>
      <c r="CG240" s="65" t="e">
        <f>IF(CF48=1,IF(CF$13&lt;=COUNT($C20:$CS20),IF(INDEX($F$206:$F$229,MATCH($B240,$B$206:$B$229,FALSE))=0,NA(),INDEX(CF$14:CF$37,MATCH($B240,$B$14:$B$37,FALSE))/INDEX($F$206:$F$229,MATCH($B240,$B$206:$B$229,FALSE))),NA()),NA())</f>
        <v>#N/A</v>
      </c>
      <c r="CH240" s="65" t="e">
        <f>IF(CG48=1,IF(CG$13&lt;=COUNT($C20:$CS20),IF(INDEX($F$206:$F$229,MATCH($B240,$B$206:$B$229,FALSE))=0,NA(),INDEX(CG$14:CG$37,MATCH($B240,$B$14:$B$37,FALSE))/INDEX($F$206:$F$229,MATCH($B240,$B$206:$B$229,FALSE))),NA()),NA())</f>
        <v>#N/A</v>
      </c>
      <c r="CI240" s="65" t="e">
        <f>IF(CH48=1,IF(CH$13&lt;=COUNT($C20:$CS20),IF(INDEX($F$206:$F$229,MATCH($B240,$B$206:$B$229,FALSE))=0,NA(),INDEX(CH$14:CH$37,MATCH($B240,$B$14:$B$37,FALSE))/INDEX($F$206:$F$229,MATCH($B240,$B$206:$B$229,FALSE))),NA()),NA())</f>
        <v>#N/A</v>
      </c>
      <c r="CJ240" s="65" t="e">
        <f>IF(CI48=1,IF(CI$13&lt;=COUNT($C20:$CS20),IF(INDEX($F$206:$F$229,MATCH($B240,$B$206:$B$229,FALSE))=0,NA(),INDEX(CI$14:CI$37,MATCH($B240,$B$14:$B$37,FALSE))/INDEX($F$206:$F$229,MATCH($B240,$B$206:$B$229,FALSE))),NA()),NA())</f>
        <v>#N/A</v>
      </c>
      <c r="CK240" s="65" t="e">
        <f>IF(CJ48=1,IF(CJ$13&lt;=COUNT($C20:$CS20),IF(INDEX($F$206:$F$229,MATCH($B240,$B$206:$B$229,FALSE))=0,NA(),INDEX(CJ$14:CJ$37,MATCH($B240,$B$14:$B$37,FALSE))/INDEX($F$206:$F$229,MATCH($B240,$B$206:$B$229,FALSE))),NA()),NA())</f>
        <v>#N/A</v>
      </c>
      <c r="CL240" s="65" t="e">
        <f>IF(CK48=1,IF(CK$13&lt;=COUNT($C20:$CS20),IF(INDEX($F$206:$F$229,MATCH($B240,$B$206:$B$229,FALSE))=0,NA(),INDEX(CK$14:CK$37,MATCH($B240,$B$14:$B$37,FALSE))/INDEX($F$206:$F$229,MATCH($B240,$B$206:$B$229,FALSE))),NA()),NA())</f>
        <v>#N/A</v>
      </c>
      <c r="CM240" s="65" t="e">
        <f>IF(CL48=1,IF(CL$13&lt;=COUNT($C20:$CS20),IF(INDEX($F$206:$F$229,MATCH($B240,$B$206:$B$229,FALSE))=0,NA(),INDEX(CL$14:CL$37,MATCH($B240,$B$14:$B$37,FALSE))/INDEX($F$206:$F$229,MATCH($B240,$B$206:$B$229,FALSE))),NA()),NA())</f>
        <v>#N/A</v>
      </c>
      <c r="CN240" s="65" t="e">
        <f>IF(CM48=1,IF(CM$13&lt;=COUNT($C20:$CS20),IF(INDEX($F$206:$F$229,MATCH($B240,$B$206:$B$229,FALSE))=0,NA(),INDEX(CM$14:CM$37,MATCH($B240,$B$14:$B$37,FALSE))/INDEX($F$206:$F$229,MATCH($B240,$B$206:$B$229,FALSE))),NA()),NA())</f>
        <v>#N/A</v>
      </c>
      <c r="CO240" s="65" t="e">
        <f>IF(CN48=1,IF(CN$13&lt;=COUNT($C20:$CS20),IF(INDEX($F$206:$F$229,MATCH($B240,$B$206:$B$229,FALSE))=0,NA(),INDEX(CN$14:CN$37,MATCH($B240,$B$14:$B$37,FALSE))/INDEX($F$206:$F$229,MATCH($B240,$B$206:$B$229,FALSE))),NA()),NA())</f>
        <v>#N/A</v>
      </c>
      <c r="CP240" s="65" t="e">
        <f>IF(CO48=1,IF(CO$13&lt;=COUNT($C20:$CS20),IF(INDEX($F$206:$F$229,MATCH($B240,$B$206:$B$229,FALSE))=0,NA(),INDEX(CO$14:CO$37,MATCH($B240,$B$14:$B$37,FALSE))/INDEX($F$206:$F$229,MATCH($B240,$B$206:$B$229,FALSE))),NA()),NA())</f>
        <v>#N/A</v>
      </c>
      <c r="CQ240" s="65" t="e">
        <f>IF(CP48=1,IF(CP$13&lt;=COUNT($C20:$CS20),IF(INDEX($F$206:$F$229,MATCH($B240,$B$206:$B$229,FALSE))=0,NA(),INDEX(CP$14:CP$37,MATCH($B240,$B$14:$B$37,FALSE))/INDEX($F$206:$F$229,MATCH($B240,$B$206:$B$229,FALSE))),NA()),NA())</f>
        <v>#N/A</v>
      </c>
      <c r="CR240" s="65" t="e">
        <f>IF(CQ48=1,IF(CQ$13&lt;=COUNT($C20:$CS20),IF(INDEX($F$206:$F$229,MATCH($B240,$B$206:$B$229,FALSE))=0,NA(),INDEX(CQ$14:CQ$37,MATCH($B240,$B$14:$B$37,FALSE))/INDEX($F$206:$F$229,MATCH($B240,$B$206:$B$229,FALSE))),NA()),NA())</f>
        <v>#N/A</v>
      </c>
      <c r="CS240" s="65" t="e">
        <f>IF(CR48=1,IF(CR$13&lt;=COUNT($C20:$CS20),IF(INDEX($F$206:$F$229,MATCH($B240,$B$206:$B$229,FALSE))=0,NA(),INDEX(CR$14:CR$37,MATCH($B240,$B$14:$B$37,FALSE))/INDEX($F$206:$F$229,MATCH($B240,$B$206:$B$229,FALSE))),NA()),NA())</f>
        <v>#N/A</v>
      </c>
      <c r="CT240" s="49"/>
      <c r="CU240" s="49"/>
      <c r="CV240" s="49"/>
      <c r="CW240" s="49"/>
    </row>
    <row r="241" spans="1:101" x14ac:dyDescent="0.25">
      <c r="A241" s="97">
        <f t="shared" si="105"/>
        <v>0</v>
      </c>
      <c r="B241" s="29">
        <f t="shared" si="104"/>
        <v>2003</v>
      </c>
      <c r="C241" s="154" t="str">
        <f t="shared" si="106"/>
        <v/>
      </c>
      <c r="D241" s="54" t="e">
        <f>IF(C49=1,IF(C$13&lt;=COUNT($C21:$CS21),IF(INDEX($F$206:$F$229,MATCH($B241,$B$206:$B$229,FALSE))=0,NA(),INDEX(C$14:C$37,MATCH($B241,$B$14:$B$37,FALSE))/INDEX($F$206:$F$229,MATCH($B241,$B$206:$B$229,FALSE))),NA()),NA())</f>
        <v>#N/A</v>
      </c>
      <c r="E241" s="65" t="e">
        <f>IF(D49=1,IF(D$13&lt;=COUNT($C21:$CS21),IF(INDEX($F$206:$F$229,MATCH($B241,$B$206:$B$229,FALSE))=0,NA(),INDEX(D$14:D$37,MATCH($B241,$B$14:$B$37,FALSE))/INDEX($F$206:$F$229,MATCH($B241,$B$206:$B$229,FALSE))),NA()),NA())</f>
        <v>#N/A</v>
      </c>
      <c r="F241" s="65" t="e">
        <f>IF(E49=1,IF(E$13&lt;=COUNT($C21:$CS21),IF(INDEX($F$206:$F$229,MATCH($B241,$B$206:$B$229,FALSE))=0,NA(),INDEX(E$14:E$37,MATCH($B241,$B$14:$B$37,FALSE))/INDEX($F$206:$F$229,MATCH($B241,$B$206:$B$229,FALSE))),NA()),NA())</f>
        <v>#N/A</v>
      </c>
      <c r="G241" s="65" t="e">
        <f>IF(F49=1,IF(F$13&lt;=COUNT($C21:$CS21),IF(INDEX($F$206:$F$229,MATCH($B241,$B$206:$B$229,FALSE))=0,NA(),INDEX(F$14:F$37,MATCH($B241,$B$14:$B$37,FALSE))/INDEX($F$206:$F$229,MATCH($B241,$B$206:$B$229,FALSE))),NA()),NA())</f>
        <v>#N/A</v>
      </c>
      <c r="H241" s="65" t="e">
        <f>IF(G49=1,IF(G$13&lt;=COUNT($C21:$CS21),IF(INDEX($F$206:$F$229,MATCH($B241,$B$206:$B$229,FALSE))=0,NA(),INDEX(G$14:G$37,MATCH($B241,$B$14:$B$37,FALSE))/INDEX($F$206:$F$229,MATCH($B241,$B$206:$B$229,FALSE))),NA()),NA())</f>
        <v>#N/A</v>
      </c>
      <c r="I241" s="65" t="e">
        <f>IF(H49=1,IF(H$13&lt;=COUNT($C21:$CS21),IF(INDEX($F$206:$F$229,MATCH($B241,$B$206:$B$229,FALSE))=0,NA(),INDEX(H$14:H$37,MATCH($B241,$B$14:$B$37,FALSE))/INDEX($F$206:$F$229,MATCH($B241,$B$206:$B$229,FALSE))),NA()),NA())</f>
        <v>#N/A</v>
      </c>
      <c r="J241" s="65" t="e">
        <f>IF(I49=1,IF(I$13&lt;=COUNT($C21:$CS21),IF(INDEX($F$206:$F$229,MATCH($B241,$B$206:$B$229,FALSE))=0,NA(),INDEX(I$14:I$37,MATCH($B241,$B$14:$B$37,FALSE))/INDEX($F$206:$F$229,MATCH($B241,$B$206:$B$229,FALSE))),NA()),NA())</f>
        <v>#N/A</v>
      </c>
      <c r="K241" s="65" t="e">
        <f>IF(J49=1,IF(J$13&lt;=COUNT($C21:$CS21),IF(INDEX($F$206:$F$229,MATCH($B241,$B$206:$B$229,FALSE))=0,NA(),INDEX(J$14:J$37,MATCH($B241,$B$14:$B$37,FALSE))/INDEX($F$206:$F$229,MATCH($B241,$B$206:$B$229,FALSE))),NA()),NA())</f>
        <v>#N/A</v>
      </c>
      <c r="L241" s="65" t="e">
        <f>IF(K49=1,IF(K$13&lt;=COUNT($C21:$CS21),IF(INDEX($F$206:$F$229,MATCH($B241,$B$206:$B$229,FALSE))=0,NA(),INDEX(K$14:K$37,MATCH($B241,$B$14:$B$37,FALSE))/INDEX($F$206:$F$229,MATCH($B241,$B$206:$B$229,FALSE))),NA()),NA())</f>
        <v>#N/A</v>
      </c>
      <c r="M241" s="65" t="e">
        <f>IF(L49=1,IF(L$13&lt;=COUNT($C21:$CS21),IF(INDEX($F$206:$F$229,MATCH($B241,$B$206:$B$229,FALSE))=0,NA(),INDEX(L$14:L$37,MATCH($B241,$B$14:$B$37,FALSE))/INDEX($F$206:$F$229,MATCH($B241,$B$206:$B$229,FALSE))),NA()),NA())</f>
        <v>#N/A</v>
      </c>
      <c r="N241" s="65" t="e">
        <f>IF(M49=1,IF(M$13&lt;=COUNT($C21:$CS21),IF(INDEX($F$206:$F$229,MATCH($B241,$B$206:$B$229,FALSE))=0,NA(),INDEX(M$14:M$37,MATCH($B241,$B$14:$B$37,FALSE))/INDEX($F$206:$F$229,MATCH($B241,$B$206:$B$229,FALSE))),NA()),NA())</f>
        <v>#N/A</v>
      </c>
      <c r="O241" s="65" t="e">
        <f>IF(N49=1,IF(N$13&lt;=COUNT($C21:$CS21),IF(INDEX($F$206:$F$229,MATCH($B241,$B$206:$B$229,FALSE))=0,NA(),INDEX(N$14:N$37,MATCH($B241,$B$14:$B$37,FALSE))/INDEX($F$206:$F$229,MATCH($B241,$B$206:$B$229,FALSE))),NA()),NA())</f>
        <v>#N/A</v>
      </c>
      <c r="P241" s="65" t="e">
        <f>IF(O49=1,IF(O$13&lt;=COUNT($C21:$CS21),IF(INDEX($F$206:$F$229,MATCH($B241,$B$206:$B$229,FALSE))=0,NA(),INDEX(O$14:O$37,MATCH($B241,$B$14:$B$37,FALSE))/INDEX($F$206:$F$229,MATCH($B241,$B$206:$B$229,FALSE))),NA()),NA())</f>
        <v>#N/A</v>
      </c>
      <c r="Q241" s="65" t="e">
        <f>IF(P49=1,IF(P$13&lt;=COUNT($C21:$CS21),IF(INDEX($F$206:$F$229,MATCH($B241,$B$206:$B$229,FALSE))=0,NA(),INDEX(P$14:P$37,MATCH($B241,$B$14:$B$37,FALSE))/INDEX($F$206:$F$229,MATCH($B241,$B$206:$B$229,FALSE))),NA()),NA())</f>
        <v>#N/A</v>
      </c>
      <c r="R241" s="65" t="e">
        <f>IF(Q49=1,IF(Q$13&lt;=COUNT($C21:$CS21),IF(INDEX($F$206:$F$229,MATCH($B241,$B$206:$B$229,FALSE))=0,NA(),INDEX(Q$14:Q$37,MATCH($B241,$B$14:$B$37,FALSE))/INDEX($F$206:$F$229,MATCH($B241,$B$206:$B$229,FALSE))),NA()),NA())</f>
        <v>#N/A</v>
      </c>
      <c r="S241" s="65" t="e">
        <f>IF(R49=1,IF(R$13&lt;=COUNT($C21:$CS21),IF(INDEX($F$206:$F$229,MATCH($B241,$B$206:$B$229,FALSE))=0,NA(),INDEX(R$14:R$37,MATCH($B241,$B$14:$B$37,FALSE))/INDEX($F$206:$F$229,MATCH($B241,$B$206:$B$229,FALSE))),NA()),NA())</f>
        <v>#N/A</v>
      </c>
      <c r="T241" s="65" t="e">
        <f>IF(S49=1,IF(S$13&lt;=COUNT($C21:$CS21),IF(INDEX($F$206:$F$229,MATCH($B241,$B$206:$B$229,FALSE))=0,NA(),INDEX(S$14:S$37,MATCH($B241,$B$14:$B$37,FALSE))/INDEX($F$206:$F$229,MATCH($B241,$B$206:$B$229,FALSE))),NA()),NA())</f>
        <v>#N/A</v>
      </c>
      <c r="U241" s="65" t="e">
        <f>IF(T49=1,IF(T$13&lt;=COUNT($C21:$CS21),IF(INDEX($F$206:$F$229,MATCH($B241,$B$206:$B$229,FALSE))=0,NA(),INDEX(T$14:T$37,MATCH($B241,$B$14:$B$37,FALSE))/INDEX($F$206:$F$229,MATCH($B241,$B$206:$B$229,FALSE))),NA()),NA())</f>
        <v>#N/A</v>
      </c>
      <c r="V241" s="65" t="e">
        <f>IF(U49=1,IF(U$13&lt;=COUNT($C21:$CS21),IF(INDEX($F$206:$F$229,MATCH($B241,$B$206:$B$229,FALSE))=0,NA(),INDEX(U$14:U$37,MATCH($B241,$B$14:$B$37,FALSE))/INDEX($F$206:$F$229,MATCH($B241,$B$206:$B$229,FALSE))),NA()),NA())</f>
        <v>#N/A</v>
      </c>
      <c r="W241" s="65" t="e">
        <f>IF(V49=1,IF(V$13&lt;=COUNT($C21:$CS21),IF(INDEX($F$206:$F$229,MATCH($B241,$B$206:$B$229,FALSE))=0,NA(),INDEX(V$14:V$37,MATCH($B241,$B$14:$B$37,FALSE))/INDEX($F$206:$F$229,MATCH($B241,$B$206:$B$229,FALSE))),NA()),NA())</f>
        <v>#N/A</v>
      </c>
      <c r="X241" s="65" t="e">
        <f>IF(W49=1,IF(W$13&lt;=COUNT($C21:$CS21),IF(INDEX($F$206:$F$229,MATCH($B241,$B$206:$B$229,FALSE))=0,NA(),INDEX(W$14:W$37,MATCH($B241,$B$14:$B$37,FALSE))/INDEX($F$206:$F$229,MATCH($B241,$B$206:$B$229,FALSE))),NA()),NA())</f>
        <v>#N/A</v>
      </c>
      <c r="Y241" s="65" t="e">
        <f>IF(X49=1,IF(X$13&lt;=COUNT($C21:$CS21),IF(INDEX($F$206:$F$229,MATCH($B241,$B$206:$B$229,FALSE))=0,NA(),INDEX(X$14:X$37,MATCH($B241,$B$14:$B$37,FALSE))/INDEX($F$206:$F$229,MATCH($B241,$B$206:$B$229,FALSE))),NA()),NA())</f>
        <v>#N/A</v>
      </c>
      <c r="Z241" s="65" t="e">
        <f>IF(Y49=1,IF(Y$13&lt;=COUNT($C21:$CS21),IF(INDEX($F$206:$F$229,MATCH($B241,$B$206:$B$229,FALSE))=0,NA(),INDEX(Y$14:Y$37,MATCH($B241,$B$14:$B$37,FALSE))/INDEX($F$206:$F$229,MATCH($B241,$B$206:$B$229,FALSE))),NA()),NA())</f>
        <v>#N/A</v>
      </c>
      <c r="AA241" s="65" t="e">
        <f>IF(Z49=1,IF(Z$13&lt;=COUNT($C21:$CS21),IF(INDEX($F$206:$F$229,MATCH($B241,$B$206:$B$229,FALSE))=0,NA(),INDEX(Z$14:Z$37,MATCH($B241,$B$14:$B$37,FALSE))/INDEX($F$206:$F$229,MATCH($B241,$B$206:$B$229,FALSE))),NA()),NA())</f>
        <v>#N/A</v>
      </c>
      <c r="AB241" s="65" t="e">
        <f>IF(AA49=1,IF(AA$13&lt;=COUNT($C21:$CS21),IF(INDEX($F$206:$F$229,MATCH($B241,$B$206:$B$229,FALSE))=0,NA(),INDEX(AA$14:AA$37,MATCH($B241,$B$14:$B$37,FALSE))/INDEX($F$206:$F$229,MATCH($B241,$B$206:$B$229,FALSE))),NA()),NA())</f>
        <v>#N/A</v>
      </c>
      <c r="AC241" s="65" t="e">
        <f>IF(AB49=1,IF(AB$13&lt;=COUNT($C21:$CS21),IF(INDEX($F$206:$F$229,MATCH($B241,$B$206:$B$229,FALSE))=0,NA(),INDEX(AB$14:AB$37,MATCH($B241,$B$14:$B$37,FALSE))/INDEX($F$206:$F$229,MATCH($B241,$B$206:$B$229,FALSE))),NA()),NA())</f>
        <v>#N/A</v>
      </c>
      <c r="AD241" s="65" t="e">
        <f>IF(AC49=1,IF(AC$13&lt;=COUNT($C21:$CS21),IF(INDEX($F$206:$F$229,MATCH($B241,$B$206:$B$229,FALSE))=0,NA(),INDEX(AC$14:AC$37,MATCH($B241,$B$14:$B$37,FALSE))/INDEX($F$206:$F$229,MATCH($B241,$B$206:$B$229,FALSE))),NA()),NA())</f>
        <v>#N/A</v>
      </c>
      <c r="AE241" s="65" t="e">
        <f>IF(AD49=1,IF(AD$13&lt;=COUNT($C21:$CS21),IF(INDEX($F$206:$F$229,MATCH($B241,$B$206:$B$229,FALSE))=0,NA(),INDEX(AD$14:AD$37,MATCH($B241,$B$14:$B$37,FALSE))/INDEX($F$206:$F$229,MATCH($B241,$B$206:$B$229,FALSE))),NA()),NA())</f>
        <v>#N/A</v>
      </c>
      <c r="AF241" s="65" t="e">
        <f>IF(AE49=1,IF(AE$13&lt;=COUNT($C21:$CS21),IF(INDEX($F$206:$F$229,MATCH($B241,$B$206:$B$229,FALSE))=0,NA(),INDEX(AE$14:AE$37,MATCH($B241,$B$14:$B$37,FALSE))/INDEX($F$206:$F$229,MATCH($B241,$B$206:$B$229,FALSE))),NA()),NA())</f>
        <v>#N/A</v>
      </c>
      <c r="AG241" s="65" t="e">
        <f>IF(AF49=1,IF(AF$13&lt;=COUNT($C21:$CS21),IF(INDEX($F$206:$F$229,MATCH($B241,$B$206:$B$229,FALSE))=0,NA(),INDEX(AF$14:AF$37,MATCH($B241,$B$14:$B$37,FALSE))/INDEX($F$206:$F$229,MATCH($B241,$B$206:$B$229,FALSE))),NA()),NA())</f>
        <v>#N/A</v>
      </c>
      <c r="AH241" s="65" t="e">
        <f>IF(AG49=1,IF(AG$13&lt;=COUNT($C21:$CS21),IF(INDEX($F$206:$F$229,MATCH($B241,$B$206:$B$229,FALSE))=0,NA(),INDEX(AG$14:AG$37,MATCH($B241,$B$14:$B$37,FALSE))/INDEX($F$206:$F$229,MATCH($B241,$B$206:$B$229,FALSE))),NA()),NA())</f>
        <v>#N/A</v>
      </c>
      <c r="AI241" s="65" t="e">
        <f>IF(AH49=1,IF(AH$13&lt;=COUNT($C21:$CS21),IF(INDEX($F$206:$F$229,MATCH($B241,$B$206:$B$229,FALSE))=0,NA(),INDEX(AH$14:AH$37,MATCH($B241,$B$14:$B$37,FALSE))/INDEX($F$206:$F$229,MATCH($B241,$B$206:$B$229,FALSE))),NA()),NA())</f>
        <v>#N/A</v>
      </c>
      <c r="AJ241" s="65" t="e">
        <f>IF(AI49=1,IF(AI$13&lt;=COUNT($C21:$CS21),IF(INDEX($F$206:$F$229,MATCH($B241,$B$206:$B$229,FALSE))=0,NA(),INDEX(AI$14:AI$37,MATCH($B241,$B$14:$B$37,FALSE))/INDEX($F$206:$F$229,MATCH($B241,$B$206:$B$229,FALSE))),NA()),NA())</f>
        <v>#N/A</v>
      </c>
      <c r="AK241" s="65" t="e">
        <f>IF(AJ49=1,IF(AJ$13&lt;=COUNT($C21:$CS21),IF(INDEX($F$206:$F$229,MATCH($B241,$B$206:$B$229,FALSE))=0,NA(),INDEX(AJ$14:AJ$37,MATCH($B241,$B$14:$B$37,FALSE))/INDEX($F$206:$F$229,MATCH($B241,$B$206:$B$229,FALSE))),NA()),NA())</f>
        <v>#N/A</v>
      </c>
      <c r="AL241" s="65" t="e">
        <f>IF(AK49=1,IF(AK$13&lt;=COUNT($C21:$CS21),IF(INDEX($F$206:$F$229,MATCH($B241,$B$206:$B$229,FALSE))=0,NA(),INDEX(AK$14:AK$37,MATCH($B241,$B$14:$B$37,FALSE))/INDEX($F$206:$F$229,MATCH($B241,$B$206:$B$229,FALSE))),NA()),NA())</f>
        <v>#N/A</v>
      </c>
      <c r="AM241" s="65" t="e">
        <f>IF(AL49=1,IF(AL$13&lt;=COUNT($C21:$CS21),IF(INDEX($F$206:$F$229,MATCH($B241,$B$206:$B$229,FALSE))=0,NA(),INDEX(AL$14:AL$37,MATCH($B241,$B$14:$B$37,FALSE))/INDEX($F$206:$F$229,MATCH($B241,$B$206:$B$229,FALSE))),NA()),NA())</f>
        <v>#N/A</v>
      </c>
      <c r="AN241" s="65" t="e">
        <f>IF(AM49=1,IF(AM$13&lt;=COUNT($C21:$CS21),IF(INDEX($F$206:$F$229,MATCH($B241,$B$206:$B$229,FALSE))=0,NA(),INDEX(AM$14:AM$37,MATCH($B241,$B$14:$B$37,FALSE))/INDEX($F$206:$F$229,MATCH($B241,$B$206:$B$229,FALSE))),NA()),NA())</f>
        <v>#N/A</v>
      </c>
      <c r="AO241" s="65" t="e">
        <f>IF(AN49=1,IF(AN$13&lt;=COUNT($C21:$CS21),IF(INDEX($F$206:$F$229,MATCH($B241,$B$206:$B$229,FALSE))=0,NA(),INDEX(AN$14:AN$37,MATCH($B241,$B$14:$B$37,FALSE))/INDEX($F$206:$F$229,MATCH($B241,$B$206:$B$229,FALSE))),NA()),NA())</f>
        <v>#N/A</v>
      </c>
      <c r="AP241" s="65" t="e">
        <f>IF(AO49=1,IF(AO$13&lt;=COUNT($C21:$CS21),IF(INDEX($F$206:$F$229,MATCH($B241,$B$206:$B$229,FALSE))=0,NA(),INDEX(AO$14:AO$37,MATCH($B241,$B$14:$B$37,FALSE))/INDEX($F$206:$F$229,MATCH($B241,$B$206:$B$229,FALSE))),NA()),NA())</f>
        <v>#N/A</v>
      </c>
      <c r="AQ241" s="65" t="e">
        <f>IF(AP49=1,IF(AP$13&lt;=COUNT($C21:$CS21),IF(INDEX($F$206:$F$229,MATCH($B241,$B$206:$B$229,FALSE))=0,NA(),INDEX(AP$14:AP$37,MATCH($B241,$B$14:$B$37,FALSE))/INDEX($F$206:$F$229,MATCH($B241,$B$206:$B$229,FALSE))),NA()),NA())</f>
        <v>#N/A</v>
      </c>
      <c r="AR241" s="65" t="e">
        <f>IF(AQ49=1,IF(AQ$13&lt;=COUNT($C21:$CS21),IF(INDEX($F$206:$F$229,MATCH($B241,$B$206:$B$229,FALSE))=0,NA(),INDEX(AQ$14:AQ$37,MATCH($B241,$B$14:$B$37,FALSE))/INDEX($F$206:$F$229,MATCH($B241,$B$206:$B$229,FALSE))),NA()),NA())</f>
        <v>#N/A</v>
      </c>
      <c r="AS241" s="65" t="e">
        <f>IF(AR49=1,IF(AR$13&lt;=COUNT($C21:$CS21),IF(INDEX($F$206:$F$229,MATCH($B241,$B$206:$B$229,FALSE))=0,NA(),INDEX(AR$14:AR$37,MATCH($B241,$B$14:$B$37,FALSE))/INDEX($F$206:$F$229,MATCH($B241,$B$206:$B$229,FALSE))),NA()),NA())</f>
        <v>#N/A</v>
      </c>
      <c r="AT241" s="65" t="e">
        <f>IF(AS49=1,IF(AS$13&lt;=COUNT($C21:$CS21),IF(INDEX($F$206:$F$229,MATCH($B241,$B$206:$B$229,FALSE))=0,NA(),INDEX(AS$14:AS$37,MATCH($B241,$B$14:$B$37,FALSE))/INDEX($F$206:$F$229,MATCH($B241,$B$206:$B$229,FALSE))),NA()),NA())</f>
        <v>#N/A</v>
      </c>
      <c r="AU241" s="65" t="e">
        <f>IF(AT49=1,IF(AT$13&lt;=COUNT($C21:$CS21),IF(INDEX($F$206:$F$229,MATCH($B241,$B$206:$B$229,FALSE))=0,NA(),INDEX(AT$14:AT$37,MATCH($B241,$B$14:$B$37,FALSE))/INDEX($F$206:$F$229,MATCH($B241,$B$206:$B$229,FALSE))),NA()),NA())</f>
        <v>#N/A</v>
      </c>
      <c r="AV241" s="65" t="e">
        <f>IF(AU49=1,IF(AU$13&lt;=COUNT($C21:$CS21),IF(INDEX($F$206:$F$229,MATCH($B241,$B$206:$B$229,FALSE))=0,NA(),INDEX(AU$14:AU$37,MATCH($B241,$B$14:$B$37,FALSE))/INDEX($F$206:$F$229,MATCH($B241,$B$206:$B$229,FALSE))),NA()),NA())</f>
        <v>#N/A</v>
      </c>
      <c r="AW241" s="65" t="e">
        <f>IF(AV49=1,IF(AV$13&lt;=COUNT($C21:$CS21),IF(INDEX($F$206:$F$229,MATCH($B241,$B$206:$B$229,FALSE))=0,NA(),INDEX(AV$14:AV$37,MATCH($B241,$B$14:$B$37,FALSE))/INDEX($F$206:$F$229,MATCH($B241,$B$206:$B$229,FALSE))),NA()),NA())</f>
        <v>#N/A</v>
      </c>
      <c r="AX241" s="65" t="e">
        <f>IF(AW49=1,IF(AW$13&lt;=COUNT($C21:$CS21),IF(INDEX($F$206:$F$229,MATCH($B241,$B$206:$B$229,FALSE))=0,NA(),INDEX(AW$14:AW$37,MATCH($B241,$B$14:$B$37,FALSE))/INDEX($F$206:$F$229,MATCH($B241,$B$206:$B$229,FALSE))),NA()),NA())</f>
        <v>#N/A</v>
      </c>
      <c r="AY241" s="65" t="e">
        <f>IF(AX49=1,IF(AX$13&lt;=COUNT($C21:$CS21),IF(INDEX($F$206:$F$229,MATCH($B241,$B$206:$B$229,FALSE))=0,NA(),INDEX(AX$14:AX$37,MATCH($B241,$B$14:$B$37,FALSE))/INDEX($F$206:$F$229,MATCH($B241,$B$206:$B$229,FALSE))),NA()),NA())</f>
        <v>#N/A</v>
      </c>
      <c r="AZ241" s="65" t="e">
        <f>IF(AY49=1,IF(AY$13&lt;=COUNT($C21:$CS21),IF(INDEX($F$206:$F$229,MATCH($B241,$B$206:$B$229,FALSE))=0,NA(),INDEX(AY$14:AY$37,MATCH($B241,$B$14:$B$37,FALSE))/INDEX($F$206:$F$229,MATCH($B241,$B$206:$B$229,FALSE))),NA()),NA())</f>
        <v>#N/A</v>
      </c>
      <c r="BA241" s="65" t="e">
        <f>IF(AZ49=1,IF(AZ$13&lt;=COUNT($C21:$CS21),IF(INDEX($F$206:$F$229,MATCH($B241,$B$206:$B$229,FALSE))=0,NA(),INDEX(AZ$14:AZ$37,MATCH($B241,$B$14:$B$37,FALSE))/INDEX($F$206:$F$229,MATCH($B241,$B$206:$B$229,FALSE))),NA()),NA())</f>
        <v>#N/A</v>
      </c>
      <c r="BB241" s="65" t="e">
        <f>IF(BA49=1,IF(BA$13&lt;=COUNT($C21:$CS21),IF(INDEX($F$206:$F$229,MATCH($B241,$B$206:$B$229,FALSE))=0,NA(),INDEX(BA$14:BA$37,MATCH($B241,$B$14:$B$37,FALSE))/INDEX($F$206:$F$229,MATCH($B241,$B$206:$B$229,FALSE))),NA()),NA())</f>
        <v>#N/A</v>
      </c>
      <c r="BC241" s="65" t="e">
        <f>IF(BB49=1,IF(BB$13&lt;=COUNT($C21:$CS21),IF(INDEX($F$206:$F$229,MATCH($B241,$B$206:$B$229,FALSE))=0,NA(),INDEX(BB$14:BB$37,MATCH($B241,$B$14:$B$37,FALSE))/INDEX($F$206:$F$229,MATCH($B241,$B$206:$B$229,FALSE))),NA()),NA())</f>
        <v>#N/A</v>
      </c>
      <c r="BD241" s="65" t="e">
        <f>IF(BC49=1,IF(BC$13&lt;=COUNT($C21:$CS21),IF(INDEX($F$206:$F$229,MATCH($B241,$B$206:$B$229,FALSE))=0,NA(),INDEX(BC$14:BC$37,MATCH($B241,$B$14:$B$37,FALSE))/INDEX($F$206:$F$229,MATCH($B241,$B$206:$B$229,FALSE))),NA()),NA())</f>
        <v>#N/A</v>
      </c>
      <c r="BE241" s="65" t="e">
        <f>IF(BD49=1,IF(BD$13&lt;=COUNT($C21:$CS21),IF(INDEX($F$206:$F$229,MATCH($B241,$B$206:$B$229,FALSE))=0,NA(),INDEX(BD$14:BD$37,MATCH($B241,$B$14:$B$37,FALSE))/INDEX($F$206:$F$229,MATCH($B241,$B$206:$B$229,FALSE))),NA()),NA())</f>
        <v>#N/A</v>
      </c>
      <c r="BF241" s="65" t="e">
        <f>IF(BE49=1,IF(BE$13&lt;=COUNT($C21:$CS21),IF(INDEX($F$206:$F$229,MATCH($B241,$B$206:$B$229,FALSE))=0,NA(),INDEX(BE$14:BE$37,MATCH($B241,$B$14:$B$37,FALSE))/INDEX($F$206:$F$229,MATCH($B241,$B$206:$B$229,FALSE))),NA()),NA())</f>
        <v>#N/A</v>
      </c>
      <c r="BG241" s="65" t="e">
        <f>IF(BF49=1,IF(BF$13&lt;=COUNT($C21:$CS21),IF(INDEX($F$206:$F$229,MATCH($B241,$B$206:$B$229,FALSE))=0,NA(),INDEX(BF$14:BF$37,MATCH($B241,$B$14:$B$37,FALSE))/INDEX($F$206:$F$229,MATCH($B241,$B$206:$B$229,FALSE))),NA()),NA())</f>
        <v>#N/A</v>
      </c>
      <c r="BH241" s="65" t="e">
        <f>IF(BG49=1,IF(BG$13&lt;=COUNT($C21:$CS21),IF(INDEX($F$206:$F$229,MATCH($B241,$B$206:$B$229,FALSE))=0,NA(),INDEX(BG$14:BG$37,MATCH($B241,$B$14:$B$37,FALSE))/INDEX($F$206:$F$229,MATCH($B241,$B$206:$B$229,FALSE))),NA()),NA())</f>
        <v>#N/A</v>
      </c>
      <c r="BI241" s="65" t="e">
        <f>IF(BH49=1,IF(BH$13&lt;=COUNT($C21:$CS21),IF(INDEX($F$206:$F$229,MATCH($B241,$B$206:$B$229,FALSE))=0,NA(),INDEX(BH$14:BH$37,MATCH($B241,$B$14:$B$37,FALSE))/INDEX($F$206:$F$229,MATCH($B241,$B$206:$B$229,FALSE))),NA()),NA())</f>
        <v>#N/A</v>
      </c>
      <c r="BJ241" s="65" t="e">
        <f>IF(BI49=1,IF(BI$13&lt;=COUNT($C21:$CS21),IF(INDEX($F$206:$F$229,MATCH($B241,$B$206:$B$229,FALSE))=0,NA(),INDEX(BI$14:BI$37,MATCH($B241,$B$14:$B$37,FALSE))/INDEX($F$206:$F$229,MATCH($B241,$B$206:$B$229,FALSE))),NA()),NA())</f>
        <v>#N/A</v>
      </c>
      <c r="BK241" s="65" t="e">
        <f>IF(BJ49=1,IF(BJ$13&lt;=COUNT($C21:$CS21),IF(INDEX($F$206:$F$229,MATCH($B241,$B$206:$B$229,FALSE))=0,NA(),INDEX(BJ$14:BJ$37,MATCH($B241,$B$14:$B$37,FALSE))/INDEX($F$206:$F$229,MATCH($B241,$B$206:$B$229,FALSE))),NA()),NA())</f>
        <v>#N/A</v>
      </c>
      <c r="BL241" s="65" t="e">
        <f>IF(BK49=1,IF(BK$13&lt;=COUNT($C21:$CS21),IF(INDEX($F$206:$F$229,MATCH($B241,$B$206:$B$229,FALSE))=0,NA(),INDEX(BK$14:BK$37,MATCH($B241,$B$14:$B$37,FALSE))/INDEX($F$206:$F$229,MATCH($B241,$B$206:$B$229,FALSE))),NA()),NA())</f>
        <v>#N/A</v>
      </c>
      <c r="BM241" s="65" t="e">
        <f>IF(BL49=1,IF(BL$13&lt;=COUNT($C21:$CS21),IF(INDEX($F$206:$F$229,MATCH($B241,$B$206:$B$229,FALSE))=0,NA(),INDEX(BL$14:BL$37,MATCH($B241,$B$14:$B$37,FALSE))/INDEX($F$206:$F$229,MATCH($B241,$B$206:$B$229,FALSE))),NA()),NA())</f>
        <v>#N/A</v>
      </c>
      <c r="BN241" s="65" t="e">
        <f>IF(BM49=1,IF(BM$13&lt;=COUNT($C21:$CS21),IF(INDEX($F$206:$F$229,MATCH($B241,$B$206:$B$229,FALSE))=0,NA(),INDEX(BM$14:BM$37,MATCH($B241,$B$14:$B$37,FALSE))/INDEX($F$206:$F$229,MATCH($B241,$B$206:$B$229,FALSE))),NA()),NA())</f>
        <v>#N/A</v>
      </c>
      <c r="BO241" s="65" t="e">
        <f>IF(BN49=1,IF(BN$13&lt;=COUNT($C21:$CS21),IF(INDEX($F$206:$F$229,MATCH($B241,$B$206:$B$229,FALSE))=0,NA(),INDEX(BN$14:BN$37,MATCH($B241,$B$14:$B$37,FALSE))/INDEX($F$206:$F$229,MATCH($B241,$B$206:$B$229,FALSE))),NA()),NA())</f>
        <v>#N/A</v>
      </c>
      <c r="BP241" s="65" t="e">
        <f>IF(BO49=1,IF(BO$13&lt;=COUNT($C21:$CS21),IF(INDEX($F$206:$F$229,MATCH($B241,$B$206:$B$229,FALSE))=0,NA(),INDEX(BO$14:BO$37,MATCH($B241,$B$14:$B$37,FALSE))/INDEX($F$206:$F$229,MATCH($B241,$B$206:$B$229,FALSE))),NA()),NA())</f>
        <v>#N/A</v>
      </c>
      <c r="BQ241" s="65" t="e">
        <f>IF(BP49=1,IF(BP$13&lt;=COUNT($C21:$CS21),IF(INDEX($F$206:$F$229,MATCH($B241,$B$206:$B$229,FALSE))=0,NA(),INDEX(BP$14:BP$37,MATCH($B241,$B$14:$B$37,FALSE))/INDEX($F$206:$F$229,MATCH($B241,$B$206:$B$229,FALSE))),NA()),NA())</f>
        <v>#N/A</v>
      </c>
      <c r="BR241" s="65" t="e">
        <f>IF(BQ49=1,IF(BQ$13&lt;=COUNT($C21:$CS21),IF(INDEX($F$206:$F$229,MATCH($B241,$B$206:$B$229,FALSE))=0,NA(),INDEX(BQ$14:BQ$37,MATCH($B241,$B$14:$B$37,FALSE))/INDEX($F$206:$F$229,MATCH($B241,$B$206:$B$229,FALSE))),NA()),NA())</f>
        <v>#N/A</v>
      </c>
      <c r="BS241" s="65" t="e">
        <f>IF(BR49=1,IF(BR$13&lt;=COUNT($C21:$CS21),IF(INDEX($F$206:$F$229,MATCH($B241,$B$206:$B$229,FALSE))=0,NA(),INDEX(BR$14:BR$37,MATCH($B241,$B$14:$B$37,FALSE))/INDEX($F$206:$F$229,MATCH($B241,$B$206:$B$229,FALSE))),NA()),NA())</f>
        <v>#N/A</v>
      </c>
      <c r="BT241" s="65" t="e">
        <f>IF(BS49=1,IF(BS$13&lt;=COUNT($C21:$CS21),IF(INDEX($F$206:$F$229,MATCH($B241,$B$206:$B$229,FALSE))=0,NA(),INDEX(BS$14:BS$37,MATCH($B241,$B$14:$B$37,FALSE))/INDEX($F$206:$F$229,MATCH($B241,$B$206:$B$229,FALSE))),NA()),NA())</f>
        <v>#N/A</v>
      </c>
      <c r="BU241" s="65" t="e">
        <f>IF(BT49=1,IF(BT$13&lt;=COUNT($C21:$CS21),IF(INDEX($F$206:$F$229,MATCH($B241,$B$206:$B$229,FALSE))=0,NA(),INDEX(BT$14:BT$37,MATCH($B241,$B$14:$B$37,FALSE))/INDEX($F$206:$F$229,MATCH($B241,$B$206:$B$229,FALSE))),NA()),NA())</f>
        <v>#N/A</v>
      </c>
      <c r="BV241" s="65" t="e">
        <f>IF(BU49=1,IF(BU$13&lt;=COUNT($C21:$CS21),IF(INDEX($F$206:$F$229,MATCH($B241,$B$206:$B$229,FALSE))=0,NA(),INDEX(BU$14:BU$37,MATCH($B241,$B$14:$B$37,FALSE))/INDEX($F$206:$F$229,MATCH($B241,$B$206:$B$229,FALSE))),NA()),NA())</f>
        <v>#N/A</v>
      </c>
      <c r="BW241" s="65" t="e">
        <f>IF(BV49=1,IF(BV$13&lt;=COUNT($C21:$CS21),IF(INDEX($F$206:$F$229,MATCH($B241,$B$206:$B$229,FALSE))=0,NA(),INDEX(BV$14:BV$37,MATCH($B241,$B$14:$B$37,FALSE))/INDEX($F$206:$F$229,MATCH($B241,$B$206:$B$229,FALSE))),NA()),NA())</f>
        <v>#N/A</v>
      </c>
      <c r="BX241" s="65" t="e">
        <f>IF(BW49=1,IF(BW$13&lt;=COUNT($C21:$CS21),IF(INDEX($F$206:$F$229,MATCH($B241,$B$206:$B$229,FALSE))=0,NA(),INDEX(BW$14:BW$37,MATCH($B241,$B$14:$B$37,FALSE))/INDEX($F$206:$F$229,MATCH($B241,$B$206:$B$229,FALSE))),NA()),NA())</f>
        <v>#N/A</v>
      </c>
      <c r="BY241" s="65" t="e">
        <f>IF(BX49=1,IF(BX$13&lt;=COUNT($C21:$CS21),IF(INDEX($F$206:$F$229,MATCH($B241,$B$206:$B$229,FALSE))=0,NA(),INDEX(BX$14:BX$37,MATCH($B241,$B$14:$B$37,FALSE))/INDEX($F$206:$F$229,MATCH($B241,$B$206:$B$229,FALSE))),NA()),NA())</f>
        <v>#N/A</v>
      </c>
      <c r="BZ241" s="65" t="e">
        <f>IF(BY49=1,IF(BY$13&lt;=COUNT($C21:$CS21),IF(INDEX($F$206:$F$229,MATCH($B241,$B$206:$B$229,FALSE))=0,NA(),INDEX(BY$14:BY$37,MATCH($B241,$B$14:$B$37,FALSE))/INDEX($F$206:$F$229,MATCH($B241,$B$206:$B$229,FALSE))),NA()),NA())</f>
        <v>#N/A</v>
      </c>
      <c r="CA241" s="65" t="e">
        <f>IF(BZ49=1,IF(BZ$13&lt;=COUNT($C21:$CS21),IF(INDEX($F$206:$F$229,MATCH($B241,$B$206:$B$229,FALSE))=0,NA(),INDEX(BZ$14:BZ$37,MATCH($B241,$B$14:$B$37,FALSE))/INDEX($F$206:$F$229,MATCH($B241,$B$206:$B$229,FALSE))),NA()),NA())</f>
        <v>#N/A</v>
      </c>
      <c r="CB241" s="65" t="e">
        <f>IF(CA49=1,IF(CA$13&lt;=COUNT($C21:$CS21),IF(INDEX($F$206:$F$229,MATCH($B241,$B$206:$B$229,FALSE))=0,NA(),INDEX(CA$14:CA$37,MATCH($B241,$B$14:$B$37,FALSE))/INDEX($F$206:$F$229,MATCH($B241,$B$206:$B$229,FALSE))),NA()),NA())</f>
        <v>#N/A</v>
      </c>
      <c r="CC241" s="65" t="e">
        <f>IF(CB49=1,IF(CB$13&lt;=COUNT($C21:$CS21),IF(INDEX($F$206:$F$229,MATCH($B241,$B$206:$B$229,FALSE))=0,NA(),INDEX(CB$14:CB$37,MATCH($B241,$B$14:$B$37,FALSE))/INDEX($F$206:$F$229,MATCH($B241,$B$206:$B$229,FALSE))),NA()),NA())</f>
        <v>#N/A</v>
      </c>
      <c r="CD241" s="65" t="e">
        <f>IF(CC49=1,IF(CC$13&lt;=COUNT($C21:$CS21),IF(INDEX($F$206:$F$229,MATCH($B241,$B$206:$B$229,FALSE))=0,NA(),INDEX(CC$14:CC$37,MATCH($B241,$B$14:$B$37,FALSE))/INDEX($F$206:$F$229,MATCH($B241,$B$206:$B$229,FALSE))),NA()),NA())</f>
        <v>#N/A</v>
      </c>
      <c r="CE241" s="65" t="e">
        <f>IF(CD49=1,IF(CD$13&lt;=COUNT($C21:$CS21),IF(INDEX($F$206:$F$229,MATCH($B241,$B$206:$B$229,FALSE))=0,NA(),INDEX(CD$14:CD$37,MATCH($B241,$B$14:$B$37,FALSE))/INDEX($F$206:$F$229,MATCH($B241,$B$206:$B$229,FALSE))),NA()),NA())</f>
        <v>#N/A</v>
      </c>
      <c r="CF241" s="65" t="e">
        <f>IF(CE49=1,IF(CE$13&lt;=COUNT($C21:$CS21),IF(INDEX($F$206:$F$229,MATCH($B241,$B$206:$B$229,FALSE))=0,NA(),INDEX(CE$14:CE$37,MATCH($B241,$B$14:$B$37,FALSE))/INDEX($F$206:$F$229,MATCH($B241,$B$206:$B$229,FALSE))),NA()),NA())</f>
        <v>#N/A</v>
      </c>
      <c r="CG241" s="65" t="e">
        <f>IF(CF49=1,IF(CF$13&lt;=COUNT($C21:$CS21),IF(INDEX($F$206:$F$229,MATCH($B241,$B$206:$B$229,FALSE))=0,NA(),INDEX(CF$14:CF$37,MATCH($B241,$B$14:$B$37,FALSE))/INDEX($F$206:$F$229,MATCH($B241,$B$206:$B$229,FALSE))),NA()),NA())</f>
        <v>#N/A</v>
      </c>
      <c r="CH241" s="65" t="e">
        <f>IF(CG49=1,IF(CG$13&lt;=COUNT($C21:$CS21),IF(INDEX($F$206:$F$229,MATCH($B241,$B$206:$B$229,FALSE))=0,NA(),INDEX(CG$14:CG$37,MATCH($B241,$B$14:$B$37,FALSE))/INDEX($F$206:$F$229,MATCH($B241,$B$206:$B$229,FALSE))),NA()),NA())</f>
        <v>#N/A</v>
      </c>
      <c r="CI241" s="65" t="e">
        <f>IF(CH49=1,IF(CH$13&lt;=COUNT($C21:$CS21),IF(INDEX($F$206:$F$229,MATCH($B241,$B$206:$B$229,FALSE))=0,NA(),INDEX(CH$14:CH$37,MATCH($B241,$B$14:$B$37,FALSE))/INDEX($F$206:$F$229,MATCH($B241,$B$206:$B$229,FALSE))),NA()),NA())</f>
        <v>#N/A</v>
      </c>
      <c r="CJ241" s="65" t="e">
        <f>IF(CI49=1,IF(CI$13&lt;=COUNT($C21:$CS21),IF(INDEX($F$206:$F$229,MATCH($B241,$B$206:$B$229,FALSE))=0,NA(),INDEX(CI$14:CI$37,MATCH($B241,$B$14:$B$37,FALSE))/INDEX($F$206:$F$229,MATCH($B241,$B$206:$B$229,FALSE))),NA()),NA())</f>
        <v>#N/A</v>
      </c>
      <c r="CK241" s="65" t="e">
        <f>IF(CJ49=1,IF(CJ$13&lt;=COUNT($C21:$CS21),IF(INDEX($F$206:$F$229,MATCH($B241,$B$206:$B$229,FALSE))=0,NA(),INDEX(CJ$14:CJ$37,MATCH($B241,$B$14:$B$37,FALSE))/INDEX($F$206:$F$229,MATCH($B241,$B$206:$B$229,FALSE))),NA()),NA())</f>
        <v>#N/A</v>
      </c>
      <c r="CL241" s="65" t="e">
        <f>IF(CK49=1,IF(CK$13&lt;=COUNT($C21:$CS21),IF(INDEX($F$206:$F$229,MATCH($B241,$B$206:$B$229,FALSE))=0,NA(),INDEX(CK$14:CK$37,MATCH($B241,$B$14:$B$37,FALSE))/INDEX($F$206:$F$229,MATCH($B241,$B$206:$B$229,FALSE))),NA()),NA())</f>
        <v>#N/A</v>
      </c>
      <c r="CM241" s="65" t="e">
        <f>IF(CL49=1,IF(CL$13&lt;=COUNT($C21:$CS21),IF(INDEX($F$206:$F$229,MATCH($B241,$B$206:$B$229,FALSE))=0,NA(),INDEX(CL$14:CL$37,MATCH($B241,$B$14:$B$37,FALSE))/INDEX($F$206:$F$229,MATCH($B241,$B$206:$B$229,FALSE))),NA()),NA())</f>
        <v>#N/A</v>
      </c>
      <c r="CN241" s="65" t="e">
        <f>IF(CM49=1,IF(CM$13&lt;=COUNT($C21:$CS21),IF(INDEX($F$206:$F$229,MATCH($B241,$B$206:$B$229,FALSE))=0,NA(),INDEX(CM$14:CM$37,MATCH($B241,$B$14:$B$37,FALSE))/INDEX($F$206:$F$229,MATCH($B241,$B$206:$B$229,FALSE))),NA()),NA())</f>
        <v>#N/A</v>
      </c>
      <c r="CO241" s="65" t="e">
        <f>IF(CN49=1,IF(CN$13&lt;=COUNT($C21:$CS21),IF(INDEX($F$206:$F$229,MATCH($B241,$B$206:$B$229,FALSE))=0,NA(),INDEX(CN$14:CN$37,MATCH($B241,$B$14:$B$37,FALSE))/INDEX($F$206:$F$229,MATCH($B241,$B$206:$B$229,FALSE))),NA()),NA())</f>
        <v>#N/A</v>
      </c>
      <c r="CP241" s="65" t="e">
        <f>IF(CO49=1,IF(CO$13&lt;=COUNT($C21:$CS21),IF(INDEX($F$206:$F$229,MATCH($B241,$B$206:$B$229,FALSE))=0,NA(),INDEX(CO$14:CO$37,MATCH($B241,$B$14:$B$37,FALSE))/INDEX($F$206:$F$229,MATCH($B241,$B$206:$B$229,FALSE))),NA()),NA())</f>
        <v>#N/A</v>
      </c>
      <c r="CQ241" s="65" t="e">
        <f>IF(CP49=1,IF(CP$13&lt;=COUNT($C21:$CS21),IF(INDEX($F$206:$F$229,MATCH($B241,$B$206:$B$229,FALSE))=0,NA(),INDEX(CP$14:CP$37,MATCH($B241,$B$14:$B$37,FALSE))/INDEX($F$206:$F$229,MATCH($B241,$B$206:$B$229,FALSE))),NA()),NA())</f>
        <v>#N/A</v>
      </c>
      <c r="CR241" s="65" t="e">
        <f>IF(CQ49=1,IF(CQ$13&lt;=COUNT($C21:$CS21),IF(INDEX($F$206:$F$229,MATCH($B241,$B$206:$B$229,FALSE))=0,NA(),INDEX(CQ$14:CQ$37,MATCH($B241,$B$14:$B$37,FALSE))/INDEX($F$206:$F$229,MATCH($B241,$B$206:$B$229,FALSE))),NA()),NA())</f>
        <v>#N/A</v>
      </c>
      <c r="CS241" s="65" t="e">
        <f>IF(CR49=1,IF(CR$13&lt;=COUNT($C21:$CS21),IF(INDEX($F$206:$F$229,MATCH($B241,$B$206:$B$229,FALSE))=0,NA(),INDEX(CR$14:CR$37,MATCH($B241,$B$14:$B$37,FALSE))/INDEX($F$206:$F$229,MATCH($B241,$B$206:$B$229,FALSE))),NA()),NA())</f>
        <v>#N/A</v>
      </c>
      <c r="CT241" s="49"/>
      <c r="CU241" s="49"/>
      <c r="CV241" s="49"/>
      <c r="CW241" s="49"/>
    </row>
    <row r="242" spans="1:101" x14ac:dyDescent="0.25">
      <c r="A242" s="97">
        <f t="shared" si="105"/>
        <v>0</v>
      </c>
      <c r="B242" s="29">
        <f t="shared" si="104"/>
        <v>2004</v>
      </c>
      <c r="C242" s="154" t="str">
        <f t="shared" si="106"/>
        <v/>
      </c>
      <c r="D242" s="54" t="e">
        <f>IF(C50=1,IF(C$13&lt;=COUNT($C22:$CS22),IF(INDEX($F$206:$F$229,MATCH($B242,$B$206:$B$229,FALSE))=0,NA(),INDEX(C$14:C$37,MATCH($B242,$B$14:$B$37,FALSE))/INDEX($F$206:$F$229,MATCH($B242,$B$206:$B$229,FALSE))),NA()),NA())</f>
        <v>#N/A</v>
      </c>
      <c r="E242" s="65" t="e">
        <f>IF(D50=1,IF(D$13&lt;=COUNT($C22:$CS22),IF(INDEX($F$206:$F$229,MATCH($B242,$B$206:$B$229,FALSE))=0,NA(),INDEX(D$14:D$37,MATCH($B242,$B$14:$B$37,FALSE))/INDEX($F$206:$F$229,MATCH($B242,$B$206:$B$229,FALSE))),NA()),NA())</f>
        <v>#N/A</v>
      </c>
      <c r="F242" s="65" t="e">
        <f>IF(E50=1,IF(E$13&lt;=COUNT($C22:$CS22),IF(INDEX($F$206:$F$229,MATCH($B242,$B$206:$B$229,FALSE))=0,NA(),INDEX(E$14:E$37,MATCH($B242,$B$14:$B$37,FALSE))/INDEX($F$206:$F$229,MATCH($B242,$B$206:$B$229,FALSE))),NA()),NA())</f>
        <v>#N/A</v>
      </c>
      <c r="G242" s="65" t="e">
        <f>IF(F50=1,IF(F$13&lt;=COUNT($C22:$CS22),IF(INDEX($F$206:$F$229,MATCH($B242,$B$206:$B$229,FALSE))=0,NA(),INDEX(F$14:F$37,MATCH($B242,$B$14:$B$37,FALSE))/INDEX($F$206:$F$229,MATCH($B242,$B$206:$B$229,FALSE))),NA()),NA())</f>
        <v>#N/A</v>
      </c>
      <c r="H242" s="65" t="e">
        <f>IF(G50=1,IF(G$13&lt;=COUNT($C22:$CS22),IF(INDEX($F$206:$F$229,MATCH($B242,$B$206:$B$229,FALSE))=0,NA(),INDEX(G$14:G$37,MATCH($B242,$B$14:$B$37,FALSE))/INDEX($F$206:$F$229,MATCH($B242,$B$206:$B$229,FALSE))),NA()),NA())</f>
        <v>#N/A</v>
      </c>
      <c r="I242" s="65" t="e">
        <f>IF(H50=1,IF(H$13&lt;=COUNT($C22:$CS22),IF(INDEX($F$206:$F$229,MATCH($B242,$B$206:$B$229,FALSE))=0,NA(),INDEX(H$14:H$37,MATCH($B242,$B$14:$B$37,FALSE))/INDEX($F$206:$F$229,MATCH($B242,$B$206:$B$229,FALSE))),NA()),NA())</f>
        <v>#N/A</v>
      </c>
      <c r="J242" s="65" t="e">
        <f>IF(I50=1,IF(I$13&lt;=COUNT($C22:$CS22),IF(INDEX($F$206:$F$229,MATCH($B242,$B$206:$B$229,FALSE))=0,NA(),INDEX(I$14:I$37,MATCH($B242,$B$14:$B$37,FALSE))/INDEX($F$206:$F$229,MATCH($B242,$B$206:$B$229,FALSE))),NA()),NA())</f>
        <v>#N/A</v>
      </c>
      <c r="K242" s="65" t="e">
        <f>IF(J50=1,IF(J$13&lt;=COUNT($C22:$CS22),IF(INDEX($F$206:$F$229,MATCH($B242,$B$206:$B$229,FALSE))=0,NA(),INDEX(J$14:J$37,MATCH($B242,$B$14:$B$37,FALSE))/INDEX($F$206:$F$229,MATCH($B242,$B$206:$B$229,FALSE))),NA()),NA())</f>
        <v>#N/A</v>
      </c>
      <c r="L242" s="65" t="e">
        <f>IF(K50=1,IF(K$13&lt;=COUNT($C22:$CS22),IF(INDEX($F$206:$F$229,MATCH($B242,$B$206:$B$229,FALSE))=0,NA(),INDEX(K$14:K$37,MATCH($B242,$B$14:$B$37,FALSE))/INDEX($F$206:$F$229,MATCH($B242,$B$206:$B$229,FALSE))),NA()),NA())</f>
        <v>#N/A</v>
      </c>
      <c r="M242" s="65" t="e">
        <f>IF(L50=1,IF(L$13&lt;=COUNT($C22:$CS22),IF(INDEX($F$206:$F$229,MATCH($B242,$B$206:$B$229,FALSE))=0,NA(),INDEX(L$14:L$37,MATCH($B242,$B$14:$B$37,FALSE))/INDEX($F$206:$F$229,MATCH($B242,$B$206:$B$229,FALSE))),NA()),NA())</f>
        <v>#N/A</v>
      </c>
      <c r="N242" s="65" t="e">
        <f>IF(M50=1,IF(M$13&lt;=COUNT($C22:$CS22),IF(INDEX($F$206:$F$229,MATCH($B242,$B$206:$B$229,FALSE))=0,NA(),INDEX(M$14:M$37,MATCH($B242,$B$14:$B$37,FALSE))/INDEX($F$206:$F$229,MATCH($B242,$B$206:$B$229,FALSE))),NA()),NA())</f>
        <v>#N/A</v>
      </c>
      <c r="O242" s="65" t="e">
        <f>IF(N50=1,IF(N$13&lt;=COUNT($C22:$CS22),IF(INDEX($F$206:$F$229,MATCH($B242,$B$206:$B$229,FALSE))=0,NA(),INDEX(N$14:N$37,MATCH($B242,$B$14:$B$37,FALSE))/INDEX($F$206:$F$229,MATCH($B242,$B$206:$B$229,FALSE))),NA()),NA())</f>
        <v>#N/A</v>
      </c>
      <c r="P242" s="65" t="e">
        <f>IF(O50=1,IF(O$13&lt;=COUNT($C22:$CS22),IF(INDEX($F$206:$F$229,MATCH($B242,$B$206:$B$229,FALSE))=0,NA(),INDEX(O$14:O$37,MATCH($B242,$B$14:$B$37,FALSE))/INDEX($F$206:$F$229,MATCH($B242,$B$206:$B$229,FALSE))),NA()),NA())</f>
        <v>#N/A</v>
      </c>
      <c r="Q242" s="65" t="e">
        <f>IF(P50=1,IF(P$13&lt;=COUNT($C22:$CS22),IF(INDEX($F$206:$F$229,MATCH($B242,$B$206:$B$229,FALSE))=0,NA(),INDEX(P$14:P$37,MATCH($B242,$B$14:$B$37,FALSE))/INDEX($F$206:$F$229,MATCH($B242,$B$206:$B$229,FALSE))),NA()),NA())</f>
        <v>#N/A</v>
      </c>
      <c r="R242" s="65" t="e">
        <f>IF(Q50=1,IF(Q$13&lt;=COUNT($C22:$CS22),IF(INDEX($F$206:$F$229,MATCH($B242,$B$206:$B$229,FALSE))=0,NA(),INDEX(Q$14:Q$37,MATCH($B242,$B$14:$B$37,FALSE))/INDEX($F$206:$F$229,MATCH($B242,$B$206:$B$229,FALSE))),NA()),NA())</f>
        <v>#N/A</v>
      </c>
      <c r="S242" s="65" t="e">
        <f>IF(R50=1,IF(R$13&lt;=COUNT($C22:$CS22),IF(INDEX($F$206:$F$229,MATCH($B242,$B$206:$B$229,FALSE))=0,NA(),INDEX(R$14:R$37,MATCH($B242,$B$14:$B$37,FALSE))/INDEX($F$206:$F$229,MATCH($B242,$B$206:$B$229,FALSE))),NA()),NA())</f>
        <v>#N/A</v>
      </c>
      <c r="T242" s="65" t="e">
        <f>IF(S50=1,IF(S$13&lt;=COUNT($C22:$CS22),IF(INDEX($F$206:$F$229,MATCH($B242,$B$206:$B$229,FALSE))=0,NA(),INDEX(S$14:S$37,MATCH($B242,$B$14:$B$37,FALSE))/INDEX($F$206:$F$229,MATCH($B242,$B$206:$B$229,FALSE))),NA()),NA())</f>
        <v>#N/A</v>
      </c>
      <c r="U242" s="65" t="e">
        <f>IF(T50=1,IF(T$13&lt;=COUNT($C22:$CS22),IF(INDEX($F$206:$F$229,MATCH($B242,$B$206:$B$229,FALSE))=0,NA(),INDEX(T$14:T$37,MATCH($B242,$B$14:$B$37,FALSE))/INDEX($F$206:$F$229,MATCH($B242,$B$206:$B$229,FALSE))),NA()),NA())</f>
        <v>#N/A</v>
      </c>
      <c r="V242" s="65" t="e">
        <f>IF(U50=1,IF(U$13&lt;=COUNT($C22:$CS22),IF(INDEX($F$206:$F$229,MATCH($B242,$B$206:$B$229,FALSE))=0,NA(),INDEX(U$14:U$37,MATCH($B242,$B$14:$B$37,FALSE))/INDEX($F$206:$F$229,MATCH($B242,$B$206:$B$229,FALSE))),NA()),NA())</f>
        <v>#N/A</v>
      </c>
      <c r="W242" s="65" t="e">
        <f>IF(V50=1,IF(V$13&lt;=COUNT($C22:$CS22),IF(INDEX($F$206:$F$229,MATCH($B242,$B$206:$B$229,FALSE))=0,NA(),INDEX(V$14:V$37,MATCH($B242,$B$14:$B$37,FALSE))/INDEX($F$206:$F$229,MATCH($B242,$B$206:$B$229,FALSE))),NA()),NA())</f>
        <v>#N/A</v>
      </c>
      <c r="X242" s="65" t="e">
        <f>IF(W50=1,IF(W$13&lt;=COUNT($C22:$CS22),IF(INDEX($F$206:$F$229,MATCH($B242,$B$206:$B$229,FALSE))=0,NA(),INDEX(W$14:W$37,MATCH($B242,$B$14:$B$37,FALSE))/INDEX($F$206:$F$229,MATCH($B242,$B$206:$B$229,FALSE))),NA()),NA())</f>
        <v>#N/A</v>
      </c>
      <c r="Y242" s="65" t="e">
        <f>IF(X50=1,IF(X$13&lt;=COUNT($C22:$CS22),IF(INDEX($F$206:$F$229,MATCH($B242,$B$206:$B$229,FALSE))=0,NA(),INDEX(X$14:X$37,MATCH($B242,$B$14:$B$37,FALSE))/INDEX($F$206:$F$229,MATCH($B242,$B$206:$B$229,FALSE))),NA()),NA())</f>
        <v>#N/A</v>
      </c>
      <c r="Z242" s="65" t="e">
        <f>IF(Y50=1,IF(Y$13&lt;=COUNT($C22:$CS22),IF(INDEX($F$206:$F$229,MATCH($B242,$B$206:$B$229,FALSE))=0,NA(),INDEX(Y$14:Y$37,MATCH($B242,$B$14:$B$37,FALSE))/INDEX($F$206:$F$229,MATCH($B242,$B$206:$B$229,FALSE))),NA()),NA())</f>
        <v>#N/A</v>
      </c>
      <c r="AA242" s="65" t="e">
        <f>IF(Z50=1,IF(Z$13&lt;=COUNT($C22:$CS22),IF(INDEX($F$206:$F$229,MATCH($B242,$B$206:$B$229,FALSE))=0,NA(),INDEX(Z$14:Z$37,MATCH($B242,$B$14:$B$37,FALSE))/INDEX($F$206:$F$229,MATCH($B242,$B$206:$B$229,FALSE))),NA()),NA())</f>
        <v>#N/A</v>
      </c>
      <c r="AB242" s="65" t="e">
        <f>IF(AA50=1,IF(AA$13&lt;=COUNT($C22:$CS22),IF(INDEX($F$206:$F$229,MATCH($B242,$B$206:$B$229,FALSE))=0,NA(),INDEX(AA$14:AA$37,MATCH($B242,$B$14:$B$37,FALSE))/INDEX($F$206:$F$229,MATCH($B242,$B$206:$B$229,FALSE))),NA()),NA())</f>
        <v>#N/A</v>
      </c>
      <c r="AC242" s="65" t="e">
        <f>IF(AB50=1,IF(AB$13&lt;=COUNT($C22:$CS22),IF(INDEX($F$206:$F$229,MATCH($B242,$B$206:$B$229,FALSE))=0,NA(),INDEX(AB$14:AB$37,MATCH($B242,$B$14:$B$37,FALSE))/INDEX($F$206:$F$229,MATCH($B242,$B$206:$B$229,FALSE))),NA()),NA())</f>
        <v>#N/A</v>
      </c>
      <c r="AD242" s="65" t="e">
        <f>IF(AC50=1,IF(AC$13&lt;=COUNT($C22:$CS22),IF(INDEX($F$206:$F$229,MATCH($B242,$B$206:$B$229,FALSE))=0,NA(),INDEX(AC$14:AC$37,MATCH($B242,$B$14:$B$37,FALSE))/INDEX($F$206:$F$229,MATCH($B242,$B$206:$B$229,FALSE))),NA()),NA())</f>
        <v>#N/A</v>
      </c>
      <c r="AE242" s="65" t="e">
        <f>IF(AD50=1,IF(AD$13&lt;=COUNT($C22:$CS22),IF(INDEX($F$206:$F$229,MATCH($B242,$B$206:$B$229,FALSE))=0,NA(),INDEX(AD$14:AD$37,MATCH($B242,$B$14:$B$37,FALSE))/INDEX($F$206:$F$229,MATCH($B242,$B$206:$B$229,FALSE))),NA()),NA())</f>
        <v>#N/A</v>
      </c>
      <c r="AF242" s="65" t="e">
        <f>IF(AE50=1,IF(AE$13&lt;=COUNT($C22:$CS22),IF(INDEX($F$206:$F$229,MATCH($B242,$B$206:$B$229,FALSE))=0,NA(),INDEX(AE$14:AE$37,MATCH($B242,$B$14:$B$37,FALSE))/INDEX($F$206:$F$229,MATCH($B242,$B$206:$B$229,FALSE))),NA()),NA())</f>
        <v>#N/A</v>
      </c>
      <c r="AG242" s="65" t="e">
        <f>IF(AF50=1,IF(AF$13&lt;=COUNT($C22:$CS22),IF(INDEX($F$206:$F$229,MATCH($B242,$B$206:$B$229,FALSE))=0,NA(),INDEX(AF$14:AF$37,MATCH($B242,$B$14:$B$37,FALSE))/INDEX($F$206:$F$229,MATCH($B242,$B$206:$B$229,FALSE))),NA()),NA())</f>
        <v>#N/A</v>
      </c>
      <c r="AH242" s="65" t="e">
        <f>IF(AG50=1,IF(AG$13&lt;=COUNT($C22:$CS22),IF(INDEX($F$206:$F$229,MATCH($B242,$B$206:$B$229,FALSE))=0,NA(),INDEX(AG$14:AG$37,MATCH($B242,$B$14:$B$37,FALSE))/INDEX($F$206:$F$229,MATCH($B242,$B$206:$B$229,FALSE))),NA()),NA())</f>
        <v>#N/A</v>
      </c>
      <c r="AI242" s="65" t="e">
        <f>IF(AH50=1,IF(AH$13&lt;=COUNT($C22:$CS22),IF(INDEX($F$206:$F$229,MATCH($B242,$B$206:$B$229,FALSE))=0,NA(),INDEX(AH$14:AH$37,MATCH($B242,$B$14:$B$37,FALSE))/INDEX($F$206:$F$229,MATCH($B242,$B$206:$B$229,FALSE))),NA()),NA())</f>
        <v>#N/A</v>
      </c>
      <c r="AJ242" s="65" t="e">
        <f>IF(AI50=1,IF(AI$13&lt;=COUNT($C22:$CS22),IF(INDEX($F$206:$F$229,MATCH($B242,$B$206:$B$229,FALSE))=0,NA(),INDEX(AI$14:AI$37,MATCH($B242,$B$14:$B$37,FALSE))/INDEX($F$206:$F$229,MATCH($B242,$B$206:$B$229,FALSE))),NA()),NA())</f>
        <v>#N/A</v>
      </c>
      <c r="AK242" s="65" t="e">
        <f>IF(AJ50=1,IF(AJ$13&lt;=COUNT($C22:$CS22),IF(INDEX($F$206:$F$229,MATCH($B242,$B$206:$B$229,FALSE))=0,NA(),INDEX(AJ$14:AJ$37,MATCH($B242,$B$14:$B$37,FALSE))/INDEX($F$206:$F$229,MATCH($B242,$B$206:$B$229,FALSE))),NA()),NA())</f>
        <v>#N/A</v>
      </c>
      <c r="AL242" s="65" t="e">
        <f>IF(AK50=1,IF(AK$13&lt;=COUNT($C22:$CS22),IF(INDEX($F$206:$F$229,MATCH($B242,$B$206:$B$229,FALSE))=0,NA(),INDEX(AK$14:AK$37,MATCH($B242,$B$14:$B$37,FALSE))/INDEX($F$206:$F$229,MATCH($B242,$B$206:$B$229,FALSE))),NA()),NA())</f>
        <v>#N/A</v>
      </c>
      <c r="AM242" s="65" t="e">
        <f>IF(AL50=1,IF(AL$13&lt;=COUNT($C22:$CS22),IF(INDEX($F$206:$F$229,MATCH($B242,$B$206:$B$229,FALSE))=0,NA(),INDEX(AL$14:AL$37,MATCH($B242,$B$14:$B$37,FALSE))/INDEX($F$206:$F$229,MATCH($B242,$B$206:$B$229,FALSE))),NA()),NA())</f>
        <v>#N/A</v>
      </c>
      <c r="AN242" s="65" t="e">
        <f>IF(AM50=1,IF(AM$13&lt;=COUNT($C22:$CS22),IF(INDEX($F$206:$F$229,MATCH($B242,$B$206:$B$229,FALSE))=0,NA(),INDEX(AM$14:AM$37,MATCH($B242,$B$14:$B$37,FALSE))/INDEX($F$206:$F$229,MATCH($B242,$B$206:$B$229,FALSE))),NA()),NA())</f>
        <v>#N/A</v>
      </c>
      <c r="AO242" s="65" t="e">
        <f>IF(AN50=1,IF(AN$13&lt;=COUNT($C22:$CS22),IF(INDEX($F$206:$F$229,MATCH($B242,$B$206:$B$229,FALSE))=0,NA(),INDEX(AN$14:AN$37,MATCH($B242,$B$14:$B$37,FALSE))/INDEX($F$206:$F$229,MATCH($B242,$B$206:$B$229,FALSE))),NA()),NA())</f>
        <v>#N/A</v>
      </c>
      <c r="AP242" s="65" t="e">
        <f>IF(AO50=1,IF(AO$13&lt;=COUNT($C22:$CS22),IF(INDEX($F$206:$F$229,MATCH($B242,$B$206:$B$229,FALSE))=0,NA(),INDEX(AO$14:AO$37,MATCH($B242,$B$14:$B$37,FALSE))/INDEX($F$206:$F$229,MATCH($B242,$B$206:$B$229,FALSE))),NA()),NA())</f>
        <v>#N/A</v>
      </c>
      <c r="AQ242" s="65" t="e">
        <f>IF(AP50=1,IF(AP$13&lt;=COUNT($C22:$CS22),IF(INDEX($F$206:$F$229,MATCH($B242,$B$206:$B$229,FALSE))=0,NA(),INDEX(AP$14:AP$37,MATCH($B242,$B$14:$B$37,FALSE))/INDEX($F$206:$F$229,MATCH($B242,$B$206:$B$229,FALSE))),NA()),NA())</f>
        <v>#N/A</v>
      </c>
      <c r="AR242" s="65" t="e">
        <f>IF(AQ50=1,IF(AQ$13&lt;=COUNT($C22:$CS22),IF(INDEX($F$206:$F$229,MATCH($B242,$B$206:$B$229,FALSE))=0,NA(),INDEX(AQ$14:AQ$37,MATCH($B242,$B$14:$B$37,FALSE))/INDEX($F$206:$F$229,MATCH($B242,$B$206:$B$229,FALSE))),NA()),NA())</f>
        <v>#N/A</v>
      </c>
      <c r="AS242" s="65" t="e">
        <f>IF(AR50=1,IF(AR$13&lt;=COUNT($C22:$CS22),IF(INDEX($F$206:$F$229,MATCH($B242,$B$206:$B$229,FALSE))=0,NA(),INDEX(AR$14:AR$37,MATCH($B242,$B$14:$B$37,FALSE))/INDEX($F$206:$F$229,MATCH($B242,$B$206:$B$229,FALSE))),NA()),NA())</f>
        <v>#N/A</v>
      </c>
      <c r="AT242" s="65" t="e">
        <f>IF(AS50=1,IF(AS$13&lt;=COUNT($C22:$CS22),IF(INDEX($F$206:$F$229,MATCH($B242,$B$206:$B$229,FALSE))=0,NA(),INDEX(AS$14:AS$37,MATCH($B242,$B$14:$B$37,FALSE))/INDEX($F$206:$F$229,MATCH($B242,$B$206:$B$229,FALSE))),NA()),NA())</f>
        <v>#N/A</v>
      </c>
      <c r="AU242" s="65" t="e">
        <f>IF(AT50=1,IF(AT$13&lt;=COUNT($C22:$CS22),IF(INDEX($F$206:$F$229,MATCH($B242,$B$206:$B$229,FALSE))=0,NA(),INDEX(AT$14:AT$37,MATCH($B242,$B$14:$B$37,FALSE))/INDEX($F$206:$F$229,MATCH($B242,$B$206:$B$229,FALSE))),NA()),NA())</f>
        <v>#N/A</v>
      </c>
      <c r="AV242" s="65" t="e">
        <f>IF(AU50=1,IF(AU$13&lt;=COUNT($C22:$CS22),IF(INDEX($F$206:$F$229,MATCH($B242,$B$206:$B$229,FALSE))=0,NA(),INDEX(AU$14:AU$37,MATCH($B242,$B$14:$B$37,FALSE))/INDEX($F$206:$F$229,MATCH($B242,$B$206:$B$229,FALSE))),NA()),NA())</f>
        <v>#N/A</v>
      </c>
      <c r="AW242" s="65" t="e">
        <f>IF(AV50=1,IF(AV$13&lt;=COUNT($C22:$CS22),IF(INDEX($F$206:$F$229,MATCH($B242,$B$206:$B$229,FALSE))=0,NA(),INDEX(AV$14:AV$37,MATCH($B242,$B$14:$B$37,FALSE))/INDEX($F$206:$F$229,MATCH($B242,$B$206:$B$229,FALSE))),NA()),NA())</f>
        <v>#N/A</v>
      </c>
      <c r="AX242" s="65" t="e">
        <f>IF(AW50=1,IF(AW$13&lt;=COUNT($C22:$CS22),IF(INDEX($F$206:$F$229,MATCH($B242,$B$206:$B$229,FALSE))=0,NA(),INDEX(AW$14:AW$37,MATCH($B242,$B$14:$B$37,FALSE))/INDEX($F$206:$F$229,MATCH($B242,$B$206:$B$229,FALSE))),NA()),NA())</f>
        <v>#N/A</v>
      </c>
      <c r="AY242" s="65" t="e">
        <f>IF(AX50=1,IF(AX$13&lt;=COUNT($C22:$CS22),IF(INDEX($F$206:$F$229,MATCH($B242,$B$206:$B$229,FALSE))=0,NA(),INDEX(AX$14:AX$37,MATCH($B242,$B$14:$B$37,FALSE))/INDEX($F$206:$F$229,MATCH($B242,$B$206:$B$229,FALSE))),NA()),NA())</f>
        <v>#N/A</v>
      </c>
      <c r="AZ242" s="65" t="e">
        <f>IF(AY50=1,IF(AY$13&lt;=COUNT($C22:$CS22),IF(INDEX($F$206:$F$229,MATCH($B242,$B$206:$B$229,FALSE))=0,NA(),INDEX(AY$14:AY$37,MATCH($B242,$B$14:$B$37,FALSE))/INDEX($F$206:$F$229,MATCH($B242,$B$206:$B$229,FALSE))),NA()),NA())</f>
        <v>#N/A</v>
      </c>
      <c r="BA242" s="65" t="e">
        <f>IF(AZ50=1,IF(AZ$13&lt;=COUNT($C22:$CS22),IF(INDEX($F$206:$F$229,MATCH($B242,$B$206:$B$229,FALSE))=0,NA(),INDEX(AZ$14:AZ$37,MATCH($B242,$B$14:$B$37,FALSE))/INDEX($F$206:$F$229,MATCH($B242,$B$206:$B$229,FALSE))),NA()),NA())</f>
        <v>#N/A</v>
      </c>
      <c r="BB242" s="65" t="e">
        <f>IF(BA50=1,IF(BA$13&lt;=COUNT($C22:$CS22),IF(INDEX($F$206:$F$229,MATCH($B242,$B$206:$B$229,FALSE))=0,NA(),INDEX(BA$14:BA$37,MATCH($B242,$B$14:$B$37,FALSE))/INDEX($F$206:$F$229,MATCH($B242,$B$206:$B$229,FALSE))),NA()),NA())</f>
        <v>#N/A</v>
      </c>
      <c r="BC242" s="65" t="e">
        <f>IF(BB50=1,IF(BB$13&lt;=COUNT($C22:$CS22),IF(INDEX($F$206:$F$229,MATCH($B242,$B$206:$B$229,FALSE))=0,NA(),INDEX(BB$14:BB$37,MATCH($B242,$B$14:$B$37,FALSE))/INDEX($F$206:$F$229,MATCH($B242,$B$206:$B$229,FALSE))),NA()),NA())</f>
        <v>#N/A</v>
      </c>
      <c r="BD242" s="65" t="e">
        <f>IF(BC50=1,IF(BC$13&lt;=COUNT($C22:$CS22),IF(INDEX($F$206:$F$229,MATCH($B242,$B$206:$B$229,FALSE))=0,NA(),INDEX(BC$14:BC$37,MATCH($B242,$B$14:$B$37,FALSE))/INDEX($F$206:$F$229,MATCH($B242,$B$206:$B$229,FALSE))),NA()),NA())</f>
        <v>#N/A</v>
      </c>
      <c r="BE242" s="65" t="e">
        <f>IF(BD50=1,IF(BD$13&lt;=COUNT($C22:$CS22),IF(INDEX($F$206:$F$229,MATCH($B242,$B$206:$B$229,FALSE))=0,NA(),INDEX(BD$14:BD$37,MATCH($B242,$B$14:$B$37,FALSE))/INDEX($F$206:$F$229,MATCH($B242,$B$206:$B$229,FALSE))),NA()),NA())</f>
        <v>#N/A</v>
      </c>
      <c r="BF242" s="65" t="e">
        <f>IF(BE50=1,IF(BE$13&lt;=COUNT($C22:$CS22),IF(INDEX($F$206:$F$229,MATCH($B242,$B$206:$B$229,FALSE))=0,NA(),INDEX(BE$14:BE$37,MATCH($B242,$B$14:$B$37,FALSE))/INDEX($F$206:$F$229,MATCH($B242,$B$206:$B$229,FALSE))),NA()),NA())</f>
        <v>#N/A</v>
      </c>
      <c r="BG242" s="65" t="e">
        <f>IF(BF50=1,IF(BF$13&lt;=COUNT($C22:$CS22),IF(INDEX($F$206:$F$229,MATCH($B242,$B$206:$B$229,FALSE))=0,NA(),INDEX(BF$14:BF$37,MATCH($B242,$B$14:$B$37,FALSE))/INDEX($F$206:$F$229,MATCH($B242,$B$206:$B$229,FALSE))),NA()),NA())</f>
        <v>#N/A</v>
      </c>
      <c r="BH242" s="65" t="e">
        <f>IF(BG50=1,IF(BG$13&lt;=COUNT($C22:$CS22),IF(INDEX($F$206:$F$229,MATCH($B242,$B$206:$B$229,FALSE))=0,NA(),INDEX(BG$14:BG$37,MATCH($B242,$B$14:$B$37,FALSE))/INDEX($F$206:$F$229,MATCH($B242,$B$206:$B$229,FALSE))),NA()),NA())</f>
        <v>#N/A</v>
      </c>
      <c r="BI242" s="65" t="e">
        <f>IF(BH50=1,IF(BH$13&lt;=COUNT($C22:$CS22),IF(INDEX($F$206:$F$229,MATCH($B242,$B$206:$B$229,FALSE))=0,NA(),INDEX(BH$14:BH$37,MATCH($B242,$B$14:$B$37,FALSE))/INDEX($F$206:$F$229,MATCH($B242,$B$206:$B$229,FALSE))),NA()),NA())</f>
        <v>#N/A</v>
      </c>
      <c r="BJ242" s="65" t="e">
        <f>IF(BI50=1,IF(BI$13&lt;=COUNT($C22:$CS22),IF(INDEX($F$206:$F$229,MATCH($B242,$B$206:$B$229,FALSE))=0,NA(),INDEX(BI$14:BI$37,MATCH($B242,$B$14:$B$37,FALSE))/INDEX($F$206:$F$229,MATCH($B242,$B$206:$B$229,FALSE))),NA()),NA())</f>
        <v>#N/A</v>
      </c>
      <c r="BK242" s="65" t="e">
        <f>IF(BJ50=1,IF(BJ$13&lt;=COUNT($C22:$CS22),IF(INDEX($F$206:$F$229,MATCH($B242,$B$206:$B$229,FALSE))=0,NA(),INDEX(BJ$14:BJ$37,MATCH($B242,$B$14:$B$37,FALSE))/INDEX($F$206:$F$229,MATCH($B242,$B$206:$B$229,FALSE))),NA()),NA())</f>
        <v>#N/A</v>
      </c>
      <c r="BL242" s="65" t="e">
        <f>IF(BK50=1,IF(BK$13&lt;=COUNT($C22:$CS22),IF(INDEX($F$206:$F$229,MATCH($B242,$B$206:$B$229,FALSE))=0,NA(),INDEX(BK$14:BK$37,MATCH($B242,$B$14:$B$37,FALSE))/INDEX($F$206:$F$229,MATCH($B242,$B$206:$B$229,FALSE))),NA()),NA())</f>
        <v>#N/A</v>
      </c>
      <c r="BM242" s="65" t="e">
        <f>IF(BL50=1,IF(BL$13&lt;=COUNT($C22:$CS22),IF(INDEX($F$206:$F$229,MATCH($B242,$B$206:$B$229,FALSE))=0,NA(),INDEX(BL$14:BL$37,MATCH($B242,$B$14:$B$37,FALSE))/INDEX($F$206:$F$229,MATCH($B242,$B$206:$B$229,FALSE))),NA()),NA())</f>
        <v>#N/A</v>
      </c>
      <c r="BN242" s="65" t="e">
        <f>IF(BM50=1,IF(BM$13&lt;=COUNT($C22:$CS22),IF(INDEX($F$206:$F$229,MATCH($B242,$B$206:$B$229,FALSE))=0,NA(),INDEX(BM$14:BM$37,MATCH($B242,$B$14:$B$37,FALSE))/INDEX($F$206:$F$229,MATCH($B242,$B$206:$B$229,FALSE))),NA()),NA())</f>
        <v>#N/A</v>
      </c>
      <c r="BO242" s="65" t="e">
        <f>IF(BN50=1,IF(BN$13&lt;=COUNT($C22:$CS22),IF(INDEX($F$206:$F$229,MATCH($B242,$B$206:$B$229,FALSE))=0,NA(),INDEX(BN$14:BN$37,MATCH($B242,$B$14:$B$37,FALSE))/INDEX($F$206:$F$229,MATCH($B242,$B$206:$B$229,FALSE))),NA()),NA())</f>
        <v>#N/A</v>
      </c>
      <c r="BP242" s="65" t="e">
        <f>IF(BO50=1,IF(BO$13&lt;=COUNT($C22:$CS22),IF(INDEX($F$206:$F$229,MATCH($B242,$B$206:$B$229,FALSE))=0,NA(),INDEX(BO$14:BO$37,MATCH($B242,$B$14:$B$37,FALSE))/INDEX($F$206:$F$229,MATCH($B242,$B$206:$B$229,FALSE))),NA()),NA())</f>
        <v>#N/A</v>
      </c>
      <c r="BQ242" s="65" t="e">
        <f>IF(BP50=1,IF(BP$13&lt;=COUNT($C22:$CS22),IF(INDEX($F$206:$F$229,MATCH($B242,$B$206:$B$229,FALSE))=0,NA(),INDEX(BP$14:BP$37,MATCH($B242,$B$14:$B$37,FALSE))/INDEX($F$206:$F$229,MATCH($B242,$B$206:$B$229,FALSE))),NA()),NA())</f>
        <v>#N/A</v>
      </c>
      <c r="BR242" s="65" t="e">
        <f>IF(BQ50=1,IF(BQ$13&lt;=COUNT($C22:$CS22),IF(INDEX($F$206:$F$229,MATCH($B242,$B$206:$B$229,FALSE))=0,NA(),INDEX(BQ$14:BQ$37,MATCH($B242,$B$14:$B$37,FALSE))/INDEX($F$206:$F$229,MATCH($B242,$B$206:$B$229,FALSE))),NA()),NA())</f>
        <v>#N/A</v>
      </c>
      <c r="BS242" s="65" t="e">
        <f>IF(BR50=1,IF(BR$13&lt;=COUNT($C22:$CS22),IF(INDEX($F$206:$F$229,MATCH($B242,$B$206:$B$229,FALSE))=0,NA(),INDEX(BR$14:BR$37,MATCH($B242,$B$14:$B$37,FALSE))/INDEX($F$206:$F$229,MATCH($B242,$B$206:$B$229,FALSE))),NA()),NA())</f>
        <v>#N/A</v>
      </c>
      <c r="BT242" s="65" t="e">
        <f>IF(BS50=1,IF(BS$13&lt;=COUNT($C22:$CS22),IF(INDEX($F$206:$F$229,MATCH($B242,$B$206:$B$229,FALSE))=0,NA(),INDEX(BS$14:BS$37,MATCH($B242,$B$14:$B$37,FALSE))/INDEX($F$206:$F$229,MATCH($B242,$B$206:$B$229,FALSE))),NA()),NA())</f>
        <v>#N/A</v>
      </c>
      <c r="BU242" s="65" t="e">
        <f>IF(BT50=1,IF(BT$13&lt;=COUNT($C22:$CS22),IF(INDEX($F$206:$F$229,MATCH($B242,$B$206:$B$229,FALSE))=0,NA(),INDEX(BT$14:BT$37,MATCH($B242,$B$14:$B$37,FALSE))/INDEX($F$206:$F$229,MATCH($B242,$B$206:$B$229,FALSE))),NA()),NA())</f>
        <v>#N/A</v>
      </c>
      <c r="BV242" s="65" t="e">
        <f>IF(BU50=1,IF(BU$13&lt;=COUNT($C22:$CS22),IF(INDEX($F$206:$F$229,MATCH($B242,$B$206:$B$229,FALSE))=0,NA(),INDEX(BU$14:BU$37,MATCH($B242,$B$14:$B$37,FALSE))/INDEX($F$206:$F$229,MATCH($B242,$B$206:$B$229,FALSE))),NA()),NA())</f>
        <v>#N/A</v>
      </c>
      <c r="BW242" s="65" t="e">
        <f>IF(BV50=1,IF(BV$13&lt;=COUNT($C22:$CS22),IF(INDEX($F$206:$F$229,MATCH($B242,$B$206:$B$229,FALSE))=0,NA(),INDEX(BV$14:BV$37,MATCH($B242,$B$14:$B$37,FALSE))/INDEX($F$206:$F$229,MATCH($B242,$B$206:$B$229,FALSE))),NA()),NA())</f>
        <v>#N/A</v>
      </c>
      <c r="BX242" s="65" t="e">
        <f>IF(BW50=1,IF(BW$13&lt;=COUNT($C22:$CS22),IF(INDEX($F$206:$F$229,MATCH($B242,$B$206:$B$229,FALSE))=0,NA(),INDEX(BW$14:BW$37,MATCH($B242,$B$14:$B$37,FALSE))/INDEX($F$206:$F$229,MATCH($B242,$B$206:$B$229,FALSE))),NA()),NA())</f>
        <v>#N/A</v>
      </c>
      <c r="BY242" s="65" t="e">
        <f>IF(BX50=1,IF(BX$13&lt;=COUNT($C22:$CS22),IF(INDEX($F$206:$F$229,MATCH($B242,$B$206:$B$229,FALSE))=0,NA(),INDEX(BX$14:BX$37,MATCH($B242,$B$14:$B$37,FALSE))/INDEX($F$206:$F$229,MATCH($B242,$B$206:$B$229,FALSE))),NA()),NA())</f>
        <v>#N/A</v>
      </c>
      <c r="BZ242" s="65" t="e">
        <f>IF(BY50=1,IF(BY$13&lt;=COUNT($C22:$CS22),IF(INDEX($F$206:$F$229,MATCH($B242,$B$206:$B$229,FALSE))=0,NA(),INDEX(BY$14:BY$37,MATCH($B242,$B$14:$B$37,FALSE))/INDEX($F$206:$F$229,MATCH($B242,$B$206:$B$229,FALSE))),NA()),NA())</f>
        <v>#N/A</v>
      </c>
      <c r="CA242" s="65" t="e">
        <f>IF(BZ50=1,IF(BZ$13&lt;=COUNT($C22:$CS22),IF(INDEX($F$206:$F$229,MATCH($B242,$B$206:$B$229,FALSE))=0,NA(),INDEX(BZ$14:BZ$37,MATCH($B242,$B$14:$B$37,FALSE))/INDEX($F$206:$F$229,MATCH($B242,$B$206:$B$229,FALSE))),NA()),NA())</f>
        <v>#N/A</v>
      </c>
      <c r="CB242" s="65" t="e">
        <f>IF(CA50=1,IF(CA$13&lt;=COUNT($C22:$CS22),IF(INDEX($F$206:$F$229,MATCH($B242,$B$206:$B$229,FALSE))=0,NA(),INDEX(CA$14:CA$37,MATCH($B242,$B$14:$B$37,FALSE))/INDEX($F$206:$F$229,MATCH($B242,$B$206:$B$229,FALSE))),NA()),NA())</f>
        <v>#N/A</v>
      </c>
      <c r="CC242" s="65" t="e">
        <f>IF(CB50=1,IF(CB$13&lt;=COUNT($C22:$CS22),IF(INDEX($F$206:$F$229,MATCH($B242,$B$206:$B$229,FALSE))=0,NA(),INDEX(CB$14:CB$37,MATCH($B242,$B$14:$B$37,FALSE))/INDEX($F$206:$F$229,MATCH($B242,$B$206:$B$229,FALSE))),NA()),NA())</f>
        <v>#N/A</v>
      </c>
      <c r="CD242" s="65" t="e">
        <f>IF(CC50=1,IF(CC$13&lt;=COUNT($C22:$CS22),IF(INDEX($F$206:$F$229,MATCH($B242,$B$206:$B$229,FALSE))=0,NA(),INDEX(CC$14:CC$37,MATCH($B242,$B$14:$B$37,FALSE))/INDEX($F$206:$F$229,MATCH($B242,$B$206:$B$229,FALSE))),NA()),NA())</f>
        <v>#N/A</v>
      </c>
      <c r="CE242" s="65" t="e">
        <f>IF(CD50=1,IF(CD$13&lt;=COUNT($C22:$CS22),IF(INDEX($F$206:$F$229,MATCH($B242,$B$206:$B$229,FALSE))=0,NA(),INDEX(CD$14:CD$37,MATCH($B242,$B$14:$B$37,FALSE))/INDEX($F$206:$F$229,MATCH($B242,$B$206:$B$229,FALSE))),NA()),NA())</f>
        <v>#N/A</v>
      </c>
      <c r="CF242" s="65" t="e">
        <f>IF(CE50=1,IF(CE$13&lt;=COUNT($C22:$CS22),IF(INDEX($F$206:$F$229,MATCH($B242,$B$206:$B$229,FALSE))=0,NA(),INDEX(CE$14:CE$37,MATCH($B242,$B$14:$B$37,FALSE))/INDEX($F$206:$F$229,MATCH($B242,$B$206:$B$229,FALSE))),NA()),NA())</f>
        <v>#N/A</v>
      </c>
      <c r="CG242" s="65" t="e">
        <f>IF(CF50=1,IF(CF$13&lt;=COUNT($C22:$CS22),IF(INDEX($F$206:$F$229,MATCH($B242,$B$206:$B$229,FALSE))=0,NA(),INDEX(CF$14:CF$37,MATCH($B242,$B$14:$B$37,FALSE))/INDEX($F$206:$F$229,MATCH($B242,$B$206:$B$229,FALSE))),NA()),NA())</f>
        <v>#N/A</v>
      </c>
      <c r="CH242" s="65" t="e">
        <f>IF(CG50=1,IF(CG$13&lt;=COUNT($C22:$CS22),IF(INDEX($F$206:$F$229,MATCH($B242,$B$206:$B$229,FALSE))=0,NA(),INDEX(CG$14:CG$37,MATCH($B242,$B$14:$B$37,FALSE))/INDEX($F$206:$F$229,MATCH($B242,$B$206:$B$229,FALSE))),NA()),NA())</f>
        <v>#N/A</v>
      </c>
      <c r="CI242" s="65" t="e">
        <f>IF(CH50=1,IF(CH$13&lt;=COUNT($C22:$CS22),IF(INDEX($F$206:$F$229,MATCH($B242,$B$206:$B$229,FALSE))=0,NA(),INDEX(CH$14:CH$37,MATCH($B242,$B$14:$B$37,FALSE))/INDEX($F$206:$F$229,MATCH($B242,$B$206:$B$229,FALSE))),NA()),NA())</f>
        <v>#N/A</v>
      </c>
      <c r="CJ242" s="65" t="e">
        <f>IF(CI50=1,IF(CI$13&lt;=COUNT($C22:$CS22),IF(INDEX($F$206:$F$229,MATCH($B242,$B$206:$B$229,FALSE))=0,NA(),INDEX(CI$14:CI$37,MATCH($B242,$B$14:$B$37,FALSE))/INDEX($F$206:$F$229,MATCH($B242,$B$206:$B$229,FALSE))),NA()),NA())</f>
        <v>#N/A</v>
      </c>
      <c r="CK242" s="65" t="e">
        <f>IF(CJ50=1,IF(CJ$13&lt;=COUNT($C22:$CS22),IF(INDEX($F$206:$F$229,MATCH($B242,$B$206:$B$229,FALSE))=0,NA(),INDEX(CJ$14:CJ$37,MATCH($B242,$B$14:$B$37,FALSE))/INDEX($F$206:$F$229,MATCH($B242,$B$206:$B$229,FALSE))),NA()),NA())</f>
        <v>#N/A</v>
      </c>
      <c r="CL242" s="65" t="e">
        <f>IF(CK50=1,IF(CK$13&lt;=COUNT($C22:$CS22),IF(INDEX($F$206:$F$229,MATCH($B242,$B$206:$B$229,FALSE))=0,NA(),INDEX(CK$14:CK$37,MATCH($B242,$B$14:$B$37,FALSE))/INDEX($F$206:$F$229,MATCH($B242,$B$206:$B$229,FALSE))),NA()),NA())</f>
        <v>#N/A</v>
      </c>
      <c r="CM242" s="65" t="e">
        <f>IF(CL50=1,IF(CL$13&lt;=COUNT($C22:$CS22),IF(INDEX($F$206:$F$229,MATCH($B242,$B$206:$B$229,FALSE))=0,NA(),INDEX(CL$14:CL$37,MATCH($B242,$B$14:$B$37,FALSE))/INDEX($F$206:$F$229,MATCH($B242,$B$206:$B$229,FALSE))),NA()),NA())</f>
        <v>#N/A</v>
      </c>
      <c r="CN242" s="65" t="e">
        <f>IF(CM50=1,IF(CM$13&lt;=COUNT($C22:$CS22),IF(INDEX($F$206:$F$229,MATCH($B242,$B$206:$B$229,FALSE))=0,NA(),INDEX(CM$14:CM$37,MATCH($B242,$B$14:$B$37,FALSE))/INDEX($F$206:$F$229,MATCH($B242,$B$206:$B$229,FALSE))),NA()),NA())</f>
        <v>#N/A</v>
      </c>
      <c r="CO242" s="65" t="e">
        <f>IF(CN50=1,IF(CN$13&lt;=COUNT($C22:$CS22),IF(INDEX($F$206:$F$229,MATCH($B242,$B$206:$B$229,FALSE))=0,NA(),INDEX(CN$14:CN$37,MATCH($B242,$B$14:$B$37,FALSE))/INDEX($F$206:$F$229,MATCH($B242,$B$206:$B$229,FALSE))),NA()),NA())</f>
        <v>#N/A</v>
      </c>
      <c r="CP242" s="65" t="e">
        <f>IF(CO50=1,IF(CO$13&lt;=COUNT($C22:$CS22),IF(INDEX($F$206:$F$229,MATCH($B242,$B$206:$B$229,FALSE))=0,NA(),INDEX(CO$14:CO$37,MATCH($B242,$B$14:$B$37,FALSE))/INDEX($F$206:$F$229,MATCH($B242,$B$206:$B$229,FALSE))),NA()),NA())</f>
        <v>#N/A</v>
      </c>
      <c r="CQ242" s="65" t="e">
        <f>IF(CP50=1,IF(CP$13&lt;=COUNT($C22:$CS22),IF(INDEX($F$206:$F$229,MATCH($B242,$B$206:$B$229,FALSE))=0,NA(),INDEX(CP$14:CP$37,MATCH($B242,$B$14:$B$37,FALSE))/INDEX($F$206:$F$229,MATCH($B242,$B$206:$B$229,FALSE))),NA()),NA())</f>
        <v>#N/A</v>
      </c>
      <c r="CR242" s="65" t="e">
        <f>IF(CQ50=1,IF(CQ$13&lt;=COUNT($C22:$CS22),IF(INDEX($F$206:$F$229,MATCH($B242,$B$206:$B$229,FALSE))=0,NA(),INDEX(CQ$14:CQ$37,MATCH($B242,$B$14:$B$37,FALSE))/INDEX($F$206:$F$229,MATCH($B242,$B$206:$B$229,FALSE))),NA()),NA())</f>
        <v>#N/A</v>
      </c>
      <c r="CS242" s="65" t="e">
        <f>IF(CR50=1,IF(CR$13&lt;=COUNT($C22:$CS22),IF(INDEX($F$206:$F$229,MATCH($B242,$B$206:$B$229,FALSE))=0,NA(),INDEX(CR$14:CR$37,MATCH($B242,$B$14:$B$37,FALSE))/INDEX($F$206:$F$229,MATCH($B242,$B$206:$B$229,FALSE))),NA()),NA())</f>
        <v>#N/A</v>
      </c>
      <c r="CT242" s="49"/>
      <c r="CU242" s="49"/>
      <c r="CV242" s="49"/>
      <c r="CW242" s="49"/>
    </row>
    <row r="243" spans="1:101" x14ac:dyDescent="0.25">
      <c r="A243" s="97">
        <f t="shared" si="105"/>
        <v>0</v>
      </c>
      <c r="B243" s="29">
        <f t="shared" si="104"/>
        <v>2005</v>
      </c>
      <c r="C243" s="154" t="str">
        <f t="shared" si="106"/>
        <v/>
      </c>
      <c r="D243" s="54" t="e">
        <f>IF(C51=1,IF(C$13&lt;=COUNT($C23:$CS23),IF(INDEX($F$206:$F$229,MATCH($B243,$B$206:$B$229,FALSE))=0,NA(),INDEX(C$14:C$37,MATCH($B243,$B$14:$B$37,FALSE))/INDEX($F$206:$F$229,MATCH($B243,$B$206:$B$229,FALSE))),NA()),NA())</f>
        <v>#N/A</v>
      </c>
      <c r="E243" s="65" t="e">
        <f>IF(D51=1,IF(D$13&lt;=COUNT($C23:$CS23),IF(INDEX($F$206:$F$229,MATCH($B243,$B$206:$B$229,FALSE))=0,NA(),INDEX(D$14:D$37,MATCH($B243,$B$14:$B$37,FALSE))/INDEX($F$206:$F$229,MATCH($B243,$B$206:$B$229,FALSE))),NA()),NA())</f>
        <v>#N/A</v>
      </c>
      <c r="F243" s="65" t="e">
        <f>IF(E51=1,IF(E$13&lt;=COUNT($C23:$CS23),IF(INDEX($F$206:$F$229,MATCH($B243,$B$206:$B$229,FALSE))=0,NA(),INDEX(E$14:E$37,MATCH($B243,$B$14:$B$37,FALSE))/INDEX($F$206:$F$229,MATCH($B243,$B$206:$B$229,FALSE))),NA()),NA())</f>
        <v>#N/A</v>
      </c>
      <c r="G243" s="65" t="e">
        <f>IF(F51=1,IF(F$13&lt;=COUNT($C23:$CS23),IF(INDEX($F$206:$F$229,MATCH($B243,$B$206:$B$229,FALSE))=0,NA(),INDEX(F$14:F$37,MATCH($B243,$B$14:$B$37,FALSE))/INDEX($F$206:$F$229,MATCH($B243,$B$206:$B$229,FALSE))),NA()),NA())</f>
        <v>#N/A</v>
      </c>
      <c r="H243" s="65" t="e">
        <f>IF(G51=1,IF(G$13&lt;=COUNT($C23:$CS23),IF(INDEX($F$206:$F$229,MATCH($B243,$B$206:$B$229,FALSE))=0,NA(),INDEX(G$14:G$37,MATCH($B243,$B$14:$B$37,FALSE))/INDEX($F$206:$F$229,MATCH($B243,$B$206:$B$229,FALSE))),NA()),NA())</f>
        <v>#N/A</v>
      </c>
      <c r="I243" s="65" t="e">
        <f>IF(H51=1,IF(H$13&lt;=COUNT($C23:$CS23),IF(INDEX($F$206:$F$229,MATCH($B243,$B$206:$B$229,FALSE))=0,NA(),INDEX(H$14:H$37,MATCH($B243,$B$14:$B$37,FALSE))/INDEX($F$206:$F$229,MATCH($B243,$B$206:$B$229,FALSE))),NA()),NA())</f>
        <v>#N/A</v>
      </c>
      <c r="J243" s="65" t="e">
        <f>IF(I51=1,IF(I$13&lt;=COUNT($C23:$CS23),IF(INDEX($F$206:$F$229,MATCH($B243,$B$206:$B$229,FALSE))=0,NA(),INDEX(I$14:I$37,MATCH($B243,$B$14:$B$37,FALSE))/INDEX($F$206:$F$229,MATCH($B243,$B$206:$B$229,FALSE))),NA()),NA())</f>
        <v>#N/A</v>
      </c>
      <c r="K243" s="65" t="e">
        <f>IF(J51=1,IF(J$13&lt;=COUNT($C23:$CS23),IF(INDEX($F$206:$F$229,MATCH($B243,$B$206:$B$229,FALSE))=0,NA(),INDEX(J$14:J$37,MATCH($B243,$B$14:$B$37,FALSE))/INDEX($F$206:$F$229,MATCH($B243,$B$206:$B$229,FALSE))),NA()),NA())</f>
        <v>#N/A</v>
      </c>
      <c r="L243" s="65" t="e">
        <f>IF(K51=1,IF(K$13&lt;=COUNT($C23:$CS23),IF(INDEX($F$206:$F$229,MATCH($B243,$B$206:$B$229,FALSE))=0,NA(),INDEX(K$14:K$37,MATCH($B243,$B$14:$B$37,FALSE))/INDEX($F$206:$F$229,MATCH($B243,$B$206:$B$229,FALSE))),NA()),NA())</f>
        <v>#N/A</v>
      </c>
      <c r="M243" s="65" t="e">
        <f>IF(L51=1,IF(L$13&lt;=COUNT($C23:$CS23),IF(INDEX($F$206:$F$229,MATCH($B243,$B$206:$B$229,FALSE))=0,NA(),INDEX(L$14:L$37,MATCH($B243,$B$14:$B$37,FALSE))/INDEX($F$206:$F$229,MATCH($B243,$B$206:$B$229,FALSE))),NA()),NA())</f>
        <v>#N/A</v>
      </c>
      <c r="N243" s="65" t="e">
        <f>IF(M51=1,IF(M$13&lt;=COUNT($C23:$CS23),IF(INDEX($F$206:$F$229,MATCH($B243,$B$206:$B$229,FALSE))=0,NA(),INDEX(M$14:M$37,MATCH($B243,$B$14:$B$37,FALSE))/INDEX($F$206:$F$229,MATCH($B243,$B$206:$B$229,FALSE))),NA()),NA())</f>
        <v>#N/A</v>
      </c>
      <c r="O243" s="65" t="e">
        <f>IF(N51=1,IF(N$13&lt;=COUNT($C23:$CS23),IF(INDEX($F$206:$F$229,MATCH($B243,$B$206:$B$229,FALSE))=0,NA(),INDEX(N$14:N$37,MATCH($B243,$B$14:$B$37,FALSE))/INDEX($F$206:$F$229,MATCH($B243,$B$206:$B$229,FALSE))),NA()),NA())</f>
        <v>#N/A</v>
      </c>
      <c r="P243" s="65" t="e">
        <f>IF(O51=1,IF(O$13&lt;=COUNT($C23:$CS23),IF(INDEX($F$206:$F$229,MATCH($B243,$B$206:$B$229,FALSE))=0,NA(),INDEX(O$14:O$37,MATCH($B243,$B$14:$B$37,FALSE))/INDEX($F$206:$F$229,MATCH($B243,$B$206:$B$229,FALSE))),NA()),NA())</f>
        <v>#N/A</v>
      </c>
      <c r="Q243" s="65" t="e">
        <f>IF(P51=1,IF(P$13&lt;=COUNT($C23:$CS23),IF(INDEX($F$206:$F$229,MATCH($B243,$B$206:$B$229,FALSE))=0,NA(),INDEX(P$14:P$37,MATCH($B243,$B$14:$B$37,FALSE))/INDEX($F$206:$F$229,MATCH($B243,$B$206:$B$229,FALSE))),NA()),NA())</f>
        <v>#N/A</v>
      </c>
      <c r="R243" s="65" t="e">
        <f>IF(Q51=1,IF(Q$13&lt;=COUNT($C23:$CS23),IF(INDEX($F$206:$F$229,MATCH($B243,$B$206:$B$229,FALSE))=0,NA(),INDEX(Q$14:Q$37,MATCH($B243,$B$14:$B$37,FALSE))/INDEX($F$206:$F$229,MATCH($B243,$B$206:$B$229,FALSE))),NA()),NA())</f>
        <v>#N/A</v>
      </c>
      <c r="S243" s="65" t="e">
        <f>IF(R51=1,IF(R$13&lt;=COUNT($C23:$CS23),IF(INDEX($F$206:$F$229,MATCH($B243,$B$206:$B$229,FALSE))=0,NA(),INDEX(R$14:R$37,MATCH($B243,$B$14:$B$37,FALSE))/INDEX($F$206:$F$229,MATCH($B243,$B$206:$B$229,FALSE))),NA()),NA())</f>
        <v>#N/A</v>
      </c>
      <c r="T243" s="65" t="e">
        <f>IF(S51=1,IF(S$13&lt;=COUNT($C23:$CS23),IF(INDEX($F$206:$F$229,MATCH($B243,$B$206:$B$229,FALSE))=0,NA(),INDEX(S$14:S$37,MATCH($B243,$B$14:$B$37,FALSE))/INDEX($F$206:$F$229,MATCH($B243,$B$206:$B$229,FALSE))),NA()),NA())</f>
        <v>#N/A</v>
      </c>
      <c r="U243" s="65" t="e">
        <f>IF(T51=1,IF(T$13&lt;=COUNT($C23:$CS23),IF(INDEX($F$206:$F$229,MATCH($B243,$B$206:$B$229,FALSE))=0,NA(),INDEX(T$14:T$37,MATCH($B243,$B$14:$B$37,FALSE))/INDEX($F$206:$F$229,MATCH($B243,$B$206:$B$229,FALSE))),NA()),NA())</f>
        <v>#N/A</v>
      </c>
      <c r="V243" s="65" t="e">
        <f>IF(U51=1,IF(U$13&lt;=COUNT($C23:$CS23),IF(INDEX($F$206:$F$229,MATCH($B243,$B$206:$B$229,FALSE))=0,NA(),INDEX(U$14:U$37,MATCH($B243,$B$14:$B$37,FALSE))/INDEX($F$206:$F$229,MATCH($B243,$B$206:$B$229,FALSE))),NA()),NA())</f>
        <v>#N/A</v>
      </c>
      <c r="W243" s="65" t="e">
        <f>IF(V51=1,IF(V$13&lt;=COUNT($C23:$CS23),IF(INDEX($F$206:$F$229,MATCH($B243,$B$206:$B$229,FALSE))=0,NA(),INDEX(V$14:V$37,MATCH($B243,$B$14:$B$37,FALSE))/INDEX($F$206:$F$229,MATCH($B243,$B$206:$B$229,FALSE))),NA()),NA())</f>
        <v>#N/A</v>
      </c>
      <c r="X243" s="65" t="e">
        <f>IF(W51=1,IF(W$13&lt;=COUNT($C23:$CS23),IF(INDEX($F$206:$F$229,MATCH($B243,$B$206:$B$229,FALSE))=0,NA(),INDEX(W$14:W$37,MATCH($B243,$B$14:$B$37,FALSE))/INDEX($F$206:$F$229,MATCH($B243,$B$206:$B$229,FALSE))),NA()),NA())</f>
        <v>#N/A</v>
      </c>
      <c r="Y243" s="65" t="e">
        <f>IF(X51=1,IF(X$13&lt;=COUNT($C23:$CS23),IF(INDEX($F$206:$F$229,MATCH($B243,$B$206:$B$229,FALSE))=0,NA(),INDEX(X$14:X$37,MATCH($B243,$B$14:$B$37,FALSE))/INDEX($F$206:$F$229,MATCH($B243,$B$206:$B$229,FALSE))),NA()),NA())</f>
        <v>#N/A</v>
      </c>
      <c r="Z243" s="65" t="e">
        <f>IF(Y51=1,IF(Y$13&lt;=COUNT($C23:$CS23),IF(INDEX($F$206:$F$229,MATCH($B243,$B$206:$B$229,FALSE))=0,NA(),INDEX(Y$14:Y$37,MATCH($B243,$B$14:$B$37,FALSE))/INDEX($F$206:$F$229,MATCH($B243,$B$206:$B$229,FALSE))),NA()),NA())</f>
        <v>#N/A</v>
      </c>
      <c r="AA243" s="65" t="e">
        <f>IF(Z51=1,IF(Z$13&lt;=COUNT($C23:$CS23),IF(INDEX($F$206:$F$229,MATCH($B243,$B$206:$B$229,FALSE))=0,NA(),INDEX(Z$14:Z$37,MATCH($B243,$B$14:$B$37,FALSE))/INDEX($F$206:$F$229,MATCH($B243,$B$206:$B$229,FALSE))),NA()),NA())</f>
        <v>#N/A</v>
      </c>
      <c r="AB243" s="65" t="e">
        <f>IF(AA51=1,IF(AA$13&lt;=COUNT($C23:$CS23),IF(INDEX($F$206:$F$229,MATCH($B243,$B$206:$B$229,FALSE))=0,NA(),INDEX(AA$14:AA$37,MATCH($B243,$B$14:$B$37,FALSE))/INDEX($F$206:$F$229,MATCH($B243,$B$206:$B$229,FALSE))),NA()),NA())</f>
        <v>#N/A</v>
      </c>
      <c r="AC243" s="65" t="e">
        <f>IF(AB51=1,IF(AB$13&lt;=COUNT($C23:$CS23),IF(INDEX($F$206:$F$229,MATCH($B243,$B$206:$B$229,FALSE))=0,NA(),INDEX(AB$14:AB$37,MATCH($B243,$B$14:$B$37,FALSE))/INDEX($F$206:$F$229,MATCH($B243,$B$206:$B$229,FALSE))),NA()),NA())</f>
        <v>#N/A</v>
      </c>
      <c r="AD243" s="65" t="e">
        <f>IF(AC51=1,IF(AC$13&lt;=COUNT($C23:$CS23),IF(INDEX($F$206:$F$229,MATCH($B243,$B$206:$B$229,FALSE))=0,NA(),INDEX(AC$14:AC$37,MATCH($B243,$B$14:$B$37,FALSE))/INDEX($F$206:$F$229,MATCH($B243,$B$206:$B$229,FALSE))),NA()),NA())</f>
        <v>#N/A</v>
      </c>
      <c r="AE243" s="65" t="e">
        <f>IF(AD51=1,IF(AD$13&lt;=COUNT($C23:$CS23),IF(INDEX($F$206:$F$229,MATCH($B243,$B$206:$B$229,FALSE))=0,NA(),INDEX(AD$14:AD$37,MATCH($B243,$B$14:$B$37,FALSE))/INDEX($F$206:$F$229,MATCH($B243,$B$206:$B$229,FALSE))),NA()),NA())</f>
        <v>#N/A</v>
      </c>
      <c r="AF243" s="65" t="e">
        <f>IF(AE51=1,IF(AE$13&lt;=COUNT($C23:$CS23),IF(INDEX($F$206:$F$229,MATCH($B243,$B$206:$B$229,FALSE))=0,NA(),INDEX(AE$14:AE$37,MATCH($B243,$B$14:$B$37,FALSE))/INDEX($F$206:$F$229,MATCH($B243,$B$206:$B$229,FALSE))),NA()),NA())</f>
        <v>#N/A</v>
      </c>
      <c r="AG243" s="65" t="e">
        <f>IF(AF51=1,IF(AF$13&lt;=COUNT($C23:$CS23),IF(INDEX($F$206:$F$229,MATCH($B243,$B$206:$B$229,FALSE))=0,NA(),INDEX(AF$14:AF$37,MATCH($B243,$B$14:$B$37,FALSE))/INDEX($F$206:$F$229,MATCH($B243,$B$206:$B$229,FALSE))),NA()),NA())</f>
        <v>#N/A</v>
      </c>
      <c r="AH243" s="65" t="e">
        <f>IF(AG51=1,IF(AG$13&lt;=COUNT($C23:$CS23),IF(INDEX($F$206:$F$229,MATCH($B243,$B$206:$B$229,FALSE))=0,NA(),INDEX(AG$14:AG$37,MATCH($B243,$B$14:$B$37,FALSE))/INDEX($F$206:$F$229,MATCH($B243,$B$206:$B$229,FALSE))),NA()),NA())</f>
        <v>#N/A</v>
      </c>
      <c r="AI243" s="65" t="e">
        <f>IF(AH51=1,IF(AH$13&lt;=COUNT($C23:$CS23),IF(INDEX($F$206:$F$229,MATCH($B243,$B$206:$B$229,FALSE))=0,NA(),INDEX(AH$14:AH$37,MATCH($B243,$B$14:$B$37,FALSE))/INDEX($F$206:$F$229,MATCH($B243,$B$206:$B$229,FALSE))),NA()),NA())</f>
        <v>#N/A</v>
      </c>
      <c r="AJ243" s="65" t="e">
        <f>IF(AI51=1,IF(AI$13&lt;=COUNT($C23:$CS23),IF(INDEX($F$206:$F$229,MATCH($B243,$B$206:$B$229,FALSE))=0,NA(),INDEX(AI$14:AI$37,MATCH($B243,$B$14:$B$37,FALSE))/INDEX($F$206:$F$229,MATCH($B243,$B$206:$B$229,FALSE))),NA()),NA())</f>
        <v>#N/A</v>
      </c>
      <c r="AK243" s="65" t="e">
        <f>IF(AJ51=1,IF(AJ$13&lt;=COUNT($C23:$CS23),IF(INDEX($F$206:$F$229,MATCH($B243,$B$206:$B$229,FALSE))=0,NA(),INDEX(AJ$14:AJ$37,MATCH($B243,$B$14:$B$37,FALSE))/INDEX($F$206:$F$229,MATCH($B243,$B$206:$B$229,FALSE))),NA()),NA())</f>
        <v>#N/A</v>
      </c>
      <c r="AL243" s="65" t="e">
        <f>IF(AK51=1,IF(AK$13&lt;=COUNT($C23:$CS23),IF(INDEX($F$206:$F$229,MATCH($B243,$B$206:$B$229,FALSE))=0,NA(),INDEX(AK$14:AK$37,MATCH($B243,$B$14:$B$37,FALSE))/INDEX($F$206:$F$229,MATCH($B243,$B$206:$B$229,FALSE))),NA()),NA())</f>
        <v>#N/A</v>
      </c>
      <c r="AM243" s="65" t="e">
        <f>IF(AL51=1,IF(AL$13&lt;=COUNT($C23:$CS23),IF(INDEX($F$206:$F$229,MATCH($B243,$B$206:$B$229,FALSE))=0,NA(),INDEX(AL$14:AL$37,MATCH($B243,$B$14:$B$37,FALSE))/INDEX($F$206:$F$229,MATCH($B243,$B$206:$B$229,FALSE))),NA()),NA())</f>
        <v>#N/A</v>
      </c>
      <c r="AN243" s="65" t="e">
        <f>IF(AM51=1,IF(AM$13&lt;=COUNT($C23:$CS23),IF(INDEX($F$206:$F$229,MATCH($B243,$B$206:$B$229,FALSE))=0,NA(),INDEX(AM$14:AM$37,MATCH($B243,$B$14:$B$37,FALSE))/INDEX($F$206:$F$229,MATCH($B243,$B$206:$B$229,FALSE))),NA()),NA())</f>
        <v>#N/A</v>
      </c>
      <c r="AO243" s="65" t="e">
        <f>IF(AN51=1,IF(AN$13&lt;=COUNT($C23:$CS23),IF(INDEX($F$206:$F$229,MATCH($B243,$B$206:$B$229,FALSE))=0,NA(),INDEX(AN$14:AN$37,MATCH($B243,$B$14:$B$37,FALSE))/INDEX($F$206:$F$229,MATCH($B243,$B$206:$B$229,FALSE))),NA()),NA())</f>
        <v>#N/A</v>
      </c>
      <c r="AP243" s="65" t="e">
        <f>IF(AO51=1,IF(AO$13&lt;=COUNT($C23:$CS23),IF(INDEX($F$206:$F$229,MATCH($B243,$B$206:$B$229,FALSE))=0,NA(),INDEX(AO$14:AO$37,MATCH($B243,$B$14:$B$37,FALSE))/INDEX($F$206:$F$229,MATCH($B243,$B$206:$B$229,FALSE))),NA()),NA())</f>
        <v>#N/A</v>
      </c>
      <c r="AQ243" s="65" t="e">
        <f>IF(AP51=1,IF(AP$13&lt;=COUNT($C23:$CS23),IF(INDEX($F$206:$F$229,MATCH($B243,$B$206:$B$229,FALSE))=0,NA(),INDEX(AP$14:AP$37,MATCH($B243,$B$14:$B$37,FALSE))/INDEX($F$206:$F$229,MATCH($B243,$B$206:$B$229,FALSE))),NA()),NA())</f>
        <v>#N/A</v>
      </c>
      <c r="AR243" s="65" t="e">
        <f>IF(AQ51=1,IF(AQ$13&lt;=COUNT($C23:$CS23),IF(INDEX($F$206:$F$229,MATCH($B243,$B$206:$B$229,FALSE))=0,NA(),INDEX(AQ$14:AQ$37,MATCH($B243,$B$14:$B$37,FALSE))/INDEX($F$206:$F$229,MATCH($B243,$B$206:$B$229,FALSE))),NA()),NA())</f>
        <v>#N/A</v>
      </c>
      <c r="AS243" s="65" t="e">
        <f>IF(AR51=1,IF(AR$13&lt;=COUNT($C23:$CS23),IF(INDEX($F$206:$F$229,MATCH($B243,$B$206:$B$229,FALSE))=0,NA(),INDEX(AR$14:AR$37,MATCH($B243,$B$14:$B$37,FALSE))/INDEX($F$206:$F$229,MATCH($B243,$B$206:$B$229,FALSE))),NA()),NA())</f>
        <v>#N/A</v>
      </c>
      <c r="AT243" s="65" t="e">
        <f>IF(AS51=1,IF(AS$13&lt;=COUNT($C23:$CS23),IF(INDEX($F$206:$F$229,MATCH($B243,$B$206:$B$229,FALSE))=0,NA(),INDEX(AS$14:AS$37,MATCH($B243,$B$14:$B$37,FALSE))/INDEX($F$206:$F$229,MATCH($B243,$B$206:$B$229,FALSE))),NA()),NA())</f>
        <v>#N/A</v>
      </c>
      <c r="AU243" s="65" t="e">
        <f>IF(AT51=1,IF(AT$13&lt;=COUNT($C23:$CS23),IF(INDEX($F$206:$F$229,MATCH($B243,$B$206:$B$229,FALSE))=0,NA(),INDEX(AT$14:AT$37,MATCH($B243,$B$14:$B$37,FALSE))/INDEX($F$206:$F$229,MATCH($B243,$B$206:$B$229,FALSE))),NA()),NA())</f>
        <v>#N/A</v>
      </c>
      <c r="AV243" s="65" t="e">
        <f>IF(AU51=1,IF(AU$13&lt;=COUNT($C23:$CS23),IF(INDEX($F$206:$F$229,MATCH($B243,$B$206:$B$229,FALSE))=0,NA(),INDEX(AU$14:AU$37,MATCH($B243,$B$14:$B$37,FALSE))/INDEX($F$206:$F$229,MATCH($B243,$B$206:$B$229,FALSE))),NA()),NA())</f>
        <v>#N/A</v>
      </c>
      <c r="AW243" s="65" t="e">
        <f>IF(AV51=1,IF(AV$13&lt;=COUNT($C23:$CS23),IF(INDEX($F$206:$F$229,MATCH($B243,$B$206:$B$229,FALSE))=0,NA(),INDEX(AV$14:AV$37,MATCH($B243,$B$14:$B$37,FALSE))/INDEX($F$206:$F$229,MATCH($B243,$B$206:$B$229,FALSE))),NA()),NA())</f>
        <v>#N/A</v>
      </c>
      <c r="AX243" s="65" t="e">
        <f>IF(AW51=1,IF(AW$13&lt;=COUNT($C23:$CS23),IF(INDEX($F$206:$F$229,MATCH($B243,$B$206:$B$229,FALSE))=0,NA(),INDEX(AW$14:AW$37,MATCH($B243,$B$14:$B$37,FALSE))/INDEX($F$206:$F$229,MATCH($B243,$B$206:$B$229,FALSE))),NA()),NA())</f>
        <v>#N/A</v>
      </c>
      <c r="AY243" s="65" t="e">
        <f>IF(AX51=1,IF(AX$13&lt;=COUNT($C23:$CS23),IF(INDEX($F$206:$F$229,MATCH($B243,$B$206:$B$229,FALSE))=0,NA(),INDEX(AX$14:AX$37,MATCH($B243,$B$14:$B$37,FALSE))/INDEX($F$206:$F$229,MATCH($B243,$B$206:$B$229,FALSE))),NA()),NA())</f>
        <v>#N/A</v>
      </c>
      <c r="AZ243" s="65" t="e">
        <f>IF(AY51=1,IF(AY$13&lt;=COUNT($C23:$CS23),IF(INDEX($F$206:$F$229,MATCH($B243,$B$206:$B$229,FALSE))=0,NA(),INDEX(AY$14:AY$37,MATCH($B243,$B$14:$B$37,FALSE))/INDEX($F$206:$F$229,MATCH($B243,$B$206:$B$229,FALSE))),NA()),NA())</f>
        <v>#N/A</v>
      </c>
      <c r="BA243" s="65" t="e">
        <f>IF(AZ51=1,IF(AZ$13&lt;=COUNT($C23:$CS23),IF(INDEX($F$206:$F$229,MATCH($B243,$B$206:$B$229,FALSE))=0,NA(),INDEX(AZ$14:AZ$37,MATCH($B243,$B$14:$B$37,FALSE))/INDEX($F$206:$F$229,MATCH($B243,$B$206:$B$229,FALSE))),NA()),NA())</f>
        <v>#N/A</v>
      </c>
      <c r="BB243" s="65" t="e">
        <f>IF(BA51=1,IF(BA$13&lt;=COUNT($C23:$CS23),IF(INDEX($F$206:$F$229,MATCH($B243,$B$206:$B$229,FALSE))=0,NA(),INDEX(BA$14:BA$37,MATCH($B243,$B$14:$B$37,FALSE))/INDEX($F$206:$F$229,MATCH($B243,$B$206:$B$229,FALSE))),NA()),NA())</f>
        <v>#N/A</v>
      </c>
      <c r="BC243" s="65" t="e">
        <f>IF(BB51=1,IF(BB$13&lt;=COUNT($C23:$CS23),IF(INDEX($F$206:$F$229,MATCH($B243,$B$206:$B$229,FALSE))=0,NA(),INDEX(BB$14:BB$37,MATCH($B243,$B$14:$B$37,FALSE))/INDEX($F$206:$F$229,MATCH($B243,$B$206:$B$229,FALSE))),NA()),NA())</f>
        <v>#N/A</v>
      </c>
      <c r="BD243" s="65" t="e">
        <f>IF(BC51=1,IF(BC$13&lt;=COUNT($C23:$CS23),IF(INDEX($F$206:$F$229,MATCH($B243,$B$206:$B$229,FALSE))=0,NA(),INDEX(BC$14:BC$37,MATCH($B243,$B$14:$B$37,FALSE))/INDEX($F$206:$F$229,MATCH($B243,$B$206:$B$229,FALSE))),NA()),NA())</f>
        <v>#N/A</v>
      </c>
      <c r="BE243" s="65" t="e">
        <f>IF(BD51=1,IF(BD$13&lt;=COUNT($C23:$CS23),IF(INDEX($F$206:$F$229,MATCH($B243,$B$206:$B$229,FALSE))=0,NA(),INDEX(BD$14:BD$37,MATCH($B243,$B$14:$B$37,FALSE))/INDEX($F$206:$F$229,MATCH($B243,$B$206:$B$229,FALSE))),NA()),NA())</f>
        <v>#N/A</v>
      </c>
      <c r="BF243" s="65" t="e">
        <f>IF(BE51=1,IF(BE$13&lt;=COUNT($C23:$CS23),IF(INDEX($F$206:$F$229,MATCH($B243,$B$206:$B$229,FALSE))=0,NA(),INDEX(BE$14:BE$37,MATCH($B243,$B$14:$B$37,FALSE))/INDEX($F$206:$F$229,MATCH($B243,$B$206:$B$229,FALSE))),NA()),NA())</f>
        <v>#N/A</v>
      </c>
      <c r="BG243" s="65" t="e">
        <f>IF(BF51=1,IF(BF$13&lt;=COUNT($C23:$CS23),IF(INDEX($F$206:$F$229,MATCH($B243,$B$206:$B$229,FALSE))=0,NA(),INDEX(BF$14:BF$37,MATCH($B243,$B$14:$B$37,FALSE))/INDEX($F$206:$F$229,MATCH($B243,$B$206:$B$229,FALSE))),NA()),NA())</f>
        <v>#N/A</v>
      </c>
      <c r="BH243" s="65" t="e">
        <f>IF(BG51=1,IF(BG$13&lt;=COUNT($C23:$CS23),IF(INDEX($F$206:$F$229,MATCH($B243,$B$206:$B$229,FALSE))=0,NA(),INDEX(BG$14:BG$37,MATCH($B243,$B$14:$B$37,FALSE))/INDEX($F$206:$F$229,MATCH($B243,$B$206:$B$229,FALSE))),NA()),NA())</f>
        <v>#N/A</v>
      </c>
      <c r="BI243" s="65" t="e">
        <f>IF(BH51=1,IF(BH$13&lt;=COUNT($C23:$CS23),IF(INDEX($F$206:$F$229,MATCH($B243,$B$206:$B$229,FALSE))=0,NA(),INDEX(BH$14:BH$37,MATCH($B243,$B$14:$B$37,FALSE))/INDEX($F$206:$F$229,MATCH($B243,$B$206:$B$229,FALSE))),NA()),NA())</f>
        <v>#N/A</v>
      </c>
      <c r="BJ243" s="65" t="e">
        <f>IF(BI51=1,IF(BI$13&lt;=COUNT($C23:$CS23),IF(INDEX($F$206:$F$229,MATCH($B243,$B$206:$B$229,FALSE))=0,NA(),INDEX(BI$14:BI$37,MATCH($B243,$B$14:$B$37,FALSE))/INDEX($F$206:$F$229,MATCH($B243,$B$206:$B$229,FALSE))),NA()),NA())</f>
        <v>#N/A</v>
      </c>
      <c r="BK243" s="65" t="e">
        <f>IF(BJ51=1,IF(BJ$13&lt;=COUNT($C23:$CS23),IF(INDEX($F$206:$F$229,MATCH($B243,$B$206:$B$229,FALSE))=0,NA(),INDEX(BJ$14:BJ$37,MATCH($B243,$B$14:$B$37,FALSE))/INDEX($F$206:$F$229,MATCH($B243,$B$206:$B$229,FALSE))),NA()),NA())</f>
        <v>#N/A</v>
      </c>
      <c r="BL243" s="65" t="e">
        <f>IF(BK51=1,IF(BK$13&lt;=COUNT($C23:$CS23),IF(INDEX($F$206:$F$229,MATCH($B243,$B$206:$B$229,FALSE))=0,NA(),INDEX(BK$14:BK$37,MATCH($B243,$B$14:$B$37,FALSE))/INDEX($F$206:$F$229,MATCH($B243,$B$206:$B$229,FALSE))),NA()),NA())</f>
        <v>#N/A</v>
      </c>
      <c r="BM243" s="65" t="e">
        <f>IF(BL51=1,IF(BL$13&lt;=COUNT($C23:$CS23),IF(INDEX($F$206:$F$229,MATCH($B243,$B$206:$B$229,FALSE))=0,NA(),INDEX(BL$14:BL$37,MATCH($B243,$B$14:$B$37,FALSE))/INDEX($F$206:$F$229,MATCH($B243,$B$206:$B$229,FALSE))),NA()),NA())</f>
        <v>#N/A</v>
      </c>
      <c r="BN243" s="65" t="e">
        <f>IF(BM51=1,IF(BM$13&lt;=COUNT($C23:$CS23),IF(INDEX($F$206:$F$229,MATCH($B243,$B$206:$B$229,FALSE))=0,NA(),INDEX(BM$14:BM$37,MATCH($B243,$B$14:$B$37,FALSE))/INDEX($F$206:$F$229,MATCH($B243,$B$206:$B$229,FALSE))),NA()),NA())</f>
        <v>#N/A</v>
      </c>
      <c r="BO243" s="65" t="e">
        <f>IF(BN51=1,IF(BN$13&lt;=COUNT($C23:$CS23),IF(INDEX($F$206:$F$229,MATCH($B243,$B$206:$B$229,FALSE))=0,NA(),INDEX(BN$14:BN$37,MATCH($B243,$B$14:$B$37,FALSE))/INDEX($F$206:$F$229,MATCH($B243,$B$206:$B$229,FALSE))),NA()),NA())</f>
        <v>#N/A</v>
      </c>
      <c r="BP243" s="65" t="e">
        <f>IF(BO51=1,IF(BO$13&lt;=COUNT($C23:$CS23),IF(INDEX($F$206:$F$229,MATCH($B243,$B$206:$B$229,FALSE))=0,NA(),INDEX(BO$14:BO$37,MATCH($B243,$B$14:$B$37,FALSE))/INDEX($F$206:$F$229,MATCH($B243,$B$206:$B$229,FALSE))),NA()),NA())</f>
        <v>#N/A</v>
      </c>
      <c r="BQ243" s="65" t="e">
        <f>IF(BP51=1,IF(BP$13&lt;=COUNT($C23:$CS23),IF(INDEX($F$206:$F$229,MATCH($B243,$B$206:$B$229,FALSE))=0,NA(),INDEX(BP$14:BP$37,MATCH($B243,$B$14:$B$37,FALSE))/INDEX($F$206:$F$229,MATCH($B243,$B$206:$B$229,FALSE))),NA()),NA())</f>
        <v>#N/A</v>
      </c>
      <c r="BR243" s="65" t="e">
        <f>IF(BQ51=1,IF(BQ$13&lt;=COUNT($C23:$CS23),IF(INDEX($F$206:$F$229,MATCH($B243,$B$206:$B$229,FALSE))=0,NA(),INDEX(BQ$14:BQ$37,MATCH($B243,$B$14:$B$37,FALSE))/INDEX($F$206:$F$229,MATCH($B243,$B$206:$B$229,FALSE))),NA()),NA())</f>
        <v>#N/A</v>
      </c>
      <c r="BS243" s="65" t="e">
        <f>IF(BR51=1,IF(BR$13&lt;=COUNT($C23:$CS23),IF(INDEX($F$206:$F$229,MATCH($B243,$B$206:$B$229,FALSE))=0,NA(),INDEX(BR$14:BR$37,MATCH($B243,$B$14:$B$37,FALSE))/INDEX($F$206:$F$229,MATCH($B243,$B$206:$B$229,FALSE))),NA()),NA())</f>
        <v>#N/A</v>
      </c>
      <c r="BT243" s="65" t="e">
        <f>IF(BS51=1,IF(BS$13&lt;=COUNT($C23:$CS23),IF(INDEX($F$206:$F$229,MATCH($B243,$B$206:$B$229,FALSE))=0,NA(),INDEX(BS$14:BS$37,MATCH($B243,$B$14:$B$37,FALSE))/INDEX($F$206:$F$229,MATCH($B243,$B$206:$B$229,FALSE))),NA()),NA())</f>
        <v>#N/A</v>
      </c>
      <c r="BU243" s="65" t="e">
        <f>IF(BT51=1,IF(BT$13&lt;=COUNT($C23:$CS23),IF(INDEX($F$206:$F$229,MATCH($B243,$B$206:$B$229,FALSE))=0,NA(),INDEX(BT$14:BT$37,MATCH($B243,$B$14:$B$37,FALSE))/INDEX($F$206:$F$229,MATCH($B243,$B$206:$B$229,FALSE))),NA()),NA())</f>
        <v>#N/A</v>
      </c>
      <c r="BV243" s="65" t="e">
        <f>IF(BU51=1,IF(BU$13&lt;=COUNT($C23:$CS23),IF(INDEX($F$206:$F$229,MATCH($B243,$B$206:$B$229,FALSE))=0,NA(),INDEX(BU$14:BU$37,MATCH($B243,$B$14:$B$37,FALSE))/INDEX($F$206:$F$229,MATCH($B243,$B$206:$B$229,FALSE))),NA()),NA())</f>
        <v>#N/A</v>
      </c>
      <c r="BW243" s="65" t="e">
        <f>IF(BV51=1,IF(BV$13&lt;=COUNT($C23:$CS23),IF(INDEX($F$206:$F$229,MATCH($B243,$B$206:$B$229,FALSE))=0,NA(),INDEX(BV$14:BV$37,MATCH($B243,$B$14:$B$37,FALSE))/INDEX($F$206:$F$229,MATCH($B243,$B$206:$B$229,FALSE))),NA()),NA())</f>
        <v>#N/A</v>
      </c>
      <c r="BX243" s="65" t="e">
        <f>IF(BW51=1,IF(BW$13&lt;=COUNT($C23:$CS23),IF(INDEX($F$206:$F$229,MATCH($B243,$B$206:$B$229,FALSE))=0,NA(),INDEX(BW$14:BW$37,MATCH($B243,$B$14:$B$37,FALSE))/INDEX($F$206:$F$229,MATCH($B243,$B$206:$B$229,FALSE))),NA()),NA())</f>
        <v>#N/A</v>
      </c>
      <c r="BY243" s="65" t="e">
        <f>IF(BX51=1,IF(BX$13&lt;=COUNT($C23:$CS23),IF(INDEX($F$206:$F$229,MATCH($B243,$B$206:$B$229,FALSE))=0,NA(),INDEX(BX$14:BX$37,MATCH($B243,$B$14:$B$37,FALSE))/INDEX($F$206:$F$229,MATCH($B243,$B$206:$B$229,FALSE))),NA()),NA())</f>
        <v>#N/A</v>
      </c>
      <c r="BZ243" s="65" t="e">
        <f>IF(BY51=1,IF(BY$13&lt;=COUNT($C23:$CS23),IF(INDEX($F$206:$F$229,MATCH($B243,$B$206:$B$229,FALSE))=0,NA(),INDEX(BY$14:BY$37,MATCH($B243,$B$14:$B$37,FALSE))/INDEX($F$206:$F$229,MATCH($B243,$B$206:$B$229,FALSE))),NA()),NA())</f>
        <v>#N/A</v>
      </c>
      <c r="CA243" s="65" t="e">
        <f>IF(BZ51=1,IF(BZ$13&lt;=COUNT($C23:$CS23),IF(INDEX($F$206:$F$229,MATCH($B243,$B$206:$B$229,FALSE))=0,NA(),INDEX(BZ$14:BZ$37,MATCH($B243,$B$14:$B$37,FALSE))/INDEX($F$206:$F$229,MATCH($B243,$B$206:$B$229,FALSE))),NA()),NA())</f>
        <v>#N/A</v>
      </c>
      <c r="CB243" s="65" t="e">
        <f>IF(CA51=1,IF(CA$13&lt;=COUNT($C23:$CS23),IF(INDEX($F$206:$F$229,MATCH($B243,$B$206:$B$229,FALSE))=0,NA(),INDEX(CA$14:CA$37,MATCH($B243,$B$14:$B$37,FALSE))/INDEX($F$206:$F$229,MATCH($B243,$B$206:$B$229,FALSE))),NA()),NA())</f>
        <v>#N/A</v>
      </c>
      <c r="CC243" s="65" t="e">
        <f>IF(CB51=1,IF(CB$13&lt;=COUNT($C23:$CS23),IF(INDEX($F$206:$F$229,MATCH($B243,$B$206:$B$229,FALSE))=0,NA(),INDEX(CB$14:CB$37,MATCH($B243,$B$14:$B$37,FALSE))/INDEX($F$206:$F$229,MATCH($B243,$B$206:$B$229,FALSE))),NA()),NA())</f>
        <v>#N/A</v>
      </c>
      <c r="CD243" s="65" t="e">
        <f>IF(CC51=1,IF(CC$13&lt;=COUNT($C23:$CS23),IF(INDEX($F$206:$F$229,MATCH($B243,$B$206:$B$229,FALSE))=0,NA(),INDEX(CC$14:CC$37,MATCH($B243,$B$14:$B$37,FALSE))/INDEX($F$206:$F$229,MATCH($B243,$B$206:$B$229,FALSE))),NA()),NA())</f>
        <v>#N/A</v>
      </c>
      <c r="CE243" s="65" t="e">
        <f>IF(CD51=1,IF(CD$13&lt;=COUNT($C23:$CS23),IF(INDEX($F$206:$F$229,MATCH($B243,$B$206:$B$229,FALSE))=0,NA(),INDEX(CD$14:CD$37,MATCH($B243,$B$14:$B$37,FALSE))/INDEX($F$206:$F$229,MATCH($B243,$B$206:$B$229,FALSE))),NA()),NA())</f>
        <v>#N/A</v>
      </c>
      <c r="CF243" s="65" t="e">
        <f>IF(CE51=1,IF(CE$13&lt;=COUNT($C23:$CS23),IF(INDEX($F$206:$F$229,MATCH($B243,$B$206:$B$229,FALSE))=0,NA(),INDEX(CE$14:CE$37,MATCH($B243,$B$14:$B$37,FALSE))/INDEX($F$206:$F$229,MATCH($B243,$B$206:$B$229,FALSE))),NA()),NA())</f>
        <v>#N/A</v>
      </c>
      <c r="CG243" s="65" t="e">
        <f>IF(CF51=1,IF(CF$13&lt;=COUNT($C23:$CS23),IF(INDEX($F$206:$F$229,MATCH($B243,$B$206:$B$229,FALSE))=0,NA(),INDEX(CF$14:CF$37,MATCH($B243,$B$14:$B$37,FALSE))/INDEX($F$206:$F$229,MATCH($B243,$B$206:$B$229,FALSE))),NA()),NA())</f>
        <v>#N/A</v>
      </c>
      <c r="CH243" s="65" t="e">
        <f>IF(CG51=1,IF(CG$13&lt;=COUNT($C23:$CS23),IF(INDEX($F$206:$F$229,MATCH($B243,$B$206:$B$229,FALSE))=0,NA(),INDEX(CG$14:CG$37,MATCH($B243,$B$14:$B$37,FALSE))/INDEX($F$206:$F$229,MATCH($B243,$B$206:$B$229,FALSE))),NA()),NA())</f>
        <v>#N/A</v>
      </c>
      <c r="CI243" s="65" t="e">
        <f>IF(CH51=1,IF(CH$13&lt;=COUNT($C23:$CS23),IF(INDEX($F$206:$F$229,MATCH($B243,$B$206:$B$229,FALSE))=0,NA(),INDEX(CH$14:CH$37,MATCH($B243,$B$14:$B$37,FALSE))/INDEX($F$206:$F$229,MATCH($B243,$B$206:$B$229,FALSE))),NA()),NA())</f>
        <v>#N/A</v>
      </c>
      <c r="CJ243" s="65" t="e">
        <f>IF(CI51=1,IF(CI$13&lt;=COUNT($C23:$CS23),IF(INDEX($F$206:$F$229,MATCH($B243,$B$206:$B$229,FALSE))=0,NA(),INDEX(CI$14:CI$37,MATCH($B243,$B$14:$B$37,FALSE))/INDEX($F$206:$F$229,MATCH($B243,$B$206:$B$229,FALSE))),NA()),NA())</f>
        <v>#N/A</v>
      </c>
      <c r="CK243" s="65" t="e">
        <f>IF(CJ51=1,IF(CJ$13&lt;=COUNT($C23:$CS23),IF(INDEX($F$206:$F$229,MATCH($B243,$B$206:$B$229,FALSE))=0,NA(),INDEX(CJ$14:CJ$37,MATCH($B243,$B$14:$B$37,FALSE))/INDEX($F$206:$F$229,MATCH($B243,$B$206:$B$229,FALSE))),NA()),NA())</f>
        <v>#N/A</v>
      </c>
      <c r="CL243" s="65" t="e">
        <f>IF(CK51=1,IF(CK$13&lt;=COUNT($C23:$CS23),IF(INDEX($F$206:$F$229,MATCH($B243,$B$206:$B$229,FALSE))=0,NA(),INDEX(CK$14:CK$37,MATCH($B243,$B$14:$B$37,FALSE))/INDEX($F$206:$F$229,MATCH($B243,$B$206:$B$229,FALSE))),NA()),NA())</f>
        <v>#N/A</v>
      </c>
      <c r="CM243" s="65" t="e">
        <f>IF(CL51=1,IF(CL$13&lt;=COUNT($C23:$CS23),IF(INDEX($F$206:$F$229,MATCH($B243,$B$206:$B$229,FALSE))=0,NA(),INDEX(CL$14:CL$37,MATCH($B243,$B$14:$B$37,FALSE))/INDEX($F$206:$F$229,MATCH($B243,$B$206:$B$229,FALSE))),NA()),NA())</f>
        <v>#N/A</v>
      </c>
      <c r="CN243" s="65" t="e">
        <f>IF(CM51=1,IF(CM$13&lt;=COUNT($C23:$CS23),IF(INDEX($F$206:$F$229,MATCH($B243,$B$206:$B$229,FALSE))=0,NA(),INDEX(CM$14:CM$37,MATCH($B243,$B$14:$B$37,FALSE))/INDEX($F$206:$F$229,MATCH($B243,$B$206:$B$229,FALSE))),NA()),NA())</f>
        <v>#N/A</v>
      </c>
      <c r="CO243" s="65" t="e">
        <f>IF(CN51=1,IF(CN$13&lt;=COUNT($C23:$CS23),IF(INDEX($F$206:$F$229,MATCH($B243,$B$206:$B$229,FALSE))=0,NA(),INDEX(CN$14:CN$37,MATCH($B243,$B$14:$B$37,FALSE))/INDEX($F$206:$F$229,MATCH($B243,$B$206:$B$229,FALSE))),NA()),NA())</f>
        <v>#N/A</v>
      </c>
      <c r="CP243" s="65" t="e">
        <f>IF(CO51=1,IF(CO$13&lt;=COUNT($C23:$CS23),IF(INDEX($F$206:$F$229,MATCH($B243,$B$206:$B$229,FALSE))=0,NA(),INDEX(CO$14:CO$37,MATCH($B243,$B$14:$B$37,FALSE))/INDEX($F$206:$F$229,MATCH($B243,$B$206:$B$229,FALSE))),NA()),NA())</f>
        <v>#N/A</v>
      </c>
      <c r="CQ243" s="65" t="e">
        <f>IF(CP51=1,IF(CP$13&lt;=COUNT($C23:$CS23),IF(INDEX($F$206:$F$229,MATCH($B243,$B$206:$B$229,FALSE))=0,NA(),INDEX(CP$14:CP$37,MATCH($B243,$B$14:$B$37,FALSE))/INDEX($F$206:$F$229,MATCH($B243,$B$206:$B$229,FALSE))),NA()),NA())</f>
        <v>#N/A</v>
      </c>
      <c r="CR243" s="65" t="e">
        <f>IF(CQ51=1,IF(CQ$13&lt;=COUNT($C23:$CS23),IF(INDEX($F$206:$F$229,MATCH($B243,$B$206:$B$229,FALSE))=0,NA(),INDEX(CQ$14:CQ$37,MATCH($B243,$B$14:$B$37,FALSE))/INDEX($F$206:$F$229,MATCH($B243,$B$206:$B$229,FALSE))),NA()),NA())</f>
        <v>#N/A</v>
      </c>
      <c r="CS243" s="65" t="e">
        <f>IF(CR51=1,IF(CR$13&lt;=COUNT($C23:$CS23),IF(INDEX($F$206:$F$229,MATCH($B243,$B$206:$B$229,FALSE))=0,NA(),INDEX(CR$14:CR$37,MATCH($B243,$B$14:$B$37,FALSE))/INDEX($F$206:$F$229,MATCH($B243,$B$206:$B$229,FALSE))),NA()),NA())</f>
        <v>#N/A</v>
      </c>
      <c r="CT243" s="49"/>
      <c r="CU243" s="49"/>
      <c r="CV243" s="49"/>
      <c r="CW243" s="49"/>
    </row>
    <row r="244" spans="1:101" x14ac:dyDescent="0.25">
      <c r="A244" s="97">
        <f t="shared" si="105"/>
        <v>0</v>
      </c>
      <c r="B244" s="29">
        <f t="shared" si="104"/>
        <v>2006</v>
      </c>
      <c r="C244" s="154" t="str">
        <f t="shared" si="106"/>
        <v/>
      </c>
      <c r="D244" s="54" t="e">
        <f>IF(C52=1,IF(C$13&lt;=COUNT($C24:$CS24),IF(INDEX($F$206:$F$229,MATCH($B244,$B$206:$B$229,FALSE))=0,NA(),INDEX(C$14:C$37,MATCH($B244,$B$14:$B$37,FALSE))/INDEX($F$206:$F$229,MATCH($B244,$B$206:$B$229,FALSE))),NA()),NA())</f>
        <v>#N/A</v>
      </c>
      <c r="E244" s="65" t="e">
        <f>IF(D52=1,IF(D$13&lt;=COUNT($C24:$CS24),IF(INDEX($F$206:$F$229,MATCH($B244,$B$206:$B$229,FALSE))=0,NA(),INDEX(D$14:D$37,MATCH($B244,$B$14:$B$37,FALSE))/INDEX($F$206:$F$229,MATCH($B244,$B$206:$B$229,FALSE))),NA()),NA())</f>
        <v>#N/A</v>
      </c>
      <c r="F244" s="65" t="e">
        <f>IF(E52=1,IF(E$13&lt;=COUNT($C24:$CS24),IF(INDEX($F$206:$F$229,MATCH($B244,$B$206:$B$229,FALSE))=0,NA(),INDEX(E$14:E$37,MATCH($B244,$B$14:$B$37,FALSE))/INDEX($F$206:$F$229,MATCH($B244,$B$206:$B$229,FALSE))),NA()),NA())</f>
        <v>#N/A</v>
      </c>
      <c r="G244" s="65" t="e">
        <f>IF(F52=1,IF(F$13&lt;=COUNT($C24:$CS24),IF(INDEX($F$206:$F$229,MATCH($B244,$B$206:$B$229,FALSE))=0,NA(),INDEX(F$14:F$37,MATCH($B244,$B$14:$B$37,FALSE))/INDEX($F$206:$F$229,MATCH($B244,$B$206:$B$229,FALSE))),NA()),NA())</f>
        <v>#N/A</v>
      </c>
      <c r="H244" s="65" t="e">
        <f>IF(G52=1,IF(G$13&lt;=COUNT($C24:$CS24),IF(INDEX($F$206:$F$229,MATCH($B244,$B$206:$B$229,FALSE))=0,NA(),INDEX(G$14:G$37,MATCH($B244,$B$14:$B$37,FALSE))/INDEX($F$206:$F$229,MATCH($B244,$B$206:$B$229,FALSE))),NA()),NA())</f>
        <v>#N/A</v>
      </c>
      <c r="I244" s="65" t="e">
        <f>IF(H52=1,IF(H$13&lt;=COUNT($C24:$CS24),IF(INDEX($F$206:$F$229,MATCH($B244,$B$206:$B$229,FALSE))=0,NA(),INDEX(H$14:H$37,MATCH($B244,$B$14:$B$37,FALSE))/INDEX($F$206:$F$229,MATCH($B244,$B$206:$B$229,FALSE))),NA()),NA())</f>
        <v>#N/A</v>
      </c>
      <c r="J244" s="65" t="e">
        <f>IF(I52=1,IF(I$13&lt;=COUNT($C24:$CS24),IF(INDEX($F$206:$F$229,MATCH($B244,$B$206:$B$229,FALSE))=0,NA(),INDEX(I$14:I$37,MATCH($B244,$B$14:$B$37,FALSE))/INDEX($F$206:$F$229,MATCH($B244,$B$206:$B$229,FALSE))),NA()),NA())</f>
        <v>#N/A</v>
      </c>
      <c r="K244" s="65" t="e">
        <f>IF(J52=1,IF(J$13&lt;=COUNT($C24:$CS24),IF(INDEX($F$206:$F$229,MATCH($B244,$B$206:$B$229,FALSE))=0,NA(),INDEX(J$14:J$37,MATCH($B244,$B$14:$B$37,FALSE))/INDEX($F$206:$F$229,MATCH($B244,$B$206:$B$229,FALSE))),NA()),NA())</f>
        <v>#N/A</v>
      </c>
      <c r="L244" s="65" t="e">
        <f>IF(K52=1,IF(K$13&lt;=COUNT($C24:$CS24),IF(INDEX($F$206:$F$229,MATCH($B244,$B$206:$B$229,FALSE))=0,NA(),INDEX(K$14:K$37,MATCH($B244,$B$14:$B$37,FALSE))/INDEX($F$206:$F$229,MATCH($B244,$B$206:$B$229,FALSE))),NA()),NA())</f>
        <v>#N/A</v>
      </c>
      <c r="M244" s="65" t="e">
        <f>IF(L52=1,IF(L$13&lt;=COUNT($C24:$CS24),IF(INDEX($F$206:$F$229,MATCH($B244,$B$206:$B$229,FALSE))=0,NA(),INDEX(L$14:L$37,MATCH($B244,$B$14:$B$37,FALSE))/INDEX($F$206:$F$229,MATCH($B244,$B$206:$B$229,FALSE))),NA()),NA())</f>
        <v>#N/A</v>
      </c>
      <c r="N244" s="65" t="e">
        <f>IF(M52=1,IF(M$13&lt;=COUNT($C24:$CS24),IF(INDEX($F$206:$F$229,MATCH($B244,$B$206:$B$229,FALSE))=0,NA(),INDEX(M$14:M$37,MATCH($B244,$B$14:$B$37,FALSE))/INDEX($F$206:$F$229,MATCH($B244,$B$206:$B$229,FALSE))),NA()),NA())</f>
        <v>#N/A</v>
      </c>
      <c r="O244" s="65" t="e">
        <f>IF(N52=1,IF(N$13&lt;=COUNT($C24:$CS24),IF(INDEX($F$206:$F$229,MATCH($B244,$B$206:$B$229,FALSE))=0,NA(),INDEX(N$14:N$37,MATCH($B244,$B$14:$B$37,FALSE))/INDEX($F$206:$F$229,MATCH($B244,$B$206:$B$229,FALSE))),NA()),NA())</f>
        <v>#N/A</v>
      </c>
      <c r="P244" s="65" t="e">
        <f>IF(O52=1,IF(O$13&lt;=COUNT($C24:$CS24),IF(INDEX($F$206:$F$229,MATCH($B244,$B$206:$B$229,FALSE))=0,NA(),INDEX(O$14:O$37,MATCH($B244,$B$14:$B$37,FALSE))/INDEX($F$206:$F$229,MATCH($B244,$B$206:$B$229,FALSE))),NA()),NA())</f>
        <v>#N/A</v>
      </c>
      <c r="Q244" s="65" t="e">
        <f>IF(P52=1,IF(P$13&lt;=COUNT($C24:$CS24),IF(INDEX($F$206:$F$229,MATCH($B244,$B$206:$B$229,FALSE))=0,NA(),INDEX(P$14:P$37,MATCH($B244,$B$14:$B$37,FALSE))/INDEX($F$206:$F$229,MATCH($B244,$B$206:$B$229,FALSE))),NA()),NA())</f>
        <v>#N/A</v>
      </c>
      <c r="R244" s="65" t="e">
        <f>IF(Q52=1,IF(Q$13&lt;=COUNT($C24:$CS24),IF(INDEX($F$206:$F$229,MATCH($B244,$B$206:$B$229,FALSE))=0,NA(),INDEX(Q$14:Q$37,MATCH($B244,$B$14:$B$37,FALSE))/INDEX($F$206:$F$229,MATCH($B244,$B$206:$B$229,FALSE))),NA()),NA())</f>
        <v>#N/A</v>
      </c>
      <c r="S244" s="65" t="e">
        <f>IF(R52=1,IF(R$13&lt;=COUNT($C24:$CS24),IF(INDEX($F$206:$F$229,MATCH($B244,$B$206:$B$229,FALSE))=0,NA(),INDEX(R$14:R$37,MATCH($B244,$B$14:$B$37,FALSE))/INDEX($F$206:$F$229,MATCH($B244,$B$206:$B$229,FALSE))),NA()),NA())</f>
        <v>#N/A</v>
      </c>
      <c r="T244" s="65" t="e">
        <f>IF(S52=1,IF(S$13&lt;=COUNT($C24:$CS24),IF(INDEX($F$206:$F$229,MATCH($B244,$B$206:$B$229,FALSE))=0,NA(),INDEX(S$14:S$37,MATCH($B244,$B$14:$B$37,FALSE))/INDEX($F$206:$F$229,MATCH($B244,$B$206:$B$229,FALSE))),NA()),NA())</f>
        <v>#N/A</v>
      </c>
      <c r="U244" s="65" t="e">
        <f>IF(T52=1,IF(T$13&lt;=COUNT($C24:$CS24),IF(INDEX($F$206:$F$229,MATCH($B244,$B$206:$B$229,FALSE))=0,NA(),INDEX(T$14:T$37,MATCH($B244,$B$14:$B$37,FALSE))/INDEX($F$206:$F$229,MATCH($B244,$B$206:$B$229,FALSE))),NA()),NA())</f>
        <v>#N/A</v>
      </c>
      <c r="V244" s="65" t="e">
        <f>IF(U52=1,IF(U$13&lt;=COUNT($C24:$CS24),IF(INDEX($F$206:$F$229,MATCH($B244,$B$206:$B$229,FALSE))=0,NA(),INDEX(U$14:U$37,MATCH($B244,$B$14:$B$37,FALSE))/INDEX($F$206:$F$229,MATCH($B244,$B$206:$B$229,FALSE))),NA()),NA())</f>
        <v>#N/A</v>
      </c>
      <c r="W244" s="65" t="e">
        <f>IF(V52=1,IF(V$13&lt;=COUNT($C24:$CS24),IF(INDEX($F$206:$F$229,MATCH($B244,$B$206:$B$229,FALSE))=0,NA(),INDEX(V$14:V$37,MATCH($B244,$B$14:$B$37,FALSE))/INDEX($F$206:$F$229,MATCH($B244,$B$206:$B$229,FALSE))),NA()),NA())</f>
        <v>#N/A</v>
      </c>
      <c r="X244" s="65" t="e">
        <f>IF(W52=1,IF(W$13&lt;=COUNT($C24:$CS24),IF(INDEX($F$206:$F$229,MATCH($B244,$B$206:$B$229,FALSE))=0,NA(),INDEX(W$14:W$37,MATCH($B244,$B$14:$B$37,FALSE))/INDEX($F$206:$F$229,MATCH($B244,$B$206:$B$229,FALSE))),NA()),NA())</f>
        <v>#N/A</v>
      </c>
      <c r="Y244" s="65" t="e">
        <f>IF(X52=1,IF(X$13&lt;=COUNT($C24:$CS24),IF(INDEX($F$206:$F$229,MATCH($B244,$B$206:$B$229,FALSE))=0,NA(),INDEX(X$14:X$37,MATCH($B244,$B$14:$B$37,FALSE))/INDEX($F$206:$F$229,MATCH($B244,$B$206:$B$229,FALSE))),NA()),NA())</f>
        <v>#N/A</v>
      </c>
      <c r="Z244" s="65" t="e">
        <f>IF(Y52=1,IF(Y$13&lt;=COUNT($C24:$CS24),IF(INDEX($F$206:$F$229,MATCH($B244,$B$206:$B$229,FALSE))=0,NA(),INDEX(Y$14:Y$37,MATCH($B244,$B$14:$B$37,FALSE))/INDEX($F$206:$F$229,MATCH($B244,$B$206:$B$229,FALSE))),NA()),NA())</f>
        <v>#N/A</v>
      </c>
      <c r="AA244" s="65" t="e">
        <f>IF(Z52=1,IF(Z$13&lt;=COUNT($C24:$CS24),IF(INDEX($F$206:$F$229,MATCH($B244,$B$206:$B$229,FALSE))=0,NA(),INDEX(Z$14:Z$37,MATCH($B244,$B$14:$B$37,FALSE))/INDEX($F$206:$F$229,MATCH($B244,$B$206:$B$229,FALSE))),NA()),NA())</f>
        <v>#N/A</v>
      </c>
      <c r="AB244" s="65" t="e">
        <f>IF(AA52=1,IF(AA$13&lt;=COUNT($C24:$CS24),IF(INDEX($F$206:$F$229,MATCH($B244,$B$206:$B$229,FALSE))=0,NA(),INDEX(AA$14:AA$37,MATCH($B244,$B$14:$B$37,FALSE))/INDEX($F$206:$F$229,MATCH($B244,$B$206:$B$229,FALSE))),NA()),NA())</f>
        <v>#N/A</v>
      </c>
      <c r="AC244" s="65" t="e">
        <f>IF(AB52=1,IF(AB$13&lt;=COUNT($C24:$CS24),IF(INDEX($F$206:$F$229,MATCH($B244,$B$206:$B$229,FALSE))=0,NA(),INDEX(AB$14:AB$37,MATCH($B244,$B$14:$B$37,FALSE))/INDEX($F$206:$F$229,MATCH($B244,$B$206:$B$229,FALSE))),NA()),NA())</f>
        <v>#N/A</v>
      </c>
      <c r="AD244" s="65" t="e">
        <f>IF(AC52=1,IF(AC$13&lt;=COUNT($C24:$CS24),IF(INDEX($F$206:$F$229,MATCH($B244,$B$206:$B$229,FALSE))=0,NA(),INDEX(AC$14:AC$37,MATCH($B244,$B$14:$B$37,FALSE))/INDEX($F$206:$F$229,MATCH($B244,$B$206:$B$229,FALSE))),NA()),NA())</f>
        <v>#N/A</v>
      </c>
      <c r="AE244" s="65" t="e">
        <f>IF(AD52=1,IF(AD$13&lt;=COUNT($C24:$CS24),IF(INDEX($F$206:$F$229,MATCH($B244,$B$206:$B$229,FALSE))=0,NA(),INDEX(AD$14:AD$37,MATCH($B244,$B$14:$B$37,FALSE))/INDEX($F$206:$F$229,MATCH($B244,$B$206:$B$229,FALSE))),NA()),NA())</f>
        <v>#N/A</v>
      </c>
      <c r="AF244" s="65" t="e">
        <f>IF(AE52=1,IF(AE$13&lt;=COUNT($C24:$CS24),IF(INDEX($F$206:$F$229,MATCH($B244,$B$206:$B$229,FALSE))=0,NA(),INDEX(AE$14:AE$37,MATCH($B244,$B$14:$B$37,FALSE))/INDEX($F$206:$F$229,MATCH($B244,$B$206:$B$229,FALSE))),NA()),NA())</f>
        <v>#N/A</v>
      </c>
      <c r="AG244" s="65" t="e">
        <f>IF(AF52=1,IF(AF$13&lt;=COUNT($C24:$CS24),IF(INDEX($F$206:$F$229,MATCH($B244,$B$206:$B$229,FALSE))=0,NA(),INDEX(AF$14:AF$37,MATCH($B244,$B$14:$B$37,FALSE))/INDEX($F$206:$F$229,MATCH($B244,$B$206:$B$229,FALSE))),NA()),NA())</f>
        <v>#N/A</v>
      </c>
      <c r="AH244" s="65" t="e">
        <f>IF(AG52=1,IF(AG$13&lt;=COUNT($C24:$CS24),IF(INDEX($F$206:$F$229,MATCH($B244,$B$206:$B$229,FALSE))=0,NA(),INDEX(AG$14:AG$37,MATCH($B244,$B$14:$B$37,FALSE))/INDEX($F$206:$F$229,MATCH($B244,$B$206:$B$229,FALSE))),NA()),NA())</f>
        <v>#N/A</v>
      </c>
      <c r="AI244" s="65" t="e">
        <f>IF(AH52=1,IF(AH$13&lt;=COUNT($C24:$CS24),IF(INDEX($F$206:$F$229,MATCH($B244,$B$206:$B$229,FALSE))=0,NA(),INDEX(AH$14:AH$37,MATCH($B244,$B$14:$B$37,FALSE))/INDEX($F$206:$F$229,MATCH($B244,$B$206:$B$229,FALSE))),NA()),NA())</f>
        <v>#N/A</v>
      </c>
      <c r="AJ244" s="65" t="e">
        <f>IF(AI52=1,IF(AI$13&lt;=COUNT($C24:$CS24),IF(INDEX($F$206:$F$229,MATCH($B244,$B$206:$B$229,FALSE))=0,NA(),INDEX(AI$14:AI$37,MATCH($B244,$B$14:$B$37,FALSE))/INDEX($F$206:$F$229,MATCH($B244,$B$206:$B$229,FALSE))),NA()),NA())</f>
        <v>#N/A</v>
      </c>
      <c r="AK244" s="65" t="e">
        <f>IF(AJ52=1,IF(AJ$13&lt;=COUNT($C24:$CS24),IF(INDEX($F$206:$F$229,MATCH($B244,$B$206:$B$229,FALSE))=0,NA(),INDEX(AJ$14:AJ$37,MATCH($B244,$B$14:$B$37,FALSE))/INDEX($F$206:$F$229,MATCH($B244,$B$206:$B$229,FALSE))),NA()),NA())</f>
        <v>#N/A</v>
      </c>
      <c r="AL244" s="65" t="e">
        <f>IF(AK52=1,IF(AK$13&lt;=COUNT($C24:$CS24),IF(INDEX($F$206:$F$229,MATCH($B244,$B$206:$B$229,FALSE))=0,NA(),INDEX(AK$14:AK$37,MATCH($B244,$B$14:$B$37,FALSE))/INDEX($F$206:$F$229,MATCH($B244,$B$206:$B$229,FALSE))),NA()),NA())</f>
        <v>#N/A</v>
      </c>
      <c r="AM244" s="65" t="e">
        <f>IF(AL52=1,IF(AL$13&lt;=COUNT($C24:$CS24),IF(INDEX($F$206:$F$229,MATCH($B244,$B$206:$B$229,FALSE))=0,NA(),INDEX(AL$14:AL$37,MATCH($B244,$B$14:$B$37,FALSE))/INDEX($F$206:$F$229,MATCH($B244,$B$206:$B$229,FALSE))),NA()),NA())</f>
        <v>#N/A</v>
      </c>
      <c r="AN244" s="65" t="e">
        <f>IF(AM52=1,IF(AM$13&lt;=COUNT($C24:$CS24),IF(INDEX($F$206:$F$229,MATCH($B244,$B$206:$B$229,FALSE))=0,NA(),INDEX(AM$14:AM$37,MATCH($B244,$B$14:$B$37,FALSE))/INDEX($F$206:$F$229,MATCH($B244,$B$206:$B$229,FALSE))),NA()),NA())</f>
        <v>#N/A</v>
      </c>
      <c r="AO244" s="65" t="e">
        <f>IF(AN52=1,IF(AN$13&lt;=COUNT($C24:$CS24),IF(INDEX($F$206:$F$229,MATCH($B244,$B$206:$B$229,FALSE))=0,NA(),INDEX(AN$14:AN$37,MATCH($B244,$B$14:$B$37,FALSE))/INDEX($F$206:$F$229,MATCH($B244,$B$206:$B$229,FALSE))),NA()),NA())</f>
        <v>#N/A</v>
      </c>
      <c r="AP244" s="65" t="e">
        <f>IF(AO52=1,IF(AO$13&lt;=COUNT($C24:$CS24),IF(INDEX($F$206:$F$229,MATCH($B244,$B$206:$B$229,FALSE))=0,NA(),INDEX(AO$14:AO$37,MATCH($B244,$B$14:$B$37,FALSE))/INDEX($F$206:$F$229,MATCH($B244,$B$206:$B$229,FALSE))),NA()),NA())</f>
        <v>#N/A</v>
      </c>
      <c r="AQ244" s="65" t="e">
        <f>IF(AP52=1,IF(AP$13&lt;=COUNT($C24:$CS24),IF(INDEX($F$206:$F$229,MATCH($B244,$B$206:$B$229,FALSE))=0,NA(),INDEX(AP$14:AP$37,MATCH($B244,$B$14:$B$37,FALSE))/INDEX($F$206:$F$229,MATCH($B244,$B$206:$B$229,FALSE))),NA()),NA())</f>
        <v>#N/A</v>
      </c>
      <c r="AR244" s="65" t="e">
        <f>IF(AQ52=1,IF(AQ$13&lt;=COUNT($C24:$CS24),IF(INDEX($F$206:$F$229,MATCH($B244,$B$206:$B$229,FALSE))=0,NA(),INDEX(AQ$14:AQ$37,MATCH($B244,$B$14:$B$37,FALSE))/INDEX($F$206:$F$229,MATCH($B244,$B$206:$B$229,FALSE))),NA()),NA())</f>
        <v>#N/A</v>
      </c>
      <c r="AS244" s="65" t="e">
        <f>IF(AR52=1,IF(AR$13&lt;=COUNT($C24:$CS24),IF(INDEX($F$206:$F$229,MATCH($B244,$B$206:$B$229,FALSE))=0,NA(),INDEX(AR$14:AR$37,MATCH($B244,$B$14:$B$37,FALSE))/INDEX($F$206:$F$229,MATCH($B244,$B$206:$B$229,FALSE))),NA()),NA())</f>
        <v>#N/A</v>
      </c>
      <c r="AT244" s="65" t="e">
        <f>IF(AS52=1,IF(AS$13&lt;=COUNT($C24:$CS24),IF(INDEX($F$206:$F$229,MATCH($B244,$B$206:$B$229,FALSE))=0,NA(),INDEX(AS$14:AS$37,MATCH($B244,$B$14:$B$37,FALSE))/INDEX($F$206:$F$229,MATCH($B244,$B$206:$B$229,FALSE))),NA()),NA())</f>
        <v>#N/A</v>
      </c>
      <c r="AU244" s="65" t="e">
        <f>IF(AT52=1,IF(AT$13&lt;=COUNT($C24:$CS24),IF(INDEX($F$206:$F$229,MATCH($B244,$B$206:$B$229,FALSE))=0,NA(),INDEX(AT$14:AT$37,MATCH($B244,$B$14:$B$37,FALSE))/INDEX($F$206:$F$229,MATCH($B244,$B$206:$B$229,FALSE))),NA()),NA())</f>
        <v>#N/A</v>
      </c>
      <c r="AV244" s="65" t="e">
        <f>IF(AU52=1,IF(AU$13&lt;=COUNT($C24:$CS24),IF(INDEX($F$206:$F$229,MATCH($B244,$B$206:$B$229,FALSE))=0,NA(),INDEX(AU$14:AU$37,MATCH($B244,$B$14:$B$37,FALSE))/INDEX($F$206:$F$229,MATCH($B244,$B$206:$B$229,FALSE))),NA()),NA())</f>
        <v>#N/A</v>
      </c>
      <c r="AW244" s="65" t="e">
        <f>IF(AV52=1,IF(AV$13&lt;=COUNT($C24:$CS24),IF(INDEX($F$206:$F$229,MATCH($B244,$B$206:$B$229,FALSE))=0,NA(),INDEX(AV$14:AV$37,MATCH($B244,$B$14:$B$37,FALSE))/INDEX($F$206:$F$229,MATCH($B244,$B$206:$B$229,FALSE))),NA()),NA())</f>
        <v>#N/A</v>
      </c>
      <c r="AX244" s="65" t="e">
        <f>IF(AW52=1,IF(AW$13&lt;=COUNT($C24:$CS24),IF(INDEX($F$206:$F$229,MATCH($B244,$B$206:$B$229,FALSE))=0,NA(),INDEX(AW$14:AW$37,MATCH($B244,$B$14:$B$37,FALSE))/INDEX($F$206:$F$229,MATCH($B244,$B$206:$B$229,FALSE))),NA()),NA())</f>
        <v>#N/A</v>
      </c>
      <c r="AY244" s="65" t="e">
        <f>IF(AX52=1,IF(AX$13&lt;=COUNT($C24:$CS24),IF(INDEX($F$206:$F$229,MATCH($B244,$B$206:$B$229,FALSE))=0,NA(),INDEX(AX$14:AX$37,MATCH($B244,$B$14:$B$37,FALSE))/INDEX($F$206:$F$229,MATCH($B244,$B$206:$B$229,FALSE))),NA()),NA())</f>
        <v>#N/A</v>
      </c>
      <c r="AZ244" s="65" t="e">
        <f>IF(AY52=1,IF(AY$13&lt;=COUNT($C24:$CS24),IF(INDEX($F$206:$F$229,MATCH($B244,$B$206:$B$229,FALSE))=0,NA(),INDEX(AY$14:AY$37,MATCH($B244,$B$14:$B$37,FALSE))/INDEX($F$206:$F$229,MATCH($B244,$B$206:$B$229,FALSE))),NA()),NA())</f>
        <v>#N/A</v>
      </c>
      <c r="BA244" s="65" t="e">
        <f>IF(AZ52=1,IF(AZ$13&lt;=COUNT($C24:$CS24),IF(INDEX($F$206:$F$229,MATCH($B244,$B$206:$B$229,FALSE))=0,NA(),INDEX(AZ$14:AZ$37,MATCH($B244,$B$14:$B$37,FALSE))/INDEX($F$206:$F$229,MATCH($B244,$B$206:$B$229,FALSE))),NA()),NA())</f>
        <v>#N/A</v>
      </c>
      <c r="BB244" s="65" t="e">
        <f>IF(BA52=1,IF(BA$13&lt;=COUNT($C24:$CS24),IF(INDEX($F$206:$F$229,MATCH($B244,$B$206:$B$229,FALSE))=0,NA(),INDEX(BA$14:BA$37,MATCH($B244,$B$14:$B$37,FALSE))/INDEX($F$206:$F$229,MATCH($B244,$B$206:$B$229,FALSE))),NA()),NA())</f>
        <v>#N/A</v>
      </c>
      <c r="BC244" s="65" t="e">
        <f>IF(BB52=1,IF(BB$13&lt;=COUNT($C24:$CS24),IF(INDEX($F$206:$F$229,MATCH($B244,$B$206:$B$229,FALSE))=0,NA(),INDEX(BB$14:BB$37,MATCH($B244,$B$14:$B$37,FALSE))/INDEX($F$206:$F$229,MATCH($B244,$B$206:$B$229,FALSE))),NA()),NA())</f>
        <v>#N/A</v>
      </c>
      <c r="BD244" s="65" t="e">
        <f>IF(BC52=1,IF(BC$13&lt;=COUNT($C24:$CS24),IF(INDEX($F$206:$F$229,MATCH($B244,$B$206:$B$229,FALSE))=0,NA(),INDEX(BC$14:BC$37,MATCH($B244,$B$14:$B$37,FALSE))/INDEX($F$206:$F$229,MATCH($B244,$B$206:$B$229,FALSE))),NA()),NA())</f>
        <v>#N/A</v>
      </c>
      <c r="BE244" s="65" t="e">
        <f>IF(BD52=1,IF(BD$13&lt;=COUNT($C24:$CS24),IF(INDEX($F$206:$F$229,MATCH($B244,$B$206:$B$229,FALSE))=0,NA(),INDEX(BD$14:BD$37,MATCH($B244,$B$14:$B$37,FALSE))/INDEX($F$206:$F$229,MATCH($B244,$B$206:$B$229,FALSE))),NA()),NA())</f>
        <v>#N/A</v>
      </c>
      <c r="BF244" s="65" t="e">
        <f>IF(BE52=1,IF(BE$13&lt;=COUNT($C24:$CS24),IF(INDEX($F$206:$F$229,MATCH($B244,$B$206:$B$229,FALSE))=0,NA(),INDEX(BE$14:BE$37,MATCH($B244,$B$14:$B$37,FALSE))/INDEX($F$206:$F$229,MATCH($B244,$B$206:$B$229,FALSE))),NA()),NA())</f>
        <v>#N/A</v>
      </c>
      <c r="BG244" s="65" t="e">
        <f>IF(BF52=1,IF(BF$13&lt;=COUNT($C24:$CS24),IF(INDEX($F$206:$F$229,MATCH($B244,$B$206:$B$229,FALSE))=0,NA(),INDEX(BF$14:BF$37,MATCH($B244,$B$14:$B$37,FALSE))/INDEX($F$206:$F$229,MATCH($B244,$B$206:$B$229,FALSE))),NA()),NA())</f>
        <v>#N/A</v>
      </c>
      <c r="BH244" s="65" t="e">
        <f>IF(BG52=1,IF(BG$13&lt;=COUNT($C24:$CS24),IF(INDEX($F$206:$F$229,MATCH($B244,$B$206:$B$229,FALSE))=0,NA(),INDEX(BG$14:BG$37,MATCH($B244,$B$14:$B$37,FALSE))/INDEX($F$206:$F$229,MATCH($B244,$B$206:$B$229,FALSE))),NA()),NA())</f>
        <v>#N/A</v>
      </c>
      <c r="BI244" s="65" t="e">
        <f>IF(BH52=1,IF(BH$13&lt;=COUNT($C24:$CS24),IF(INDEX($F$206:$F$229,MATCH($B244,$B$206:$B$229,FALSE))=0,NA(),INDEX(BH$14:BH$37,MATCH($B244,$B$14:$B$37,FALSE))/INDEX($F$206:$F$229,MATCH($B244,$B$206:$B$229,FALSE))),NA()),NA())</f>
        <v>#N/A</v>
      </c>
      <c r="BJ244" s="65" t="e">
        <f>IF(BI52=1,IF(BI$13&lt;=COUNT($C24:$CS24),IF(INDEX($F$206:$F$229,MATCH($B244,$B$206:$B$229,FALSE))=0,NA(),INDEX(BI$14:BI$37,MATCH($B244,$B$14:$B$37,FALSE))/INDEX($F$206:$F$229,MATCH($B244,$B$206:$B$229,FALSE))),NA()),NA())</f>
        <v>#N/A</v>
      </c>
      <c r="BK244" s="65" t="e">
        <f>IF(BJ52=1,IF(BJ$13&lt;=COUNT($C24:$CS24),IF(INDEX($F$206:$F$229,MATCH($B244,$B$206:$B$229,FALSE))=0,NA(),INDEX(BJ$14:BJ$37,MATCH($B244,$B$14:$B$37,FALSE))/INDEX($F$206:$F$229,MATCH($B244,$B$206:$B$229,FALSE))),NA()),NA())</f>
        <v>#N/A</v>
      </c>
      <c r="BL244" s="65" t="e">
        <f>IF(BK52=1,IF(BK$13&lt;=COUNT($C24:$CS24),IF(INDEX($F$206:$F$229,MATCH($B244,$B$206:$B$229,FALSE))=0,NA(),INDEX(BK$14:BK$37,MATCH($B244,$B$14:$B$37,FALSE))/INDEX($F$206:$F$229,MATCH($B244,$B$206:$B$229,FALSE))),NA()),NA())</f>
        <v>#N/A</v>
      </c>
      <c r="BM244" s="65" t="e">
        <f>IF(BL52=1,IF(BL$13&lt;=COUNT($C24:$CS24),IF(INDEX($F$206:$F$229,MATCH($B244,$B$206:$B$229,FALSE))=0,NA(),INDEX(BL$14:BL$37,MATCH($B244,$B$14:$B$37,FALSE))/INDEX($F$206:$F$229,MATCH($B244,$B$206:$B$229,FALSE))),NA()),NA())</f>
        <v>#N/A</v>
      </c>
      <c r="BN244" s="65" t="e">
        <f>IF(BM52=1,IF(BM$13&lt;=COUNT($C24:$CS24),IF(INDEX($F$206:$F$229,MATCH($B244,$B$206:$B$229,FALSE))=0,NA(),INDEX(BM$14:BM$37,MATCH($B244,$B$14:$B$37,FALSE))/INDEX($F$206:$F$229,MATCH($B244,$B$206:$B$229,FALSE))),NA()),NA())</f>
        <v>#N/A</v>
      </c>
      <c r="BO244" s="65" t="e">
        <f>IF(BN52=1,IF(BN$13&lt;=COUNT($C24:$CS24),IF(INDEX($F$206:$F$229,MATCH($B244,$B$206:$B$229,FALSE))=0,NA(),INDEX(BN$14:BN$37,MATCH($B244,$B$14:$B$37,FALSE))/INDEX($F$206:$F$229,MATCH($B244,$B$206:$B$229,FALSE))),NA()),NA())</f>
        <v>#N/A</v>
      </c>
      <c r="BP244" s="65" t="e">
        <f>IF(BO52=1,IF(BO$13&lt;=COUNT($C24:$CS24),IF(INDEX($F$206:$F$229,MATCH($B244,$B$206:$B$229,FALSE))=0,NA(),INDEX(BO$14:BO$37,MATCH($B244,$B$14:$B$37,FALSE))/INDEX($F$206:$F$229,MATCH($B244,$B$206:$B$229,FALSE))),NA()),NA())</f>
        <v>#N/A</v>
      </c>
      <c r="BQ244" s="65" t="e">
        <f>IF(BP52=1,IF(BP$13&lt;=COUNT($C24:$CS24),IF(INDEX($F$206:$F$229,MATCH($B244,$B$206:$B$229,FALSE))=0,NA(),INDEX(BP$14:BP$37,MATCH($B244,$B$14:$B$37,FALSE))/INDEX($F$206:$F$229,MATCH($B244,$B$206:$B$229,FALSE))),NA()),NA())</f>
        <v>#N/A</v>
      </c>
      <c r="BR244" s="65" t="e">
        <f>IF(BQ52=1,IF(BQ$13&lt;=COUNT($C24:$CS24),IF(INDEX($F$206:$F$229,MATCH($B244,$B$206:$B$229,FALSE))=0,NA(),INDEX(BQ$14:BQ$37,MATCH($B244,$B$14:$B$37,FALSE))/INDEX($F$206:$F$229,MATCH($B244,$B$206:$B$229,FALSE))),NA()),NA())</f>
        <v>#N/A</v>
      </c>
      <c r="BS244" s="65" t="e">
        <f>IF(BR52=1,IF(BR$13&lt;=COUNT($C24:$CS24),IF(INDEX($F$206:$F$229,MATCH($B244,$B$206:$B$229,FALSE))=0,NA(),INDEX(BR$14:BR$37,MATCH($B244,$B$14:$B$37,FALSE))/INDEX($F$206:$F$229,MATCH($B244,$B$206:$B$229,FALSE))),NA()),NA())</f>
        <v>#N/A</v>
      </c>
      <c r="BT244" s="65" t="e">
        <f>IF(BS52=1,IF(BS$13&lt;=COUNT($C24:$CS24),IF(INDEX($F$206:$F$229,MATCH($B244,$B$206:$B$229,FALSE))=0,NA(),INDEX(BS$14:BS$37,MATCH($B244,$B$14:$B$37,FALSE))/INDEX($F$206:$F$229,MATCH($B244,$B$206:$B$229,FALSE))),NA()),NA())</f>
        <v>#N/A</v>
      </c>
      <c r="BU244" s="65" t="e">
        <f>IF(BT52=1,IF(BT$13&lt;=COUNT($C24:$CS24),IF(INDEX($F$206:$F$229,MATCH($B244,$B$206:$B$229,FALSE))=0,NA(),INDEX(BT$14:BT$37,MATCH($B244,$B$14:$B$37,FALSE))/INDEX($F$206:$F$229,MATCH($B244,$B$206:$B$229,FALSE))),NA()),NA())</f>
        <v>#N/A</v>
      </c>
      <c r="BV244" s="65" t="e">
        <f>IF(BU52=1,IF(BU$13&lt;=COUNT($C24:$CS24),IF(INDEX($F$206:$F$229,MATCH($B244,$B$206:$B$229,FALSE))=0,NA(),INDEX(BU$14:BU$37,MATCH($B244,$B$14:$B$37,FALSE))/INDEX($F$206:$F$229,MATCH($B244,$B$206:$B$229,FALSE))),NA()),NA())</f>
        <v>#N/A</v>
      </c>
      <c r="BW244" s="65" t="e">
        <f>IF(BV52=1,IF(BV$13&lt;=COUNT($C24:$CS24),IF(INDEX($F$206:$F$229,MATCH($B244,$B$206:$B$229,FALSE))=0,NA(),INDEX(BV$14:BV$37,MATCH($B244,$B$14:$B$37,FALSE))/INDEX($F$206:$F$229,MATCH($B244,$B$206:$B$229,FALSE))),NA()),NA())</f>
        <v>#N/A</v>
      </c>
      <c r="BX244" s="65" t="e">
        <f>IF(BW52=1,IF(BW$13&lt;=COUNT($C24:$CS24),IF(INDEX($F$206:$F$229,MATCH($B244,$B$206:$B$229,FALSE))=0,NA(),INDEX(BW$14:BW$37,MATCH($B244,$B$14:$B$37,FALSE))/INDEX($F$206:$F$229,MATCH($B244,$B$206:$B$229,FALSE))),NA()),NA())</f>
        <v>#N/A</v>
      </c>
      <c r="BY244" s="65" t="e">
        <f>IF(BX52=1,IF(BX$13&lt;=COUNT($C24:$CS24),IF(INDEX($F$206:$F$229,MATCH($B244,$B$206:$B$229,FALSE))=0,NA(),INDEX(BX$14:BX$37,MATCH($B244,$B$14:$B$37,FALSE))/INDEX($F$206:$F$229,MATCH($B244,$B$206:$B$229,FALSE))),NA()),NA())</f>
        <v>#N/A</v>
      </c>
      <c r="BZ244" s="65" t="e">
        <f>IF(BY52=1,IF(BY$13&lt;=COUNT($C24:$CS24),IF(INDEX($F$206:$F$229,MATCH($B244,$B$206:$B$229,FALSE))=0,NA(),INDEX(BY$14:BY$37,MATCH($B244,$B$14:$B$37,FALSE))/INDEX($F$206:$F$229,MATCH($B244,$B$206:$B$229,FALSE))),NA()),NA())</f>
        <v>#N/A</v>
      </c>
      <c r="CA244" s="65" t="e">
        <f>IF(BZ52=1,IF(BZ$13&lt;=COUNT($C24:$CS24),IF(INDEX($F$206:$F$229,MATCH($B244,$B$206:$B$229,FALSE))=0,NA(),INDEX(BZ$14:BZ$37,MATCH($B244,$B$14:$B$37,FALSE))/INDEX($F$206:$F$229,MATCH($B244,$B$206:$B$229,FALSE))),NA()),NA())</f>
        <v>#N/A</v>
      </c>
      <c r="CB244" s="65" t="e">
        <f>IF(CA52=1,IF(CA$13&lt;=COUNT($C24:$CS24),IF(INDEX($F$206:$F$229,MATCH($B244,$B$206:$B$229,FALSE))=0,NA(),INDEX(CA$14:CA$37,MATCH($B244,$B$14:$B$37,FALSE))/INDEX($F$206:$F$229,MATCH($B244,$B$206:$B$229,FALSE))),NA()),NA())</f>
        <v>#N/A</v>
      </c>
      <c r="CC244" s="65" t="e">
        <f>IF(CB52=1,IF(CB$13&lt;=COUNT($C24:$CS24),IF(INDEX($F$206:$F$229,MATCH($B244,$B$206:$B$229,FALSE))=0,NA(),INDEX(CB$14:CB$37,MATCH($B244,$B$14:$B$37,FALSE))/INDEX($F$206:$F$229,MATCH($B244,$B$206:$B$229,FALSE))),NA()),NA())</f>
        <v>#N/A</v>
      </c>
      <c r="CD244" s="65" t="e">
        <f>IF(CC52=1,IF(CC$13&lt;=COUNT($C24:$CS24),IF(INDEX($F$206:$F$229,MATCH($B244,$B$206:$B$229,FALSE))=0,NA(),INDEX(CC$14:CC$37,MATCH($B244,$B$14:$B$37,FALSE))/INDEX($F$206:$F$229,MATCH($B244,$B$206:$B$229,FALSE))),NA()),NA())</f>
        <v>#N/A</v>
      </c>
      <c r="CE244" s="65" t="e">
        <f>IF(CD52=1,IF(CD$13&lt;=COUNT($C24:$CS24),IF(INDEX($F$206:$F$229,MATCH($B244,$B$206:$B$229,FALSE))=0,NA(),INDEX(CD$14:CD$37,MATCH($B244,$B$14:$B$37,FALSE))/INDEX($F$206:$F$229,MATCH($B244,$B$206:$B$229,FALSE))),NA()),NA())</f>
        <v>#N/A</v>
      </c>
      <c r="CF244" s="65" t="e">
        <f>IF(CE52=1,IF(CE$13&lt;=COUNT($C24:$CS24),IF(INDEX($F$206:$F$229,MATCH($B244,$B$206:$B$229,FALSE))=0,NA(),INDEX(CE$14:CE$37,MATCH($B244,$B$14:$B$37,FALSE))/INDEX($F$206:$F$229,MATCH($B244,$B$206:$B$229,FALSE))),NA()),NA())</f>
        <v>#N/A</v>
      </c>
      <c r="CG244" s="65" t="e">
        <f>IF(CF52=1,IF(CF$13&lt;=COUNT($C24:$CS24),IF(INDEX($F$206:$F$229,MATCH($B244,$B$206:$B$229,FALSE))=0,NA(),INDEX(CF$14:CF$37,MATCH($B244,$B$14:$B$37,FALSE))/INDEX($F$206:$F$229,MATCH($B244,$B$206:$B$229,FALSE))),NA()),NA())</f>
        <v>#N/A</v>
      </c>
      <c r="CH244" s="65" t="e">
        <f>IF(CG52=1,IF(CG$13&lt;=COUNT($C24:$CS24),IF(INDEX($F$206:$F$229,MATCH($B244,$B$206:$B$229,FALSE))=0,NA(),INDEX(CG$14:CG$37,MATCH($B244,$B$14:$B$37,FALSE))/INDEX($F$206:$F$229,MATCH($B244,$B$206:$B$229,FALSE))),NA()),NA())</f>
        <v>#N/A</v>
      </c>
      <c r="CI244" s="65" t="e">
        <f>IF(CH52=1,IF(CH$13&lt;=COUNT($C24:$CS24),IF(INDEX($F$206:$F$229,MATCH($B244,$B$206:$B$229,FALSE))=0,NA(),INDEX(CH$14:CH$37,MATCH($B244,$B$14:$B$37,FALSE))/INDEX($F$206:$F$229,MATCH($B244,$B$206:$B$229,FALSE))),NA()),NA())</f>
        <v>#N/A</v>
      </c>
      <c r="CJ244" s="65" t="e">
        <f>IF(CI52=1,IF(CI$13&lt;=COUNT($C24:$CS24),IF(INDEX($F$206:$F$229,MATCH($B244,$B$206:$B$229,FALSE))=0,NA(),INDEX(CI$14:CI$37,MATCH($B244,$B$14:$B$37,FALSE))/INDEX($F$206:$F$229,MATCH($B244,$B$206:$B$229,FALSE))),NA()),NA())</f>
        <v>#N/A</v>
      </c>
      <c r="CK244" s="65" t="e">
        <f>IF(CJ52=1,IF(CJ$13&lt;=COUNT($C24:$CS24),IF(INDEX($F$206:$F$229,MATCH($B244,$B$206:$B$229,FALSE))=0,NA(),INDEX(CJ$14:CJ$37,MATCH($B244,$B$14:$B$37,FALSE))/INDEX($F$206:$F$229,MATCH($B244,$B$206:$B$229,FALSE))),NA()),NA())</f>
        <v>#N/A</v>
      </c>
      <c r="CL244" s="65" t="e">
        <f>IF(CK52=1,IF(CK$13&lt;=COUNT($C24:$CS24),IF(INDEX($F$206:$F$229,MATCH($B244,$B$206:$B$229,FALSE))=0,NA(),INDEX(CK$14:CK$37,MATCH($B244,$B$14:$B$37,FALSE))/INDEX($F$206:$F$229,MATCH($B244,$B$206:$B$229,FALSE))),NA()),NA())</f>
        <v>#N/A</v>
      </c>
      <c r="CM244" s="65" t="e">
        <f>IF(CL52=1,IF(CL$13&lt;=COUNT($C24:$CS24),IF(INDEX($F$206:$F$229,MATCH($B244,$B$206:$B$229,FALSE))=0,NA(),INDEX(CL$14:CL$37,MATCH($B244,$B$14:$B$37,FALSE))/INDEX($F$206:$F$229,MATCH($B244,$B$206:$B$229,FALSE))),NA()),NA())</f>
        <v>#N/A</v>
      </c>
      <c r="CN244" s="65" t="e">
        <f>IF(CM52=1,IF(CM$13&lt;=COUNT($C24:$CS24),IF(INDEX($F$206:$F$229,MATCH($B244,$B$206:$B$229,FALSE))=0,NA(),INDEX(CM$14:CM$37,MATCH($B244,$B$14:$B$37,FALSE))/INDEX($F$206:$F$229,MATCH($B244,$B$206:$B$229,FALSE))),NA()),NA())</f>
        <v>#N/A</v>
      </c>
      <c r="CO244" s="65" t="e">
        <f>IF(CN52=1,IF(CN$13&lt;=COUNT($C24:$CS24),IF(INDEX($F$206:$F$229,MATCH($B244,$B$206:$B$229,FALSE))=0,NA(),INDEX(CN$14:CN$37,MATCH($B244,$B$14:$B$37,FALSE))/INDEX($F$206:$F$229,MATCH($B244,$B$206:$B$229,FALSE))),NA()),NA())</f>
        <v>#N/A</v>
      </c>
      <c r="CP244" s="65" t="e">
        <f>IF(CO52=1,IF(CO$13&lt;=COUNT($C24:$CS24),IF(INDEX($F$206:$F$229,MATCH($B244,$B$206:$B$229,FALSE))=0,NA(),INDEX(CO$14:CO$37,MATCH($B244,$B$14:$B$37,FALSE))/INDEX($F$206:$F$229,MATCH($B244,$B$206:$B$229,FALSE))),NA()),NA())</f>
        <v>#N/A</v>
      </c>
      <c r="CQ244" s="65" t="e">
        <f>IF(CP52=1,IF(CP$13&lt;=COUNT($C24:$CS24),IF(INDEX($F$206:$F$229,MATCH($B244,$B$206:$B$229,FALSE))=0,NA(),INDEX(CP$14:CP$37,MATCH($B244,$B$14:$B$37,FALSE))/INDEX($F$206:$F$229,MATCH($B244,$B$206:$B$229,FALSE))),NA()),NA())</f>
        <v>#N/A</v>
      </c>
      <c r="CR244" s="65" t="e">
        <f>IF(CQ52=1,IF(CQ$13&lt;=COUNT($C24:$CS24),IF(INDEX($F$206:$F$229,MATCH($B244,$B$206:$B$229,FALSE))=0,NA(),INDEX(CQ$14:CQ$37,MATCH($B244,$B$14:$B$37,FALSE))/INDEX($F$206:$F$229,MATCH($B244,$B$206:$B$229,FALSE))),NA()),NA())</f>
        <v>#N/A</v>
      </c>
      <c r="CS244" s="65" t="e">
        <f>IF(CR52=1,IF(CR$13&lt;=COUNT($C24:$CS24),IF(INDEX($F$206:$F$229,MATCH($B244,$B$206:$B$229,FALSE))=0,NA(),INDEX(CR$14:CR$37,MATCH($B244,$B$14:$B$37,FALSE))/INDEX($F$206:$F$229,MATCH($B244,$B$206:$B$229,FALSE))),NA()),NA())</f>
        <v>#N/A</v>
      </c>
      <c r="CT244" s="49"/>
      <c r="CU244" s="49"/>
      <c r="CV244" s="49"/>
      <c r="CW244" s="49"/>
    </row>
    <row r="245" spans="1:101" x14ac:dyDescent="0.25">
      <c r="A245" s="97">
        <f t="shared" si="105"/>
        <v>0</v>
      </c>
      <c r="B245" s="29">
        <f t="shared" si="104"/>
        <v>2007</v>
      </c>
      <c r="C245" s="154" t="str">
        <f t="shared" si="106"/>
        <v/>
      </c>
      <c r="D245" s="54" t="e">
        <f>IF(C53=1,IF(C$13&lt;=COUNT($C25:$CS25),IF(INDEX($F$206:$F$229,MATCH($B245,$B$206:$B$229,FALSE))=0,NA(),INDEX(C$14:C$37,MATCH($B245,$B$14:$B$37,FALSE))/INDEX($F$206:$F$229,MATCH($B245,$B$206:$B$229,FALSE))),NA()),NA())</f>
        <v>#N/A</v>
      </c>
      <c r="E245" s="65" t="e">
        <f>IF(D53=1,IF(D$13&lt;=COUNT($C25:$CS25),IF(INDEX($F$206:$F$229,MATCH($B245,$B$206:$B$229,FALSE))=0,NA(),INDEX(D$14:D$37,MATCH($B245,$B$14:$B$37,FALSE))/INDEX($F$206:$F$229,MATCH($B245,$B$206:$B$229,FALSE))),NA()),NA())</f>
        <v>#N/A</v>
      </c>
      <c r="F245" s="65" t="e">
        <f>IF(E53=1,IF(E$13&lt;=COUNT($C25:$CS25),IF(INDEX($F$206:$F$229,MATCH($B245,$B$206:$B$229,FALSE))=0,NA(),INDEX(E$14:E$37,MATCH($B245,$B$14:$B$37,FALSE))/INDEX($F$206:$F$229,MATCH($B245,$B$206:$B$229,FALSE))),NA()),NA())</f>
        <v>#N/A</v>
      </c>
      <c r="G245" s="65" t="e">
        <f>IF(F53=1,IF(F$13&lt;=COUNT($C25:$CS25),IF(INDEX($F$206:$F$229,MATCH($B245,$B$206:$B$229,FALSE))=0,NA(),INDEX(F$14:F$37,MATCH($B245,$B$14:$B$37,FALSE))/INDEX($F$206:$F$229,MATCH($B245,$B$206:$B$229,FALSE))),NA()),NA())</f>
        <v>#N/A</v>
      </c>
      <c r="H245" s="65" t="e">
        <f>IF(G53=1,IF(G$13&lt;=COUNT($C25:$CS25),IF(INDEX($F$206:$F$229,MATCH($B245,$B$206:$B$229,FALSE))=0,NA(),INDEX(G$14:G$37,MATCH($B245,$B$14:$B$37,FALSE))/INDEX($F$206:$F$229,MATCH($B245,$B$206:$B$229,FALSE))),NA()),NA())</f>
        <v>#N/A</v>
      </c>
      <c r="I245" s="65" t="e">
        <f>IF(H53=1,IF(H$13&lt;=COUNT($C25:$CS25),IF(INDEX($F$206:$F$229,MATCH($B245,$B$206:$B$229,FALSE))=0,NA(),INDEX(H$14:H$37,MATCH($B245,$B$14:$B$37,FALSE))/INDEX($F$206:$F$229,MATCH($B245,$B$206:$B$229,FALSE))),NA()),NA())</f>
        <v>#N/A</v>
      </c>
      <c r="J245" s="65" t="e">
        <f>IF(I53=1,IF(I$13&lt;=COUNT($C25:$CS25),IF(INDEX($F$206:$F$229,MATCH($B245,$B$206:$B$229,FALSE))=0,NA(),INDEX(I$14:I$37,MATCH($B245,$B$14:$B$37,FALSE))/INDEX($F$206:$F$229,MATCH($B245,$B$206:$B$229,FALSE))),NA()),NA())</f>
        <v>#N/A</v>
      </c>
      <c r="K245" s="65" t="e">
        <f>IF(J53=1,IF(J$13&lt;=COUNT($C25:$CS25),IF(INDEX($F$206:$F$229,MATCH($B245,$B$206:$B$229,FALSE))=0,NA(),INDEX(J$14:J$37,MATCH($B245,$B$14:$B$37,FALSE))/INDEX($F$206:$F$229,MATCH($B245,$B$206:$B$229,FALSE))),NA()),NA())</f>
        <v>#N/A</v>
      </c>
      <c r="L245" s="65" t="e">
        <f>IF(K53=1,IF(K$13&lt;=COUNT($C25:$CS25),IF(INDEX($F$206:$F$229,MATCH($B245,$B$206:$B$229,FALSE))=0,NA(),INDEX(K$14:K$37,MATCH($B245,$B$14:$B$37,FALSE))/INDEX($F$206:$F$229,MATCH($B245,$B$206:$B$229,FALSE))),NA()),NA())</f>
        <v>#N/A</v>
      </c>
      <c r="M245" s="65" t="e">
        <f>IF(L53=1,IF(L$13&lt;=COUNT($C25:$CS25),IF(INDEX($F$206:$F$229,MATCH($B245,$B$206:$B$229,FALSE))=0,NA(),INDEX(L$14:L$37,MATCH($B245,$B$14:$B$37,FALSE))/INDEX($F$206:$F$229,MATCH($B245,$B$206:$B$229,FALSE))),NA()),NA())</f>
        <v>#N/A</v>
      </c>
      <c r="N245" s="65" t="e">
        <f>IF(M53=1,IF(M$13&lt;=COUNT($C25:$CS25),IF(INDEX($F$206:$F$229,MATCH($B245,$B$206:$B$229,FALSE))=0,NA(),INDEX(M$14:M$37,MATCH($B245,$B$14:$B$37,FALSE))/INDEX($F$206:$F$229,MATCH($B245,$B$206:$B$229,FALSE))),NA()),NA())</f>
        <v>#N/A</v>
      </c>
      <c r="O245" s="65" t="e">
        <f>IF(N53=1,IF(N$13&lt;=COUNT($C25:$CS25),IF(INDEX($F$206:$F$229,MATCH($B245,$B$206:$B$229,FALSE))=0,NA(),INDEX(N$14:N$37,MATCH($B245,$B$14:$B$37,FALSE))/INDEX($F$206:$F$229,MATCH($B245,$B$206:$B$229,FALSE))),NA()),NA())</f>
        <v>#N/A</v>
      </c>
      <c r="P245" s="65" t="e">
        <f>IF(O53=1,IF(O$13&lt;=COUNT($C25:$CS25),IF(INDEX($F$206:$F$229,MATCH($B245,$B$206:$B$229,FALSE))=0,NA(),INDEX(O$14:O$37,MATCH($B245,$B$14:$B$37,FALSE))/INDEX($F$206:$F$229,MATCH($B245,$B$206:$B$229,FALSE))),NA()),NA())</f>
        <v>#N/A</v>
      </c>
      <c r="Q245" s="65" t="e">
        <f>IF(P53=1,IF(P$13&lt;=COUNT($C25:$CS25),IF(INDEX($F$206:$F$229,MATCH($B245,$B$206:$B$229,FALSE))=0,NA(),INDEX(P$14:P$37,MATCH($B245,$B$14:$B$37,FALSE))/INDEX($F$206:$F$229,MATCH($B245,$B$206:$B$229,FALSE))),NA()),NA())</f>
        <v>#N/A</v>
      </c>
      <c r="R245" s="65" t="e">
        <f>IF(Q53=1,IF(Q$13&lt;=COUNT($C25:$CS25),IF(INDEX($F$206:$F$229,MATCH($B245,$B$206:$B$229,FALSE))=0,NA(),INDEX(Q$14:Q$37,MATCH($B245,$B$14:$B$37,FALSE))/INDEX($F$206:$F$229,MATCH($B245,$B$206:$B$229,FALSE))),NA()),NA())</f>
        <v>#N/A</v>
      </c>
      <c r="S245" s="65" t="e">
        <f>IF(R53=1,IF(R$13&lt;=COUNT($C25:$CS25),IF(INDEX($F$206:$F$229,MATCH($B245,$B$206:$B$229,FALSE))=0,NA(),INDEX(R$14:R$37,MATCH($B245,$B$14:$B$37,FALSE))/INDEX($F$206:$F$229,MATCH($B245,$B$206:$B$229,FALSE))),NA()),NA())</f>
        <v>#N/A</v>
      </c>
      <c r="T245" s="65" t="e">
        <f>IF(S53=1,IF(S$13&lt;=COUNT($C25:$CS25),IF(INDEX($F$206:$F$229,MATCH($B245,$B$206:$B$229,FALSE))=0,NA(),INDEX(S$14:S$37,MATCH($B245,$B$14:$B$37,FALSE))/INDEX($F$206:$F$229,MATCH($B245,$B$206:$B$229,FALSE))),NA()),NA())</f>
        <v>#N/A</v>
      </c>
      <c r="U245" s="65" t="e">
        <f>IF(T53=1,IF(T$13&lt;=COUNT($C25:$CS25),IF(INDEX($F$206:$F$229,MATCH($B245,$B$206:$B$229,FALSE))=0,NA(),INDEX(T$14:T$37,MATCH($B245,$B$14:$B$37,FALSE))/INDEX($F$206:$F$229,MATCH($B245,$B$206:$B$229,FALSE))),NA()),NA())</f>
        <v>#N/A</v>
      </c>
      <c r="V245" s="65" t="e">
        <f>IF(U53=1,IF(U$13&lt;=COUNT($C25:$CS25),IF(INDEX($F$206:$F$229,MATCH($B245,$B$206:$B$229,FALSE))=0,NA(),INDEX(U$14:U$37,MATCH($B245,$B$14:$B$37,FALSE))/INDEX($F$206:$F$229,MATCH($B245,$B$206:$B$229,FALSE))),NA()),NA())</f>
        <v>#N/A</v>
      </c>
      <c r="W245" s="65" t="e">
        <f>IF(V53=1,IF(V$13&lt;=COUNT($C25:$CS25),IF(INDEX($F$206:$F$229,MATCH($B245,$B$206:$B$229,FALSE))=0,NA(),INDEX(V$14:V$37,MATCH($B245,$B$14:$B$37,FALSE))/INDEX($F$206:$F$229,MATCH($B245,$B$206:$B$229,FALSE))),NA()),NA())</f>
        <v>#N/A</v>
      </c>
      <c r="X245" s="65" t="e">
        <f>IF(W53=1,IF(W$13&lt;=COUNT($C25:$CS25),IF(INDEX($F$206:$F$229,MATCH($B245,$B$206:$B$229,FALSE))=0,NA(),INDEX(W$14:W$37,MATCH($B245,$B$14:$B$37,FALSE))/INDEX($F$206:$F$229,MATCH($B245,$B$206:$B$229,FALSE))),NA()),NA())</f>
        <v>#N/A</v>
      </c>
      <c r="Y245" s="65" t="e">
        <f>IF(X53=1,IF(X$13&lt;=COUNT($C25:$CS25),IF(INDEX($F$206:$F$229,MATCH($B245,$B$206:$B$229,FALSE))=0,NA(),INDEX(X$14:X$37,MATCH($B245,$B$14:$B$37,FALSE))/INDEX($F$206:$F$229,MATCH($B245,$B$206:$B$229,FALSE))),NA()),NA())</f>
        <v>#N/A</v>
      </c>
      <c r="Z245" s="65" t="e">
        <f>IF(Y53=1,IF(Y$13&lt;=COUNT($C25:$CS25),IF(INDEX($F$206:$F$229,MATCH($B245,$B$206:$B$229,FALSE))=0,NA(),INDEX(Y$14:Y$37,MATCH($B245,$B$14:$B$37,FALSE))/INDEX($F$206:$F$229,MATCH($B245,$B$206:$B$229,FALSE))),NA()),NA())</f>
        <v>#N/A</v>
      </c>
      <c r="AA245" s="65" t="e">
        <f>IF(Z53=1,IF(Z$13&lt;=COUNT($C25:$CS25),IF(INDEX($F$206:$F$229,MATCH($B245,$B$206:$B$229,FALSE))=0,NA(),INDEX(Z$14:Z$37,MATCH($B245,$B$14:$B$37,FALSE))/INDEX($F$206:$F$229,MATCH($B245,$B$206:$B$229,FALSE))),NA()),NA())</f>
        <v>#N/A</v>
      </c>
      <c r="AB245" s="65" t="e">
        <f>IF(AA53=1,IF(AA$13&lt;=COUNT($C25:$CS25),IF(INDEX($F$206:$F$229,MATCH($B245,$B$206:$B$229,FALSE))=0,NA(),INDEX(AA$14:AA$37,MATCH($B245,$B$14:$B$37,FALSE))/INDEX($F$206:$F$229,MATCH($B245,$B$206:$B$229,FALSE))),NA()),NA())</f>
        <v>#N/A</v>
      </c>
      <c r="AC245" s="65" t="e">
        <f>IF(AB53=1,IF(AB$13&lt;=COUNT($C25:$CS25),IF(INDEX($F$206:$F$229,MATCH($B245,$B$206:$B$229,FALSE))=0,NA(),INDEX(AB$14:AB$37,MATCH($B245,$B$14:$B$37,FALSE))/INDEX($F$206:$F$229,MATCH($B245,$B$206:$B$229,FALSE))),NA()),NA())</f>
        <v>#N/A</v>
      </c>
      <c r="AD245" s="65" t="e">
        <f>IF(AC53=1,IF(AC$13&lt;=COUNT($C25:$CS25),IF(INDEX($F$206:$F$229,MATCH($B245,$B$206:$B$229,FALSE))=0,NA(),INDEX(AC$14:AC$37,MATCH($B245,$B$14:$B$37,FALSE))/INDEX($F$206:$F$229,MATCH($B245,$B$206:$B$229,FALSE))),NA()),NA())</f>
        <v>#N/A</v>
      </c>
      <c r="AE245" s="65" t="e">
        <f>IF(AD53=1,IF(AD$13&lt;=COUNT($C25:$CS25),IF(INDEX($F$206:$F$229,MATCH($B245,$B$206:$B$229,FALSE))=0,NA(),INDEX(AD$14:AD$37,MATCH($B245,$B$14:$B$37,FALSE))/INDEX($F$206:$F$229,MATCH($B245,$B$206:$B$229,FALSE))),NA()),NA())</f>
        <v>#N/A</v>
      </c>
      <c r="AF245" s="65" t="e">
        <f>IF(AE53=1,IF(AE$13&lt;=COUNT($C25:$CS25),IF(INDEX($F$206:$F$229,MATCH($B245,$B$206:$B$229,FALSE))=0,NA(),INDEX(AE$14:AE$37,MATCH($B245,$B$14:$B$37,FALSE))/INDEX($F$206:$F$229,MATCH($B245,$B$206:$B$229,FALSE))),NA()),NA())</f>
        <v>#N/A</v>
      </c>
      <c r="AG245" s="65" t="e">
        <f>IF(AF53=1,IF(AF$13&lt;=COUNT($C25:$CS25),IF(INDEX($F$206:$F$229,MATCH($B245,$B$206:$B$229,FALSE))=0,NA(),INDEX(AF$14:AF$37,MATCH($B245,$B$14:$B$37,FALSE))/INDEX($F$206:$F$229,MATCH($B245,$B$206:$B$229,FALSE))),NA()),NA())</f>
        <v>#N/A</v>
      </c>
      <c r="AH245" s="65" t="e">
        <f>IF(AG53=1,IF(AG$13&lt;=COUNT($C25:$CS25),IF(INDEX($F$206:$F$229,MATCH($B245,$B$206:$B$229,FALSE))=0,NA(),INDEX(AG$14:AG$37,MATCH($B245,$B$14:$B$37,FALSE))/INDEX($F$206:$F$229,MATCH($B245,$B$206:$B$229,FALSE))),NA()),NA())</f>
        <v>#N/A</v>
      </c>
      <c r="AI245" s="65" t="e">
        <f>IF(AH53=1,IF(AH$13&lt;=COUNT($C25:$CS25),IF(INDEX($F$206:$F$229,MATCH($B245,$B$206:$B$229,FALSE))=0,NA(),INDEX(AH$14:AH$37,MATCH($B245,$B$14:$B$37,FALSE))/INDEX($F$206:$F$229,MATCH($B245,$B$206:$B$229,FALSE))),NA()),NA())</f>
        <v>#N/A</v>
      </c>
      <c r="AJ245" s="65" t="e">
        <f>IF(AI53=1,IF(AI$13&lt;=COUNT($C25:$CS25),IF(INDEX($F$206:$F$229,MATCH($B245,$B$206:$B$229,FALSE))=0,NA(),INDEX(AI$14:AI$37,MATCH($B245,$B$14:$B$37,FALSE))/INDEX($F$206:$F$229,MATCH($B245,$B$206:$B$229,FALSE))),NA()),NA())</f>
        <v>#N/A</v>
      </c>
      <c r="AK245" s="65" t="e">
        <f>IF(AJ53=1,IF(AJ$13&lt;=COUNT($C25:$CS25),IF(INDEX($F$206:$F$229,MATCH($B245,$B$206:$B$229,FALSE))=0,NA(),INDEX(AJ$14:AJ$37,MATCH($B245,$B$14:$B$37,FALSE))/INDEX($F$206:$F$229,MATCH($B245,$B$206:$B$229,FALSE))),NA()),NA())</f>
        <v>#N/A</v>
      </c>
      <c r="AL245" s="65" t="e">
        <f>IF(AK53=1,IF(AK$13&lt;=COUNT($C25:$CS25),IF(INDEX($F$206:$F$229,MATCH($B245,$B$206:$B$229,FALSE))=0,NA(),INDEX(AK$14:AK$37,MATCH($B245,$B$14:$B$37,FALSE))/INDEX($F$206:$F$229,MATCH($B245,$B$206:$B$229,FALSE))),NA()),NA())</f>
        <v>#N/A</v>
      </c>
      <c r="AM245" s="65" t="e">
        <f>IF(AL53=1,IF(AL$13&lt;=COUNT($C25:$CS25),IF(INDEX($F$206:$F$229,MATCH($B245,$B$206:$B$229,FALSE))=0,NA(),INDEX(AL$14:AL$37,MATCH($B245,$B$14:$B$37,FALSE))/INDEX($F$206:$F$229,MATCH($B245,$B$206:$B$229,FALSE))),NA()),NA())</f>
        <v>#N/A</v>
      </c>
      <c r="AN245" s="65" t="e">
        <f>IF(AM53=1,IF(AM$13&lt;=COUNT($C25:$CS25),IF(INDEX($F$206:$F$229,MATCH($B245,$B$206:$B$229,FALSE))=0,NA(),INDEX(AM$14:AM$37,MATCH($B245,$B$14:$B$37,FALSE))/INDEX($F$206:$F$229,MATCH($B245,$B$206:$B$229,FALSE))),NA()),NA())</f>
        <v>#N/A</v>
      </c>
      <c r="AO245" s="65" t="e">
        <f>IF(AN53=1,IF(AN$13&lt;=COUNT($C25:$CS25),IF(INDEX($F$206:$F$229,MATCH($B245,$B$206:$B$229,FALSE))=0,NA(),INDEX(AN$14:AN$37,MATCH($B245,$B$14:$B$37,FALSE))/INDEX($F$206:$F$229,MATCH($B245,$B$206:$B$229,FALSE))),NA()),NA())</f>
        <v>#N/A</v>
      </c>
      <c r="AP245" s="65" t="e">
        <f>IF(AO53=1,IF(AO$13&lt;=COUNT($C25:$CS25),IF(INDEX($F$206:$F$229,MATCH($B245,$B$206:$B$229,FALSE))=0,NA(),INDEX(AO$14:AO$37,MATCH($B245,$B$14:$B$37,FALSE))/INDEX($F$206:$F$229,MATCH($B245,$B$206:$B$229,FALSE))),NA()),NA())</f>
        <v>#N/A</v>
      </c>
      <c r="AQ245" s="65" t="e">
        <f>IF(AP53=1,IF(AP$13&lt;=COUNT($C25:$CS25),IF(INDEX($F$206:$F$229,MATCH($B245,$B$206:$B$229,FALSE))=0,NA(),INDEX(AP$14:AP$37,MATCH($B245,$B$14:$B$37,FALSE))/INDEX($F$206:$F$229,MATCH($B245,$B$206:$B$229,FALSE))),NA()),NA())</f>
        <v>#N/A</v>
      </c>
      <c r="AR245" s="65" t="e">
        <f>IF(AQ53=1,IF(AQ$13&lt;=COUNT($C25:$CS25),IF(INDEX($F$206:$F$229,MATCH($B245,$B$206:$B$229,FALSE))=0,NA(),INDEX(AQ$14:AQ$37,MATCH($B245,$B$14:$B$37,FALSE))/INDEX($F$206:$F$229,MATCH($B245,$B$206:$B$229,FALSE))),NA()),NA())</f>
        <v>#N/A</v>
      </c>
      <c r="AS245" s="65" t="e">
        <f>IF(AR53=1,IF(AR$13&lt;=COUNT($C25:$CS25),IF(INDEX($F$206:$F$229,MATCH($B245,$B$206:$B$229,FALSE))=0,NA(),INDEX(AR$14:AR$37,MATCH($B245,$B$14:$B$37,FALSE))/INDEX($F$206:$F$229,MATCH($B245,$B$206:$B$229,FALSE))),NA()),NA())</f>
        <v>#N/A</v>
      </c>
      <c r="AT245" s="65" t="e">
        <f>IF(AS53=1,IF(AS$13&lt;=COUNT($C25:$CS25),IF(INDEX($F$206:$F$229,MATCH($B245,$B$206:$B$229,FALSE))=0,NA(),INDEX(AS$14:AS$37,MATCH($B245,$B$14:$B$37,FALSE))/INDEX($F$206:$F$229,MATCH($B245,$B$206:$B$229,FALSE))),NA()),NA())</f>
        <v>#N/A</v>
      </c>
      <c r="AU245" s="65" t="e">
        <f>IF(AT53=1,IF(AT$13&lt;=COUNT($C25:$CS25),IF(INDEX($F$206:$F$229,MATCH($B245,$B$206:$B$229,FALSE))=0,NA(),INDEX(AT$14:AT$37,MATCH($B245,$B$14:$B$37,FALSE))/INDEX($F$206:$F$229,MATCH($B245,$B$206:$B$229,FALSE))),NA()),NA())</f>
        <v>#N/A</v>
      </c>
      <c r="AV245" s="65" t="e">
        <f>IF(AU53=1,IF(AU$13&lt;=COUNT($C25:$CS25),IF(INDEX($F$206:$F$229,MATCH($B245,$B$206:$B$229,FALSE))=0,NA(),INDEX(AU$14:AU$37,MATCH($B245,$B$14:$B$37,FALSE))/INDEX($F$206:$F$229,MATCH($B245,$B$206:$B$229,FALSE))),NA()),NA())</f>
        <v>#N/A</v>
      </c>
      <c r="AW245" s="65" t="e">
        <f>IF(AV53=1,IF(AV$13&lt;=COUNT($C25:$CS25),IF(INDEX($F$206:$F$229,MATCH($B245,$B$206:$B$229,FALSE))=0,NA(),INDEX(AV$14:AV$37,MATCH($B245,$B$14:$B$37,FALSE))/INDEX($F$206:$F$229,MATCH($B245,$B$206:$B$229,FALSE))),NA()),NA())</f>
        <v>#N/A</v>
      </c>
      <c r="AX245" s="65" t="e">
        <f>IF(AW53=1,IF(AW$13&lt;=COUNT($C25:$CS25),IF(INDEX($F$206:$F$229,MATCH($B245,$B$206:$B$229,FALSE))=0,NA(),INDEX(AW$14:AW$37,MATCH($B245,$B$14:$B$37,FALSE))/INDEX($F$206:$F$229,MATCH($B245,$B$206:$B$229,FALSE))),NA()),NA())</f>
        <v>#N/A</v>
      </c>
      <c r="AY245" s="65" t="e">
        <f>IF(AX53=1,IF(AX$13&lt;=COUNT($C25:$CS25),IF(INDEX($F$206:$F$229,MATCH($B245,$B$206:$B$229,FALSE))=0,NA(),INDEX(AX$14:AX$37,MATCH($B245,$B$14:$B$37,FALSE))/INDEX($F$206:$F$229,MATCH($B245,$B$206:$B$229,FALSE))),NA()),NA())</f>
        <v>#N/A</v>
      </c>
      <c r="AZ245" s="65" t="e">
        <f>IF(AY53=1,IF(AY$13&lt;=COUNT($C25:$CS25),IF(INDEX($F$206:$F$229,MATCH($B245,$B$206:$B$229,FALSE))=0,NA(),INDEX(AY$14:AY$37,MATCH($B245,$B$14:$B$37,FALSE))/INDEX($F$206:$F$229,MATCH($B245,$B$206:$B$229,FALSE))),NA()),NA())</f>
        <v>#N/A</v>
      </c>
      <c r="BA245" s="65" t="e">
        <f>IF(AZ53=1,IF(AZ$13&lt;=COUNT($C25:$CS25),IF(INDEX($F$206:$F$229,MATCH($B245,$B$206:$B$229,FALSE))=0,NA(),INDEX(AZ$14:AZ$37,MATCH($B245,$B$14:$B$37,FALSE))/INDEX($F$206:$F$229,MATCH($B245,$B$206:$B$229,FALSE))),NA()),NA())</f>
        <v>#N/A</v>
      </c>
      <c r="BB245" s="65" t="e">
        <f>IF(BA53=1,IF(BA$13&lt;=COUNT($C25:$CS25),IF(INDEX($F$206:$F$229,MATCH($B245,$B$206:$B$229,FALSE))=0,NA(),INDEX(BA$14:BA$37,MATCH($B245,$B$14:$B$37,FALSE))/INDEX($F$206:$F$229,MATCH($B245,$B$206:$B$229,FALSE))),NA()),NA())</f>
        <v>#N/A</v>
      </c>
      <c r="BC245" s="65" t="e">
        <f>IF(BB53=1,IF(BB$13&lt;=COUNT($C25:$CS25),IF(INDEX($F$206:$F$229,MATCH($B245,$B$206:$B$229,FALSE))=0,NA(),INDEX(BB$14:BB$37,MATCH($B245,$B$14:$B$37,FALSE))/INDEX($F$206:$F$229,MATCH($B245,$B$206:$B$229,FALSE))),NA()),NA())</f>
        <v>#N/A</v>
      </c>
      <c r="BD245" s="65" t="e">
        <f>IF(BC53=1,IF(BC$13&lt;=COUNT($C25:$CS25),IF(INDEX($F$206:$F$229,MATCH($B245,$B$206:$B$229,FALSE))=0,NA(),INDEX(BC$14:BC$37,MATCH($B245,$B$14:$B$37,FALSE))/INDEX($F$206:$F$229,MATCH($B245,$B$206:$B$229,FALSE))),NA()),NA())</f>
        <v>#N/A</v>
      </c>
      <c r="BE245" s="65" t="e">
        <f>IF(BD53=1,IF(BD$13&lt;=COUNT($C25:$CS25),IF(INDEX($F$206:$F$229,MATCH($B245,$B$206:$B$229,FALSE))=0,NA(),INDEX(BD$14:BD$37,MATCH($B245,$B$14:$B$37,FALSE))/INDEX($F$206:$F$229,MATCH($B245,$B$206:$B$229,FALSE))),NA()),NA())</f>
        <v>#N/A</v>
      </c>
      <c r="BF245" s="65" t="e">
        <f>IF(BE53=1,IF(BE$13&lt;=COUNT($C25:$CS25),IF(INDEX($F$206:$F$229,MATCH($B245,$B$206:$B$229,FALSE))=0,NA(),INDEX(BE$14:BE$37,MATCH($B245,$B$14:$B$37,FALSE))/INDEX($F$206:$F$229,MATCH($B245,$B$206:$B$229,FALSE))),NA()),NA())</f>
        <v>#N/A</v>
      </c>
      <c r="BG245" s="65" t="e">
        <f>IF(BF53=1,IF(BF$13&lt;=COUNT($C25:$CS25),IF(INDEX($F$206:$F$229,MATCH($B245,$B$206:$B$229,FALSE))=0,NA(),INDEX(BF$14:BF$37,MATCH($B245,$B$14:$B$37,FALSE))/INDEX($F$206:$F$229,MATCH($B245,$B$206:$B$229,FALSE))),NA()),NA())</f>
        <v>#N/A</v>
      </c>
      <c r="BH245" s="65" t="e">
        <f>IF(BG53=1,IF(BG$13&lt;=COUNT($C25:$CS25),IF(INDEX($F$206:$F$229,MATCH($B245,$B$206:$B$229,FALSE))=0,NA(),INDEX(BG$14:BG$37,MATCH($B245,$B$14:$B$37,FALSE))/INDEX($F$206:$F$229,MATCH($B245,$B$206:$B$229,FALSE))),NA()),NA())</f>
        <v>#N/A</v>
      </c>
      <c r="BI245" s="65" t="e">
        <f>IF(BH53=1,IF(BH$13&lt;=COUNT($C25:$CS25),IF(INDEX($F$206:$F$229,MATCH($B245,$B$206:$B$229,FALSE))=0,NA(),INDEX(BH$14:BH$37,MATCH($B245,$B$14:$B$37,FALSE))/INDEX($F$206:$F$229,MATCH($B245,$B$206:$B$229,FALSE))),NA()),NA())</f>
        <v>#N/A</v>
      </c>
      <c r="BJ245" s="65" t="e">
        <f>IF(BI53=1,IF(BI$13&lt;=COUNT($C25:$CS25),IF(INDEX($F$206:$F$229,MATCH($B245,$B$206:$B$229,FALSE))=0,NA(),INDEX(BI$14:BI$37,MATCH($B245,$B$14:$B$37,FALSE))/INDEX($F$206:$F$229,MATCH($B245,$B$206:$B$229,FALSE))),NA()),NA())</f>
        <v>#N/A</v>
      </c>
      <c r="BK245" s="65" t="e">
        <f>IF(BJ53=1,IF(BJ$13&lt;=COUNT($C25:$CS25),IF(INDEX($F$206:$F$229,MATCH($B245,$B$206:$B$229,FALSE))=0,NA(),INDEX(BJ$14:BJ$37,MATCH($B245,$B$14:$B$37,FALSE))/INDEX($F$206:$F$229,MATCH($B245,$B$206:$B$229,FALSE))),NA()),NA())</f>
        <v>#N/A</v>
      </c>
      <c r="BL245" s="65" t="e">
        <f>IF(BK53=1,IF(BK$13&lt;=COUNT($C25:$CS25),IF(INDEX($F$206:$F$229,MATCH($B245,$B$206:$B$229,FALSE))=0,NA(),INDEX(BK$14:BK$37,MATCH($B245,$B$14:$B$37,FALSE))/INDEX($F$206:$F$229,MATCH($B245,$B$206:$B$229,FALSE))),NA()),NA())</f>
        <v>#N/A</v>
      </c>
      <c r="BM245" s="65" t="e">
        <f>IF(BL53=1,IF(BL$13&lt;=COUNT($C25:$CS25),IF(INDEX($F$206:$F$229,MATCH($B245,$B$206:$B$229,FALSE))=0,NA(),INDEX(BL$14:BL$37,MATCH($B245,$B$14:$B$37,FALSE))/INDEX($F$206:$F$229,MATCH($B245,$B$206:$B$229,FALSE))),NA()),NA())</f>
        <v>#N/A</v>
      </c>
      <c r="BN245" s="65" t="e">
        <f>IF(BM53=1,IF(BM$13&lt;=COUNT($C25:$CS25),IF(INDEX($F$206:$F$229,MATCH($B245,$B$206:$B$229,FALSE))=0,NA(),INDEX(BM$14:BM$37,MATCH($B245,$B$14:$B$37,FALSE))/INDEX($F$206:$F$229,MATCH($B245,$B$206:$B$229,FALSE))),NA()),NA())</f>
        <v>#N/A</v>
      </c>
      <c r="BO245" s="65" t="e">
        <f>IF(BN53=1,IF(BN$13&lt;=COUNT($C25:$CS25),IF(INDEX($F$206:$F$229,MATCH($B245,$B$206:$B$229,FALSE))=0,NA(),INDEX(BN$14:BN$37,MATCH($B245,$B$14:$B$37,FALSE))/INDEX($F$206:$F$229,MATCH($B245,$B$206:$B$229,FALSE))),NA()),NA())</f>
        <v>#N/A</v>
      </c>
      <c r="BP245" s="65" t="e">
        <f>IF(BO53=1,IF(BO$13&lt;=COUNT($C25:$CS25),IF(INDEX($F$206:$F$229,MATCH($B245,$B$206:$B$229,FALSE))=0,NA(),INDEX(BO$14:BO$37,MATCH($B245,$B$14:$B$37,FALSE))/INDEX($F$206:$F$229,MATCH($B245,$B$206:$B$229,FALSE))),NA()),NA())</f>
        <v>#N/A</v>
      </c>
      <c r="BQ245" s="65" t="e">
        <f>IF(BP53=1,IF(BP$13&lt;=COUNT($C25:$CS25),IF(INDEX($F$206:$F$229,MATCH($B245,$B$206:$B$229,FALSE))=0,NA(),INDEX(BP$14:BP$37,MATCH($B245,$B$14:$B$37,FALSE))/INDEX($F$206:$F$229,MATCH($B245,$B$206:$B$229,FALSE))),NA()),NA())</f>
        <v>#N/A</v>
      </c>
      <c r="BR245" s="65" t="e">
        <f>IF(BQ53=1,IF(BQ$13&lt;=COUNT($C25:$CS25),IF(INDEX($F$206:$F$229,MATCH($B245,$B$206:$B$229,FALSE))=0,NA(),INDEX(BQ$14:BQ$37,MATCH($B245,$B$14:$B$37,FALSE))/INDEX($F$206:$F$229,MATCH($B245,$B$206:$B$229,FALSE))),NA()),NA())</f>
        <v>#N/A</v>
      </c>
      <c r="BS245" s="65" t="e">
        <f>IF(BR53=1,IF(BR$13&lt;=COUNT($C25:$CS25),IF(INDEX($F$206:$F$229,MATCH($B245,$B$206:$B$229,FALSE))=0,NA(),INDEX(BR$14:BR$37,MATCH($B245,$B$14:$B$37,FALSE))/INDEX($F$206:$F$229,MATCH($B245,$B$206:$B$229,FALSE))),NA()),NA())</f>
        <v>#N/A</v>
      </c>
      <c r="BT245" s="65" t="e">
        <f>IF(BS53=1,IF(BS$13&lt;=COUNT($C25:$CS25),IF(INDEX($F$206:$F$229,MATCH($B245,$B$206:$B$229,FALSE))=0,NA(),INDEX(BS$14:BS$37,MATCH($B245,$B$14:$B$37,FALSE))/INDEX($F$206:$F$229,MATCH($B245,$B$206:$B$229,FALSE))),NA()),NA())</f>
        <v>#N/A</v>
      </c>
      <c r="BU245" s="65" t="e">
        <f>IF(BT53=1,IF(BT$13&lt;=COUNT($C25:$CS25),IF(INDEX($F$206:$F$229,MATCH($B245,$B$206:$B$229,FALSE))=0,NA(),INDEX(BT$14:BT$37,MATCH($B245,$B$14:$B$37,FALSE))/INDEX($F$206:$F$229,MATCH($B245,$B$206:$B$229,FALSE))),NA()),NA())</f>
        <v>#N/A</v>
      </c>
      <c r="BV245" s="65" t="e">
        <f>IF(BU53=1,IF(BU$13&lt;=COUNT($C25:$CS25),IF(INDEX($F$206:$F$229,MATCH($B245,$B$206:$B$229,FALSE))=0,NA(),INDEX(BU$14:BU$37,MATCH($B245,$B$14:$B$37,FALSE))/INDEX($F$206:$F$229,MATCH($B245,$B$206:$B$229,FALSE))),NA()),NA())</f>
        <v>#N/A</v>
      </c>
      <c r="BW245" s="65" t="e">
        <f>IF(BV53=1,IF(BV$13&lt;=COUNT($C25:$CS25),IF(INDEX($F$206:$F$229,MATCH($B245,$B$206:$B$229,FALSE))=0,NA(),INDEX(BV$14:BV$37,MATCH($B245,$B$14:$B$37,FALSE))/INDEX($F$206:$F$229,MATCH($B245,$B$206:$B$229,FALSE))),NA()),NA())</f>
        <v>#N/A</v>
      </c>
      <c r="BX245" s="65" t="e">
        <f>IF(BW53=1,IF(BW$13&lt;=COUNT($C25:$CS25),IF(INDEX($F$206:$F$229,MATCH($B245,$B$206:$B$229,FALSE))=0,NA(),INDEX(BW$14:BW$37,MATCH($B245,$B$14:$B$37,FALSE))/INDEX($F$206:$F$229,MATCH($B245,$B$206:$B$229,FALSE))),NA()),NA())</f>
        <v>#N/A</v>
      </c>
      <c r="BY245" s="65" t="e">
        <f>IF(BX53=1,IF(BX$13&lt;=COUNT($C25:$CS25),IF(INDEX($F$206:$F$229,MATCH($B245,$B$206:$B$229,FALSE))=0,NA(),INDEX(BX$14:BX$37,MATCH($B245,$B$14:$B$37,FALSE))/INDEX($F$206:$F$229,MATCH($B245,$B$206:$B$229,FALSE))),NA()),NA())</f>
        <v>#N/A</v>
      </c>
      <c r="BZ245" s="65" t="e">
        <f>IF(BY53=1,IF(BY$13&lt;=COUNT($C25:$CS25),IF(INDEX($F$206:$F$229,MATCH($B245,$B$206:$B$229,FALSE))=0,NA(),INDEX(BY$14:BY$37,MATCH($B245,$B$14:$B$37,FALSE))/INDEX($F$206:$F$229,MATCH($B245,$B$206:$B$229,FALSE))),NA()),NA())</f>
        <v>#N/A</v>
      </c>
      <c r="CA245" s="65" t="e">
        <f>IF(BZ53=1,IF(BZ$13&lt;=COUNT($C25:$CS25),IF(INDEX($F$206:$F$229,MATCH($B245,$B$206:$B$229,FALSE))=0,NA(),INDEX(BZ$14:BZ$37,MATCH($B245,$B$14:$B$37,FALSE))/INDEX($F$206:$F$229,MATCH($B245,$B$206:$B$229,FALSE))),NA()),NA())</f>
        <v>#N/A</v>
      </c>
      <c r="CB245" s="65" t="e">
        <f>IF(CA53=1,IF(CA$13&lt;=COUNT($C25:$CS25),IF(INDEX($F$206:$F$229,MATCH($B245,$B$206:$B$229,FALSE))=0,NA(),INDEX(CA$14:CA$37,MATCH($B245,$B$14:$B$37,FALSE))/INDEX($F$206:$F$229,MATCH($B245,$B$206:$B$229,FALSE))),NA()),NA())</f>
        <v>#N/A</v>
      </c>
      <c r="CC245" s="65" t="e">
        <f>IF(CB53=1,IF(CB$13&lt;=COUNT($C25:$CS25),IF(INDEX($F$206:$F$229,MATCH($B245,$B$206:$B$229,FALSE))=0,NA(),INDEX(CB$14:CB$37,MATCH($B245,$B$14:$B$37,FALSE))/INDEX($F$206:$F$229,MATCH($B245,$B$206:$B$229,FALSE))),NA()),NA())</f>
        <v>#N/A</v>
      </c>
      <c r="CD245" s="65" t="e">
        <f>IF(CC53=1,IF(CC$13&lt;=COUNT($C25:$CS25),IF(INDEX($F$206:$F$229,MATCH($B245,$B$206:$B$229,FALSE))=0,NA(),INDEX(CC$14:CC$37,MATCH($B245,$B$14:$B$37,FALSE))/INDEX($F$206:$F$229,MATCH($B245,$B$206:$B$229,FALSE))),NA()),NA())</f>
        <v>#N/A</v>
      </c>
      <c r="CE245" s="65" t="e">
        <f>IF(CD53=1,IF(CD$13&lt;=COUNT($C25:$CS25),IF(INDEX($F$206:$F$229,MATCH($B245,$B$206:$B$229,FALSE))=0,NA(),INDEX(CD$14:CD$37,MATCH($B245,$B$14:$B$37,FALSE))/INDEX($F$206:$F$229,MATCH($B245,$B$206:$B$229,FALSE))),NA()),NA())</f>
        <v>#N/A</v>
      </c>
      <c r="CF245" s="65" t="e">
        <f>IF(CE53=1,IF(CE$13&lt;=COUNT($C25:$CS25),IF(INDEX($F$206:$F$229,MATCH($B245,$B$206:$B$229,FALSE))=0,NA(),INDEX(CE$14:CE$37,MATCH($B245,$B$14:$B$37,FALSE))/INDEX($F$206:$F$229,MATCH($B245,$B$206:$B$229,FALSE))),NA()),NA())</f>
        <v>#N/A</v>
      </c>
      <c r="CG245" s="65" t="e">
        <f>IF(CF53=1,IF(CF$13&lt;=COUNT($C25:$CS25),IF(INDEX($F$206:$F$229,MATCH($B245,$B$206:$B$229,FALSE))=0,NA(),INDEX(CF$14:CF$37,MATCH($B245,$B$14:$B$37,FALSE))/INDEX($F$206:$F$229,MATCH($B245,$B$206:$B$229,FALSE))),NA()),NA())</f>
        <v>#N/A</v>
      </c>
      <c r="CH245" s="65" t="e">
        <f>IF(CG53=1,IF(CG$13&lt;=COUNT($C25:$CS25),IF(INDEX($F$206:$F$229,MATCH($B245,$B$206:$B$229,FALSE))=0,NA(),INDEX(CG$14:CG$37,MATCH($B245,$B$14:$B$37,FALSE))/INDEX($F$206:$F$229,MATCH($B245,$B$206:$B$229,FALSE))),NA()),NA())</f>
        <v>#N/A</v>
      </c>
      <c r="CI245" s="65" t="e">
        <f>IF(CH53=1,IF(CH$13&lt;=COUNT($C25:$CS25),IF(INDEX($F$206:$F$229,MATCH($B245,$B$206:$B$229,FALSE))=0,NA(),INDEX(CH$14:CH$37,MATCH($B245,$B$14:$B$37,FALSE))/INDEX($F$206:$F$229,MATCH($B245,$B$206:$B$229,FALSE))),NA()),NA())</f>
        <v>#N/A</v>
      </c>
      <c r="CJ245" s="65" t="e">
        <f>IF(CI53=1,IF(CI$13&lt;=COUNT($C25:$CS25),IF(INDEX($F$206:$F$229,MATCH($B245,$B$206:$B$229,FALSE))=0,NA(),INDEX(CI$14:CI$37,MATCH($B245,$B$14:$B$37,FALSE))/INDEX($F$206:$F$229,MATCH($B245,$B$206:$B$229,FALSE))),NA()),NA())</f>
        <v>#N/A</v>
      </c>
      <c r="CK245" s="65" t="e">
        <f>IF(CJ53=1,IF(CJ$13&lt;=COUNT($C25:$CS25),IF(INDEX($F$206:$F$229,MATCH($B245,$B$206:$B$229,FALSE))=0,NA(),INDEX(CJ$14:CJ$37,MATCH($B245,$B$14:$B$37,FALSE))/INDEX($F$206:$F$229,MATCH($B245,$B$206:$B$229,FALSE))),NA()),NA())</f>
        <v>#N/A</v>
      </c>
      <c r="CL245" s="65" t="e">
        <f>IF(CK53=1,IF(CK$13&lt;=COUNT($C25:$CS25),IF(INDEX($F$206:$F$229,MATCH($B245,$B$206:$B$229,FALSE))=0,NA(),INDEX(CK$14:CK$37,MATCH($B245,$B$14:$B$37,FALSE))/INDEX($F$206:$F$229,MATCH($B245,$B$206:$B$229,FALSE))),NA()),NA())</f>
        <v>#N/A</v>
      </c>
      <c r="CM245" s="65" t="e">
        <f>IF(CL53=1,IF(CL$13&lt;=COUNT($C25:$CS25),IF(INDEX($F$206:$F$229,MATCH($B245,$B$206:$B$229,FALSE))=0,NA(),INDEX(CL$14:CL$37,MATCH($B245,$B$14:$B$37,FALSE))/INDEX($F$206:$F$229,MATCH($B245,$B$206:$B$229,FALSE))),NA()),NA())</f>
        <v>#N/A</v>
      </c>
      <c r="CN245" s="65" t="e">
        <f>IF(CM53=1,IF(CM$13&lt;=COUNT($C25:$CS25),IF(INDEX($F$206:$F$229,MATCH($B245,$B$206:$B$229,FALSE))=0,NA(),INDEX(CM$14:CM$37,MATCH($B245,$B$14:$B$37,FALSE))/INDEX($F$206:$F$229,MATCH($B245,$B$206:$B$229,FALSE))),NA()),NA())</f>
        <v>#N/A</v>
      </c>
      <c r="CO245" s="65" t="e">
        <f>IF(CN53=1,IF(CN$13&lt;=COUNT($C25:$CS25),IF(INDEX($F$206:$F$229,MATCH($B245,$B$206:$B$229,FALSE))=0,NA(),INDEX(CN$14:CN$37,MATCH($B245,$B$14:$B$37,FALSE))/INDEX($F$206:$F$229,MATCH($B245,$B$206:$B$229,FALSE))),NA()),NA())</f>
        <v>#N/A</v>
      </c>
      <c r="CP245" s="65" t="e">
        <f>IF(CO53=1,IF(CO$13&lt;=COUNT($C25:$CS25),IF(INDEX($F$206:$F$229,MATCH($B245,$B$206:$B$229,FALSE))=0,NA(),INDEX(CO$14:CO$37,MATCH($B245,$B$14:$B$37,FALSE))/INDEX($F$206:$F$229,MATCH($B245,$B$206:$B$229,FALSE))),NA()),NA())</f>
        <v>#N/A</v>
      </c>
      <c r="CQ245" s="65" t="e">
        <f>IF(CP53=1,IF(CP$13&lt;=COUNT($C25:$CS25),IF(INDEX($F$206:$F$229,MATCH($B245,$B$206:$B$229,FALSE))=0,NA(),INDEX(CP$14:CP$37,MATCH($B245,$B$14:$B$37,FALSE))/INDEX($F$206:$F$229,MATCH($B245,$B$206:$B$229,FALSE))),NA()),NA())</f>
        <v>#N/A</v>
      </c>
      <c r="CR245" s="65" t="e">
        <f>IF(CQ53=1,IF(CQ$13&lt;=COUNT($C25:$CS25),IF(INDEX($F$206:$F$229,MATCH($B245,$B$206:$B$229,FALSE))=0,NA(),INDEX(CQ$14:CQ$37,MATCH($B245,$B$14:$B$37,FALSE))/INDEX($F$206:$F$229,MATCH($B245,$B$206:$B$229,FALSE))),NA()),NA())</f>
        <v>#N/A</v>
      </c>
      <c r="CS245" s="65" t="e">
        <f>IF(CR53=1,IF(CR$13&lt;=COUNT($C25:$CS25),IF(INDEX($F$206:$F$229,MATCH($B245,$B$206:$B$229,FALSE))=0,NA(),INDEX(CR$14:CR$37,MATCH($B245,$B$14:$B$37,FALSE))/INDEX($F$206:$F$229,MATCH($B245,$B$206:$B$229,FALSE))),NA()),NA())</f>
        <v>#N/A</v>
      </c>
      <c r="CT245" s="49"/>
      <c r="CU245" s="49"/>
      <c r="CV245" s="49"/>
      <c r="CW245" s="49"/>
    </row>
    <row r="246" spans="1:101" x14ac:dyDescent="0.25">
      <c r="A246" s="97">
        <f t="shared" si="105"/>
        <v>0</v>
      </c>
      <c r="B246" s="29">
        <f t="shared" si="104"/>
        <v>2008</v>
      </c>
      <c r="C246" s="154" t="str">
        <f t="shared" si="106"/>
        <v/>
      </c>
      <c r="D246" s="54" t="e">
        <f>IF(C54=1,IF(C$13&lt;=COUNT($C26:$CS26),IF(INDEX($F$206:$F$229,MATCH($B246,$B$206:$B$229,FALSE))=0,NA(),INDEX(C$14:C$37,MATCH($B246,$B$14:$B$37,FALSE))/INDEX($F$206:$F$229,MATCH($B246,$B$206:$B$229,FALSE))),NA()),NA())</f>
        <v>#N/A</v>
      </c>
      <c r="E246" s="65" t="e">
        <f>IF(D54=1,IF(D$13&lt;=COUNT($C26:$CS26),IF(INDEX($F$206:$F$229,MATCH($B246,$B$206:$B$229,FALSE))=0,NA(),INDEX(D$14:D$37,MATCH($B246,$B$14:$B$37,FALSE))/INDEX($F$206:$F$229,MATCH($B246,$B$206:$B$229,FALSE))),NA()),NA())</f>
        <v>#N/A</v>
      </c>
      <c r="F246" s="65" t="e">
        <f>IF(E54=1,IF(E$13&lt;=COUNT($C26:$CS26),IF(INDEX($F$206:$F$229,MATCH($B246,$B$206:$B$229,FALSE))=0,NA(),INDEX(E$14:E$37,MATCH($B246,$B$14:$B$37,FALSE))/INDEX($F$206:$F$229,MATCH($B246,$B$206:$B$229,FALSE))),NA()),NA())</f>
        <v>#N/A</v>
      </c>
      <c r="G246" s="65" t="e">
        <f>IF(F54=1,IF(F$13&lt;=COUNT($C26:$CS26),IF(INDEX($F$206:$F$229,MATCH($B246,$B$206:$B$229,FALSE))=0,NA(),INDEX(F$14:F$37,MATCH($B246,$B$14:$B$37,FALSE))/INDEX($F$206:$F$229,MATCH($B246,$B$206:$B$229,FALSE))),NA()),NA())</f>
        <v>#N/A</v>
      </c>
      <c r="H246" s="65" t="e">
        <f>IF(G54=1,IF(G$13&lt;=COUNT($C26:$CS26),IF(INDEX($F$206:$F$229,MATCH($B246,$B$206:$B$229,FALSE))=0,NA(),INDEX(G$14:G$37,MATCH($B246,$B$14:$B$37,FALSE))/INDEX($F$206:$F$229,MATCH($B246,$B$206:$B$229,FALSE))),NA()),NA())</f>
        <v>#N/A</v>
      </c>
      <c r="I246" s="65" t="e">
        <f>IF(H54=1,IF(H$13&lt;=COUNT($C26:$CS26),IF(INDEX($F$206:$F$229,MATCH($B246,$B$206:$B$229,FALSE))=0,NA(),INDEX(H$14:H$37,MATCH($B246,$B$14:$B$37,FALSE))/INDEX($F$206:$F$229,MATCH($B246,$B$206:$B$229,FALSE))),NA()),NA())</f>
        <v>#N/A</v>
      </c>
      <c r="J246" s="65" t="e">
        <f>IF(I54=1,IF(I$13&lt;=COUNT($C26:$CS26),IF(INDEX($F$206:$F$229,MATCH($B246,$B$206:$B$229,FALSE))=0,NA(),INDEX(I$14:I$37,MATCH($B246,$B$14:$B$37,FALSE))/INDEX($F$206:$F$229,MATCH($B246,$B$206:$B$229,FALSE))),NA()),NA())</f>
        <v>#N/A</v>
      </c>
      <c r="K246" s="65" t="e">
        <f>IF(J54=1,IF(J$13&lt;=COUNT($C26:$CS26),IF(INDEX($F$206:$F$229,MATCH($B246,$B$206:$B$229,FALSE))=0,NA(),INDEX(J$14:J$37,MATCH($B246,$B$14:$B$37,FALSE))/INDEX($F$206:$F$229,MATCH($B246,$B$206:$B$229,FALSE))),NA()),NA())</f>
        <v>#N/A</v>
      </c>
      <c r="L246" s="65" t="e">
        <f>IF(K54=1,IF(K$13&lt;=COUNT($C26:$CS26),IF(INDEX($F$206:$F$229,MATCH($B246,$B$206:$B$229,FALSE))=0,NA(),INDEX(K$14:K$37,MATCH($B246,$B$14:$B$37,FALSE))/INDEX($F$206:$F$229,MATCH($B246,$B$206:$B$229,FALSE))),NA()),NA())</f>
        <v>#N/A</v>
      </c>
      <c r="M246" s="65" t="e">
        <f>IF(L54=1,IF(L$13&lt;=COUNT($C26:$CS26),IF(INDEX($F$206:$F$229,MATCH($B246,$B$206:$B$229,FALSE))=0,NA(),INDEX(L$14:L$37,MATCH($B246,$B$14:$B$37,FALSE))/INDEX($F$206:$F$229,MATCH($B246,$B$206:$B$229,FALSE))),NA()),NA())</f>
        <v>#N/A</v>
      </c>
      <c r="N246" s="65" t="e">
        <f>IF(M54=1,IF(M$13&lt;=COUNT($C26:$CS26),IF(INDEX($F$206:$F$229,MATCH($B246,$B$206:$B$229,FALSE))=0,NA(),INDEX(M$14:M$37,MATCH($B246,$B$14:$B$37,FALSE))/INDEX($F$206:$F$229,MATCH($B246,$B$206:$B$229,FALSE))),NA()),NA())</f>
        <v>#N/A</v>
      </c>
      <c r="O246" s="65" t="e">
        <f>IF(N54=1,IF(N$13&lt;=COUNT($C26:$CS26),IF(INDEX($F$206:$F$229,MATCH($B246,$B$206:$B$229,FALSE))=0,NA(),INDEX(N$14:N$37,MATCH($B246,$B$14:$B$37,FALSE))/INDEX($F$206:$F$229,MATCH($B246,$B$206:$B$229,FALSE))),NA()),NA())</f>
        <v>#N/A</v>
      </c>
      <c r="P246" s="65" t="e">
        <f>IF(O54=1,IF(O$13&lt;=COUNT($C26:$CS26),IF(INDEX($F$206:$F$229,MATCH($B246,$B$206:$B$229,FALSE))=0,NA(),INDEX(O$14:O$37,MATCH($B246,$B$14:$B$37,FALSE))/INDEX($F$206:$F$229,MATCH($B246,$B$206:$B$229,FALSE))),NA()),NA())</f>
        <v>#N/A</v>
      </c>
      <c r="Q246" s="65" t="e">
        <f>IF(P54=1,IF(P$13&lt;=COUNT($C26:$CS26),IF(INDEX($F$206:$F$229,MATCH($B246,$B$206:$B$229,FALSE))=0,NA(),INDEX(P$14:P$37,MATCH($B246,$B$14:$B$37,FALSE))/INDEX($F$206:$F$229,MATCH($B246,$B$206:$B$229,FALSE))),NA()),NA())</f>
        <v>#N/A</v>
      </c>
      <c r="R246" s="65" t="e">
        <f>IF(Q54=1,IF(Q$13&lt;=COUNT($C26:$CS26),IF(INDEX($F$206:$F$229,MATCH($B246,$B$206:$B$229,FALSE))=0,NA(),INDEX(Q$14:Q$37,MATCH($B246,$B$14:$B$37,FALSE))/INDEX($F$206:$F$229,MATCH($B246,$B$206:$B$229,FALSE))),NA()),NA())</f>
        <v>#N/A</v>
      </c>
      <c r="S246" s="65" t="e">
        <f>IF(R54=1,IF(R$13&lt;=COUNT($C26:$CS26),IF(INDEX($F$206:$F$229,MATCH($B246,$B$206:$B$229,FALSE))=0,NA(),INDEX(R$14:R$37,MATCH($B246,$B$14:$B$37,FALSE))/INDEX($F$206:$F$229,MATCH($B246,$B$206:$B$229,FALSE))),NA()),NA())</f>
        <v>#N/A</v>
      </c>
      <c r="T246" s="65" t="e">
        <f>IF(S54=1,IF(S$13&lt;=COUNT($C26:$CS26),IF(INDEX($F$206:$F$229,MATCH($B246,$B$206:$B$229,FALSE))=0,NA(),INDEX(S$14:S$37,MATCH($B246,$B$14:$B$37,FALSE))/INDEX($F$206:$F$229,MATCH($B246,$B$206:$B$229,FALSE))),NA()),NA())</f>
        <v>#N/A</v>
      </c>
      <c r="U246" s="65" t="e">
        <f>IF(T54=1,IF(T$13&lt;=COUNT($C26:$CS26),IF(INDEX($F$206:$F$229,MATCH($B246,$B$206:$B$229,FALSE))=0,NA(),INDEX(T$14:T$37,MATCH($B246,$B$14:$B$37,FALSE))/INDEX($F$206:$F$229,MATCH($B246,$B$206:$B$229,FALSE))),NA()),NA())</f>
        <v>#N/A</v>
      </c>
      <c r="V246" s="65" t="e">
        <f>IF(U54=1,IF(U$13&lt;=COUNT($C26:$CS26),IF(INDEX($F$206:$F$229,MATCH($B246,$B$206:$B$229,FALSE))=0,NA(),INDEX(U$14:U$37,MATCH($B246,$B$14:$B$37,FALSE))/INDEX($F$206:$F$229,MATCH($B246,$B$206:$B$229,FALSE))),NA()),NA())</f>
        <v>#N/A</v>
      </c>
      <c r="W246" s="65" t="e">
        <f>IF(V54=1,IF(V$13&lt;=COUNT($C26:$CS26),IF(INDEX($F$206:$F$229,MATCH($B246,$B$206:$B$229,FALSE))=0,NA(),INDEX(V$14:V$37,MATCH($B246,$B$14:$B$37,FALSE))/INDEX($F$206:$F$229,MATCH($B246,$B$206:$B$229,FALSE))),NA()),NA())</f>
        <v>#N/A</v>
      </c>
      <c r="X246" s="65" t="e">
        <f>IF(W54=1,IF(W$13&lt;=COUNT($C26:$CS26),IF(INDEX($F$206:$F$229,MATCH($B246,$B$206:$B$229,FALSE))=0,NA(),INDEX(W$14:W$37,MATCH($B246,$B$14:$B$37,FALSE))/INDEX($F$206:$F$229,MATCH($B246,$B$206:$B$229,FALSE))),NA()),NA())</f>
        <v>#N/A</v>
      </c>
      <c r="Y246" s="65" t="e">
        <f>IF(X54=1,IF(X$13&lt;=COUNT($C26:$CS26),IF(INDEX($F$206:$F$229,MATCH($B246,$B$206:$B$229,FALSE))=0,NA(),INDEX(X$14:X$37,MATCH($B246,$B$14:$B$37,FALSE))/INDEX($F$206:$F$229,MATCH($B246,$B$206:$B$229,FALSE))),NA()),NA())</f>
        <v>#N/A</v>
      </c>
      <c r="Z246" s="65" t="e">
        <f>IF(Y54=1,IF(Y$13&lt;=COUNT($C26:$CS26),IF(INDEX($F$206:$F$229,MATCH($B246,$B$206:$B$229,FALSE))=0,NA(),INDEX(Y$14:Y$37,MATCH($B246,$B$14:$B$37,FALSE))/INDEX($F$206:$F$229,MATCH($B246,$B$206:$B$229,FALSE))),NA()),NA())</f>
        <v>#N/A</v>
      </c>
      <c r="AA246" s="65" t="e">
        <f>IF(Z54=1,IF(Z$13&lt;=COUNT($C26:$CS26),IF(INDEX($F$206:$F$229,MATCH($B246,$B$206:$B$229,FALSE))=0,NA(),INDEX(Z$14:Z$37,MATCH($B246,$B$14:$B$37,FALSE))/INDEX($F$206:$F$229,MATCH($B246,$B$206:$B$229,FALSE))),NA()),NA())</f>
        <v>#N/A</v>
      </c>
      <c r="AB246" s="65" t="e">
        <f>IF(AA54=1,IF(AA$13&lt;=COUNT($C26:$CS26),IF(INDEX($F$206:$F$229,MATCH($B246,$B$206:$B$229,FALSE))=0,NA(),INDEX(AA$14:AA$37,MATCH($B246,$B$14:$B$37,FALSE))/INDEX($F$206:$F$229,MATCH($B246,$B$206:$B$229,FALSE))),NA()),NA())</f>
        <v>#N/A</v>
      </c>
      <c r="AC246" s="65" t="e">
        <f>IF(AB54=1,IF(AB$13&lt;=COUNT($C26:$CS26),IF(INDEX($F$206:$F$229,MATCH($B246,$B$206:$B$229,FALSE))=0,NA(),INDEX(AB$14:AB$37,MATCH($B246,$B$14:$B$37,FALSE))/INDEX($F$206:$F$229,MATCH($B246,$B$206:$B$229,FALSE))),NA()),NA())</f>
        <v>#N/A</v>
      </c>
      <c r="AD246" s="65" t="e">
        <f>IF(AC54=1,IF(AC$13&lt;=COUNT($C26:$CS26),IF(INDEX($F$206:$F$229,MATCH($B246,$B$206:$B$229,FALSE))=0,NA(),INDEX(AC$14:AC$37,MATCH($B246,$B$14:$B$37,FALSE))/INDEX($F$206:$F$229,MATCH($B246,$B$206:$B$229,FALSE))),NA()),NA())</f>
        <v>#N/A</v>
      </c>
      <c r="AE246" s="65" t="e">
        <f>IF(AD54=1,IF(AD$13&lt;=COUNT($C26:$CS26),IF(INDEX($F$206:$F$229,MATCH($B246,$B$206:$B$229,FALSE))=0,NA(),INDEX(AD$14:AD$37,MATCH($B246,$B$14:$B$37,FALSE))/INDEX($F$206:$F$229,MATCH($B246,$B$206:$B$229,FALSE))),NA()),NA())</f>
        <v>#N/A</v>
      </c>
      <c r="AF246" s="65" t="e">
        <f>IF(AE54=1,IF(AE$13&lt;=COUNT($C26:$CS26),IF(INDEX($F$206:$F$229,MATCH($B246,$B$206:$B$229,FALSE))=0,NA(),INDEX(AE$14:AE$37,MATCH($B246,$B$14:$B$37,FALSE))/INDEX($F$206:$F$229,MATCH($B246,$B$206:$B$229,FALSE))),NA()),NA())</f>
        <v>#N/A</v>
      </c>
      <c r="AG246" s="65" t="e">
        <f>IF(AF54=1,IF(AF$13&lt;=COUNT($C26:$CS26),IF(INDEX($F$206:$F$229,MATCH($B246,$B$206:$B$229,FALSE))=0,NA(),INDEX(AF$14:AF$37,MATCH($B246,$B$14:$B$37,FALSE))/INDEX($F$206:$F$229,MATCH($B246,$B$206:$B$229,FALSE))),NA()),NA())</f>
        <v>#N/A</v>
      </c>
      <c r="AH246" s="65" t="e">
        <f>IF(AG54=1,IF(AG$13&lt;=COUNT($C26:$CS26),IF(INDEX($F$206:$F$229,MATCH($B246,$B$206:$B$229,FALSE))=0,NA(),INDEX(AG$14:AG$37,MATCH($B246,$B$14:$B$37,FALSE))/INDEX($F$206:$F$229,MATCH($B246,$B$206:$B$229,FALSE))),NA()),NA())</f>
        <v>#N/A</v>
      </c>
      <c r="AI246" s="65" t="e">
        <f>IF(AH54=1,IF(AH$13&lt;=COUNT($C26:$CS26),IF(INDEX($F$206:$F$229,MATCH($B246,$B$206:$B$229,FALSE))=0,NA(),INDEX(AH$14:AH$37,MATCH($B246,$B$14:$B$37,FALSE))/INDEX($F$206:$F$229,MATCH($B246,$B$206:$B$229,FALSE))),NA()),NA())</f>
        <v>#N/A</v>
      </c>
      <c r="AJ246" s="65" t="e">
        <f>IF(AI54=1,IF(AI$13&lt;=COUNT($C26:$CS26),IF(INDEX($F$206:$F$229,MATCH($B246,$B$206:$B$229,FALSE))=0,NA(),INDEX(AI$14:AI$37,MATCH($B246,$B$14:$B$37,FALSE))/INDEX($F$206:$F$229,MATCH($B246,$B$206:$B$229,FALSE))),NA()),NA())</f>
        <v>#N/A</v>
      </c>
      <c r="AK246" s="65" t="e">
        <f>IF(AJ54=1,IF(AJ$13&lt;=COUNT($C26:$CS26),IF(INDEX($F$206:$F$229,MATCH($B246,$B$206:$B$229,FALSE))=0,NA(),INDEX(AJ$14:AJ$37,MATCH($B246,$B$14:$B$37,FALSE))/INDEX($F$206:$F$229,MATCH($B246,$B$206:$B$229,FALSE))),NA()),NA())</f>
        <v>#N/A</v>
      </c>
      <c r="AL246" s="65" t="e">
        <f>IF(AK54=1,IF(AK$13&lt;=COUNT($C26:$CS26),IF(INDEX($F$206:$F$229,MATCH($B246,$B$206:$B$229,FALSE))=0,NA(),INDEX(AK$14:AK$37,MATCH($B246,$B$14:$B$37,FALSE))/INDEX($F$206:$F$229,MATCH($B246,$B$206:$B$229,FALSE))),NA()),NA())</f>
        <v>#N/A</v>
      </c>
      <c r="AM246" s="65" t="e">
        <f>IF(AL54=1,IF(AL$13&lt;=COUNT($C26:$CS26),IF(INDEX($F$206:$F$229,MATCH($B246,$B$206:$B$229,FALSE))=0,NA(),INDEX(AL$14:AL$37,MATCH($B246,$B$14:$B$37,FALSE))/INDEX($F$206:$F$229,MATCH($B246,$B$206:$B$229,FALSE))),NA()),NA())</f>
        <v>#N/A</v>
      </c>
      <c r="AN246" s="65" t="e">
        <f>IF(AM54=1,IF(AM$13&lt;=COUNT($C26:$CS26),IF(INDEX($F$206:$F$229,MATCH($B246,$B$206:$B$229,FALSE))=0,NA(),INDEX(AM$14:AM$37,MATCH($B246,$B$14:$B$37,FALSE))/INDEX($F$206:$F$229,MATCH($B246,$B$206:$B$229,FALSE))),NA()),NA())</f>
        <v>#N/A</v>
      </c>
      <c r="AO246" s="65" t="e">
        <f>IF(AN54=1,IF(AN$13&lt;=COUNT($C26:$CS26),IF(INDEX($F$206:$F$229,MATCH($B246,$B$206:$B$229,FALSE))=0,NA(),INDEX(AN$14:AN$37,MATCH($B246,$B$14:$B$37,FALSE))/INDEX($F$206:$F$229,MATCH($B246,$B$206:$B$229,FALSE))),NA()),NA())</f>
        <v>#N/A</v>
      </c>
      <c r="AP246" s="65" t="e">
        <f>IF(AO54=1,IF(AO$13&lt;=COUNT($C26:$CS26),IF(INDEX($F$206:$F$229,MATCH($B246,$B$206:$B$229,FALSE))=0,NA(),INDEX(AO$14:AO$37,MATCH($B246,$B$14:$B$37,FALSE))/INDEX($F$206:$F$229,MATCH($B246,$B$206:$B$229,FALSE))),NA()),NA())</f>
        <v>#N/A</v>
      </c>
      <c r="AQ246" s="65" t="e">
        <f>IF(AP54=1,IF(AP$13&lt;=COUNT($C26:$CS26),IF(INDEX($F$206:$F$229,MATCH($B246,$B$206:$B$229,FALSE))=0,NA(),INDEX(AP$14:AP$37,MATCH($B246,$B$14:$B$37,FALSE))/INDEX($F$206:$F$229,MATCH($B246,$B$206:$B$229,FALSE))),NA()),NA())</f>
        <v>#N/A</v>
      </c>
      <c r="AR246" s="65" t="e">
        <f>IF(AQ54=1,IF(AQ$13&lt;=COUNT($C26:$CS26),IF(INDEX($F$206:$F$229,MATCH($B246,$B$206:$B$229,FALSE))=0,NA(),INDEX(AQ$14:AQ$37,MATCH($B246,$B$14:$B$37,FALSE))/INDEX($F$206:$F$229,MATCH($B246,$B$206:$B$229,FALSE))),NA()),NA())</f>
        <v>#N/A</v>
      </c>
      <c r="AS246" s="65" t="e">
        <f>IF(AR54=1,IF(AR$13&lt;=COUNT($C26:$CS26),IF(INDEX($F$206:$F$229,MATCH($B246,$B$206:$B$229,FALSE))=0,NA(),INDEX(AR$14:AR$37,MATCH($B246,$B$14:$B$37,FALSE))/INDEX($F$206:$F$229,MATCH($B246,$B$206:$B$229,FALSE))),NA()),NA())</f>
        <v>#N/A</v>
      </c>
      <c r="AT246" s="65" t="e">
        <f>IF(AS54=1,IF(AS$13&lt;=COUNT($C26:$CS26),IF(INDEX($F$206:$F$229,MATCH($B246,$B$206:$B$229,FALSE))=0,NA(),INDEX(AS$14:AS$37,MATCH($B246,$B$14:$B$37,FALSE))/INDEX($F$206:$F$229,MATCH($B246,$B$206:$B$229,FALSE))),NA()),NA())</f>
        <v>#N/A</v>
      </c>
      <c r="AU246" s="65" t="e">
        <f>IF(AT54=1,IF(AT$13&lt;=COUNT($C26:$CS26),IF(INDEX($F$206:$F$229,MATCH($B246,$B$206:$B$229,FALSE))=0,NA(),INDEX(AT$14:AT$37,MATCH($B246,$B$14:$B$37,FALSE))/INDEX($F$206:$F$229,MATCH($B246,$B$206:$B$229,FALSE))),NA()),NA())</f>
        <v>#N/A</v>
      </c>
      <c r="AV246" s="65" t="e">
        <f>IF(AU54=1,IF(AU$13&lt;=COUNT($C26:$CS26),IF(INDEX($F$206:$F$229,MATCH($B246,$B$206:$B$229,FALSE))=0,NA(),INDEX(AU$14:AU$37,MATCH($B246,$B$14:$B$37,FALSE))/INDEX($F$206:$F$229,MATCH($B246,$B$206:$B$229,FALSE))),NA()),NA())</f>
        <v>#N/A</v>
      </c>
      <c r="AW246" s="65" t="e">
        <f>IF(AV54=1,IF(AV$13&lt;=COUNT($C26:$CS26),IF(INDEX($F$206:$F$229,MATCH($B246,$B$206:$B$229,FALSE))=0,NA(),INDEX(AV$14:AV$37,MATCH($B246,$B$14:$B$37,FALSE))/INDEX($F$206:$F$229,MATCH($B246,$B$206:$B$229,FALSE))),NA()),NA())</f>
        <v>#N/A</v>
      </c>
      <c r="AX246" s="65" t="e">
        <f>IF(AW54=1,IF(AW$13&lt;=COUNT($C26:$CS26),IF(INDEX($F$206:$F$229,MATCH($B246,$B$206:$B$229,FALSE))=0,NA(),INDEX(AW$14:AW$37,MATCH($B246,$B$14:$B$37,FALSE))/INDEX($F$206:$F$229,MATCH($B246,$B$206:$B$229,FALSE))),NA()),NA())</f>
        <v>#N/A</v>
      </c>
      <c r="AY246" s="65" t="e">
        <f>IF(AX54=1,IF(AX$13&lt;=COUNT($C26:$CS26),IF(INDEX($F$206:$F$229,MATCH($B246,$B$206:$B$229,FALSE))=0,NA(),INDEX(AX$14:AX$37,MATCH($B246,$B$14:$B$37,FALSE))/INDEX($F$206:$F$229,MATCH($B246,$B$206:$B$229,FALSE))),NA()),NA())</f>
        <v>#N/A</v>
      </c>
      <c r="AZ246" s="65" t="e">
        <f>IF(AY54=1,IF(AY$13&lt;=COUNT($C26:$CS26),IF(INDEX($F$206:$F$229,MATCH($B246,$B$206:$B$229,FALSE))=0,NA(),INDEX(AY$14:AY$37,MATCH($B246,$B$14:$B$37,FALSE))/INDEX($F$206:$F$229,MATCH($B246,$B$206:$B$229,FALSE))),NA()),NA())</f>
        <v>#N/A</v>
      </c>
      <c r="BA246" s="65" t="e">
        <f>IF(AZ54=1,IF(AZ$13&lt;=COUNT($C26:$CS26),IF(INDEX($F$206:$F$229,MATCH($B246,$B$206:$B$229,FALSE))=0,NA(),INDEX(AZ$14:AZ$37,MATCH($B246,$B$14:$B$37,FALSE))/INDEX($F$206:$F$229,MATCH($B246,$B$206:$B$229,FALSE))),NA()),NA())</f>
        <v>#N/A</v>
      </c>
      <c r="BB246" s="65" t="e">
        <f>IF(BA54=1,IF(BA$13&lt;=COUNT($C26:$CS26),IF(INDEX($F$206:$F$229,MATCH($B246,$B$206:$B$229,FALSE))=0,NA(),INDEX(BA$14:BA$37,MATCH($B246,$B$14:$B$37,FALSE))/INDEX($F$206:$F$229,MATCH($B246,$B$206:$B$229,FALSE))),NA()),NA())</f>
        <v>#N/A</v>
      </c>
      <c r="BC246" s="65" t="e">
        <f>IF(BB54=1,IF(BB$13&lt;=COUNT($C26:$CS26),IF(INDEX($F$206:$F$229,MATCH($B246,$B$206:$B$229,FALSE))=0,NA(),INDEX(BB$14:BB$37,MATCH($B246,$B$14:$B$37,FALSE))/INDEX($F$206:$F$229,MATCH($B246,$B$206:$B$229,FALSE))),NA()),NA())</f>
        <v>#N/A</v>
      </c>
      <c r="BD246" s="65" t="e">
        <f>IF(BC54=1,IF(BC$13&lt;=COUNT($C26:$CS26),IF(INDEX($F$206:$F$229,MATCH($B246,$B$206:$B$229,FALSE))=0,NA(),INDEX(BC$14:BC$37,MATCH($B246,$B$14:$B$37,FALSE))/INDEX($F$206:$F$229,MATCH($B246,$B$206:$B$229,FALSE))),NA()),NA())</f>
        <v>#N/A</v>
      </c>
      <c r="BE246" s="65" t="e">
        <f>IF(BD54=1,IF(BD$13&lt;=COUNT($C26:$CS26),IF(INDEX($F$206:$F$229,MATCH($B246,$B$206:$B$229,FALSE))=0,NA(),INDEX(BD$14:BD$37,MATCH($B246,$B$14:$B$37,FALSE))/INDEX($F$206:$F$229,MATCH($B246,$B$206:$B$229,FALSE))),NA()),NA())</f>
        <v>#N/A</v>
      </c>
      <c r="BF246" s="65" t="e">
        <f>IF(BE54=1,IF(BE$13&lt;=COUNT($C26:$CS26),IF(INDEX($F$206:$F$229,MATCH($B246,$B$206:$B$229,FALSE))=0,NA(),INDEX(BE$14:BE$37,MATCH($B246,$B$14:$B$37,FALSE))/INDEX($F$206:$F$229,MATCH($B246,$B$206:$B$229,FALSE))),NA()),NA())</f>
        <v>#N/A</v>
      </c>
      <c r="BG246" s="65" t="e">
        <f>IF(BF54=1,IF(BF$13&lt;=COUNT($C26:$CS26),IF(INDEX($F$206:$F$229,MATCH($B246,$B$206:$B$229,FALSE))=0,NA(),INDEX(BF$14:BF$37,MATCH($B246,$B$14:$B$37,FALSE))/INDEX($F$206:$F$229,MATCH($B246,$B$206:$B$229,FALSE))),NA()),NA())</f>
        <v>#N/A</v>
      </c>
      <c r="BH246" s="65" t="e">
        <f>IF(BG54=1,IF(BG$13&lt;=COUNT($C26:$CS26),IF(INDEX($F$206:$F$229,MATCH($B246,$B$206:$B$229,FALSE))=0,NA(),INDEX(BG$14:BG$37,MATCH($B246,$B$14:$B$37,FALSE))/INDEX($F$206:$F$229,MATCH($B246,$B$206:$B$229,FALSE))),NA()),NA())</f>
        <v>#N/A</v>
      </c>
      <c r="BI246" s="65" t="e">
        <f>IF(BH54=1,IF(BH$13&lt;=COUNT($C26:$CS26),IF(INDEX($F$206:$F$229,MATCH($B246,$B$206:$B$229,FALSE))=0,NA(),INDEX(BH$14:BH$37,MATCH($B246,$B$14:$B$37,FALSE))/INDEX($F$206:$F$229,MATCH($B246,$B$206:$B$229,FALSE))),NA()),NA())</f>
        <v>#N/A</v>
      </c>
      <c r="BJ246" s="65" t="e">
        <f>IF(BI54=1,IF(BI$13&lt;=COUNT($C26:$CS26),IF(INDEX($F$206:$F$229,MATCH($B246,$B$206:$B$229,FALSE))=0,NA(),INDEX(BI$14:BI$37,MATCH($B246,$B$14:$B$37,FALSE))/INDEX($F$206:$F$229,MATCH($B246,$B$206:$B$229,FALSE))),NA()),NA())</f>
        <v>#N/A</v>
      </c>
      <c r="BK246" s="65" t="e">
        <f>IF(BJ54=1,IF(BJ$13&lt;=COUNT($C26:$CS26),IF(INDEX($F$206:$F$229,MATCH($B246,$B$206:$B$229,FALSE))=0,NA(),INDEX(BJ$14:BJ$37,MATCH($B246,$B$14:$B$37,FALSE))/INDEX($F$206:$F$229,MATCH($B246,$B$206:$B$229,FALSE))),NA()),NA())</f>
        <v>#N/A</v>
      </c>
      <c r="BL246" s="65" t="e">
        <f>IF(BK54=1,IF(BK$13&lt;=COUNT($C26:$CS26),IF(INDEX($F$206:$F$229,MATCH($B246,$B$206:$B$229,FALSE))=0,NA(),INDEX(BK$14:BK$37,MATCH($B246,$B$14:$B$37,FALSE))/INDEX($F$206:$F$229,MATCH($B246,$B$206:$B$229,FALSE))),NA()),NA())</f>
        <v>#N/A</v>
      </c>
      <c r="BM246" s="65" t="e">
        <f>IF(BL54=1,IF(BL$13&lt;=COUNT($C26:$CS26),IF(INDEX($F$206:$F$229,MATCH($B246,$B$206:$B$229,FALSE))=0,NA(),INDEX(BL$14:BL$37,MATCH($B246,$B$14:$B$37,FALSE))/INDEX($F$206:$F$229,MATCH($B246,$B$206:$B$229,FALSE))),NA()),NA())</f>
        <v>#N/A</v>
      </c>
      <c r="BN246" s="65" t="e">
        <f>IF(BM54=1,IF(BM$13&lt;=COUNT($C26:$CS26),IF(INDEX($F$206:$F$229,MATCH($B246,$B$206:$B$229,FALSE))=0,NA(),INDEX(BM$14:BM$37,MATCH($B246,$B$14:$B$37,FALSE))/INDEX($F$206:$F$229,MATCH($B246,$B$206:$B$229,FALSE))),NA()),NA())</f>
        <v>#N/A</v>
      </c>
      <c r="BO246" s="65" t="e">
        <f>IF(BN54=1,IF(BN$13&lt;=COUNT($C26:$CS26),IF(INDEX($F$206:$F$229,MATCH($B246,$B$206:$B$229,FALSE))=0,NA(),INDEX(BN$14:BN$37,MATCH($B246,$B$14:$B$37,FALSE))/INDEX($F$206:$F$229,MATCH($B246,$B$206:$B$229,FALSE))),NA()),NA())</f>
        <v>#N/A</v>
      </c>
      <c r="BP246" s="65" t="e">
        <f>IF(BO54=1,IF(BO$13&lt;=COUNT($C26:$CS26),IF(INDEX($F$206:$F$229,MATCH($B246,$B$206:$B$229,FALSE))=0,NA(),INDEX(BO$14:BO$37,MATCH($B246,$B$14:$B$37,FALSE))/INDEX($F$206:$F$229,MATCH($B246,$B$206:$B$229,FALSE))),NA()),NA())</f>
        <v>#N/A</v>
      </c>
      <c r="BQ246" s="65" t="e">
        <f>IF(BP54=1,IF(BP$13&lt;=COUNT($C26:$CS26),IF(INDEX($F$206:$F$229,MATCH($B246,$B$206:$B$229,FALSE))=0,NA(),INDEX(BP$14:BP$37,MATCH($B246,$B$14:$B$37,FALSE))/INDEX($F$206:$F$229,MATCH($B246,$B$206:$B$229,FALSE))),NA()),NA())</f>
        <v>#N/A</v>
      </c>
      <c r="BR246" s="65" t="e">
        <f>IF(BQ54=1,IF(BQ$13&lt;=COUNT($C26:$CS26),IF(INDEX($F$206:$F$229,MATCH($B246,$B$206:$B$229,FALSE))=0,NA(),INDEX(BQ$14:BQ$37,MATCH($B246,$B$14:$B$37,FALSE))/INDEX($F$206:$F$229,MATCH($B246,$B$206:$B$229,FALSE))),NA()),NA())</f>
        <v>#N/A</v>
      </c>
      <c r="BS246" s="65" t="e">
        <f>IF(BR54=1,IF(BR$13&lt;=COUNT($C26:$CS26),IF(INDEX($F$206:$F$229,MATCH($B246,$B$206:$B$229,FALSE))=0,NA(),INDEX(BR$14:BR$37,MATCH($B246,$B$14:$B$37,FALSE))/INDEX($F$206:$F$229,MATCH($B246,$B$206:$B$229,FALSE))),NA()),NA())</f>
        <v>#N/A</v>
      </c>
      <c r="BT246" s="65" t="e">
        <f>IF(BS54=1,IF(BS$13&lt;=COUNT($C26:$CS26),IF(INDEX($F$206:$F$229,MATCH($B246,$B$206:$B$229,FALSE))=0,NA(),INDEX(BS$14:BS$37,MATCH($B246,$B$14:$B$37,FALSE))/INDEX($F$206:$F$229,MATCH($B246,$B$206:$B$229,FALSE))),NA()),NA())</f>
        <v>#N/A</v>
      </c>
      <c r="BU246" s="65" t="e">
        <f>IF(BT54=1,IF(BT$13&lt;=COUNT($C26:$CS26),IF(INDEX($F$206:$F$229,MATCH($B246,$B$206:$B$229,FALSE))=0,NA(),INDEX(BT$14:BT$37,MATCH($B246,$B$14:$B$37,FALSE))/INDEX($F$206:$F$229,MATCH($B246,$B$206:$B$229,FALSE))),NA()),NA())</f>
        <v>#N/A</v>
      </c>
      <c r="BV246" s="65" t="e">
        <f>IF(BU54=1,IF(BU$13&lt;=COUNT($C26:$CS26),IF(INDEX($F$206:$F$229,MATCH($B246,$B$206:$B$229,FALSE))=0,NA(),INDEX(BU$14:BU$37,MATCH($B246,$B$14:$B$37,FALSE))/INDEX($F$206:$F$229,MATCH($B246,$B$206:$B$229,FALSE))),NA()),NA())</f>
        <v>#N/A</v>
      </c>
      <c r="BW246" s="65" t="e">
        <f>IF(BV54=1,IF(BV$13&lt;=COUNT($C26:$CS26),IF(INDEX($F$206:$F$229,MATCH($B246,$B$206:$B$229,FALSE))=0,NA(),INDEX(BV$14:BV$37,MATCH($B246,$B$14:$B$37,FALSE))/INDEX($F$206:$F$229,MATCH($B246,$B$206:$B$229,FALSE))),NA()),NA())</f>
        <v>#N/A</v>
      </c>
      <c r="BX246" s="65" t="e">
        <f>IF(BW54=1,IF(BW$13&lt;=COUNT($C26:$CS26),IF(INDEX($F$206:$F$229,MATCH($B246,$B$206:$B$229,FALSE))=0,NA(),INDEX(BW$14:BW$37,MATCH($B246,$B$14:$B$37,FALSE))/INDEX($F$206:$F$229,MATCH($B246,$B$206:$B$229,FALSE))),NA()),NA())</f>
        <v>#N/A</v>
      </c>
      <c r="BY246" s="65" t="e">
        <f>IF(BX54=1,IF(BX$13&lt;=COUNT($C26:$CS26),IF(INDEX($F$206:$F$229,MATCH($B246,$B$206:$B$229,FALSE))=0,NA(),INDEX(BX$14:BX$37,MATCH($B246,$B$14:$B$37,FALSE))/INDEX($F$206:$F$229,MATCH($B246,$B$206:$B$229,FALSE))),NA()),NA())</f>
        <v>#N/A</v>
      </c>
      <c r="BZ246" s="65" t="e">
        <f>IF(BY54=1,IF(BY$13&lt;=COUNT($C26:$CS26),IF(INDEX($F$206:$F$229,MATCH($B246,$B$206:$B$229,FALSE))=0,NA(),INDEX(BY$14:BY$37,MATCH($B246,$B$14:$B$37,FALSE))/INDEX($F$206:$F$229,MATCH($B246,$B$206:$B$229,FALSE))),NA()),NA())</f>
        <v>#N/A</v>
      </c>
      <c r="CA246" s="65" t="e">
        <f>IF(BZ54=1,IF(BZ$13&lt;=COUNT($C26:$CS26),IF(INDEX($F$206:$F$229,MATCH($B246,$B$206:$B$229,FALSE))=0,NA(),INDEX(BZ$14:BZ$37,MATCH($B246,$B$14:$B$37,FALSE))/INDEX($F$206:$F$229,MATCH($B246,$B$206:$B$229,FALSE))),NA()),NA())</f>
        <v>#N/A</v>
      </c>
      <c r="CB246" s="65" t="e">
        <f>IF(CA54=1,IF(CA$13&lt;=COUNT($C26:$CS26),IF(INDEX($F$206:$F$229,MATCH($B246,$B$206:$B$229,FALSE))=0,NA(),INDEX(CA$14:CA$37,MATCH($B246,$B$14:$B$37,FALSE))/INDEX($F$206:$F$229,MATCH($B246,$B$206:$B$229,FALSE))),NA()),NA())</f>
        <v>#N/A</v>
      </c>
      <c r="CC246" s="65" t="e">
        <f>IF(CB54=1,IF(CB$13&lt;=COUNT($C26:$CS26),IF(INDEX($F$206:$F$229,MATCH($B246,$B$206:$B$229,FALSE))=0,NA(),INDEX(CB$14:CB$37,MATCH($B246,$B$14:$B$37,FALSE))/INDEX($F$206:$F$229,MATCH($B246,$B$206:$B$229,FALSE))),NA()),NA())</f>
        <v>#N/A</v>
      </c>
      <c r="CD246" s="65" t="e">
        <f>IF(CC54=1,IF(CC$13&lt;=COUNT($C26:$CS26),IF(INDEX($F$206:$F$229,MATCH($B246,$B$206:$B$229,FALSE))=0,NA(),INDEX(CC$14:CC$37,MATCH($B246,$B$14:$B$37,FALSE))/INDEX($F$206:$F$229,MATCH($B246,$B$206:$B$229,FALSE))),NA()),NA())</f>
        <v>#N/A</v>
      </c>
      <c r="CE246" s="65" t="e">
        <f>IF(CD54=1,IF(CD$13&lt;=COUNT($C26:$CS26),IF(INDEX($F$206:$F$229,MATCH($B246,$B$206:$B$229,FALSE))=0,NA(),INDEX(CD$14:CD$37,MATCH($B246,$B$14:$B$37,FALSE))/INDEX($F$206:$F$229,MATCH($B246,$B$206:$B$229,FALSE))),NA()),NA())</f>
        <v>#N/A</v>
      </c>
      <c r="CF246" s="65" t="e">
        <f>IF(CE54=1,IF(CE$13&lt;=COUNT($C26:$CS26),IF(INDEX($F$206:$F$229,MATCH($B246,$B$206:$B$229,FALSE))=0,NA(),INDEX(CE$14:CE$37,MATCH($B246,$B$14:$B$37,FALSE))/INDEX($F$206:$F$229,MATCH($B246,$B$206:$B$229,FALSE))),NA()),NA())</f>
        <v>#N/A</v>
      </c>
      <c r="CG246" s="65" t="e">
        <f>IF(CF54=1,IF(CF$13&lt;=COUNT($C26:$CS26),IF(INDEX($F$206:$F$229,MATCH($B246,$B$206:$B$229,FALSE))=0,NA(),INDEX(CF$14:CF$37,MATCH($B246,$B$14:$B$37,FALSE))/INDEX($F$206:$F$229,MATCH($B246,$B$206:$B$229,FALSE))),NA()),NA())</f>
        <v>#N/A</v>
      </c>
      <c r="CH246" s="65" t="e">
        <f>IF(CG54=1,IF(CG$13&lt;=COUNT($C26:$CS26),IF(INDEX($F$206:$F$229,MATCH($B246,$B$206:$B$229,FALSE))=0,NA(),INDEX(CG$14:CG$37,MATCH($B246,$B$14:$B$37,FALSE))/INDEX($F$206:$F$229,MATCH($B246,$B$206:$B$229,FALSE))),NA()),NA())</f>
        <v>#N/A</v>
      </c>
      <c r="CI246" s="65" t="e">
        <f>IF(CH54=1,IF(CH$13&lt;=COUNT($C26:$CS26),IF(INDEX($F$206:$F$229,MATCH($B246,$B$206:$B$229,FALSE))=0,NA(),INDEX(CH$14:CH$37,MATCH($B246,$B$14:$B$37,FALSE))/INDEX($F$206:$F$229,MATCH($B246,$B$206:$B$229,FALSE))),NA()),NA())</f>
        <v>#N/A</v>
      </c>
      <c r="CJ246" s="65" t="e">
        <f>IF(CI54=1,IF(CI$13&lt;=COUNT($C26:$CS26),IF(INDEX($F$206:$F$229,MATCH($B246,$B$206:$B$229,FALSE))=0,NA(),INDEX(CI$14:CI$37,MATCH($B246,$B$14:$B$37,FALSE))/INDEX($F$206:$F$229,MATCH($B246,$B$206:$B$229,FALSE))),NA()),NA())</f>
        <v>#N/A</v>
      </c>
      <c r="CK246" s="65" t="e">
        <f>IF(CJ54=1,IF(CJ$13&lt;=COUNT($C26:$CS26),IF(INDEX($F$206:$F$229,MATCH($B246,$B$206:$B$229,FALSE))=0,NA(),INDEX(CJ$14:CJ$37,MATCH($B246,$B$14:$B$37,FALSE))/INDEX($F$206:$F$229,MATCH($B246,$B$206:$B$229,FALSE))),NA()),NA())</f>
        <v>#N/A</v>
      </c>
      <c r="CL246" s="65" t="e">
        <f>IF(CK54=1,IF(CK$13&lt;=COUNT($C26:$CS26),IF(INDEX($F$206:$F$229,MATCH($B246,$B$206:$B$229,FALSE))=0,NA(),INDEX(CK$14:CK$37,MATCH($B246,$B$14:$B$37,FALSE))/INDEX($F$206:$F$229,MATCH($B246,$B$206:$B$229,FALSE))),NA()),NA())</f>
        <v>#N/A</v>
      </c>
      <c r="CM246" s="65" t="e">
        <f>IF(CL54=1,IF(CL$13&lt;=COUNT($C26:$CS26),IF(INDEX($F$206:$F$229,MATCH($B246,$B$206:$B$229,FALSE))=0,NA(),INDEX(CL$14:CL$37,MATCH($B246,$B$14:$B$37,FALSE))/INDEX($F$206:$F$229,MATCH($B246,$B$206:$B$229,FALSE))),NA()),NA())</f>
        <v>#N/A</v>
      </c>
      <c r="CN246" s="65" t="e">
        <f>IF(CM54=1,IF(CM$13&lt;=COUNT($C26:$CS26),IF(INDEX($F$206:$F$229,MATCH($B246,$B$206:$B$229,FALSE))=0,NA(),INDEX(CM$14:CM$37,MATCH($B246,$B$14:$B$37,FALSE))/INDEX($F$206:$F$229,MATCH($B246,$B$206:$B$229,FALSE))),NA()),NA())</f>
        <v>#N/A</v>
      </c>
      <c r="CO246" s="65" t="e">
        <f>IF(CN54=1,IF(CN$13&lt;=COUNT($C26:$CS26),IF(INDEX($F$206:$F$229,MATCH($B246,$B$206:$B$229,FALSE))=0,NA(),INDEX(CN$14:CN$37,MATCH($B246,$B$14:$B$37,FALSE))/INDEX($F$206:$F$229,MATCH($B246,$B$206:$B$229,FALSE))),NA()),NA())</f>
        <v>#N/A</v>
      </c>
      <c r="CP246" s="65" t="e">
        <f>IF(CO54=1,IF(CO$13&lt;=COUNT($C26:$CS26),IF(INDEX($F$206:$F$229,MATCH($B246,$B$206:$B$229,FALSE))=0,NA(),INDEX(CO$14:CO$37,MATCH($B246,$B$14:$B$37,FALSE))/INDEX($F$206:$F$229,MATCH($B246,$B$206:$B$229,FALSE))),NA()),NA())</f>
        <v>#N/A</v>
      </c>
      <c r="CQ246" s="65" t="e">
        <f>IF(CP54=1,IF(CP$13&lt;=COUNT($C26:$CS26),IF(INDEX($F$206:$F$229,MATCH($B246,$B$206:$B$229,FALSE))=0,NA(),INDEX(CP$14:CP$37,MATCH($B246,$B$14:$B$37,FALSE))/INDEX($F$206:$F$229,MATCH($B246,$B$206:$B$229,FALSE))),NA()),NA())</f>
        <v>#N/A</v>
      </c>
      <c r="CR246" s="65" t="e">
        <f>IF(CQ54=1,IF(CQ$13&lt;=COUNT($C26:$CS26),IF(INDEX($F$206:$F$229,MATCH($B246,$B$206:$B$229,FALSE))=0,NA(),INDEX(CQ$14:CQ$37,MATCH($B246,$B$14:$B$37,FALSE))/INDEX($F$206:$F$229,MATCH($B246,$B$206:$B$229,FALSE))),NA()),NA())</f>
        <v>#N/A</v>
      </c>
      <c r="CS246" s="65" t="e">
        <f>IF(CR54=1,IF(CR$13&lt;=COUNT($C26:$CS26),IF(INDEX($F$206:$F$229,MATCH($B246,$B$206:$B$229,FALSE))=0,NA(),INDEX(CR$14:CR$37,MATCH($B246,$B$14:$B$37,FALSE))/INDEX($F$206:$F$229,MATCH($B246,$B$206:$B$229,FALSE))),NA()),NA())</f>
        <v>#N/A</v>
      </c>
      <c r="CT246" s="49"/>
      <c r="CU246" s="49"/>
      <c r="CV246" s="49"/>
      <c r="CW246" s="49"/>
    </row>
    <row r="247" spans="1:101" x14ac:dyDescent="0.25">
      <c r="A247" s="97">
        <f t="shared" si="105"/>
        <v>0</v>
      </c>
      <c r="B247" s="29">
        <f t="shared" si="104"/>
        <v>2009</v>
      </c>
      <c r="C247" s="154" t="str">
        <f t="shared" si="106"/>
        <v/>
      </c>
      <c r="D247" s="54" t="e">
        <f>IF(C55=1,IF(C$13&lt;=COUNT($C27:$CS27),IF(INDEX($F$206:$F$229,MATCH($B247,$B$206:$B$229,FALSE))=0,NA(),INDEX(C$14:C$37,MATCH($B247,$B$14:$B$37,FALSE))/INDEX($F$206:$F$229,MATCH($B247,$B$206:$B$229,FALSE))),NA()),NA())</f>
        <v>#N/A</v>
      </c>
      <c r="E247" s="65" t="e">
        <f>IF(D55=1,IF(D$13&lt;=COUNT($C27:$CS27),IF(INDEX($F$206:$F$229,MATCH($B247,$B$206:$B$229,FALSE))=0,NA(),INDEX(D$14:D$37,MATCH($B247,$B$14:$B$37,FALSE))/INDEX($F$206:$F$229,MATCH($B247,$B$206:$B$229,FALSE))),NA()),NA())</f>
        <v>#N/A</v>
      </c>
      <c r="F247" s="65" t="e">
        <f>IF(E55=1,IF(E$13&lt;=COUNT($C27:$CS27),IF(INDEX($F$206:$F$229,MATCH($B247,$B$206:$B$229,FALSE))=0,NA(),INDEX(E$14:E$37,MATCH($B247,$B$14:$B$37,FALSE))/INDEX($F$206:$F$229,MATCH($B247,$B$206:$B$229,FALSE))),NA()),NA())</f>
        <v>#N/A</v>
      </c>
      <c r="G247" s="65" t="e">
        <f>IF(F55=1,IF(F$13&lt;=COUNT($C27:$CS27),IF(INDEX($F$206:$F$229,MATCH($B247,$B$206:$B$229,FALSE))=0,NA(),INDEX(F$14:F$37,MATCH($B247,$B$14:$B$37,FALSE))/INDEX($F$206:$F$229,MATCH($B247,$B$206:$B$229,FALSE))),NA()),NA())</f>
        <v>#N/A</v>
      </c>
      <c r="H247" s="65" t="e">
        <f>IF(G55=1,IF(G$13&lt;=COUNT($C27:$CS27),IF(INDEX($F$206:$F$229,MATCH($B247,$B$206:$B$229,FALSE))=0,NA(),INDEX(G$14:G$37,MATCH($B247,$B$14:$B$37,FALSE))/INDEX($F$206:$F$229,MATCH($B247,$B$206:$B$229,FALSE))),NA()),NA())</f>
        <v>#N/A</v>
      </c>
      <c r="I247" s="65" t="e">
        <f>IF(H55=1,IF(H$13&lt;=COUNT($C27:$CS27),IF(INDEX($F$206:$F$229,MATCH($B247,$B$206:$B$229,FALSE))=0,NA(),INDEX(H$14:H$37,MATCH($B247,$B$14:$B$37,FALSE))/INDEX($F$206:$F$229,MATCH($B247,$B$206:$B$229,FALSE))),NA()),NA())</f>
        <v>#N/A</v>
      </c>
      <c r="J247" s="65" t="e">
        <f>IF(I55=1,IF(I$13&lt;=COUNT($C27:$CS27),IF(INDEX($F$206:$F$229,MATCH($B247,$B$206:$B$229,FALSE))=0,NA(),INDEX(I$14:I$37,MATCH($B247,$B$14:$B$37,FALSE))/INDEX($F$206:$F$229,MATCH($B247,$B$206:$B$229,FALSE))),NA()),NA())</f>
        <v>#N/A</v>
      </c>
      <c r="K247" s="65" t="e">
        <f>IF(J55=1,IF(J$13&lt;=COUNT($C27:$CS27),IF(INDEX($F$206:$F$229,MATCH($B247,$B$206:$B$229,FALSE))=0,NA(),INDEX(J$14:J$37,MATCH($B247,$B$14:$B$37,FALSE))/INDEX($F$206:$F$229,MATCH($B247,$B$206:$B$229,FALSE))),NA()),NA())</f>
        <v>#N/A</v>
      </c>
      <c r="L247" s="65" t="e">
        <f>IF(K55=1,IF(K$13&lt;=COUNT($C27:$CS27),IF(INDEX($F$206:$F$229,MATCH($B247,$B$206:$B$229,FALSE))=0,NA(),INDEX(K$14:K$37,MATCH($B247,$B$14:$B$37,FALSE))/INDEX($F$206:$F$229,MATCH($B247,$B$206:$B$229,FALSE))),NA()),NA())</f>
        <v>#N/A</v>
      </c>
      <c r="M247" s="65" t="e">
        <f>IF(L55=1,IF(L$13&lt;=COUNT($C27:$CS27),IF(INDEX($F$206:$F$229,MATCH($B247,$B$206:$B$229,FALSE))=0,NA(),INDEX(L$14:L$37,MATCH($B247,$B$14:$B$37,FALSE))/INDEX($F$206:$F$229,MATCH($B247,$B$206:$B$229,FALSE))),NA()),NA())</f>
        <v>#N/A</v>
      </c>
      <c r="N247" s="65" t="e">
        <f>IF(M55=1,IF(M$13&lt;=COUNT($C27:$CS27),IF(INDEX($F$206:$F$229,MATCH($B247,$B$206:$B$229,FALSE))=0,NA(),INDEX(M$14:M$37,MATCH($B247,$B$14:$B$37,FALSE))/INDEX($F$206:$F$229,MATCH($B247,$B$206:$B$229,FALSE))),NA()),NA())</f>
        <v>#N/A</v>
      </c>
      <c r="O247" s="65" t="e">
        <f>IF(N55=1,IF(N$13&lt;=COUNT($C27:$CS27),IF(INDEX($F$206:$F$229,MATCH($B247,$B$206:$B$229,FALSE))=0,NA(),INDEX(N$14:N$37,MATCH($B247,$B$14:$B$37,FALSE))/INDEX($F$206:$F$229,MATCH($B247,$B$206:$B$229,FALSE))),NA()),NA())</f>
        <v>#N/A</v>
      </c>
      <c r="P247" s="65" t="e">
        <f>IF(O55=1,IF(O$13&lt;=COUNT($C27:$CS27),IF(INDEX($F$206:$F$229,MATCH($B247,$B$206:$B$229,FALSE))=0,NA(),INDEX(O$14:O$37,MATCH($B247,$B$14:$B$37,FALSE))/INDEX($F$206:$F$229,MATCH($B247,$B$206:$B$229,FALSE))),NA()),NA())</f>
        <v>#N/A</v>
      </c>
      <c r="Q247" s="65" t="e">
        <f>IF(P55=1,IF(P$13&lt;=COUNT($C27:$CS27),IF(INDEX($F$206:$F$229,MATCH($B247,$B$206:$B$229,FALSE))=0,NA(),INDEX(P$14:P$37,MATCH($B247,$B$14:$B$37,FALSE))/INDEX($F$206:$F$229,MATCH($B247,$B$206:$B$229,FALSE))),NA()),NA())</f>
        <v>#N/A</v>
      </c>
      <c r="R247" s="65" t="e">
        <f>IF(Q55=1,IF(Q$13&lt;=COUNT($C27:$CS27),IF(INDEX($F$206:$F$229,MATCH($B247,$B$206:$B$229,FALSE))=0,NA(),INDEX(Q$14:Q$37,MATCH($B247,$B$14:$B$37,FALSE))/INDEX($F$206:$F$229,MATCH($B247,$B$206:$B$229,FALSE))),NA()),NA())</f>
        <v>#N/A</v>
      </c>
      <c r="S247" s="65" t="e">
        <f>IF(R55=1,IF(R$13&lt;=COUNT($C27:$CS27),IF(INDEX($F$206:$F$229,MATCH($B247,$B$206:$B$229,FALSE))=0,NA(),INDEX(R$14:R$37,MATCH($B247,$B$14:$B$37,FALSE))/INDEX($F$206:$F$229,MATCH($B247,$B$206:$B$229,FALSE))),NA()),NA())</f>
        <v>#N/A</v>
      </c>
      <c r="T247" s="65" t="e">
        <f>IF(S55=1,IF(S$13&lt;=COUNT($C27:$CS27),IF(INDEX($F$206:$F$229,MATCH($B247,$B$206:$B$229,FALSE))=0,NA(),INDEX(S$14:S$37,MATCH($B247,$B$14:$B$37,FALSE))/INDEX($F$206:$F$229,MATCH($B247,$B$206:$B$229,FALSE))),NA()),NA())</f>
        <v>#N/A</v>
      </c>
      <c r="U247" s="65" t="e">
        <f>IF(T55=1,IF(T$13&lt;=COUNT($C27:$CS27),IF(INDEX($F$206:$F$229,MATCH($B247,$B$206:$B$229,FALSE))=0,NA(),INDEX(T$14:T$37,MATCH($B247,$B$14:$B$37,FALSE))/INDEX($F$206:$F$229,MATCH($B247,$B$206:$B$229,FALSE))),NA()),NA())</f>
        <v>#N/A</v>
      </c>
      <c r="V247" s="65" t="e">
        <f>IF(U55=1,IF(U$13&lt;=COUNT($C27:$CS27),IF(INDEX($F$206:$F$229,MATCH($B247,$B$206:$B$229,FALSE))=0,NA(),INDEX(U$14:U$37,MATCH($B247,$B$14:$B$37,FALSE))/INDEX($F$206:$F$229,MATCH($B247,$B$206:$B$229,FALSE))),NA()),NA())</f>
        <v>#N/A</v>
      </c>
      <c r="W247" s="65" t="e">
        <f>IF(V55=1,IF(V$13&lt;=COUNT($C27:$CS27),IF(INDEX($F$206:$F$229,MATCH($B247,$B$206:$B$229,FALSE))=0,NA(),INDEX(V$14:V$37,MATCH($B247,$B$14:$B$37,FALSE))/INDEX($F$206:$F$229,MATCH($B247,$B$206:$B$229,FALSE))),NA()),NA())</f>
        <v>#N/A</v>
      </c>
      <c r="X247" s="65" t="e">
        <f>IF(W55=1,IF(W$13&lt;=COUNT($C27:$CS27),IF(INDEX($F$206:$F$229,MATCH($B247,$B$206:$B$229,FALSE))=0,NA(),INDEX(W$14:W$37,MATCH($B247,$B$14:$B$37,FALSE))/INDEX($F$206:$F$229,MATCH($B247,$B$206:$B$229,FALSE))),NA()),NA())</f>
        <v>#N/A</v>
      </c>
      <c r="Y247" s="65" t="e">
        <f>IF(X55=1,IF(X$13&lt;=COUNT($C27:$CS27),IF(INDEX($F$206:$F$229,MATCH($B247,$B$206:$B$229,FALSE))=0,NA(),INDEX(X$14:X$37,MATCH($B247,$B$14:$B$37,FALSE))/INDEX($F$206:$F$229,MATCH($B247,$B$206:$B$229,FALSE))),NA()),NA())</f>
        <v>#N/A</v>
      </c>
      <c r="Z247" s="65" t="e">
        <f>IF(Y55=1,IF(Y$13&lt;=COUNT($C27:$CS27),IF(INDEX($F$206:$F$229,MATCH($B247,$B$206:$B$229,FALSE))=0,NA(),INDEX(Y$14:Y$37,MATCH($B247,$B$14:$B$37,FALSE))/INDEX($F$206:$F$229,MATCH($B247,$B$206:$B$229,FALSE))),NA()),NA())</f>
        <v>#N/A</v>
      </c>
      <c r="AA247" s="65" t="e">
        <f>IF(Z55=1,IF(Z$13&lt;=COUNT($C27:$CS27),IF(INDEX($F$206:$F$229,MATCH($B247,$B$206:$B$229,FALSE))=0,NA(),INDEX(Z$14:Z$37,MATCH($B247,$B$14:$B$37,FALSE))/INDEX($F$206:$F$229,MATCH($B247,$B$206:$B$229,FALSE))),NA()),NA())</f>
        <v>#N/A</v>
      </c>
      <c r="AB247" s="65" t="e">
        <f>IF(AA55=1,IF(AA$13&lt;=COUNT($C27:$CS27),IF(INDEX($F$206:$F$229,MATCH($B247,$B$206:$B$229,FALSE))=0,NA(),INDEX(AA$14:AA$37,MATCH($B247,$B$14:$B$37,FALSE))/INDEX($F$206:$F$229,MATCH($B247,$B$206:$B$229,FALSE))),NA()),NA())</f>
        <v>#N/A</v>
      </c>
      <c r="AC247" s="65" t="e">
        <f>IF(AB55=1,IF(AB$13&lt;=COUNT($C27:$CS27),IF(INDEX($F$206:$F$229,MATCH($B247,$B$206:$B$229,FALSE))=0,NA(),INDEX(AB$14:AB$37,MATCH($B247,$B$14:$B$37,FALSE))/INDEX($F$206:$F$229,MATCH($B247,$B$206:$B$229,FALSE))),NA()),NA())</f>
        <v>#N/A</v>
      </c>
      <c r="AD247" s="65" t="e">
        <f>IF(AC55=1,IF(AC$13&lt;=COUNT($C27:$CS27),IF(INDEX($F$206:$F$229,MATCH($B247,$B$206:$B$229,FALSE))=0,NA(),INDEX(AC$14:AC$37,MATCH($B247,$B$14:$B$37,FALSE))/INDEX($F$206:$F$229,MATCH($B247,$B$206:$B$229,FALSE))),NA()),NA())</f>
        <v>#N/A</v>
      </c>
      <c r="AE247" s="65" t="e">
        <f>IF(AD55=1,IF(AD$13&lt;=COUNT($C27:$CS27),IF(INDEX($F$206:$F$229,MATCH($B247,$B$206:$B$229,FALSE))=0,NA(),INDEX(AD$14:AD$37,MATCH($B247,$B$14:$B$37,FALSE))/INDEX($F$206:$F$229,MATCH($B247,$B$206:$B$229,FALSE))),NA()),NA())</f>
        <v>#N/A</v>
      </c>
      <c r="AF247" s="65" t="e">
        <f>IF(AE55=1,IF(AE$13&lt;=COUNT($C27:$CS27),IF(INDEX($F$206:$F$229,MATCH($B247,$B$206:$B$229,FALSE))=0,NA(),INDEX(AE$14:AE$37,MATCH($B247,$B$14:$B$37,FALSE))/INDEX($F$206:$F$229,MATCH($B247,$B$206:$B$229,FALSE))),NA()),NA())</f>
        <v>#N/A</v>
      </c>
      <c r="AG247" s="65" t="e">
        <f>IF(AF55=1,IF(AF$13&lt;=COUNT($C27:$CS27),IF(INDEX($F$206:$F$229,MATCH($B247,$B$206:$B$229,FALSE))=0,NA(),INDEX(AF$14:AF$37,MATCH($B247,$B$14:$B$37,FALSE))/INDEX($F$206:$F$229,MATCH($B247,$B$206:$B$229,FALSE))),NA()),NA())</f>
        <v>#N/A</v>
      </c>
      <c r="AH247" s="65" t="e">
        <f>IF(AG55=1,IF(AG$13&lt;=COUNT($C27:$CS27),IF(INDEX($F$206:$F$229,MATCH($B247,$B$206:$B$229,FALSE))=0,NA(),INDEX(AG$14:AG$37,MATCH($B247,$B$14:$B$37,FALSE))/INDEX($F$206:$F$229,MATCH($B247,$B$206:$B$229,FALSE))),NA()),NA())</f>
        <v>#N/A</v>
      </c>
      <c r="AI247" s="65" t="e">
        <f>IF(AH55=1,IF(AH$13&lt;=COUNT($C27:$CS27),IF(INDEX($F$206:$F$229,MATCH($B247,$B$206:$B$229,FALSE))=0,NA(),INDEX(AH$14:AH$37,MATCH($B247,$B$14:$B$37,FALSE))/INDEX($F$206:$F$229,MATCH($B247,$B$206:$B$229,FALSE))),NA()),NA())</f>
        <v>#N/A</v>
      </c>
      <c r="AJ247" s="65" t="e">
        <f>IF(AI55=1,IF(AI$13&lt;=COUNT($C27:$CS27),IF(INDEX($F$206:$F$229,MATCH($B247,$B$206:$B$229,FALSE))=0,NA(),INDEX(AI$14:AI$37,MATCH($B247,$B$14:$B$37,FALSE))/INDEX($F$206:$F$229,MATCH($B247,$B$206:$B$229,FALSE))),NA()),NA())</f>
        <v>#N/A</v>
      </c>
      <c r="AK247" s="65" t="e">
        <f>IF(AJ55=1,IF(AJ$13&lt;=COUNT($C27:$CS27),IF(INDEX($F$206:$F$229,MATCH($B247,$B$206:$B$229,FALSE))=0,NA(),INDEX(AJ$14:AJ$37,MATCH($B247,$B$14:$B$37,FALSE))/INDEX($F$206:$F$229,MATCH($B247,$B$206:$B$229,FALSE))),NA()),NA())</f>
        <v>#N/A</v>
      </c>
      <c r="AL247" s="65" t="e">
        <f>IF(AK55=1,IF(AK$13&lt;=COUNT($C27:$CS27),IF(INDEX($F$206:$F$229,MATCH($B247,$B$206:$B$229,FALSE))=0,NA(),INDEX(AK$14:AK$37,MATCH($B247,$B$14:$B$37,FALSE))/INDEX($F$206:$F$229,MATCH($B247,$B$206:$B$229,FALSE))),NA()),NA())</f>
        <v>#N/A</v>
      </c>
      <c r="AM247" s="65" t="e">
        <f>IF(AL55=1,IF(AL$13&lt;=COUNT($C27:$CS27),IF(INDEX($F$206:$F$229,MATCH($B247,$B$206:$B$229,FALSE))=0,NA(),INDEX(AL$14:AL$37,MATCH($B247,$B$14:$B$37,FALSE))/INDEX($F$206:$F$229,MATCH($B247,$B$206:$B$229,FALSE))),NA()),NA())</f>
        <v>#N/A</v>
      </c>
      <c r="AN247" s="65" t="e">
        <f>IF(AM55=1,IF(AM$13&lt;=COUNT($C27:$CS27),IF(INDEX($F$206:$F$229,MATCH($B247,$B$206:$B$229,FALSE))=0,NA(),INDEX(AM$14:AM$37,MATCH($B247,$B$14:$B$37,FALSE))/INDEX($F$206:$F$229,MATCH($B247,$B$206:$B$229,FALSE))),NA()),NA())</f>
        <v>#N/A</v>
      </c>
      <c r="AO247" s="65" t="e">
        <f>IF(AN55=1,IF(AN$13&lt;=COUNT($C27:$CS27),IF(INDEX($F$206:$F$229,MATCH($B247,$B$206:$B$229,FALSE))=0,NA(),INDEX(AN$14:AN$37,MATCH($B247,$B$14:$B$37,FALSE))/INDEX($F$206:$F$229,MATCH($B247,$B$206:$B$229,FALSE))),NA()),NA())</f>
        <v>#N/A</v>
      </c>
      <c r="AP247" s="65" t="e">
        <f>IF(AO55=1,IF(AO$13&lt;=COUNT($C27:$CS27),IF(INDEX($F$206:$F$229,MATCH($B247,$B$206:$B$229,FALSE))=0,NA(),INDEX(AO$14:AO$37,MATCH($B247,$B$14:$B$37,FALSE))/INDEX($F$206:$F$229,MATCH($B247,$B$206:$B$229,FALSE))),NA()),NA())</f>
        <v>#N/A</v>
      </c>
      <c r="AQ247" s="65" t="e">
        <f>IF(AP55=1,IF(AP$13&lt;=COUNT($C27:$CS27),IF(INDEX($F$206:$F$229,MATCH($B247,$B$206:$B$229,FALSE))=0,NA(),INDEX(AP$14:AP$37,MATCH($B247,$B$14:$B$37,FALSE))/INDEX($F$206:$F$229,MATCH($B247,$B$206:$B$229,FALSE))),NA()),NA())</f>
        <v>#N/A</v>
      </c>
      <c r="AR247" s="65" t="e">
        <f>IF(AQ55=1,IF(AQ$13&lt;=COUNT($C27:$CS27),IF(INDEX($F$206:$F$229,MATCH($B247,$B$206:$B$229,FALSE))=0,NA(),INDEX(AQ$14:AQ$37,MATCH($B247,$B$14:$B$37,FALSE))/INDEX($F$206:$F$229,MATCH($B247,$B$206:$B$229,FALSE))),NA()),NA())</f>
        <v>#N/A</v>
      </c>
      <c r="AS247" s="65" t="e">
        <f>IF(AR55=1,IF(AR$13&lt;=COUNT($C27:$CS27),IF(INDEX($F$206:$F$229,MATCH($B247,$B$206:$B$229,FALSE))=0,NA(),INDEX(AR$14:AR$37,MATCH($B247,$B$14:$B$37,FALSE))/INDEX($F$206:$F$229,MATCH($B247,$B$206:$B$229,FALSE))),NA()),NA())</f>
        <v>#N/A</v>
      </c>
      <c r="AT247" s="65" t="e">
        <f>IF(AS55=1,IF(AS$13&lt;=COUNT($C27:$CS27),IF(INDEX($F$206:$F$229,MATCH($B247,$B$206:$B$229,FALSE))=0,NA(),INDEX(AS$14:AS$37,MATCH($B247,$B$14:$B$37,FALSE))/INDEX($F$206:$F$229,MATCH($B247,$B$206:$B$229,FALSE))),NA()),NA())</f>
        <v>#N/A</v>
      </c>
      <c r="AU247" s="65" t="e">
        <f>IF(AT55=1,IF(AT$13&lt;=COUNT($C27:$CS27),IF(INDEX($F$206:$F$229,MATCH($B247,$B$206:$B$229,FALSE))=0,NA(),INDEX(AT$14:AT$37,MATCH($B247,$B$14:$B$37,FALSE))/INDEX($F$206:$F$229,MATCH($B247,$B$206:$B$229,FALSE))),NA()),NA())</f>
        <v>#N/A</v>
      </c>
      <c r="AV247" s="65" t="e">
        <f>IF(AU55=1,IF(AU$13&lt;=COUNT($C27:$CS27),IF(INDEX($F$206:$F$229,MATCH($B247,$B$206:$B$229,FALSE))=0,NA(),INDEX(AU$14:AU$37,MATCH($B247,$B$14:$B$37,FALSE))/INDEX($F$206:$F$229,MATCH($B247,$B$206:$B$229,FALSE))),NA()),NA())</f>
        <v>#N/A</v>
      </c>
      <c r="AW247" s="65" t="e">
        <f>IF(AV55=1,IF(AV$13&lt;=COUNT($C27:$CS27),IF(INDEX($F$206:$F$229,MATCH($B247,$B$206:$B$229,FALSE))=0,NA(),INDEX(AV$14:AV$37,MATCH($B247,$B$14:$B$37,FALSE))/INDEX($F$206:$F$229,MATCH($B247,$B$206:$B$229,FALSE))),NA()),NA())</f>
        <v>#N/A</v>
      </c>
      <c r="AX247" s="65" t="e">
        <f>IF(AW55=1,IF(AW$13&lt;=COUNT($C27:$CS27),IF(INDEX($F$206:$F$229,MATCH($B247,$B$206:$B$229,FALSE))=0,NA(),INDEX(AW$14:AW$37,MATCH($B247,$B$14:$B$37,FALSE))/INDEX($F$206:$F$229,MATCH($B247,$B$206:$B$229,FALSE))),NA()),NA())</f>
        <v>#N/A</v>
      </c>
      <c r="AY247" s="65" t="e">
        <f>IF(AX55=1,IF(AX$13&lt;=COUNT($C27:$CS27),IF(INDEX($F$206:$F$229,MATCH($B247,$B$206:$B$229,FALSE))=0,NA(),INDEX(AX$14:AX$37,MATCH($B247,$B$14:$B$37,FALSE))/INDEX($F$206:$F$229,MATCH($B247,$B$206:$B$229,FALSE))),NA()),NA())</f>
        <v>#N/A</v>
      </c>
      <c r="AZ247" s="65" t="e">
        <f>IF(AY55=1,IF(AY$13&lt;=COUNT($C27:$CS27),IF(INDEX($F$206:$F$229,MATCH($B247,$B$206:$B$229,FALSE))=0,NA(),INDEX(AY$14:AY$37,MATCH($B247,$B$14:$B$37,FALSE))/INDEX($F$206:$F$229,MATCH($B247,$B$206:$B$229,FALSE))),NA()),NA())</f>
        <v>#N/A</v>
      </c>
      <c r="BA247" s="65" t="e">
        <f>IF(AZ55=1,IF(AZ$13&lt;=COUNT($C27:$CS27),IF(INDEX($F$206:$F$229,MATCH($B247,$B$206:$B$229,FALSE))=0,NA(),INDEX(AZ$14:AZ$37,MATCH($B247,$B$14:$B$37,FALSE))/INDEX($F$206:$F$229,MATCH($B247,$B$206:$B$229,FALSE))),NA()),NA())</f>
        <v>#N/A</v>
      </c>
      <c r="BB247" s="65" t="e">
        <f>IF(BA55=1,IF(BA$13&lt;=COUNT($C27:$CS27),IF(INDEX($F$206:$F$229,MATCH($B247,$B$206:$B$229,FALSE))=0,NA(),INDEX(BA$14:BA$37,MATCH($B247,$B$14:$B$37,FALSE))/INDEX($F$206:$F$229,MATCH($B247,$B$206:$B$229,FALSE))),NA()),NA())</f>
        <v>#N/A</v>
      </c>
      <c r="BC247" s="65" t="e">
        <f>IF(BB55=1,IF(BB$13&lt;=COUNT($C27:$CS27),IF(INDEX($F$206:$F$229,MATCH($B247,$B$206:$B$229,FALSE))=0,NA(),INDEX(BB$14:BB$37,MATCH($B247,$B$14:$B$37,FALSE))/INDEX($F$206:$F$229,MATCH($B247,$B$206:$B$229,FALSE))),NA()),NA())</f>
        <v>#N/A</v>
      </c>
      <c r="BD247" s="65" t="e">
        <f>IF(BC55=1,IF(BC$13&lt;=COUNT($C27:$CS27),IF(INDEX($F$206:$F$229,MATCH($B247,$B$206:$B$229,FALSE))=0,NA(),INDEX(BC$14:BC$37,MATCH($B247,$B$14:$B$37,FALSE))/INDEX($F$206:$F$229,MATCH($B247,$B$206:$B$229,FALSE))),NA()),NA())</f>
        <v>#N/A</v>
      </c>
      <c r="BE247" s="65" t="e">
        <f>IF(BD55=1,IF(BD$13&lt;=COUNT($C27:$CS27),IF(INDEX($F$206:$F$229,MATCH($B247,$B$206:$B$229,FALSE))=0,NA(),INDEX(BD$14:BD$37,MATCH($B247,$B$14:$B$37,FALSE))/INDEX($F$206:$F$229,MATCH($B247,$B$206:$B$229,FALSE))),NA()),NA())</f>
        <v>#N/A</v>
      </c>
      <c r="BF247" s="65" t="e">
        <f>IF(BE55=1,IF(BE$13&lt;=COUNT($C27:$CS27),IF(INDEX($F$206:$F$229,MATCH($B247,$B$206:$B$229,FALSE))=0,NA(),INDEX(BE$14:BE$37,MATCH($B247,$B$14:$B$37,FALSE))/INDEX($F$206:$F$229,MATCH($B247,$B$206:$B$229,FALSE))),NA()),NA())</f>
        <v>#N/A</v>
      </c>
      <c r="BG247" s="65" t="e">
        <f>IF(BF55=1,IF(BF$13&lt;=COUNT($C27:$CS27),IF(INDEX($F$206:$F$229,MATCH($B247,$B$206:$B$229,FALSE))=0,NA(),INDEX(BF$14:BF$37,MATCH($B247,$B$14:$B$37,FALSE))/INDEX($F$206:$F$229,MATCH($B247,$B$206:$B$229,FALSE))),NA()),NA())</f>
        <v>#N/A</v>
      </c>
      <c r="BH247" s="65" t="e">
        <f>IF(BG55=1,IF(BG$13&lt;=COUNT($C27:$CS27),IF(INDEX($F$206:$F$229,MATCH($B247,$B$206:$B$229,FALSE))=0,NA(),INDEX(BG$14:BG$37,MATCH($B247,$B$14:$B$37,FALSE))/INDEX($F$206:$F$229,MATCH($B247,$B$206:$B$229,FALSE))),NA()),NA())</f>
        <v>#N/A</v>
      </c>
      <c r="BI247" s="65" t="e">
        <f>IF(BH55=1,IF(BH$13&lt;=COUNT($C27:$CS27),IF(INDEX($F$206:$F$229,MATCH($B247,$B$206:$B$229,FALSE))=0,NA(),INDEX(BH$14:BH$37,MATCH($B247,$B$14:$B$37,FALSE))/INDEX($F$206:$F$229,MATCH($B247,$B$206:$B$229,FALSE))),NA()),NA())</f>
        <v>#N/A</v>
      </c>
      <c r="BJ247" s="65" t="e">
        <f>IF(BI55=1,IF(BI$13&lt;=COUNT($C27:$CS27),IF(INDEX($F$206:$F$229,MATCH($B247,$B$206:$B$229,FALSE))=0,NA(),INDEX(BI$14:BI$37,MATCH($B247,$B$14:$B$37,FALSE))/INDEX($F$206:$F$229,MATCH($B247,$B$206:$B$229,FALSE))),NA()),NA())</f>
        <v>#N/A</v>
      </c>
      <c r="BK247" s="65" t="e">
        <f>IF(BJ55=1,IF(BJ$13&lt;=COUNT($C27:$CS27),IF(INDEX($F$206:$F$229,MATCH($B247,$B$206:$B$229,FALSE))=0,NA(),INDEX(BJ$14:BJ$37,MATCH($B247,$B$14:$B$37,FALSE))/INDEX($F$206:$F$229,MATCH($B247,$B$206:$B$229,FALSE))),NA()),NA())</f>
        <v>#N/A</v>
      </c>
      <c r="BL247" s="65" t="e">
        <f>IF(BK55=1,IF(BK$13&lt;=COUNT($C27:$CS27),IF(INDEX($F$206:$F$229,MATCH($B247,$B$206:$B$229,FALSE))=0,NA(),INDEX(BK$14:BK$37,MATCH($B247,$B$14:$B$37,FALSE))/INDEX($F$206:$F$229,MATCH($B247,$B$206:$B$229,FALSE))),NA()),NA())</f>
        <v>#N/A</v>
      </c>
      <c r="BM247" s="65" t="e">
        <f>IF(BL55=1,IF(BL$13&lt;=COUNT($C27:$CS27),IF(INDEX($F$206:$F$229,MATCH($B247,$B$206:$B$229,FALSE))=0,NA(),INDEX(BL$14:BL$37,MATCH($B247,$B$14:$B$37,FALSE))/INDEX($F$206:$F$229,MATCH($B247,$B$206:$B$229,FALSE))),NA()),NA())</f>
        <v>#N/A</v>
      </c>
      <c r="BN247" s="65" t="e">
        <f>IF(BM55=1,IF(BM$13&lt;=COUNT($C27:$CS27),IF(INDEX($F$206:$F$229,MATCH($B247,$B$206:$B$229,FALSE))=0,NA(),INDEX(BM$14:BM$37,MATCH($B247,$B$14:$B$37,FALSE))/INDEX($F$206:$F$229,MATCH($B247,$B$206:$B$229,FALSE))),NA()),NA())</f>
        <v>#N/A</v>
      </c>
      <c r="BO247" s="65" t="e">
        <f>IF(BN55=1,IF(BN$13&lt;=COUNT($C27:$CS27),IF(INDEX($F$206:$F$229,MATCH($B247,$B$206:$B$229,FALSE))=0,NA(),INDEX(BN$14:BN$37,MATCH($B247,$B$14:$B$37,FALSE))/INDEX($F$206:$F$229,MATCH($B247,$B$206:$B$229,FALSE))),NA()),NA())</f>
        <v>#N/A</v>
      </c>
      <c r="BP247" s="65" t="e">
        <f>IF(BO55=1,IF(BO$13&lt;=COUNT($C27:$CS27),IF(INDEX($F$206:$F$229,MATCH($B247,$B$206:$B$229,FALSE))=0,NA(),INDEX(BO$14:BO$37,MATCH($B247,$B$14:$B$37,FALSE))/INDEX($F$206:$F$229,MATCH($B247,$B$206:$B$229,FALSE))),NA()),NA())</f>
        <v>#N/A</v>
      </c>
      <c r="BQ247" s="65" t="e">
        <f>IF(BP55=1,IF(BP$13&lt;=COUNT($C27:$CS27),IF(INDEX($F$206:$F$229,MATCH($B247,$B$206:$B$229,FALSE))=0,NA(),INDEX(BP$14:BP$37,MATCH($B247,$B$14:$B$37,FALSE))/INDEX($F$206:$F$229,MATCH($B247,$B$206:$B$229,FALSE))),NA()),NA())</f>
        <v>#N/A</v>
      </c>
      <c r="BR247" s="65" t="e">
        <f>IF(BQ55=1,IF(BQ$13&lt;=COUNT($C27:$CS27),IF(INDEX($F$206:$F$229,MATCH($B247,$B$206:$B$229,FALSE))=0,NA(),INDEX(BQ$14:BQ$37,MATCH($B247,$B$14:$B$37,FALSE))/INDEX($F$206:$F$229,MATCH($B247,$B$206:$B$229,FALSE))),NA()),NA())</f>
        <v>#N/A</v>
      </c>
      <c r="BS247" s="65" t="e">
        <f>IF(BR55=1,IF(BR$13&lt;=COUNT($C27:$CS27),IF(INDEX($F$206:$F$229,MATCH($B247,$B$206:$B$229,FALSE))=0,NA(),INDEX(BR$14:BR$37,MATCH($B247,$B$14:$B$37,FALSE))/INDEX($F$206:$F$229,MATCH($B247,$B$206:$B$229,FALSE))),NA()),NA())</f>
        <v>#N/A</v>
      </c>
      <c r="BT247" s="65" t="e">
        <f>IF(BS55=1,IF(BS$13&lt;=COUNT($C27:$CS27),IF(INDEX($F$206:$F$229,MATCH($B247,$B$206:$B$229,FALSE))=0,NA(),INDEX(BS$14:BS$37,MATCH($B247,$B$14:$B$37,FALSE))/INDEX($F$206:$F$229,MATCH($B247,$B$206:$B$229,FALSE))),NA()),NA())</f>
        <v>#N/A</v>
      </c>
      <c r="BU247" s="65" t="e">
        <f>IF(BT55=1,IF(BT$13&lt;=COUNT($C27:$CS27),IF(INDEX($F$206:$F$229,MATCH($B247,$B$206:$B$229,FALSE))=0,NA(),INDEX(BT$14:BT$37,MATCH($B247,$B$14:$B$37,FALSE))/INDEX($F$206:$F$229,MATCH($B247,$B$206:$B$229,FALSE))),NA()),NA())</f>
        <v>#N/A</v>
      </c>
      <c r="BV247" s="65" t="e">
        <f>IF(BU55=1,IF(BU$13&lt;=COUNT($C27:$CS27),IF(INDEX($F$206:$F$229,MATCH($B247,$B$206:$B$229,FALSE))=0,NA(),INDEX(BU$14:BU$37,MATCH($B247,$B$14:$B$37,FALSE))/INDEX($F$206:$F$229,MATCH($B247,$B$206:$B$229,FALSE))),NA()),NA())</f>
        <v>#N/A</v>
      </c>
      <c r="BW247" s="65" t="e">
        <f>IF(BV55=1,IF(BV$13&lt;=COUNT($C27:$CS27),IF(INDEX($F$206:$F$229,MATCH($B247,$B$206:$B$229,FALSE))=0,NA(),INDEX(BV$14:BV$37,MATCH($B247,$B$14:$B$37,FALSE))/INDEX($F$206:$F$229,MATCH($B247,$B$206:$B$229,FALSE))),NA()),NA())</f>
        <v>#N/A</v>
      </c>
      <c r="BX247" s="65" t="e">
        <f>IF(BW55=1,IF(BW$13&lt;=COUNT($C27:$CS27),IF(INDEX($F$206:$F$229,MATCH($B247,$B$206:$B$229,FALSE))=0,NA(),INDEX(BW$14:BW$37,MATCH($B247,$B$14:$B$37,FALSE))/INDEX($F$206:$F$229,MATCH($B247,$B$206:$B$229,FALSE))),NA()),NA())</f>
        <v>#N/A</v>
      </c>
      <c r="BY247" s="65" t="e">
        <f>IF(BX55=1,IF(BX$13&lt;=COUNT($C27:$CS27),IF(INDEX($F$206:$F$229,MATCH($B247,$B$206:$B$229,FALSE))=0,NA(),INDEX(BX$14:BX$37,MATCH($B247,$B$14:$B$37,FALSE))/INDEX($F$206:$F$229,MATCH($B247,$B$206:$B$229,FALSE))),NA()),NA())</f>
        <v>#N/A</v>
      </c>
      <c r="BZ247" s="65" t="e">
        <f>IF(BY55=1,IF(BY$13&lt;=COUNT($C27:$CS27),IF(INDEX($F$206:$F$229,MATCH($B247,$B$206:$B$229,FALSE))=0,NA(),INDEX(BY$14:BY$37,MATCH($B247,$B$14:$B$37,FALSE))/INDEX($F$206:$F$229,MATCH($B247,$B$206:$B$229,FALSE))),NA()),NA())</f>
        <v>#N/A</v>
      </c>
      <c r="CA247" s="65" t="e">
        <f>IF(BZ55=1,IF(BZ$13&lt;=COUNT($C27:$CS27),IF(INDEX($F$206:$F$229,MATCH($B247,$B$206:$B$229,FALSE))=0,NA(),INDEX(BZ$14:BZ$37,MATCH($B247,$B$14:$B$37,FALSE))/INDEX($F$206:$F$229,MATCH($B247,$B$206:$B$229,FALSE))),NA()),NA())</f>
        <v>#N/A</v>
      </c>
      <c r="CB247" s="65" t="e">
        <f>IF(CA55=1,IF(CA$13&lt;=COUNT($C27:$CS27),IF(INDEX($F$206:$F$229,MATCH($B247,$B$206:$B$229,FALSE))=0,NA(),INDEX(CA$14:CA$37,MATCH($B247,$B$14:$B$37,FALSE))/INDEX($F$206:$F$229,MATCH($B247,$B$206:$B$229,FALSE))),NA()),NA())</f>
        <v>#N/A</v>
      </c>
      <c r="CC247" s="65" t="e">
        <f>IF(CB55=1,IF(CB$13&lt;=COUNT($C27:$CS27),IF(INDEX($F$206:$F$229,MATCH($B247,$B$206:$B$229,FALSE))=0,NA(),INDEX(CB$14:CB$37,MATCH($B247,$B$14:$B$37,FALSE))/INDEX($F$206:$F$229,MATCH($B247,$B$206:$B$229,FALSE))),NA()),NA())</f>
        <v>#N/A</v>
      </c>
      <c r="CD247" s="65" t="e">
        <f>IF(CC55=1,IF(CC$13&lt;=COUNT($C27:$CS27),IF(INDEX($F$206:$F$229,MATCH($B247,$B$206:$B$229,FALSE))=0,NA(),INDEX(CC$14:CC$37,MATCH($B247,$B$14:$B$37,FALSE))/INDEX($F$206:$F$229,MATCH($B247,$B$206:$B$229,FALSE))),NA()),NA())</f>
        <v>#N/A</v>
      </c>
      <c r="CE247" s="65" t="e">
        <f>IF(CD55=1,IF(CD$13&lt;=COUNT($C27:$CS27),IF(INDEX($F$206:$F$229,MATCH($B247,$B$206:$B$229,FALSE))=0,NA(),INDEX(CD$14:CD$37,MATCH($B247,$B$14:$B$37,FALSE))/INDEX($F$206:$F$229,MATCH($B247,$B$206:$B$229,FALSE))),NA()),NA())</f>
        <v>#N/A</v>
      </c>
      <c r="CF247" s="65" t="e">
        <f>IF(CE55=1,IF(CE$13&lt;=COUNT($C27:$CS27),IF(INDEX($F$206:$F$229,MATCH($B247,$B$206:$B$229,FALSE))=0,NA(),INDEX(CE$14:CE$37,MATCH($B247,$B$14:$B$37,FALSE))/INDEX($F$206:$F$229,MATCH($B247,$B$206:$B$229,FALSE))),NA()),NA())</f>
        <v>#N/A</v>
      </c>
      <c r="CG247" s="65" t="e">
        <f>IF(CF55=1,IF(CF$13&lt;=COUNT($C27:$CS27),IF(INDEX($F$206:$F$229,MATCH($B247,$B$206:$B$229,FALSE))=0,NA(),INDEX(CF$14:CF$37,MATCH($B247,$B$14:$B$37,FALSE))/INDEX($F$206:$F$229,MATCH($B247,$B$206:$B$229,FALSE))),NA()),NA())</f>
        <v>#N/A</v>
      </c>
      <c r="CH247" s="65" t="e">
        <f>IF(CG55=1,IF(CG$13&lt;=COUNT($C27:$CS27),IF(INDEX($F$206:$F$229,MATCH($B247,$B$206:$B$229,FALSE))=0,NA(),INDEX(CG$14:CG$37,MATCH($B247,$B$14:$B$37,FALSE))/INDEX($F$206:$F$229,MATCH($B247,$B$206:$B$229,FALSE))),NA()),NA())</f>
        <v>#N/A</v>
      </c>
      <c r="CI247" s="65" t="e">
        <f>IF(CH55=1,IF(CH$13&lt;=COUNT($C27:$CS27),IF(INDEX($F$206:$F$229,MATCH($B247,$B$206:$B$229,FALSE))=0,NA(),INDEX(CH$14:CH$37,MATCH($B247,$B$14:$B$37,FALSE))/INDEX($F$206:$F$229,MATCH($B247,$B$206:$B$229,FALSE))),NA()),NA())</f>
        <v>#N/A</v>
      </c>
      <c r="CJ247" s="65" t="e">
        <f>IF(CI55=1,IF(CI$13&lt;=COUNT($C27:$CS27),IF(INDEX($F$206:$F$229,MATCH($B247,$B$206:$B$229,FALSE))=0,NA(),INDEX(CI$14:CI$37,MATCH($B247,$B$14:$B$37,FALSE))/INDEX($F$206:$F$229,MATCH($B247,$B$206:$B$229,FALSE))),NA()),NA())</f>
        <v>#N/A</v>
      </c>
      <c r="CK247" s="65" t="e">
        <f>IF(CJ55=1,IF(CJ$13&lt;=COUNT($C27:$CS27),IF(INDEX($F$206:$F$229,MATCH($B247,$B$206:$B$229,FALSE))=0,NA(),INDEX(CJ$14:CJ$37,MATCH($B247,$B$14:$B$37,FALSE))/INDEX($F$206:$F$229,MATCH($B247,$B$206:$B$229,FALSE))),NA()),NA())</f>
        <v>#N/A</v>
      </c>
      <c r="CL247" s="65" t="e">
        <f>IF(CK55=1,IF(CK$13&lt;=COUNT($C27:$CS27),IF(INDEX($F$206:$F$229,MATCH($B247,$B$206:$B$229,FALSE))=0,NA(),INDEX(CK$14:CK$37,MATCH($B247,$B$14:$B$37,FALSE))/INDEX($F$206:$F$229,MATCH($B247,$B$206:$B$229,FALSE))),NA()),NA())</f>
        <v>#N/A</v>
      </c>
      <c r="CM247" s="65" t="e">
        <f>IF(CL55=1,IF(CL$13&lt;=COUNT($C27:$CS27),IF(INDEX($F$206:$F$229,MATCH($B247,$B$206:$B$229,FALSE))=0,NA(),INDEX(CL$14:CL$37,MATCH($B247,$B$14:$B$37,FALSE))/INDEX($F$206:$F$229,MATCH($B247,$B$206:$B$229,FALSE))),NA()),NA())</f>
        <v>#N/A</v>
      </c>
      <c r="CN247" s="65" t="e">
        <f>IF(CM55=1,IF(CM$13&lt;=COUNT($C27:$CS27),IF(INDEX($F$206:$F$229,MATCH($B247,$B$206:$B$229,FALSE))=0,NA(),INDEX(CM$14:CM$37,MATCH($B247,$B$14:$B$37,FALSE))/INDEX($F$206:$F$229,MATCH($B247,$B$206:$B$229,FALSE))),NA()),NA())</f>
        <v>#N/A</v>
      </c>
      <c r="CO247" s="65" t="e">
        <f>IF(CN55=1,IF(CN$13&lt;=COUNT($C27:$CS27),IF(INDEX($F$206:$F$229,MATCH($B247,$B$206:$B$229,FALSE))=0,NA(),INDEX(CN$14:CN$37,MATCH($B247,$B$14:$B$37,FALSE))/INDEX($F$206:$F$229,MATCH($B247,$B$206:$B$229,FALSE))),NA()),NA())</f>
        <v>#N/A</v>
      </c>
      <c r="CP247" s="65" t="e">
        <f>IF(CO55=1,IF(CO$13&lt;=COUNT($C27:$CS27),IF(INDEX($F$206:$F$229,MATCH($B247,$B$206:$B$229,FALSE))=0,NA(),INDEX(CO$14:CO$37,MATCH($B247,$B$14:$B$37,FALSE))/INDEX($F$206:$F$229,MATCH($B247,$B$206:$B$229,FALSE))),NA()),NA())</f>
        <v>#N/A</v>
      </c>
      <c r="CQ247" s="65" t="e">
        <f>IF(CP55=1,IF(CP$13&lt;=COUNT($C27:$CS27),IF(INDEX($F$206:$F$229,MATCH($B247,$B$206:$B$229,FALSE))=0,NA(),INDEX(CP$14:CP$37,MATCH($B247,$B$14:$B$37,FALSE))/INDEX($F$206:$F$229,MATCH($B247,$B$206:$B$229,FALSE))),NA()),NA())</f>
        <v>#N/A</v>
      </c>
      <c r="CR247" s="65" t="e">
        <f>IF(CQ55=1,IF(CQ$13&lt;=COUNT($C27:$CS27),IF(INDEX($F$206:$F$229,MATCH($B247,$B$206:$B$229,FALSE))=0,NA(),INDEX(CQ$14:CQ$37,MATCH($B247,$B$14:$B$37,FALSE))/INDEX($F$206:$F$229,MATCH($B247,$B$206:$B$229,FALSE))),NA()),NA())</f>
        <v>#N/A</v>
      </c>
      <c r="CS247" s="65" t="e">
        <f>IF(CR55=1,IF(CR$13&lt;=COUNT($C27:$CS27),IF(INDEX($F$206:$F$229,MATCH($B247,$B$206:$B$229,FALSE))=0,NA(),INDEX(CR$14:CR$37,MATCH($B247,$B$14:$B$37,FALSE))/INDEX($F$206:$F$229,MATCH($B247,$B$206:$B$229,FALSE))),NA()),NA())</f>
        <v>#N/A</v>
      </c>
      <c r="CT247" s="49"/>
      <c r="CU247" s="49"/>
      <c r="CV247" s="49"/>
      <c r="CW247" s="49"/>
    </row>
    <row r="248" spans="1:101" x14ac:dyDescent="0.25">
      <c r="A248" s="97">
        <f t="shared" si="105"/>
        <v>1</v>
      </c>
      <c r="B248" s="29">
        <f t="shared" si="104"/>
        <v>2010</v>
      </c>
      <c r="C248" s="154" t="str">
        <f t="shared" si="106"/>
        <v/>
      </c>
      <c r="D248" s="54">
        <f t="shared" ref="D246:BO249" ca="1" si="107">IF(C56=1,IF(C$13&lt;=COUNT($C28:$CS28),IF(INDEX($F$206:$F$229,MATCH($B248,$B$206:$B$229,FALSE))=0,NA(),INDEX(C$14:C$37,MATCH($B248,$B$14:$B$37,FALSE))/INDEX($F$206:$F$229,MATCH($B248,$B$206:$B$229,FALSE))),NA()),NA())</f>
        <v>0.24724228090668424</v>
      </c>
      <c r="E248" s="65">
        <f t="shared" ca="1" si="107"/>
        <v>0.10255271702907168</v>
      </c>
      <c r="F248" s="65">
        <f t="shared" ca="1" si="107"/>
        <v>0.85633264806249276</v>
      </c>
      <c r="G248" s="65">
        <f t="shared" ca="1" si="107"/>
        <v>1.0267258248179469</v>
      </c>
      <c r="H248" s="65">
        <f t="shared" ca="1" si="107"/>
        <v>1.0342635009403431</v>
      </c>
      <c r="I248" s="65">
        <f t="shared" ca="1" si="107"/>
        <v>1.035129514575811</v>
      </c>
      <c r="J248" s="65">
        <f t="shared" ca="1" si="107"/>
        <v>1.0298699457351443</v>
      </c>
      <c r="K248" s="65">
        <f t="shared" ca="1" si="107"/>
        <v>1.0295082042156014</v>
      </c>
      <c r="L248" s="65">
        <f t="shared" ca="1" si="107"/>
        <v>1.0003806316046377</v>
      </c>
      <c r="M248" s="65">
        <f t="shared" ca="1" si="107"/>
        <v>1</v>
      </c>
      <c r="N248" s="65" t="e">
        <f>IF(M56=1,IF(M$13&lt;=COUNT($C28:$CS28),IF(INDEX($F$206:$F$229,MATCH($B248,$B$206:$B$229,FALSE))=0,NA(),INDEX(M$14:M$37,MATCH($B248,$B$14:$B$37,FALSE))/INDEX($F$206:$F$229,MATCH($B248,$B$206:$B$229,FALSE))),NA()),NA())</f>
        <v>#N/A</v>
      </c>
      <c r="O248" s="65" t="e">
        <f>IF(N56=1,IF(N$13&lt;=COUNT($C28:$CS28),IF(INDEX($F$206:$F$229,MATCH($B248,$B$206:$B$229,FALSE))=0,NA(),INDEX(N$14:N$37,MATCH($B248,$B$14:$B$37,FALSE))/INDEX($F$206:$F$229,MATCH($B248,$B$206:$B$229,FALSE))),NA()),NA())</f>
        <v>#N/A</v>
      </c>
      <c r="P248" s="65" t="e">
        <f>IF(O56=1,IF(O$13&lt;=COUNT($C28:$CS28),IF(INDEX($F$206:$F$229,MATCH($B248,$B$206:$B$229,FALSE))=0,NA(),INDEX(O$14:O$37,MATCH($B248,$B$14:$B$37,FALSE))/INDEX($F$206:$F$229,MATCH($B248,$B$206:$B$229,FALSE))),NA()),NA())</f>
        <v>#N/A</v>
      </c>
      <c r="Q248" s="65" t="e">
        <f>IF(P56=1,IF(P$13&lt;=COUNT($C28:$CS28),IF(INDEX($F$206:$F$229,MATCH($B248,$B$206:$B$229,FALSE))=0,NA(),INDEX(P$14:P$37,MATCH($B248,$B$14:$B$37,FALSE))/INDEX($F$206:$F$229,MATCH($B248,$B$206:$B$229,FALSE))),NA()),NA())</f>
        <v>#N/A</v>
      </c>
      <c r="R248" s="65" t="e">
        <f>IF(Q56=1,IF(Q$13&lt;=COUNT($C28:$CS28),IF(INDEX($F$206:$F$229,MATCH($B248,$B$206:$B$229,FALSE))=0,NA(),INDEX(Q$14:Q$37,MATCH($B248,$B$14:$B$37,FALSE))/INDEX($F$206:$F$229,MATCH($B248,$B$206:$B$229,FALSE))),NA()),NA())</f>
        <v>#N/A</v>
      </c>
      <c r="S248" s="65" t="e">
        <f>IF(R56=1,IF(R$13&lt;=COUNT($C28:$CS28),IF(INDEX($F$206:$F$229,MATCH($B248,$B$206:$B$229,FALSE))=0,NA(),INDEX(R$14:R$37,MATCH($B248,$B$14:$B$37,FALSE))/INDEX($F$206:$F$229,MATCH($B248,$B$206:$B$229,FALSE))),NA()),NA())</f>
        <v>#N/A</v>
      </c>
      <c r="T248" s="65" t="e">
        <f>IF(S56=1,IF(S$13&lt;=COUNT($C28:$CS28),IF(INDEX($F$206:$F$229,MATCH($B248,$B$206:$B$229,FALSE))=0,NA(),INDEX(S$14:S$37,MATCH($B248,$B$14:$B$37,FALSE))/INDEX($F$206:$F$229,MATCH($B248,$B$206:$B$229,FALSE))),NA()),NA())</f>
        <v>#N/A</v>
      </c>
      <c r="U248" s="65" t="e">
        <f>IF(T56=1,IF(T$13&lt;=COUNT($C28:$CS28),IF(INDEX($F$206:$F$229,MATCH($B248,$B$206:$B$229,FALSE))=0,NA(),INDEX(T$14:T$37,MATCH($B248,$B$14:$B$37,FALSE))/INDEX($F$206:$F$229,MATCH($B248,$B$206:$B$229,FALSE))),NA()),NA())</f>
        <v>#N/A</v>
      </c>
      <c r="V248" s="65" t="e">
        <f>IF(U56=1,IF(U$13&lt;=COUNT($C28:$CS28),IF(INDEX($F$206:$F$229,MATCH($B248,$B$206:$B$229,FALSE))=0,NA(),INDEX(U$14:U$37,MATCH($B248,$B$14:$B$37,FALSE))/INDEX($F$206:$F$229,MATCH($B248,$B$206:$B$229,FALSE))),NA()),NA())</f>
        <v>#N/A</v>
      </c>
      <c r="W248" s="65" t="e">
        <f>IF(V56=1,IF(V$13&lt;=COUNT($C28:$CS28),IF(INDEX($F$206:$F$229,MATCH($B248,$B$206:$B$229,FALSE))=0,NA(),INDEX(V$14:V$37,MATCH($B248,$B$14:$B$37,FALSE))/INDEX($F$206:$F$229,MATCH($B248,$B$206:$B$229,FALSE))),NA()),NA())</f>
        <v>#N/A</v>
      </c>
      <c r="X248" s="65" t="e">
        <f>IF(W56=1,IF(W$13&lt;=COUNT($C28:$CS28),IF(INDEX($F$206:$F$229,MATCH($B248,$B$206:$B$229,FALSE))=0,NA(),INDEX(W$14:W$37,MATCH($B248,$B$14:$B$37,FALSE))/INDEX($F$206:$F$229,MATCH($B248,$B$206:$B$229,FALSE))),NA()),NA())</f>
        <v>#N/A</v>
      </c>
      <c r="Y248" s="65" t="e">
        <f>IF(X56=1,IF(X$13&lt;=COUNT($C28:$CS28),IF(INDEX($F$206:$F$229,MATCH($B248,$B$206:$B$229,FALSE))=0,NA(),INDEX(X$14:X$37,MATCH($B248,$B$14:$B$37,FALSE))/INDEX($F$206:$F$229,MATCH($B248,$B$206:$B$229,FALSE))),NA()),NA())</f>
        <v>#N/A</v>
      </c>
      <c r="Z248" s="65" t="e">
        <f>IF(Y56=1,IF(Y$13&lt;=COUNT($C28:$CS28),IF(INDEX($F$206:$F$229,MATCH($B248,$B$206:$B$229,FALSE))=0,NA(),INDEX(Y$14:Y$37,MATCH($B248,$B$14:$B$37,FALSE))/INDEX($F$206:$F$229,MATCH($B248,$B$206:$B$229,FALSE))),NA()),NA())</f>
        <v>#N/A</v>
      </c>
      <c r="AA248" s="65" t="e">
        <f>IF(Z56=1,IF(Z$13&lt;=COUNT($C28:$CS28),IF(INDEX($F$206:$F$229,MATCH($B248,$B$206:$B$229,FALSE))=0,NA(),INDEX(Z$14:Z$37,MATCH($B248,$B$14:$B$37,FALSE))/INDEX($F$206:$F$229,MATCH($B248,$B$206:$B$229,FALSE))),NA()),NA())</f>
        <v>#N/A</v>
      </c>
      <c r="AB248" s="65" t="e">
        <f>IF(AA56=1,IF(AA$13&lt;=COUNT($C28:$CS28),IF(INDEX($F$206:$F$229,MATCH($B248,$B$206:$B$229,FALSE))=0,NA(),INDEX(AA$14:AA$37,MATCH($B248,$B$14:$B$37,FALSE))/INDEX($F$206:$F$229,MATCH($B248,$B$206:$B$229,FALSE))),NA()),NA())</f>
        <v>#N/A</v>
      </c>
      <c r="AC248" s="65" t="e">
        <f>IF(AB56=1,IF(AB$13&lt;=COUNT($C28:$CS28),IF(INDEX($F$206:$F$229,MATCH($B248,$B$206:$B$229,FALSE))=0,NA(),INDEX(AB$14:AB$37,MATCH($B248,$B$14:$B$37,FALSE))/INDEX($F$206:$F$229,MATCH($B248,$B$206:$B$229,FALSE))),NA()),NA())</f>
        <v>#N/A</v>
      </c>
      <c r="AD248" s="65" t="e">
        <f>IF(AC56=1,IF(AC$13&lt;=COUNT($C28:$CS28),IF(INDEX($F$206:$F$229,MATCH($B248,$B$206:$B$229,FALSE))=0,NA(),INDEX(AC$14:AC$37,MATCH($B248,$B$14:$B$37,FALSE))/INDEX($F$206:$F$229,MATCH($B248,$B$206:$B$229,FALSE))),NA()),NA())</f>
        <v>#N/A</v>
      </c>
      <c r="AE248" s="65" t="e">
        <f>IF(AD56=1,IF(AD$13&lt;=COUNT($C28:$CS28),IF(INDEX($F$206:$F$229,MATCH($B248,$B$206:$B$229,FALSE))=0,NA(),INDEX(AD$14:AD$37,MATCH($B248,$B$14:$B$37,FALSE))/INDEX($F$206:$F$229,MATCH($B248,$B$206:$B$229,FALSE))),NA()),NA())</f>
        <v>#N/A</v>
      </c>
      <c r="AF248" s="65" t="e">
        <f>IF(AE56=1,IF(AE$13&lt;=COUNT($C28:$CS28),IF(INDEX($F$206:$F$229,MATCH($B248,$B$206:$B$229,FALSE))=0,NA(),INDEX(AE$14:AE$37,MATCH($B248,$B$14:$B$37,FALSE))/INDEX($F$206:$F$229,MATCH($B248,$B$206:$B$229,FALSE))),NA()),NA())</f>
        <v>#N/A</v>
      </c>
      <c r="AG248" s="65" t="e">
        <f>IF(AF56=1,IF(AF$13&lt;=COUNT($C28:$CS28),IF(INDEX($F$206:$F$229,MATCH($B248,$B$206:$B$229,FALSE))=0,NA(),INDEX(AF$14:AF$37,MATCH($B248,$B$14:$B$37,FALSE))/INDEX($F$206:$F$229,MATCH($B248,$B$206:$B$229,FALSE))),NA()),NA())</f>
        <v>#N/A</v>
      </c>
      <c r="AH248" s="65" t="e">
        <f>IF(AG56=1,IF(AG$13&lt;=COUNT($C28:$CS28),IF(INDEX($F$206:$F$229,MATCH($B248,$B$206:$B$229,FALSE))=0,NA(),INDEX(AG$14:AG$37,MATCH($B248,$B$14:$B$37,FALSE))/INDEX($F$206:$F$229,MATCH($B248,$B$206:$B$229,FALSE))),NA()),NA())</f>
        <v>#N/A</v>
      </c>
      <c r="AI248" s="65" t="e">
        <f>IF(AH56=1,IF(AH$13&lt;=COUNT($C28:$CS28),IF(INDEX($F$206:$F$229,MATCH($B248,$B$206:$B$229,FALSE))=0,NA(),INDEX(AH$14:AH$37,MATCH($B248,$B$14:$B$37,FALSE))/INDEX($F$206:$F$229,MATCH($B248,$B$206:$B$229,FALSE))),NA()),NA())</f>
        <v>#N/A</v>
      </c>
      <c r="AJ248" s="65" t="e">
        <f>IF(AI56=1,IF(AI$13&lt;=COUNT($C28:$CS28),IF(INDEX($F$206:$F$229,MATCH($B248,$B$206:$B$229,FALSE))=0,NA(),INDEX(AI$14:AI$37,MATCH($B248,$B$14:$B$37,FALSE))/INDEX($F$206:$F$229,MATCH($B248,$B$206:$B$229,FALSE))),NA()),NA())</f>
        <v>#N/A</v>
      </c>
      <c r="AK248" s="65" t="e">
        <f>IF(AJ56=1,IF(AJ$13&lt;=COUNT($C28:$CS28),IF(INDEX($F$206:$F$229,MATCH($B248,$B$206:$B$229,FALSE))=0,NA(),INDEX(AJ$14:AJ$37,MATCH($B248,$B$14:$B$37,FALSE))/INDEX($F$206:$F$229,MATCH($B248,$B$206:$B$229,FALSE))),NA()),NA())</f>
        <v>#N/A</v>
      </c>
      <c r="AL248" s="65" t="e">
        <f>IF(AK56=1,IF(AK$13&lt;=COUNT($C28:$CS28),IF(INDEX($F$206:$F$229,MATCH($B248,$B$206:$B$229,FALSE))=0,NA(),INDEX(AK$14:AK$37,MATCH($B248,$B$14:$B$37,FALSE))/INDEX($F$206:$F$229,MATCH($B248,$B$206:$B$229,FALSE))),NA()),NA())</f>
        <v>#N/A</v>
      </c>
      <c r="AM248" s="65" t="e">
        <f>IF(AL56=1,IF(AL$13&lt;=COUNT($C28:$CS28),IF(INDEX($F$206:$F$229,MATCH($B248,$B$206:$B$229,FALSE))=0,NA(),INDEX(AL$14:AL$37,MATCH($B248,$B$14:$B$37,FALSE))/INDEX($F$206:$F$229,MATCH($B248,$B$206:$B$229,FALSE))),NA()),NA())</f>
        <v>#N/A</v>
      </c>
      <c r="AN248" s="65" t="e">
        <f>IF(AM56=1,IF(AM$13&lt;=COUNT($C28:$CS28),IF(INDEX($F$206:$F$229,MATCH($B248,$B$206:$B$229,FALSE))=0,NA(),INDEX(AM$14:AM$37,MATCH($B248,$B$14:$B$37,FALSE))/INDEX($F$206:$F$229,MATCH($B248,$B$206:$B$229,FALSE))),NA()),NA())</f>
        <v>#N/A</v>
      </c>
      <c r="AO248" s="65" t="e">
        <f>IF(AN56=1,IF(AN$13&lt;=COUNT($C28:$CS28),IF(INDEX($F$206:$F$229,MATCH($B248,$B$206:$B$229,FALSE))=0,NA(),INDEX(AN$14:AN$37,MATCH($B248,$B$14:$B$37,FALSE))/INDEX($F$206:$F$229,MATCH($B248,$B$206:$B$229,FALSE))),NA()),NA())</f>
        <v>#N/A</v>
      </c>
      <c r="AP248" s="65" t="e">
        <f>IF(AO56=1,IF(AO$13&lt;=COUNT($C28:$CS28),IF(INDEX($F$206:$F$229,MATCH($B248,$B$206:$B$229,FALSE))=0,NA(),INDEX(AO$14:AO$37,MATCH($B248,$B$14:$B$37,FALSE))/INDEX($F$206:$F$229,MATCH($B248,$B$206:$B$229,FALSE))),NA()),NA())</f>
        <v>#N/A</v>
      </c>
      <c r="AQ248" s="65" t="e">
        <f>IF(AP56=1,IF(AP$13&lt;=COUNT($C28:$CS28),IF(INDEX($F$206:$F$229,MATCH($B248,$B$206:$B$229,FALSE))=0,NA(),INDEX(AP$14:AP$37,MATCH($B248,$B$14:$B$37,FALSE))/INDEX($F$206:$F$229,MATCH($B248,$B$206:$B$229,FALSE))),NA()),NA())</f>
        <v>#N/A</v>
      </c>
      <c r="AR248" s="65" t="e">
        <f>IF(AQ56=1,IF(AQ$13&lt;=COUNT($C28:$CS28),IF(INDEX($F$206:$F$229,MATCH($B248,$B$206:$B$229,FALSE))=0,NA(),INDEX(AQ$14:AQ$37,MATCH($B248,$B$14:$B$37,FALSE))/INDEX($F$206:$F$229,MATCH($B248,$B$206:$B$229,FALSE))),NA()),NA())</f>
        <v>#N/A</v>
      </c>
      <c r="AS248" s="65" t="e">
        <f>IF(AR56=1,IF(AR$13&lt;=COUNT($C28:$CS28),IF(INDEX($F$206:$F$229,MATCH($B248,$B$206:$B$229,FALSE))=0,NA(),INDEX(AR$14:AR$37,MATCH($B248,$B$14:$B$37,FALSE))/INDEX($F$206:$F$229,MATCH($B248,$B$206:$B$229,FALSE))),NA()),NA())</f>
        <v>#N/A</v>
      </c>
      <c r="AT248" s="65" t="e">
        <f>IF(AS56=1,IF(AS$13&lt;=COUNT($C28:$CS28),IF(INDEX($F$206:$F$229,MATCH($B248,$B$206:$B$229,FALSE))=0,NA(),INDEX(AS$14:AS$37,MATCH($B248,$B$14:$B$37,FALSE))/INDEX($F$206:$F$229,MATCH($B248,$B$206:$B$229,FALSE))),NA()),NA())</f>
        <v>#N/A</v>
      </c>
      <c r="AU248" s="65" t="e">
        <f>IF(AT56=1,IF(AT$13&lt;=COUNT($C28:$CS28),IF(INDEX($F$206:$F$229,MATCH($B248,$B$206:$B$229,FALSE))=0,NA(),INDEX(AT$14:AT$37,MATCH($B248,$B$14:$B$37,FALSE))/INDEX($F$206:$F$229,MATCH($B248,$B$206:$B$229,FALSE))),NA()),NA())</f>
        <v>#N/A</v>
      </c>
      <c r="AV248" s="65" t="e">
        <f>IF(AU56=1,IF(AU$13&lt;=COUNT($C28:$CS28),IF(INDEX($F$206:$F$229,MATCH($B248,$B$206:$B$229,FALSE))=0,NA(),INDEX(AU$14:AU$37,MATCH($B248,$B$14:$B$37,FALSE))/INDEX($F$206:$F$229,MATCH($B248,$B$206:$B$229,FALSE))),NA()),NA())</f>
        <v>#N/A</v>
      </c>
      <c r="AW248" s="65" t="e">
        <f>IF(AV56=1,IF(AV$13&lt;=COUNT($C28:$CS28),IF(INDEX($F$206:$F$229,MATCH($B248,$B$206:$B$229,FALSE))=0,NA(),INDEX(AV$14:AV$37,MATCH($B248,$B$14:$B$37,FALSE))/INDEX($F$206:$F$229,MATCH($B248,$B$206:$B$229,FALSE))),NA()),NA())</f>
        <v>#N/A</v>
      </c>
      <c r="AX248" s="65" t="e">
        <f>IF(AW56=1,IF(AW$13&lt;=COUNT($C28:$CS28),IF(INDEX($F$206:$F$229,MATCH($B248,$B$206:$B$229,FALSE))=0,NA(),INDEX(AW$14:AW$37,MATCH($B248,$B$14:$B$37,FALSE))/INDEX($F$206:$F$229,MATCH($B248,$B$206:$B$229,FALSE))),NA()),NA())</f>
        <v>#N/A</v>
      </c>
      <c r="AY248" s="65" t="e">
        <f>IF(AX56=1,IF(AX$13&lt;=COUNT($C28:$CS28),IF(INDEX($F$206:$F$229,MATCH($B248,$B$206:$B$229,FALSE))=0,NA(),INDEX(AX$14:AX$37,MATCH($B248,$B$14:$B$37,FALSE))/INDEX($F$206:$F$229,MATCH($B248,$B$206:$B$229,FALSE))),NA()),NA())</f>
        <v>#N/A</v>
      </c>
      <c r="AZ248" s="65" t="e">
        <f>IF(AY56=1,IF(AY$13&lt;=COUNT($C28:$CS28),IF(INDEX($F$206:$F$229,MATCH($B248,$B$206:$B$229,FALSE))=0,NA(),INDEX(AY$14:AY$37,MATCH($B248,$B$14:$B$37,FALSE))/INDEX($F$206:$F$229,MATCH($B248,$B$206:$B$229,FALSE))),NA()),NA())</f>
        <v>#N/A</v>
      </c>
      <c r="BA248" s="65" t="e">
        <f>IF(AZ56=1,IF(AZ$13&lt;=COUNT($C28:$CS28),IF(INDEX($F$206:$F$229,MATCH($B248,$B$206:$B$229,FALSE))=0,NA(),INDEX(AZ$14:AZ$37,MATCH($B248,$B$14:$B$37,FALSE))/INDEX($F$206:$F$229,MATCH($B248,$B$206:$B$229,FALSE))),NA()),NA())</f>
        <v>#N/A</v>
      </c>
      <c r="BB248" s="65" t="e">
        <f>IF(BA56=1,IF(BA$13&lt;=COUNT($C28:$CS28),IF(INDEX($F$206:$F$229,MATCH($B248,$B$206:$B$229,FALSE))=0,NA(),INDEX(BA$14:BA$37,MATCH($B248,$B$14:$B$37,FALSE))/INDEX($F$206:$F$229,MATCH($B248,$B$206:$B$229,FALSE))),NA()),NA())</f>
        <v>#N/A</v>
      </c>
      <c r="BC248" s="65" t="e">
        <f>IF(BB56=1,IF(BB$13&lt;=COUNT($C28:$CS28),IF(INDEX($F$206:$F$229,MATCH($B248,$B$206:$B$229,FALSE))=0,NA(),INDEX(BB$14:BB$37,MATCH($B248,$B$14:$B$37,FALSE))/INDEX($F$206:$F$229,MATCH($B248,$B$206:$B$229,FALSE))),NA()),NA())</f>
        <v>#N/A</v>
      </c>
      <c r="BD248" s="65" t="e">
        <f>IF(BC56=1,IF(BC$13&lt;=COUNT($C28:$CS28),IF(INDEX($F$206:$F$229,MATCH($B248,$B$206:$B$229,FALSE))=0,NA(),INDEX(BC$14:BC$37,MATCH($B248,$B$14:$B$37,FALSE))/INDEX($F$206:$F$229,MATCH($B248,$B$206:$B$229,FALSE))),NA()),NA())</f>
        <v>#N/A</v>
      </c>
      <c r="BE248" s="65" t="e">
        <f>IF(BD56=1,IF(BD$13&lt;=COUNT($C28:$CS28),IF(INDEX($F$206:$F$229,MATCH($B248,$B$206:$B$229,FALSE))=0,NA(),INDEX(BD$14:BD$37,MATCH($B248,$B$14:$B$37,FALSE))/INDEX($F$206:$F$229,MATCH($B248,$B$206:$B$229,FALSE))),NA()),NA())</f>
        <v>#N/A</v>
      </c>
      <c r="BF248" s="65" t="e">
        <f>IF(BE56=1,IF(BE$13&lt;=COUNT($C28:$CS28),IF(INDEX($F$206:$F$229,MATCH($B248,$B$206:$B$229,FALSE))=0,NA(),INDEX(BE$14:BE$37,MATCH($B248,$B$14:$B$37,FALSE))/INDEX($F$206:$F$229,MATCH($B248,$B$206:$B$229,FALSE))),NA()),NA())</f>
        <v>#N/A</v>
      </c>
      <c r="BG248" s="65" t="e">
        <f>IF(BF56=1,IF(BF$13&lt;=COUNT($C28:$CS28),IF(INDEX($F$206:$F$229,MATCH($B248,$B$206:$B$229,FALSE))=0,NA(),INDEX(BF$14:BF$37,MATCH($B248,$B$14:$B$37,FALSE))/INDEX($F$206:$F$229,MATCH($B248,$B$206:$B$229,FALSE))),NA()),NA())</f>
        <v>#N/A</v>
      </c>
      <c r="BH248" s="65" t="e">
        <f>IF(BG56=1,IF(BG$13&lt;=COUNT($C28:$CS28),IF(INDEX($F$206:$F$229,MATCH($B248,$B$206:$B$229,FALSE))=0,NA(),INDEX(BG$14:BG$37,MATCH($B248,$B$14:$B$37,FALSE))/INDEX($F$206:$F$229,MATCH($B248,$B$206:$B$229,FALSE))),NA()),NA())</f>
        <v>#N/A</v>
      </c>
      <c r="BI248" s="65" t="e">
        <f>IF(BH56=1,IF(BH$13&lt;=COUNT($C28:$CS28),IF(INDEX($F$206:$F$229,MATCH($B248,$B$206:$B$229,FALSE))=0,NA(),INDEX(BH$14:BH$37,MATCH($B248,$B$14:$B$37,FALSE))/INDEX($F$206:$F$229,MATCH($B248,$B$206:$B$229,FALSE))),NA()),NA())</f>
        <v>#N/A</v>
      </c>
      <c r="BJ248" s="65" t="e">
        <f>IF(BI56=1,IF(BI$13&lt;=COUNT($C28:$CS28),IF(INDEX($F$206:$F$229,MATCH($B248,$B$206:$B$229,FALSE))=0,NA(),INDEX(BI$14:BI$37,MATCH($B248,$B$14:$B$37,FALSE))/INDEX($F$206:$F$229,MATCH($B248,$B$206:$B$229,FALSE))),NA()),NA())</f>
        <v>#N/A</v>
      </c>
      <c r="BK248" s="65" t="e">
        <f>IF(BJ56=1,IF(BJ$13&lt;=COUNT($C28:$CS28),IF(INDEX($F$206:$F$229,MATCH($B248,$B$206:$B$229,FALSE))=0,NA(),INDEX(BJ$14:BJ$37,MATCH($B248,$B$14:$B$37,FALSE))/INDEX($F$206:$F$229,MATCH($B248,$B$206:$B$229,FALSE))),NA()),NA())</f>
        <v>#N/A</v>
      </c>
      <c r="BL248" s="65" t="e">
        <f>IF(BK56=1,IF(BK$13&lt;=COUNT($C28:$CS28),IF(INDEX($F$206:$F$229,MATCH($B248,$B$206:$B$229,FALSE))=0,NA(),INDEX(BK$14:BK$37,MATCH($B248,$B$14:$B$37,FALSE))/INDEX($F$206:$F$229,MATCH($B248,$B$206:$B$229,FALSE))),NA()),NA())</f>
        <v>#N/A</v>
      </c>
      <c r="BM248" s="65" t="e">
        <f>IF(BL56=1,IF(BL$13&lt;=COUNT($C28:$CS28),IF(INDEX($F$206:$F$229,MATCH($B248,$B$206:$B$229,FALSE))=0,NA(),INDEX(BL$14:BL$37,MATCH($B248,$B$14:$B$37,FALSE))/INDEX($F$206:$F$229,MATCH($B248,$B$206:$B$229,FALSE))),NA()),NA())</f>
        <v>#N/A</v>
      </c>
      <c r="BN248" s="65" t="e">
        <f>IF(BM56=1,IF(BM$13&lt;=COUNT($C28:$CS28),IF(INDEX($F$206:$F$229,MATCH($B248,$B$206:$B$229,FALSE))=0,NA(),INDEX(BM$14:BM$37,MATCH($B248,$B$14:$B$37,FALSE))/INDEX($F$206:$F$229,MATCH($B248,$B$206:$B$229,FALSE))),NA()),NA())</f>
        <v>#N/A</v>
      </c>
      <c r="BO248" s="65" t="e">
        <f>IF(BN56=1,IF(BN$13&lt;=COUNT($C28:$CS28),IF(INDEX($F$206:$F$229,MATCH($B248,$B$206:$B$229,FALSE))=0,NA(),INDEX(BN$14:BN$37,MATCH($B248,$B$14:$B$37,FALSE))/INDEX($F$206:$F$229,MATCH($B248,$B$206:$B$229,FALSE))),NA()),NA())</f>
        <v>#N/A</v>
      </c>
      <c r="BP248" s="65" t="e">
        <f>IF(BO56=1,IF(BO$13&lt;=COUNT($C28:$CS28),IF(INDEX($F$206:$F$229,MATCH($B248,$B$206:$B$229,FALSE))=0,NA(),INDEX(BO$14:BO$37,MATCH($B248,$B$14:$B$37,FALSE))/INDEX($F$206:$F$229,MATCH($B248,$B$206:$B$229,FALSE))),NA()),NA())</f>
        <v>#N/A</v>
      </c>
      <c r="BQ248" s="65" t="e">
        <f>IF(BP56=1,IF(BP$13&lt;=COUNT($C28:$CS28),IF(INDEX($F$206:$F$229,MATCH($B248,$B$206:$B$229,FALSE))=0,NA(),INDEX(BP$14:BP$37,MATCH($B248,$B$14:$B$37,FALSE))/INDEX($F$206:$F$229,MATCH($B248,$B$206:$B$229,FALSE))),NA()),NA())</f>
        <v>#N/A</v>
      </c>
      <c r="BR248" s="65" t="e">
        <f>IF(BQ56=1,IF(BQ$13&lt;=COUNT($C28:$CS28),IF(INDEX($F$206:$F$229,MATCH($B248,$B$206:$B$229,FALSE))=0,NA(),INDEX(BQ$14:BQ$37,MATCH($B248,$B$14:$B$37,FALSE))/INDEX($F$206:$F$229,MATCH($B248,$B$206:$B$229,FALSE))),NA()),NA())</f>
        <v>#N/A</v>
      </c>
      <c r="BS248" s="65" t="e">
        <f>IF(BR56=1,IF(BR$13&lt;=COUNT($C28:$CS28),IF(INDEX($F$206:$F$229,MATCH($B248,$B$206:$B$229,FALSE))=0,NA(),INDEX(BR$14:BR$37,MATCH($B248,$B$14:$B$37,FALSE))/INDEX($F$206:$F$229,MATCH($B248,$B$206:$B$229,FALSE))),NA()),NA())</f>
        <v>#N/A</v>
      </c>
      <c r="BT248" s="65" t="e">
        <f>IF(BS56=1,IF(BS$13&lt;=COUNT($C28:$CS28),IF(INDEX($F$206:$F$229,MATCH($B248,$B$206:$B$229,FALSE))=0,NA(),INDEX(BS$14:BS$37,MATCH($B248,$B$14:$B$37,FALSE))/INDEX($F$206:$F$229,MATCH($B248,$B$206:$B$229,FALSE))),NA()),NA())</f>
        <v>#N/A</v>
      </c>
      <c r="BU248" s="65" t="e">
        <f>IF(BT56=1,IF(BT$13&lt;=COUNT($C28:$CS28),IF(INDEX($F$206:$F$229,MATCH($B248,$B$206:$B$229,FALSE))=0,NA(),INDEX(BT$14:BT$37,MATCH($B248,$B$14:$B$37,FALSE))/INDEX($F$206:$F$229,MATCH($B248,$B$206:$B$229,FALSE))),NA()),NA())</f>
        <v>#N/A</v>
      </c>
      <c r="BV248" s="65" t="e">
        <f>IF(BU56=1,IF(BU$13&lt;=COUNT($C28:$CS28),IF(INDEX($F$206:$F$229,MATCH($B248,$B$206:$B$229,FALSE))=0,NA(),INDEX(BU$14:BU$37,MATCH($B248,$B$14:$B$37,FALSE))/INDEX($F$206:$F$229,MATCH($B248,$B$206:$B$229,FALSE))),NA()),NA())</f>
        <v>#N/A</v>
      </c>
      <c r="BW248" s="65" t="e">
        <f>IF(BV56=1,IF(BV$13&lt;=COUNT($C28:$CS28),IF(INDEX($F$206:$F$229,MATCH($B248,$B$206:$B$229,FALSE))=0,NA(),INDEX(BV$14:BV$37,MATCH($B248,$B$14:$B$37,FALSE))/INDEX($F$206:$F$229,MATCH($B248,$B$206:$B$229,FALSE))),NA()),NA())</f>
        <v>#N/A</v>
      </c>
      <c r="BX248" s="65" t="e">
        <f>IF(BW56=1,IF(BW$13&lt;=COUNT($C28:$CS28),IF(INDEX($F$206:$F$229,MATCH($B248,$B$206:$B$229,FALSE))=0,NA(),INDEX(BW$14:BW$37,MATCH($B248,$B$14:$B$37,FALSE))/INDEX($F$206:$F$229,MATCH($B248,$B$206:$B$229,FALSE))),NA()),NA())</f>
        <v>#N/A</v>
      </c>
      <c r="BY248" s="65" t="e">
        <f>IF(BX56=1,IF(BX$13&lt;=COUNT($C28:$CS28),IF(INDEX($F$206:$F$229,MATCH($B248,$B$206:$B$229,FALSE))=0,NA(),INDEX(BX$14:BX$37,MATCH($B248,$B$14:$B$37,FALSE))/INDEX($F$206:$F$229,MATCH($B248,$B$206:$B$229,FALSE))),NA()),NA())</f>
        <v>#N/A</v>
      </c>
      <c r="BZ248" s="65" t="e">
        <f>IF(BY56=1,IF(BY$13&lt;=COUNT($C28:$CS28),IF(INDEX($F$206:$F$229,MATCH($B248,$B$206:$B$229,FALSE))=0,NA(),INDEX(BY$14:BY$37,MATCH($B248,$B$14:$B$37,FALSE))/INDEX($F$206:$F$229,MATCH($B248,$B$206:$B$229,FALSE))),NA()),NA())</f>
        <v>#N/A</v>
      </c>
      <c r="CA248" s="65" t="e">
        <f>IF(BZ56=1,IF(BZ$13&lt;=COUNT($C28:$CS28),IF(INDEX($F$206:$F$229,MATCH($B248,$B$206:$B$229,FALSE))=0,NA(),INDEX(BZ$14:BZ$37,MATCH($B248,$B$14:$B$37,FALSE))/INDEX($F$206:$F$229,MATCH($B248,$B$206:$B$229,FALSE))),NA()),NA())</f>
        <v>#N/A</v>
      </c>
      <c r="CB248" s="65" t="e">
        <f>IF(CA56=1,IF(CA$13&lt;=COUNT($C28:$CS28),IF(INDEX($F$206:$F$229,MATCH($B248,$B$206:$B$229,FALSE))=0,NA(),INDEX(CA$14:CA$37,MATCH($B248,$B$14:$B$37,FALSE))/INDEX($F$206:$F$229,MATCH($B248,$B$206:$B$229,FALSE))),NA()),NA())</f>
        <v>#N/A</v>
      </c>
      <c r="CC248" s="65" t="e">
        <f>IF(CB56=1,IF(CB$13&lt;=COUNT($C28:$CS28),IF(INDEX($F$206:$F$229,MATCH($B248,$B$206:$B$229,FALSE))=0,NA(),INDEX(CB$14:CB$37,MATCH($B248,$B$14:$B$37,FALSE))/INDEX($F$206:$F$229,MATCH($B248,$B$206:$B$229,FALSE))),NA()),NA())</f>
        <v>#N/A</v>
      </c>
      <c r="CD248" s="65" t="e">
        <f>IF(CC56=1,IF(CC$13&lt;=COUNT($C28:$CS28),IF(INDEX($F$206:$F$229,MATCH($B248,$B$206:$B$229,FALSE))=0,NA(),INDEX(CC$14:CC$37,MATCH($B248,$B$14:$B$37,FALSE))/INDEX($F$206:$F$229,MATCH($B248,$B$206:$B$229,FALSE))),NA()),NA())</f>
        <v>#N/A</v>
      </c>
      <c r="CE248" s="65" t="e">
        <f>IF(CD56=1,IF(CD$13&lt;=COUNT($C28:$CS28),IF(INDEX($F$206:$F$229,MATCH($B248,$B$206:$B$229,FALSE))=0,NA(),INDEX(CD$14:CD$37,MATCH($B248,$B$14:$B$37,FALSE))/INDEX($F$206:$F$229,MATCH($B248,$B$206:$B$229,FALSE))),NA()),NA())</f>
        <v>#N/A</v>
      </c>
      <c r="CF248" s="65" t="e">
        <f>IF(CE56=1,IF(CE$13&lt;=COUNT($C28:$CS28),IF(INDEX($F$206:$F$229,MATCH($B248,$B$206:$B$229,FALSE))=0,NA(),INDEX(CE$14:CE$37,MATCH($B248,$B$14:$B$37,FALSE))/INDEX($F$206:$F$229,MATCH($B248,$B$206:$B$229,FALSE))),NA()),NA())</f>
        <v>#N/A</v>
      </c>
      <c r="CG248" s="65" t="e">
        <f>IF(CF56=1,IF(CF$13&lt;=COUNT($C28:$CS28),IF(INDEX($F$206:$F$229,MATCH($B248,$B$206:$B$229,FALSE))=0,NA(),INDEX(CF$14:CF$37,MATCH($B248,$B$14:$B$37,FALSE))/INDEX($F$206:$F$229,MATCH($B248,$B$206:$B$229,FALSE))),NA()),NA())</f>
        <v>#N/A</v>
      </c>
      <c r="CH248" s="65" t="e">
        <f>IF(CG56=1,IF(CG$13&lt;=COUNT($C28:$CS28),IF(INDEX($F$206:$F$229,MATCH($B248,$B$206:$B$229,FALSE))=0,NA(),INDEX(CG$14:CG$37,MATCH($B248,$B$14:$B$37,FALSE))/INDEX($F$206:$F$229,MATCH($B248,$B$206:$B$229,FALSE))),NA()),NA())</f>
        <v>#N/A</v>
      </c>
      <c r="CI248" s="65" t="e">
        <f>IF(CH56=1,IF(CH$13&lt;=COUNT($C28:$CS28),IF(INDEX($F$206:$F$229,MATCH($B248,$B$206:$B$229,FALSE))=0,NA(),INDEX(CH$14:CH$37,MATCH($B248,$B$14:$B$37,FALSE))/INDEX($F$206:$F$229,MATCH($B248,$B$206:$B$229,FALSE))),NA()),NA())</f>
        <v>#N/A</v>
      </c>
      <c r="CJ248" s="65" t="e">
        <f>IF(CI56=1,IF(CI$13&lt;=COUNT($C28:$CS28),IF(INDEX($F$206:$F$229,MATCH($B248,$B$206:$B$229,FALSE))=0,NA(),INDEX(CI$14:CI$37,MATCH($B248,$B$14:$B$37,FALSE))/INDEX($F$206:$F$229,MATCH($B248,$B$206:$B$229,FALSE))),NA()),NA())</f>
        <v>#N/A</v>
      </c>
      <c r="CK248" s="65" t="e">
        <f>IF(CJ56=1,IF(CJ$13&lt;=COUNT($C28:$CS28),IF(INDEX($F$206:$F$229,MATCH($B248,$B$206:$B$229,FALSE))=0,NA(),INDEX(CJ$14:CJ$37,MATCH($B248,$B$14:$B$37,FALSE))/INDEX($F$206:$F$229,MATCH($B248,$B$206:$B$229,FALSE))),NA()),NA())</f>
        <v>#N/A</v>
      </c>
      <c r="CL248" s="65" t="e">
        <f>IF(CK56=1,IF(CK$13&lt;=COUNT($C28:$CS28),IF(INDEX($F$206:$F$229,MATCH($B248,$B$206:$B$229,FALSE))=0,NA(),INDEX(CK$14:CK$37,MATCH($B248,$B$14:$B$37,FALSE))/INDEX($F$206:$F$229,MATCH($B248,$B$206:$B$229,FALSE))),NA()),NA())</f>
        <v>#N/A</v>
      </c>
      <c r="CM248" s="65" t="e">
        <f>IF(CL56=1,IF(CL$13&lt;=COUNT($C28:$CS28),IF(INDEX($F$206:$F$229,MATCH($B248,$B$206:$B$229,FALSE))=0,NA(),INDEX(CL$14:CL$37,MATCH($B248,$B$14:$B$37,FALSE))/INDEX($F$206:$F$229,MATCH($B248,$B$206:$B$229,FALSE))),NA()),NA())</f>
        <v>#N/A</v>
      </c>
      <c r="CN248" s="65" t="e">
        <f>IF(CM56=1,IF(CM$13&lt;=COUNT($C28:$CS28),IF(INDEX($F$206:$F$229,MATCH($B248,$B$206:$B$229,FALSE))=0,NA(),INDEX(CM$14:CM$37,MATCH($B248,$B$14:$B$37,FALSE))/INDEX($F$206:$F$229,MATCH($B248,$B$206:$B$229,FALSE))),NA()),NA())</f>
        <v>#N/A</v>
      </c>
      <c r="CO248" s="65" t="e">
        <f>IF(CN56=1,IF(CN$13&lt;=COUNT($C28:$CS28),IF(INDEX($F$206:$F$229,MATCH($B248,$B$206:$B$229,FALSE))=0,NA(),INDEX(CN$14:CN$37,MATCH($B248,$B$14:$B$37,FALSE))/INDEX($F$206:$F$229,MATCH($B248,$B$206:$B$229,FALSE))),NA()),NA())</f>
        <v>#N/A</v>
      </c>
      <c r="CP248" s="65" t="e">
        <f>IF(CO56=1,IF(CO$13&lt;=COUNT($C28:$CS28),IF(INDEX($F$206:$F$229,MATCH($B248,$B$206:$B$229,FALSE))=0,NA(),INDEX(CO$14:CO$37,MATCH($B248,$B$14:$B$37,FALSE))/INDEX($F$206:$F$229,MATCH($B248,$B$206:$B$229,FALSE))),NA()),NA())</f>
        <v>#N/A</v>
      </c>
      <c r="CQ248" s="65" t="e">
        <f>IF(CP56=1,IF(CP$13&lt;=COUNT($C28:$CS28),IF(INDEX($F$206:$F$229,MATCH($B248,$B$206:$B$229,FALSE))=0,NA(),INDEX(CP$14:CP$37,MATCH($B248,$B$14:$B$37,FALSE))/INDEX($F$206:$F$229,MATCH($B248,$B$206:$B$229,FALSE))),NA()),NA())</f>
        <v>#N/A</v>
      </c>
      <c r="CR248" s="65" t="e">
        <f>IF(CQ56=1,IF(CQ$13&lt;=COUNT($C28:$CS28),IF(INDEX($F$206:$F$229,MATCH($B248,$B$206:$B$229,FALSE))=0,NA(),INDEX(CQ$14:CQ$37,MATCH($B248,$B$14:$B$37,FALSE))/INDEX($F$206:$F$229,MATCH($B248,$B$206:$B$229,FALSE))),NA()),NA())</f>
        <v>#N/A</v>
      </c>
      <c r="CS248" s="65" t="e">
        <f>IF(CR56=1,IF(CR$13&lt;=COUNT($C28:$CS28),IF(INDEX($F$206:$F$229,MATCH($B248,$B$206:$B$229,FALSE))=0,NA(),INDEX(CR$14:CR$37,MATCH($B248,$B$14:$B$37,FALSE))/INDEX($F$206:$F$229,MATCH($B248,$B$206:$B$229,FALSE))),NA()),NA())</f>
        <v>#N/A</v>
      </c>
      <c r="CT248" s="49"/>
      <c r="CU248" s="49"/>
      <c r="CV248" s="49"/>
      <c r="CW248" s="49"/>
    </row>
    <row r="249" spans="1:101" x14ac:dyDescent="0.25">
      <c r="A249" s="97">
        <f t="shared" si="105"/>
        <v>1</v>
      </c>
      <c r="B249" s="29">
        <f t="shared" si="104"/>
        <v>2011</v>
      </c>
      <c r="C249" s="154" t="str">
        <f t="shared" si="106"/>
        <v/>
      </c>
      <c r="D249" s="54">
        <f t="shared" ca="1" si="107"/>
        <v>0</v>
      </c>
      <c r="E249" s="65">
        <f t="shared" ca="1" si="107"/>
        <v>2.593254520444515</v>
      </c>
      <c r="F249" s="65">
        <f t="shared" ca="1" si="107"/>
        <v>2.6004415563842267</v>
      </c>
      <c r="G249" s="65">
        <f t="shared" ca="1" si="107"/>
        <v>2.1520927027713483</v>
      </c>
      <c r="H249" s="65">
        <f t="shared" ca="1" si="107"/>
        <v>1.1769527307728518</v>
      </c>
      <c r="I249" s="65">
        <f t="shared" ca="1" si="107"/>
        <v>1.0844030225014354</v>
      </c>
      <c r="J249" s="65">
        <f t="shared" ca="1" si="107"/>
        <v>1</v>
      </c>
      <c r="K249" s="65">
        <f t="shared" ca="1" si="107"/>
        <v>1</v>
      </c>
      <c r="L249" s="65">
        <f t="shared" ca="1" si="107"/>
        <v>1</v>
      </c>
      <c r="M249" s="65" t="e">
        <f>IF(L57=1,IF(L$13&lt;=COUNT($C29:$CS29),IF(INDEX($F$206:$F$229,MATCH($B249,$B$206:$B$229,FALSE))=0,NA(),INDEX(L$14:L$37,MATCH($B249,$B$14:$B$37,FALSE))/INDEX($F$206:$F$229,MATCH($B249,$B$206:$B$229,FALSE))),NA()),NA())</f>
        <v>#N/A</v>
      </c>
      <c r="N249" s="65" t="e">
        <f>IF(M57=1,IF(M$13&lt;=COUNT($C29:$CS29),IF(INDEX($F$206:$F$229,MATCH($B249,$B$206:$B$229,FALSE))=0,NA(),INDEX(M$14:M$37,MATCH($B249,$B$14:$B$37,FALSE))/INDEX($F$206:$F$229,MATCH($B249,$B$206:$B$229,FALSE))),NA()),NA())</f>
        <v>#N/A</v>
      </c>
      <c r="O249" s="65" t="e">
        <f>IF(N57=1,IF(N$13&lt;=COUNT($C29:$CS29),IF(INDEX($F$206:$F$229,MATCH($B249,$B$206:$B$229,FALSE))=0,NA(),INDEX(N$14:N$37,MATCH($B249,$B$14:$B$37,FALSE))/INDEX($F$206:$F$229,MATCH($B249,$B$206:$B$229,FALSE))),NA()),NA())</f>
        <v>#N/A</v>
      </c>
      <c r="P249" s="65" t="e">
        <f>IF(O57=1,IF(O$13&lt;=COUNT($C29:$CS29),IF(INDEX($F$206:$F$229,MATCH($B249,$B$206:$B$229,FALSE))=0,NA(),INDEX(O$14:O$37,MATCH($B249,$B$14:$B$37,FALSE))/INDEX($F$206:$F$229,MATCH($B249,$B$206:$B$229,FALSE))),NA()),NA())</f>
        <v>#N/A</v>
      </c>
      <c r="Q249" s="65" t="e">
        <f>IF(P57=1,IF(P$13&lt;=COUNT($C29:$CS29),IF(INDEX($F$206:$F$229,MATCH($B249,$B$206:$B$229,FALSE))=0,NA(),INDEX(P$14:P$37,MATCH($B249,$B$14:$B$37,FALSE))/INDEX($F$206:$F$229,MATCH($B249,$B$206:$B$229,FALSE))),NA()),NA())</f>
        <v>#N/A</v>
      </c>
      <c r="R249" s="65" t="e">
        <f>IF(Q57=1,IF(Q$13&lt;=COUNT($C29:$CS29),IF(INDEX($F$206:$F$229,MATCH($B249,$B$206:$B$229,FALSE))=0,NA(),INDEX(Q$14:Q$37,MATCH($B249,$B$14:$B$37,FALSE))/INDEX($F$206:$F$229,MATCH($B249,$B$206:$B$229,FALSE))),NA()),NA())</f>
        <v>#N/A</v>
      </c>
      <c r="S249" s="65" t="e">
        <f>IF(R57=1,IF(R$13&lt;=COUNT($C29:$CS29),IF(INDEX($F$206:$F$229,MATCH($B249,$B$206:$B$229,FALSE))=0,NA(),INDEX(R$14:R$37,MATCH($B249,$B$14:$B$37,FALSE))/INDEX($F$206:$F$229,MATCH($B249,$B$206:$B$229,FALSE))),NA()),NA())</f>
        <v>#N/A</v>
      </c>
      <c r="T249" s="65" t="e">
        <f>IF(S57=1,IF(S$13&lt;=COUNT($C29:$CS29),IF(INDEX($F$206:$F$229,MATCH($B249,$B$206:$B$229,FALSE))=0,NA(),INDEX(S$14:S$37,MATCH($B249,$B$14:$B$37,FALSE))/INDEX($F$206:$F$229,MATCH($B249,$B$206:$B$229,FALSE))),NA()),NA())</f>
        <v>#N/A</v>
      </c>
      <c r="U249" s="65" t="e">
        <f>IF(T57=1,IF(T$13&lt;=COUNT($C29:$CS29),IF(INDEX($F$206:$F$229,MATCH($B249,$B$206:$B$229,FALSE))=0,NA(),INDEX(T$14:T$37,MATCH($B249,$B$14:$B$37,FALSE))/INDEX($F$206:$F$229,MATCH($B249,$B$206:$B$229,FALSE))),NA()),NA())</f>
        <v>#N/A</v>
      </c>
      <c r="V249" s="65" t="e">
        <f>IF(U57=1,IF(U$13&lt;=COUNT($C29:$CS29),IF(INDEX($F$206:$F$229,MATCH($B249,$B$206:$B$229,FALSE))=0,NA(),INDEX(U$14:U$37,MATCH($B249,$B$14:$B$37,FALSE))/INDEX($F$206:$F$229,MATCH($B249,$B$206:$B$229,FALSE))),NA()),NA())</f>
        <v>#N/A</v>
      </c>
      <c r="W249" s="65" t="e">
        <f>IF(V57=1,IF(V$13&lt;=COUNT($C29:$CS29),IF(INDEX($F$206:$F$229,MATCH($B249,$B$206:$B$229,FALSE))=0,NA(),INDEX(V$14:V$37,MATCH($B249,$B$14:$B$37,FALSE))/INDEX($F$206:$F$229,MATCH($B249,$B$206:$B$229,FALSE))),NA()),NA())</f>
        <v>#N/A</v>
      </c>
      <c r="X249" s="65" t="e">
        <f>IF(W57=1,IF(W$13&lt;=COUNT($C29:$CS29),IF(INDEX($F$206:$F$229,MATCH($B249,$B$206:$B$229,FALSE))=0,NA(),INDEX(W$14:W$37,MATCH($B249,$B$14:$B$37,FALSE))/INDEX($F$206:$F$229,MATCH($B249,$B$206:$B$229,FALSE))),NA()),NA())</f>
        <v>#N/A</v>
      </c>
      <c r="Y249" s="65" t="e">
        <f>IF(X57=1,IF(X$13&lt;=COUNT($C29:$CS29),IF(INDEX($F$206:$F$229,MATCH($B249,$B$206:$B$229,FALSE))=0,NA(),INDEX(X$14:X$37,MATCH($B249,$B$14:$B$37,FALSE))/INDEX($F$206:$F$229,MATCH($B249,$B$206:$B$229,FALSE))),NA()),NA())</f>
        <v>#N/A</v>
      </c>
      <c r="Z249" s="65" t="e">
        <f>IF(Y57=1,IF(Y$13&lt;=COUNT($C29:$CS29),IF(INDEX($F$206:$F$229,MATCH($B249,$B$206:$B$229,FALSE))=0,NA(),INDEX(Y$14:Y$37,MATCH($B249,$B$14:$B$37,FALSE))/INDEX($F$206:$F$229,MATCH($B249,$B$206:$B$229,FALSE))),NA()),NA())</f>
        <v>#N/A</v>
      </c>
      <c r="AA249" s="65" t="e">
        <f>IF(Z57=1,IF(Z$13&lt;=COUNT($C29:$CS29),IF(INDEX($F$206:$F$229,MATCH($B249,$B$206:$B$229,FALSE))=0,NA(),INDEX(Z$14:Z$37,MATCH($B249,$B$14:$B$37,FALSE))/INDEX($F$206:$F$229,MATCH($B249,$B$206:$B$229,FALSE))),NA()),NA())</f>
        <v>#N/A</v>
      </c>
      <c r="AB249" s="65" t="e">
        <f>IF(AA57=1,IF(AA$13&lt;=COUNT($C29:$CS29),IF(INDEX($F$206:$F$229,MATCH($B249,$B$206:$B$229,FALSE))=0,NA(),INDEX(AA$14:AA$37,MATCH($B249,$B$14:$B$37,FALSE))/INDEX($F$206:$F$229,MATCH($B249,$B$206:$B$229,FALSE))),NA()),NA())</f>
        <v>#N/A</v>
      </c>
      <c r="AC249" s="65" t="e">
        <f>IF(AB57=1,IF(AB$13&lt;=COUNT($C29:$CS29),IF(INDEX($F$206:$F$229,MATCH($B249,$B$206:$B$229,FALSE))=0,NA(),INDEX(AB$14:AB$37,MATCH($B249,$B$14:$B$37,FALSE))/INDEX($F$206:$F$229,MATCH($B249,$B$206:$B$229,FALSE))),NA()),NA())</f>
        <v>#N/A</v>
      </c>
      <c r="AD249" s="65" t="e">
        <f>IF(AC57=1,IF(AC$13&lt;=COUNT($C29:$CS29),IF(INDEX($F$206:$F$229,MATCH($B249,$B$206:$B$229,FALSE))=0,NA(),INDEX(AC$14:AC$37,MATCH($B249,$B$14:$B$37,FALSE))/INDEX($F$206:$F$229,MATCH($B249,$B$206:$B$229,FALSE))),NA()),NA())</f>
        <v>#N/A</v>
      </c>
      <c r="AE249" s="65" t="e">
        <f>IF(AD57=1,IF(AD$13&lt;=COUNT($C29:$CS29),IF(INDEX($F$206:$F$229,MATCH($B249,$B$206:$B$229,FALSE))=0,NA(),INDEX(AD$14:AD$37,MATCH($B249,$B$14:$B$37,FALSE))/INDEX($F$206:$F$229,MATCH($B249,$B$206:$B$229,FALSE))),NA()),NA())</f>
        <v>#N/A</v>
      </c>
      <c r="AF249" s="65" t="e">
        <f>IF(AE57=1,IF(AE$13&lt;=COUNT($C29:$CS29),IF(INDEX($F$206:$F$229,MATCH($B249,$B$206:$B$229,FALSE))=0,NA(),INDEX(AE$14:AE$37,MATCH($B249,$B$14:$B$37,FALSE))/INDEX($F$206:$F$229,MATCH($B249,$B$206:$B$229,FALSE))),NA()),NA())</f>
        <v>#N/A</v>
      </c>
      <c r="AG249" s="65" t="e">
        <f>IF(AF57=1,IF(AF$13&lt;=COUNT($C29:$CS29),IF(INDEX($F$206:$F$229,MATCH($B249,$B$206:$B$229,FALSE))=0,NA(),INDEX(AF$14:AF$37,MATCH($B249,$B$14:$B$37,FALSE))/INDEX($F$206:$F$229,MATCH($B249,$B$206:$B$229,FALSE))),NA()),NA())</f>
        <v>#N/A</v>
      </c>
      <c r="AH249" s="65" t="e">
        <f>IF(AG57=1,IF(AG$13&lt;=COUNT($C29:$CS29),IF(INDEX($F$206:$F$229,MATCH($B249,$B$206:$B$229,FALSE))=0,NA(),INDEX(AG$14:AG$37,MATCH($B249,$B$14:$B$37,FALSE))/INDEX($F$206:$F$229,MATCH($B249,$B$206:$B$229,FALSE))),NA()),NA())</f>
        <v>#N/A</v>
      </c>
      <c r="AI249" s="65" t="e">
        <f>IF(AH57=1,IF(AH$13&lt;=COUNT($C29:$CS29),IF(INDEX($F$206:$F$229,MATCH($B249,$B$206:$B$229,FALSE))=0,NA(),INDEX(AH$14:AH$37,MATCH($B249,$B$14:$B$37,FALSE))/INDEX($F$206:$F$229,MATCH($B249,$B$206:$B$229,FALSE))),NA()),NA())</f>
        <v>#N/A</v>
      </c>
      <c r="AJ249" s="65" t="e">
        <f>IF(AI57=1,IF(AI$13&lt;=COUNT($C29:$CS29),IF(INDEX($F$206:$F$229,MATCH($B249,$B$206:$B$229,FALSE))=0,NA(),INDEX(AI$14:AI$37,MATCH($B249,$B$14:$B$37,FALSE))/INDEX($F$206:$F$229,MATCH($B249,$B$206:$B$229,FALSE))),NA()),NA())</f>
        <v>#N/A</v>
      </c>
      <c r="AK249" s="65" t="e">
        <f>IF(AJ57=1,IF(AJ$13&lt;=COUNT($C29:$CS29),IF(INDEX($F$206:$F$229,MATCH($B249,$B$206:$B$229,FALSE))=0,NA(),INDEX(AJ$14:AJ$37,MATCH($B249,$B$14:$B$37,FALSE))/INDEX($F$206:$F$229,MATCH($B249,$B$206:$B$229,FALSE))),NA()),NA())</f>
        <v>#N/A</v>
      </c>
      <c r="AL249" s="65" t="e">
        <f>IF(AK57=1,IF(AK$13&lt;=COUNT($C29:$CS29),IF(INDEX($F$206:$F$229,MATCH($B249,$B$206:$B$229,FALSE))=0,NA(),INDEX(AK$14:AK$37,MATCH($B249,$B$14:$B$37,FALSE))/INDEX($F$206:$F$229,MATCH($B249,$B$206:$B$229,FALSE))),NA()),NA())</f>
        <v>#N/A</v>
      </c>
      <c r="AM249" s="65" t="e">
        <f>IF(AL57=1,IF(AL$13&lt;=COUNT($C29:$CS29),IF(INDEX($F$206:$F$229,MATCH($B249,$B$206:$B$229,FALSE))=0,NA(),INDEX(AL$14:AL$37,MATCH($B249,$B$14:$B$37,FALSE))/INDEX($F$206:$F$229,MATCH($B249,$B$206:$B$229,FALSE))),NA()),NA())</f>
        <v>#N/A</v>
      </c>
      <c r="AN249" s="65" t="e">
        <f>IF(AM57=1,IF(AM$13&lt;=COUNT($C29:$CS29),IF(INDEX($F$206:$F$229,MATCH($B249,$B$206:$B$229,FALSE))=0,NA(),INDEX(AM$14:AM$37,MATCH($B249,$B$14:$B$37,FALSE))/INDEX($F$206:$F$229,MATCH($B249,$B$206:$B$229,FALSE))),NA()),NA())</f>
        <v>#N/A</v>
      </c>
      <c r="AO249" s="65" t="e">
        <f>IF(AN57=1,IF(AN$13&lt;=COUNT($C29:$CS29),IF(INDEX($F$206:$F$229,MATCH($B249,$B$206:$B$229,FALSE))=0,NA(),INDEX(AN$14:AN$37,MATCH($B249,$B$14:$B$37,FALSE))/INDEX($F$206:$F$229,MATCH($B249,$B$206:$B$229,FALSE))),NA()),NA())</f>
        <v>#N/A</v>
      </c>
      <c r="AP249" s="65" t="e">
        <f>IF(AO57=1,IF(AO$13&lt;=COUNT($C29:$CS29),IF(INDEX($F$206:$F$229,MATCH($B249,$B$206:$B$229,FALSE))=0,NA(),INDEX(AO$14:AO$37,MATCH($B249,$B$14:$B$37,FALSE))/INDEX($F$206:$F$229,MATCH($B249,$B$206:$B$229,FALSE))),NA()),NA())</f>
        <v>#N/A</v>
      </c>
      <c r="AQ249" s="65" t="e">
        <f>IF(AP57=1,IF(AP$13&lt;=COUNT($C29:$CS29),IF(INDEX($F$206:$F$229,MATCH($B249,$B$206:$B$229,FALSE))=0,NA(),INDEX(AP$14:AP$37,MATCH($B249,$B$14:$B$37,FALSE))/INDEX($F$206:$F$229,MATCH($B249,$B$206:$B$229,FALSE))),NA()),NA())</f>
        <v>#N/A</v>
      </c>
      <c r="AR249" s="65" t="e">
        <f>IF(AQ57=1,IF(AQ$13&lt;=COUNT($C29:$CS29),IF(INDEX($F$206:$F$229,MATCH($B249,$B$206:$B$229,FALSE))=0,NA(),INDEX(AQ$14:AQ$37,MATCH($B249,$B$14:$B$37,FALSE))/INDEX($F$206:$F$229,MATCH($B249,$B$206:$B$229,FALSE))),NA()),NA())</f>
        <v>#N/A</v>
      </c>
      <c r="AS249" s="65" t="e">
        <f>IF(AR57=1,IF(AR$13&lt;=COUNT($C29:$CS29),IF(INDEX($F$206:$F$229,MATCH($B249,$B$206:$B$229,FALSE))=0,NA(),INDEX(AR$14:AR$37,MATCH($B249,$B$14:$B$37,FALSE))/INDEX($F$206:$F$229,MATCH($B249,$B$206:$B$229,FALSE))),NA()),NA())</f>
        <v>#N/A</v>
      </c>
      <c r="AT249" s="65" t="e">
        <f>IF(AS57=1,IF(AS$13&lt;=COUNT($C29:$CS29),IF(INDEX($F$206:$F$229,MATCH($B249,$B$206:$B$229,FALSE))=0,NA(),INDEX(AS$14:AS$37,MATCH($B249,$B$14:$B$37,FALSE))/INDEX($F$206:$F$229,MATCH($B249,$B$206:$B$229,FALSE))),NA()),NA())</f>
        <v>#N/A</v>
      </c>
      <c r="AU249" s="65" t="e">
        <f>IF(AT57=1,IF(AT$13&lt;=COUNT($C29:$CS29),IF(INDEX($F$206:$F$229,MATCH($B249,$B$206:$B$229,FALSE))=0,NA(),INDEX(AT$14:AT$37,MATCH($B249,$B$14:$B$37,FALSE))/INDEX($F$206:$F$229,MATCH($B249,$B$206:$B$229,FALSE))),NA()),NA())</f>
        <v>#N/A</v>
      </c>
      <c r="AV249" s="65" t="e">
        <f>IF(AU57=1,IF(AU$13&lt;=COUNT($C29:$CS29),IF(INDEX($F$206:$F$229,MATCH($B249,$B$206:$B$229,FALSE))=0,NA(),INDEX(AU$14:AU$37,MATCH($B249,$B$14:$B$37,FALSE))/INDEX($F$206:$F$229,MATCH($B249,$B$206:$B$229,FALSE))),NA()),NA())</f>
        <v>#N/A</v>
      </c>
      <c r="AW249" s="65" t="e">
        <f>IF(AV57=1,IF(AV$13&lt;=COUNT($C29:$CS29),IF(INDEX($F$206:$F$229,MATCH($B249,$B$206:$B$229,FALSE))=0,NA(),INDEX(AV$14:AV$37,MATCH($B249,$B$14:$B$37,FALSE))/INDEX($F$206:$F$229,MATCH($B249,$B$206:$B$229,FALSE))),NA()),NA())</f>
        <v>#N/A</v>
      </c>
      <c r="AX249" s="65" t="e">
        <f>IF(AW57=1,IF(AW$13&lt;=COUNT($C29:$CS29),IF(INDEX($F$206:$F$229,MATCH($B249,$B$206:$B$229,FALSE))=0,NA(),INDEX(AW$14:AW$37,MATCH($B249,$B$14:$B$37,FALSE))/INDEX($F$206:$F$229,MATCH($B249,$B$206:$B$229,FALSE))),NA()),NA())</f>
        <v>#N/A</v>
      </c>
      <c r="AY249" s="65" t="e">
        <f>IF(AX57=1,IF(AX$13&lt;=COUNT($C29:$CS29),IF(INDEX($F$206:$F$229,MATCH($B249,$B$206:$B$229,FALSE))=0,NA(),INDEX(AX$14:AX$37,MATCH($B249,$B$14:$B$37,FALSE))/INDEX($F$206:$F$229,MATCH($B249,$B$206:$B$229,FALSE))),NA()),NA())</f>
        <v>#N/A</v>
      </c>
      <c r="AZ249" s="65" t="e">
        <f>IF(AY57=1,IF(AY$13&lt;=COUNT($C29:$CS29),IF(INDEX($F$206:$F$229,MATCH($B249,$B$206:$B$229,FALSE))=0,NA(),INDEX(AY$14:AY$37,MATCH($B249,$B$14:$B$37,FALSE))/INDEX($F$206:$F$229,MATCH($B249,$B$206:$B$229,FALSE))),NA()),NA())</f>
        <v>#N/A</v>
      </c>
      <c r="BA249" s="65" t="e">
        <f>IF(AZ57=1,IF(AZ$13&lt;=COUNT($C29:$CS29),IF(INDEX($F$206:$F$229,MATCH($B249,$B$206:$B$229,FALSE))=0,NA(),INDEX(AZ$14:AZ$37,MATCH($B249,$B$14:$B$37,FALSE))/INDEX($F$206:$F$229,MATCH($B249,$B$206:$B$229,FALSE))),NA()),NA())</f>
        <v>#N/A</v>
      </c>
      <c r="BB249" s="65" t="e">
        <f>IF(BA57=1,IF(BA$13&lt;=COUNT($C29:$CS29),IF(INDEX($F$206:$F$229,MATCH($B249,$B$206:$B$229,FALSE))=0,NA(),INDEX(BA$14:BA$37,MATCH($B249,$B$14:$B$37,FALSE))/INDEX($F$206:$F$229,MATCH($B249,$B$206:$B$229,FALSE))),NA()),NA())</f>
        <v>#N/A</v>
      </c>
      <c r="BC249" s="65" t="e">
        <f>IF(BB57=1,IF(BB$13&lt;=COUNT($C29:$CS29),IF(INDEX($F$206:$F$229,MATCH($B249,$B$206:$B$229,FALSE))=0,NA(),INDEX(BB$14:BB$37,MATCH($B249,$B$14:$B$37,FALSE))/INDEX($F$206:$F$229,MATCH($B249,$B$206:$B$229,FALSE))),NA()),NA())</f>
        <v>#N/A</v>
      </c>
      <c r="BD249" s="65" t="e">
        <f>IF(BC57=1,IF(BC$13&lt;=COUNT($C29:$CS29),IF(INDEX($F$206:$F$229,MATCH($B249,$B$206:$B$229,FALSE))=0,NA(),INDEX(BC$14:BC$37,MATCH($B249,$B$14:$B$37,FALSE))/INDEX($F$206:$F$229,MATCH($B249,$B$206:$B$229,FALSE))),NA()),NA())</f>
        <v>#N/A</v>
      </c>
      <c r="BE249" s="65" t="e">
        <f>IF(BD57=1,IF(BD$13&lt;=COUNT($C29:$CS29),IF(INDEX($F$206:$F$229,MATCH($B249,$B$206:$B$229,FALSE))=0,NA(),INDEX(BD$14:BD$37,MATCH($B249,$B$14:$B$37,FALSE))/INDEX($F$206:$F$229,MATCH($B249,$B$206:$B$229,FALSE))),NA()),NA())</f>
        <v>#N/A</v>
      </c>
      <c r="BF249" s="65" t="e">
        <f>IF(BE57=1,IF(BE$13&lt;=COUNT($C29:$CS29),IF(INDEX($F$206:$F$229,MATCH($B249,$B$206:$B$229,FALSE))=0,NA(),INDEX(BE$14:BE$37,MATCH($B249,$B$14:$B$37,FALSE))/INDEX($F$206:$F$229,MATCH($B249,$B$206:$B$229,FALSE))),NA()),NA())</f>
        <v>#N/A</v>
      </c>
      <c r="BG249" s="65" t="e">
        <f>IF(BF57=1,IF(BF$13&lt;=COUNT($C29:$CS29),IF(INDEX($F$206:$F$229,MATCH($B249,$B$206:$B$229,FALSE))=0,NA(),INDEX(BF$14:BF$37,MATCH($B249,$B$14:$B$37,FALSE))/INDEX($F$206:$F$229,MATCH($B249,$B$206:$B$229,FALSE))),NA()),NA())</f>
        <v>#N/A</v>
      </c>
      <c r="BH249" s="65" t="e">
        <f>IF(BG57=1,IF(BG$13&lt;=COUNT($C29:$CS29),IF(INDEX($F$206:$F$229,MATCH($B249,$B$206:$B$229,FALSE))=0,NA(),INDEX(BG$14:BG$37,MATCH($B249,$B$14:$B$37,FALSE))/INDEX($F$206:$F$229,MATCH($B249,$B$206:$B$229,FALSE))),NA()),NA())</f>
        <v>#N/A</v>
      </c>
      <c r="BI249" s="65" t="e">
        <f>IF(BH57=1,IF(BH$13&lt;=COUNT($C29:$CS29),IF(INDEX($F$206:$F$229,MATCH($B249,$B$206:$B$229,FALSE))=0,NA(),INDEX(BH$14:BH$37,MATCH($B249,$B$14:$B$37,FALSE))/INDEX($F$206:$F$229,MATCH($B249,$B$206:$B$229,FALSE))),NA()),NA())</f>
        <v>#N/A</v>
      </c>
      <c r="BJ249" s="65" t="e">
        <f>IF(BI57=1,IF(BI$13&lt;=COUNT($C29:$CS29),IF(INDEX($F$206:$F$229,MATCH($B249,$B$206:$B$229,FALSE))=0,NA(),INDEX(BI$14:BI$37,MATCH($B249,$B$14:$B$37,FALSE))/INDEX($F$206:$F$229,MATCH($B249,$B$206:$B$229,FALSE))),NA()),NA())</f>
        <v>#N/A</v>
      </c>
      <c r="BK249" s="65" t="e">
        <f>IF(BJ57=1,IF(BJ$13&lt;=COUNT($C29:$CS29),IF(INDEX($F$206:$F$229,MATCH($B249,$B$206:$B$229,FALSE))=0,NA(),INDEX(BJ$14:BJ$37,MATCH($B249,$B$14:$B$37,FALSE))/INDEX($F$206:$F$229,MATCH($B249,$B$206:$B$229,FALSE))),NA()),NA())</f>
        <v>#N/A</v>
      </c>
      <c r="BL249" s="65" t="e">
        <f>IF(BK57=1,IF(BK$13&lt;=COUNT($C29:$CS29),IF(INDEX($F$206:$F$229,MATCH($B249,$B$206:$B$229,FALSE))=0,NA(),INDEX(BK$14:BK$37,MATCH($B249,$B$14:$B$37,FALSE))/INDEX($F$206:$F$229,MATCH($B249,$B$206:$B$229,FALSE))),NA()),NA())</f>
        <v>#N/A</v>
      </c>
      <c r="BM249" s="65" t="e">
        <f>IF(BL57=1,IF(BL$13&lt;=COUNT($C29:$CS29),IF(INDEX($F$206:$F$229,MATCH($B249,$B$206:$B$229,FALSE))=0,NA(),INDEX(BL$14:BL$37,MATCH($B249,$B$14:$B$37,FALSE))/INDEX($F$206:$F$229,MATCH($B249,$B$206:$B$229,FALSE))),NA()),NA())</f>
        <v>#N/A</v>
      </c>
      <c r="BN249" s="65" t="e">
        <f>IF(BM57=1,IF(BM$13&lt;=COUNT($C29:$CS29),IF(INDEX($F$206:$F$229,MATCH($B249,$B$206:$B$229,FALSE))=0,NA(),INDEX(BM$14:BM$37,MATCH($B249,$B$14:$B$37,FALSE))/INDEX($F$206:$F$229,MATCH($B249,$B$206:$B$229,FALSE))),NA()),NA())</f>
        <v>#N/A</v>
      </c>
      <c r="BO249" s="65" t="e">
        <f>IF(BN57=1,IF(BN$13&lt;=COUNT($C29:$CS29),IF(INDEX($F$206:$F$229,MATCH($B249,$B$206:$B$229,FALSE))=0,NA(),INDEX(BN$14:BN$37,MATCH($B249,$B$14:$B$37,FALSE))/INDEX($F$206:$F$229,MATCH($B249,$B$206:$B$229,FALSE))),NA()),NA())</f>
        <v>#N/A</v>
      </c>
      <c r="BP249" s="65" t="e">
        <f>IF(BO57=1,IF(BO$13&lt;=COUNT($C29:$CS29),IF(INDEX($F$206:$F$229,MATCH($B249,$B$206:$B$229,FALSE))=0,NA(),INDEX(BO$14:BO$37,MATCH($B249,$B$14:$B$37,FALSE))/INDEX($F$206:$F$229,MATCH($B249,$B$206:$B$229,FALSE))),NA()),NA())</f>
        <v>#N/A</v>
      </c>
      <c r="BQ249" s="65" t="e">
        <f>IF(BP57=1,IF(BP$13&lt;=COUNT($C29:$CS29),IF(INDEX($F$206:$F$229,MATCH($B249,$B$206:$B$229,FALSE))=0,NA(),INDEX(BP$14:BP$37,MATCH($B249,$B$14:$B$37,FALSE))/INDEX($F$206:$F$229,MATCH($B249,$B$206:$B$229,FALSE))),NA()),NA())</f>
        <v>#N/A</v>
      </c>
      <c r="BR249" s="65" t="e">
        <f>IF(BQ57=1,IF(BQ$13&lt;=COUNT($C29:$CS29),IF(INDEX($F$206:$F$229,MATCH($B249,$B$206:$B$229,FALSE))=0,NA(),INDEX(BQ$14:BQ$37,MATCH($B249,$B$14:$B$37,FALSE))/INDEX($F$206:$F$229,MATCH($B249,$B$206:$B$229,FALSE))),NA()),NA())</f>
        <v>#N/A</v>
      </c>
      <c r="BS249" s="65" t="e">
        <f>IF(BR57=1,IF(BR$13&lt;=COUNT($C29:$CS29),IF(INDEX($F$206:$F$229,MATCH($B249,$B$206:$B$229,FALSE))=0,NA(),INDEX(BR$14:BR$37,MATCH($B249,$B$14:$B$37,FALSE))/INDEX($F$206:$F$229,MATCH($B249,$B$206:$B$229,FALSE))),NA()),NA())</f>
        <v>#N/A</v>
      </c>
      <c r="BT249" s="65" t="e">
        <f>IF(BS57=1,IF(BS$13&lt;=COUNT($C29:$CS29),IF(INDEX($F$206:$F$229,MATCH($B249,$B$206:$B$229,FALSE))=0,NA(),INDEX(BS$14:BS$37,MATCH($B249,$B$14:$B$37,FALSE))/INDEX($F$206:$F$229,MATCH($B249,$B$206:$B$229,FALSE))),NA()),NA())</f>
        <v>#N/A</v>
      </c>
      <c r="BU249" s="65" t="e">
        <f>IF(BT57=1,IF(BT$13&lt;=COUNT($C29:$CS29),IF(INDEX($F$206:$F$229,MATCH($B249,$B$206:$B$229,FALSE))=0,NA(),INDEX(BT$14:BT$37,MATCH($B249,$B$14:$B$37,FALSE))/INDEX($F$206:$F$229,MATCH($B249,$B$206:$B$229,FALSE))),NA()),NA())</f>
        <v>#N/A</v>
      </c>
      <c r="BV249" s="65" t="e">
        <f>IF(BU57=1,IF(BU$13&lt;=COUNT($C29:$CS29),IF(INDEX($F$206:$F$229,MATCH($B249,$B$206:$B$229,FALSE))=0,NA(),INDEX(BU$14:BU$37,MATCH($B249,$B$14:$B$37,FALSE))/INDEX($F$206:$F$229,MATCH($B249,$B$206:$B$229,FALSE))),NA()),NA())</f>
        <v>#N/A</v>
      </c>
      <c r="BW249" s="65" t="e">
        <f>IF(BV57=1,IF(BV$13&lt;=COUNT($C29:$CS29),IF(INDEX($F$206:$F$229,MATCH($B249,$B$206:$B$229,FALSE))=0,NA(),INDEX(BV$14:BV$37,MATCH($B249,$B$14:$B$37,FALSE))/INDEX($F$206:$F$229,MATCH($B249,$B$206:$B$229,FALSE))),NA()),NA())</f>
        <v>#N/A</v>
      </c>
      <c r="BX249" s="65" t="e">
        <f>IF(BW57=1,IF(BW$13&lt;=COUNT($C29:$CS29),IF(INDEX($F$206:$F$229,MATCH($B249,$B$206:$B$229,FALSE))=0,NA(),INDEX(BW$14:BW$37,MATCH($B249,$B$14:$B$37,FALSE))/INDEX($F$206:$F$229,MATCH($B249,$B$206:$B$229,FALSE))),NA()),NA())</f>
        <v>#N/A</v>
      </c>
      <c r="BY249" s="65" t="e">
        <f>IF(BX57=1,IF(BX$13&lt;=COUNT($C29:$CS29),IF(INDEX($F$206:$F$229,MATCH($B249,$B$206:$B$229,FALSE))=0,NA(),INDEX(BX$14:BX$37,MATCH($B249,$B$14:$B$37,FALSE))/INDEX($F$206:$F$229,MATCH($B249,$B$206:$B$229,FALSE))),NA()),NA())</f>
        <v>#N/A</v>
      </c>
      <c r="BZ249" s="65" t="e">
        <f>IF(BY57=1,IF(BY$13&lt;=COUNT($C29:$CS29),IF(INDEX($F$206:$F$229,MATCH($B249,$B$206:$B$229,FALSE))=0,NA(),INDEX(BY$14:BY$37,MATCH($B249,$B$14:$B$37,FALSE))/INDEX($F$206:$F$229,MATCH($B249,$B$206:$B$229,FALSE))),NA()),NA())</f>
        <v>#N/A</v>
      </c>
      <c r="CA249" s="65" t="e">
        <f>IF(BZ57=1,IF(BZ$13&lt;=COUNT($C29:$CS29),IF(INDEX($F$206:$F$229,MATCH($B249,$B$206:$B$229,FALSE))=0,NA(),INDEX(BZ$14:BZ$37,MATCH($B249,$B$14:$B$37,FALSE))/INDEX($F$206:$F$229,MATCH($B249,$B$206:$B$229,FALSE))),NA()),NA())</f>
        <v>#N/A</v>
      </c>
      <c r="CB249" s="65" t="e">
        <f>IF(CA57=1,IF(CA$13&lt;=COUNT($C29:$CS29),IF(INDEX($F$206:$F$229,MATCH($B249,$B$206:$B$229,FALSE))=0,NA(),INDEX(CA$14:CA$37,MATCH($B249,$B$14:$B$37,FALSE))/INDEX($F$206:$F$229,MATCH($B249,$B$206:$B$229,FALSE))),NA()),NA())</f>
        <v>#N/A</v>
      </c>
      <c r="CC249" s="65" t="e">
        <f>IF(CB57=1,IF(CB$13&lt;=COUNT($C29:$CS29),IF(INDEX($F$206:$F$229,MATCH($B249,$B$206:$B$229,FALSE))=0,NA(),INDEX(CB$14:CB$37,MATCH($B249,$B$14:$B$37,FALSE))/INDEX($F$206:$F$229,MATCH($B249,$B$206:$B$229,FALSE))),NA()),NA())</f>
        <v>#N/A</v>
      </c>
      <c r="CD249" s="65" t="e">
        <f>IF(CC57=1,IF(CC$13&lt;=COUNT($C29:$CS29),IF(INDEX($F$206:$F$229,MATCH($B249,$B$206:$B$229,FALSE))=0,NA(),INDEX(CC$14:CC$37,MATCH($B249,$B$14:$B$37,FALSE))/INDEX($F$206:$F$229,MATCH($B249,$B$206:$B$229,FALSE))),NA()),NA())</f>
        <v>#N/A</v>
      </c>
      <c r="CE249" s="65" t="e">
        <f>IF(CD57=1,IF(CD$13&lt;=COUNT($C29:$CS29),IF(INDEX($F$206:$F$229,MATCH($B249,$B$206:$B$229,FALSE))=0,NA(),INDEX(CD$14:CD$37,MATCH($B249,$B$14:$B$37,FALSE))/INDEX($F$206:$F$229,MATCH($B249,$B$206:$B$229,FALSE))),NA()),NA())</f>
        <v>#N/A</v>
      </c>
      <c r="CF249" s="65" t="e">
        <f>IF(CE57=1,IF(CE$13&lt;=COUNT($C29:$CS29),IF(INDEX($F$206:$F$229,MATCH($B249,$B$206:$B$229,FALSE))=0,NA(),INDEX(CE$14:CE$37,MATCH($B249,$B$14:$B$37,FALSE))/INDEX($F$206:$F$229,MATCH($B249,$B$206:$B$229,FALSE))),NA()),NA())</f>
        <v>#N/A</v>
      </c>
      <c r="CG249" s="65" t="e">
        <f>IF(CF57=1,IF(CF$13&lt;=COUNT($C29:$CS29),IF(INDEX($F$206:$F$229,MATCH($B249,$B$206:$B$229,FALSE))=0,NA(),INDEX(CF$14:CF$37,MATCH($B249,$B$14:$B$37,FALSE))/INDEX($F$206:$F$229,MATCH($B249,$B$206:$B$229,FALSE))),NA()),NA())</f>
        <v>#N/A</v>
      </c>
      <c r="CH249" s="65" t="e">
        <f>IF(CG57=1,IF(CG$13&lt;=COUNT($C29:$CS29),IF(INDEX($F$206:$F$229,MATCH($B249,$B$206:$B$229,FALSE))=0,NA(),INDEX(CG$14:CG$37,MATCH($B249,$B$14:$B$37,FALSE))/INDEX($F$206:$F$229,MATCH($B249,$B$206:$B$229,FALSE))),NA()),NA())</f>
        <v>#N/A</v>
      </c>
      <c r="CI249" s="65" t="e">
        <f>IF(CH57=1,IF(CH$13&lt;=COUNT($C29:$CS29),IF(INDEX($F$206:$F$229,MATCH($B249,$B$206:$B$229,FALSE))=0,NA(),INDEX(CH$14:CH$37,MATCH($B249,$B$14:$B$37,FALSE))/INDEX($F$206:$F$229,MATCH($B249,$B$206:$B$229,FALSE))),NA()),NA())</f>
        <v>#N/A</v>
      </c>
      <c r="CJ249" s="65" t="e">
        <f>IF(CI57=1,IF(CI$13&lt;=COUNT($C29:$CS29),IF(INDEX($F$206:$F$229,MATCH($B249,$B$206:$B$229,FALSE))=0,NA(),INDEX(CI$14:CI$37,MATCH($B249,$B$14:$B$37,FALSE))/INDEX($F$206:$F$229,MATCH($B249,$B$206:$B$229,FALSE))),NA()),NA())</f>
        <v>#N/A</v>
      </c>
      <c r="CK249" s="65" t="e">
        <f>IF(CJ57=1,IF(CJ$13&lt;=COUNT($C29:$CS29),IF(INDEX($F$206:$F$229,MATCH($B249,$B$206:$B$229,FALSE))=0,NA(),INDEX(CJ$14:CJ$37,MATCH($B249,$B$14:$B$37,FALSE))/INDEX($F$206:$F$229,MATCH($B249,$B$206:$B$229,FALSE))),NA()),NA())</f>
        <v>#N/A</v>
      </c>
      <c r="CL249" s="65" t="e">
        <f>IF(CK57=1,IF(CK$13&lt;=COUNT($C29:$CS29),IF(INDEX($F$206:$F$229,MATCH($B249,$B$206:$B$229,FALSE))=0,NA(),INDEX(CK$14:CK$37,MATCH($B249,$B$14:$B$37,FALSE))/INDEX($F$206:$F$229,MATCH($B249,$B$206:$B$229,FALSE))),NA()),NA())</f>
        <v>#N/A</v>
      </c>
      <c r="CM249" s="65" t="e">
        <f>IF(CL57=1,IF(CL$13&lt;=COUNT($C29:$CS29),IF(INDEX($F$206:$F$229,MATCH($B249,$B$206:$B$229,FALSE))=0,NA(),INDEX(CL$14:CL$37,MATCH($B249,$B$14:$B$37,FALSE))/INDEX($F$206:$F$229,MATCH($B249,$B$206:$B$229,FALSE))),NA()),NA())</f>
        <v>#N/A</v>
      </c>
      <c r="CN249" s="65" t="e">
        <f>IF(CM57=1,IF(CM$13&lt;=COUNT($C29:$CS29),IF(INDEX($F$206:$F$229,MATCH($B249,$B$206:$B$229,FALSE))=0,NA(),INDEX(CM$14:CM$37,MATCH($B249,$B$14:$B$37,FALSE))/INDEX($F$206:$F$229,MATCH($B249,$B$206:$B$229,FALSE))),NA()),NA())</f>
        <v>#N/A</v>
      </c>
      <c r="CO249" s="65" t="e">
        <f>IF(CN57=1,IF(CN$13&lt;=COUNT($C29:$CS29),IF(INDEX($F$206:$F$229,MATCH($B249,$B$206:$B$229,FALSE))=0,NA(),INDEX(CN$14:CN$37,MATCH($B249,$B$14:$B$37,FALSE))/INDEX($F$206:$F$229,MATCH($B249,$B$206:$B$229,FALSE))),NA()),NA())</f>
        <v>#N/A</v>
      </c>
      <c r="CP249" s="65" t="e">
        <f>IF(CO57=1,IF(CO$13&lt;=COUNT($C29:$CS29),IF(INDEX($F$206:$F$229,MATCH($B249,$B$206:$B$229,FALSE))=0,NA(),INDEX(CO$14:CO$37,MATCH($B249,$B$14:$B$37,FALSE))/INDEX($F$206:$F$229,MATCH($B249,$B$206:$B$229,FALSE))),NA()),NA())</f>
        <v>#N/A</v>
      </c>
      <c r="CQ249" s="65" t="e">
        <f>IF(CP57=1,IF(CP$13&lt;=COUNT($C29:$CS29),IF(INDEX($F$206:$F$229,MATCH($B249,$B$206:$B$229,FALSE))=0,NA(),INDEX(CP$14:CP$37,MATCH($B249,$B$14:$B$37,FALSE))/INDEX($F$206:$F$229,MATCH($B249,$B$206:$B$229,FALSE))),NA()),NA())</f>
        <v>#N/A</v>
      </c>
      <c r="CR249" s="65" t="e">
        <f>IF(CQ57=1,IF(CQ$13&lt;=COUNT($C29:$CS29),IF(INDEX($F$206:$F$229,MATCH($B249,$B$206:$B$229,FALSE))=0,NA(),INDEX(CQ$14:CQ$37,MATCH($B249,$B$14:$B$37,FALSE))/INDEX($F$206:$F$229,MATCH($B249,$B$206:$B$229,FALSE))),NA()),NA())</f>
        <v>#N/A</v>
      </c>
      <c r="CS249" s="65" t="e">
        <f>IF(CR57=1,IF(CR$13&lt;=COUNT($C29:$CS29),IF(INDEX($F$206:$F$229,MATCH($B249,$B$206:$B$229,FALSE))=0,NA(),INDEX(CR$14:CR$37,MATCH($B249,$B$14:$B$37,FALSE))/INDEX($F$206:$F$229,MATCH($B249,$B$206:$B$229,FALSE))),NA()),NA())</f>
        <v>#N/A</v>
      </c>
      <c r="CT249" s="49"/>
      <c r="CU249" s="49"/>
      <c r="CV249" s="49"/>
      <c r="CW249" s="49"/>
    </row>
    <row r="250" spans="1:101" x14ac:dyDescent="0.25">
      <c r="A250" s="97">
        <f t="shared" si="105"/>
        <v>1</v>
      </c>
      <c r="B250" s="29">
        <f t="shared" si="104"/>
        <v>2012</v>
      </c>
      <c r="C250" s="154" t="str">
        <f t="shared" si="106"/>
        <v/>
      </c>
      <c r="D250" s="54">
        <f t="shared" ref="D250:BO253" ca="1" si="108">IF(C58=1,IF(C$13&lt;=COUNT($C30:$CS30),IF(INDEX($F$206:$F$229,MATCH($B250,$B$206:$B$229,FALSE))=0,NA(),INDEX(C$14:C$37,MATCH($B250,$B$14:$B$37,FALSE))/INDEX($F$206:$F$229,MATCH($B250,$B$206:$B$229,FALSE))),NA()),NA())</f>
        <v>0.68205681572531229</v>
      </c>
      <c r="E250" s="65">
        <f t="shared" ca="1" si="108"/>
        <v>0.51907495572695894</v>
      </c>
      <c r="F250" s="65">
        <f t="shared" ca="1" si="108"/>
        <v>1.3944205978977244</v>
      </c>
      <c r="G250" s="65">
        <f t="shared" ca="1" si="108"/>
        <v>1.7355476306889344</v>
      </c>
      <c r="H250" s="65">
        <f t="shared" ca="1" si="108"/>
        <v>1.7319892417591698</v>
      </c>
      <c r="I250" s="65">
        <f t="shared" ca="1" si="108"/>
        <v>1.222260168846339</v>
      </c>
      <c r="J250" s="65">
        <f t="shared" ca="1" si="108"/>
        <v>1.0369294466686876</v>
      </c>
      <c r="K250" s="65">
        <f t="shared" ca="1" si="108"/>
        <v>1</v>
      </c>
      <c r="L250" s="65" t="e">
        <f>IF(K58=1,IF(K$13&lt;=COUNT($C30:$CS30),IF(INDEX($F$206:$F$229,MATCH($B250,$B$206:$B$229,FALSE))=0,NA(),INDEX(K$14:K$37,MATCH($B250,$B$14:$B$37,FALSE))/INDEX($F$206:$F$229,MATCH($B250,$B$206:$B$229,FALSE))),NA()),NA())</f>
        <v>#N/A</v>
      </c>
      <c r="M250" s="65" t="e">
        <f>IF(L58=1,IF(L$13&lt;=COUNT($C30:$CS30),IF(INDEX($F$206:$F$229,MATCH($B250,$B$206:$B$229,FALSE))=0,NA(),INDEX(L$14:L$37,MATCH($B250,$B$14:$B$37,FALSE))/INDEX($F$206:$F$229,MATCH($B250,$B$206:$B$229,FALSE))),NA()),NA())</f>
        <v>#N/A</v>
      </c>
      <c r="N250" s="65" t="e">
        <f>IF(M58=1,IF(M$13&lt;=COUNT($C30:$CS30),IF(INDEX($F$206:$F$229,MATCH($B250,$B$206:$B$229,FALSE))=0,NA(),INDEX(M$14:M$37,MATCH($B250,$B$14:$B$37,FALSE))/INDEX($F$206:$F$229,MATCH($B250,$B$206:$B$229,FALSE))),NA()),NA())</f>
        <v>#N/A</v>
      </c>
      <c r="O250" s="65" t="e">
        <f>IF(N58=1,IF(N$13&lt;=COUNT($C30:$CS30),IF(INDEX($F$206:$F$229,MATCH($B250,$B$206:$B$229,FALSE))=0,NA(),INDEX(N$14:N$37,MATCH($B250,$B$14:$B$37,FALSE))/INDEX($F$206:$F$229,MATCH($B250,$B$206:$B$229,FALSE))),NA()),NA())</f>
        <v>#N/A</v>
      </c>
      <c r="P250" s="65" t="e">
        <f>IF(O58=1,IF(O$13&lt;=COUNT($C30:$CS30),IF(INDEX($F$206:$F$229,MATCH($B250,$B$206:$B$229,FALSE))=0,NA(),INDEX(O$14:O$37,MATCH($B250,$B$14:$B$37,FALSE))/INDEX($F$206:$F$229,MATCH($B250,$B$206:$B$229,FALSE))),NA()),NA())</f>
        <v>#N/A</v>
      </c>
      <c r="Q250" s="65" t="e">
        <f>IF(P58=1,IF(P$13&lt;=COUNT($C30:$CS30),IF(INDEX($F$206:$F$229,MATCH($B250,$B$206:$B$229,FALSE))=0,NA(),INDEX(P$14:P$37,MATCH($B250,$B$14:$B$37,FALSE))/INDEX($F$206:$F$229,MATCH($B250,$B$206:$B$229,FALSE))),NA()),NA())</f>
        <v>#N/A</v>
      </c>
      <c r="R250" s="65" t="e">
        <f>IF(Q58=1,IF(Q$13&lt;=COUNT($C30:$CS30),IF(INDEX($F$206:$F$229,MATCH($B250,$B$206:$B$229,FALSE))=0,NA(),INDEX(Q$14:Q$37,MATCH($B250,$B$14:$B$37,FALSE))/INDEX($F$206:$F$229,MATCH($B250,$B$206:$B$229,FALSE))),NA()),NA())</f>
        <v>#N/A</v>
      </c>
      <c r="S250" s="65" t="e">
        <f>IF(R58=1,IF(R$13&lt;=COUNT($C30:$CS30),IF(INDEX($F$206:$F$229,MATCH($B250,$B$206:$B$229,FALSE))=0,NA(),INDEX(R$14:R$37,MATCH($B250,$B$14:$B$37,FALSE))/INDEX($F$206:$F$229,MATCH($B250,$B$206:$B$229,FALSE))),NA()),NA())</f>
        <v>#N/A</v>
      </c>
      <c r="T250" s="65" t="e">
        <f>IF(S58=1,IF(S$13&lt;=COUNT($C30:$CS30),IF(INDEX($F$206:$F$229,MATCH($B250,$B$206:$B$229,FALSE))=0,NA(),INDEX(S$14:S$37,MATCH($B250,$B$14:$B$37,FALSE))/INDEX($F$206:$F$229,MATCH($B250,$B$206:$B$229,FALSE))),NA()),NA())</f>
        <v>#N/A</v>
      </c>
      <c r="U250" s="65" t="e">
        <f>IF(T58=1,IF(T$13&lt;=COUNT($C30:$CS30),IF(INDEX($F$206:$F$229,MATCH($B250,$B$206:$B$229,FALSE))=0,NA(),INDEX(T$14:T$37,MATCH($B250,$B$14:$B$37,FALSE))/INDEX($F$206:$F$229,MATCH($B250,$B$206:$B$229,FALSE))),NA()),NA())</f>
        <v>#N/A</v>
      </c>
      <c r="V250" s="65" t="e">
        <f>IF(U58=1,IF(U$13&lt;=COUNT($C30:$CS30),IF(INDEX($F$206:$F$229,MATCH($B250,$B$206:$B$229,FALSE))=0,NA(),INDEX(U$14:U$37,MATCH($B250,$B$14:$B$37,FALSE))/INDEX($F$206:$F$229,MATCH($B250,$B$206:$B$229,FALSE))),NA()),NA())</f>
        <v>#N/A</v>
      </c>
      <c r="W250" s="65" t="e">
        <f>IF(V58=1,IF(V$13&lt;=COUNT($C30:$CS30),IF(INDEX($F$206:$F$229,MATCH($B250,$B$206:$B$229,FALSE))=0,NA(),INDEX(V$14:V$37,MATCH($B250,$B$14:$B$37,FALSE))/INDEX($F$206:$F$229,MATCH($B250,$B$206:$B$229,FALSE))),NA()),NA())</f>
        <v>#N/A</v>
      </c>
      <c r="X250" s="65" t="e">
        <f>IF(W58=1,IF(W$13&lt;=COUNT($C30:$CS30),IF(INDEX($F$206:$F$229,MATCH($B250,$B$206:$B$229,FALSE))=0,NA(),INDEX(W$14:W$37,MATCH($B250,$B$14:$B$37,FALSE))/INDEX($F$206:$F$229,MATCH($B250,$B$206:$B$229,FALSE))),NA()),NA())</f>
        <v>#N/A</v>
      </c>
      <c r="Y250" s="65" t="e">
        <f>IF(X58=1,IF(X$13&lt;=COUNT($C30:$CS30),IF(INDEX($F$206:$F$229,MATCH($B250,$B$206:$B$229,FALSE))=0,NA(),INDEX(X$14:X$37,MATCH($B250,$B$14:$B$37,FALSE))/INDEX($F$206:$F$229,MATCH($B250,$B$206:$B$229,FALSE))),NA()),NA())</f>
        <v>#N/A</v>
      </c>
      <c r="Z250" s="65" t="e">
        <f>IF(Y58=1,IF(Y$13&lt;=COUNT($C30:$CS30),IF(INDEX($F$206:$F$229,MATCH($B250,$B$206:$B$229,FALSE))=0,NA(),INDEX(Y$14:Y$37,MATCH($B250,$B$14:$B$37,FALSE))/INDEX($F$206:$F$229,MATCH($B250,$B$206:$B$229,FALSE))),NA()),NA())</f>
        <v>#N/A</v>
      </c>
      <c r="AA250" s="65" t="e">
        <f>IF(Z58=1,IF(Z$13&lt;=COUNT($C30:$CS30),IF(INDEX($F$206:$F$229,MATCH($B250,$B$206:$B$229,FALSE))=0,NA(),INDEX(Z$14:Z$37,MATCH($B250,$B$14:$B$37,FALSE))/INDEX($F$206:$F$229,MATCH($B250,$B$206:$B$229,FALSE))),NA()),NA())</f>
        <v>#N/A</v>
      </c>
      <c r="AB250" s="65" t="e">
        <f>IF(AA58=1,IF(AA$13&lt;=COUNT($C30:$CS30),IF(INDEX($F$206:$F$229,MATCH($B250,$B$206:$B$229,FALSE))=0,NA(),INDEX(AA$14:AA$37,MATCH($B250,$B$14:$B$37,FALSE))/INDEX($F$206:$F$229,MATCH($B250,$B$206:$B$229,FALSE))),NA()),NA())</f>
        <v>#N/A</v>
      </c>
      <c r="AC250" s="65" t="e">
        <f>IF(AB58=1,IF(AB$13&lt;=COUNT($C30:$CS30),IF(INDEX($F$206:$F$229,MATCH($B250,$B$206:$B$229,FALSE))=0,NA(),INDEX(AB$14:AB$37,MATCH($B250,$B$14:$B$37,FALSE))/INDEX($F$206:$F$229,MATCH($B250,$B$206:$B$229,FALSE))),NA()),NA())</f>
        <v>#N/A</v>
      </c>
      <c r="AD250" s="65" t="e">
        <f>IF(AC58=1,IF(AC$13&lt;=COUNT($C30:$CS30),IF(INDEX($F$206:$F$229,MATCH($B250,$B$206:$B$229,FALSE))=0,NA(),INDEX(AC$14:AC$37,MATCH($B250,$B$14:$B$37,FALSE))/INDEX($F$206:$F$229,MATCH($B250,$B$206:$B$229,FALSE))),NA()),NA())</f>
        <v>#N/A</v>
      </c>
      <c r="AE250" s="65" t="e">
        <f>IF(AD58=1,IF(AD$13&lt;=COUNT($C30:$CS30),IF(INDEX($F$206:$F$229,MATCH($B250,$B$206:$B$229,FALSE))=0,NA(),INDEX(AD$14:AD$37,MATCH($B250,$B$14:$B$37,FALSE))/INDEX($F$206:$F$229,MATCH($B250,$B$206:$B$229,FALSE))),NA()),NA())</f>
        <v>#N/A</v>
      </c>
      <c r="AF250" s="65" t="e">
        <f>IF(AE58=1,IF(AE$13&lt;=COUNT($C30:$CS30),IF(INDEX($F$206:$F$229,MATCH($B250,$B$206:$B$229,FALSE))=0,NA(),INDEX(AE$14:AE$37,MATCH($B250,$B$14:$B$37,FALSE))/INDEX($F$206:$F$229,MATCH($B250,$B$206:$B$229,FALSE))),NA()),NA())</f>
        <v>#N/A</v>
      </c>
      <c r="AG250" s="65" t="e">
        <f>IF(AF58=1,IF(AF$13&lt;=COUNT($C30:$CS30),IF(INDEX($F$206:$F$229,MATCH($B250,$B$206:$B$229,FALSE))=0,NA(),INDEX(AF$14:AF$37,MATCH($B250,$B$14:$B$37,FALSE))/INDEX($F$206:$F$229,MATCH($B250,$B$206:$B$229,FALSE))),NA()),NA())</f>
        <v>#N/A</v>
      </c>
      <c r="AH250" s="65" t="e">
        <f>IF(AG58=1,IF(AG$13&lt;=COUNT($C30:$CS30),IF(INDEX($F$206:$F$229,MATCH($B250,$B$206:$B$229,FALSE))=0,NA(),INDEX(AG$14:AG$37,MATCH($B250,$B$14:$B$37,FALSE))/INDEX($F$206:$F$229,MATCH($B250,$B$206:$B$229,FALSE))),NA()),NA())</f>
        <v>#N/A</v>
      </c>
      <c r="AI250" s="65" t="e">
        <f>IF(AH58=1,IF(AH$13&lt;=COUNT($C30:$CS30),IF(INDEX($F$206:$F$229,MATCH($B250,$B$206:$B$229,FALSE))=0,NA(),INDEX(AH$14:AH$37,MATCH($B250,$B$14:$B$37,FALSE))/INDEX($F$206:$F$229,MATCH($B250,$B$206:$B$229,FALSE))),NA()),NA())</f>
        <v>#N/A</v>
      </c>
      <c r="AJ250" s="65" t="e">
        <f>IF(AI58=1,IF(AI$13&lt;=COUNT($C30:$CS30),IF(INDEX($F$206:$F$229,MATCH($B250,$B$206:$B$229,FALSE))=0,NA(),INDEX(AI$14:AI$37,MATCH($B250,$B$14:$B$37,FALSE))/INDEX($F$206:$F$229,MATCH($B250,$B$206:$B$229,FALSE))),NA()),NA())</f>
        <v>#N/A</v>
      </c>
      <c r="AK250" s="65" t="e">
        <f>IF(AJ58=1,IF(AJ$13&lt;=COUNT($C30:$CS30),IF(INDEX($F$206:$F$229,MATCH($B250,$B$206:$B$229,FALSE))=0,NA(),INDEX(AJ$14:AJ$37,MATCH($B250,$B$14:$B$37,FALSE))/INDEX($F$206:$F$229,MATCH($B250,$B$206:$B$229,FALSE))),NA()),NA())</f>
        <v>#N/A</v>
      </c>
      <c r="AL250" s="65" t="e">
        <f>IF(AK58=1,IF(AK$13&lt;=COUNT($C30:$CS30),IF(INDEX($F$206:$F$229,MATCH($B250,$B$206:$B$229,FALSE))=0,NA(),INDEX(AK$14:AK$37,MATCH($B250,$B$14:$B$37,FALSE))/INDEX($F$206:$F$229,MATCH($B250,$B$206:$B$229,FALSE))),NA()),NA())</f>
        <v>#N/A</v>
      </c>
      <c r="AM250" s="65" t="e">
        <f>IF(AL58=1,IF(AL$13&lt;=COUNT($C30:$CS30),IF(INDEX($F$206:$F$229,MATCH($B250,$B$206:$B$229,FALSE))=0,NA(),INDEX(AL$14:AL$37,MATCH($B250,$B$14:$B$37,FALSE))/INDEX($F$206:$F$229,MATCH($B250,$B$206:$B$229,FALSE))),NA()),NA())</f>
        <v>#N/A</v>
      </c>
      <c r="AN250" s="65" t="e">
        <f>IF(AM58=1,IF(AM$13&lt;=COUNT($C30:$CS30),IF(INDEX($F$206:$F$229,MATCH($B250,$B$206:$B$229,FALSE))=0,NA(),INDEX(AM$14:AM$37,MATCH($B250,$B$14:$B$37,FALSE))/INDEX($F$206:$F$229,MATCH($B250,$B$206:$B$229,FALSE))),NA()),NA())</f>
        <v>#N/A</v>
      </c>
      <c r="AO250" s="65" t="e">
        <f>IF(AN58=1,IF(AN$13&lt;=COUNT($C30:$CS30),IF(INDEX($F$206:$F$229,MATCH($B250,$B$206:$B$229,FALSE))=0,NA(),INDEX(AN$14:AN$37,MATCH($B250,$B$14:$B$37,FALSE))/INDEX($F$206:$F$229,MATCH($B250,$B$206:$B$229,FALSE))),NA()),NA())</f>
        <v>#N/A</v>
      </c>
      <c r="AP250" s="65" t="e">
        <f>IF(AO58=1,IF(AO$13&lt;=COUNT($C30:$CS30),IF(INDEX($F$206:$F$229,MATCH($B250,$B$206:$B$229,FALSE))=0,NA(),INDEX(AO$14:AO$37,MATCH($B250,$B$14:$B$37,FALSE))/INDEX($F$206:$F$229,MATCH($B250,$B$206:$B$229,FALSE))),NA()),NA())</f>
        <v>#N/A</v>
      </c>
      <c r="AQ250" s="65" t="e">
        <f>IF(AP58=1,IF(AP$13&lt;=COUNT($C30:$CS30),IF(INDEX($F$206:$F$229,MATCH($B250,$B$206:$B$229,FALSE))=0,NA(),INDEX(AP$14:AP$37,MATCH($B250,$B$14:$B$37,FALSE))/INDEX($F$206:$F$229,MATCH($B250,$B$206:$B$229,FALSE))),NA()),NA())</f>
        <v>#N/A</v>
      </c>
      <c r="AR250" s="65" t="e">
        <f>IF(AQ58=1,IF(AQ$13&lt;=COUNT($C30:$CS30),IF(INDEX($F$206:$F$229,MATCH($B250,$B$206:$B$229,FALSE))=0,NA(),INDEX(AQ$14:AQ$37,MATCH($B250,$B$14:$B$37,FALSE))/INDEX($F$206:$F$229,MATCH($B250,$B$206:$B$229,FALSE))),NA()),NA())</f>
        <v>#N/A</v>
      </c>
      <c r="AS250" s="65" t="e">
        <f>IF(AR58=1,IF(AR$13&lt;=COUNT($C30:$CS30),IF(INDEX($F$206:$F$229,MATCH($B250,$B$206:$B$229,FALSE))=0,NA(),INDEX(AR$14:AR$37,MATCH($B250,$B$14:$B$37,FALSE))/INDEX($F$206:$F$229,MATCH($B250,$B$206:$B$229,FALSE))),NA()),NA())</f>
        <v>#N/A</v>
      </c>
      <c r="AT250" s="65" t="e">
        <f>IF(AS58=1,IF(AS$13&lt;=COUNT($C30:$CS30),IF(INDEX($F$206:$F$229,MATCH($B250,$B$206:$B$229,FALSE))=0,NA(),INDEX(AS$14:AS$37,MATCH($B250,$B$14:$B$37,FALSE))/INDEX($F$206:$F$229,MATCH($B250,$B$206:$B$229,FALSE))),NA()),NA())</f>
        <v>#N/A</v>
      </c>
      <c r="AU250" s="65" t="e">
        <f>IF(AT58=1,IF(AT$13&lt;=COUNT($C30:$CS30),IF(INDEX($F$206:$F$229,MATCH($B250,$B$206:$B$229,FALSE))=0,NA(),INDEX(AT$14:AT$37,MATCH($B250,$B$14:$B$37,FALSE))/INDEX($F$206:$F$229,MATCH($B250,$B$206:$B$229,FALSE))),NA()),NA())</f>
        <v>#N/A</v>
      </c>
      <c r="AV250" s="65" t="e">
        <f>IF(AU58=1,IF(AU$13&lt;=COUNT($C30:$CS30),IF(INDEX($F$206:$F$229,MATCH($B250,$B$206:$B$229,FALSE))=0,NA(),INDEX(AU$14:AU$37,MATCH($B250,$B$14:$B$37,FALSE))/INDEX($F$206:$F$229,MATCH($B250,$B$206:$B$229,FALSE))),NA()),NA())</f>
        <v>#N/A</v>
      </c>
      <c r="AW250" s="65" t="e">
        <f>IF(AV58=1,IF(AV$13&lt;=COUNT($C30:$CS30),IF(INDEX($F$206:$F$229,MATCH($B250,$B$206:$B$229,FALSE))=0,NA(),INDEX(AV$14:AV$37,MATCH($B250,$B$14:$B$37,FALSE))/INDEX($F$206:$F$229,MATCH($B250,$B$206:$B$229,FALSE))),NA()),NA())</f>
        <v>#N/A</v>
      </c>
      <c r="AX250" s="65" t="e">
        <f>IF(AW58=1,IF(AW$13&lt;=COUNT($C30:$CS30),IF(INDEX($F$206:$F$229,MATCH($B250,$B$206:$B$229,FALSE))=0,NA(),INDEX(AW$14:AW$37,MATCH($B250,$B$14:$B$37,FALSE))/INDEX($F$206:$F$229,MATCH($B250,$B$206:$B$229,FALSE))),NA()),NA())</f>
        <v>#N/A</v>
      </c>
      <c r="AY250" s="65" t="e">
        <f>IF(AX58=1,IF(AX$13&lt;=COUNT($C30:$CS30),IF(INDEX($F$206:$F$229,MATCH($B250,$B$206:$B$229,FALSE))=0,NA(),INDEX(AX$14:AX$37,MATCH($B250,$B$14:$B$37,FALSE))/INDEX($F$206:$F$229,MATCH($B250,$B$206:$B$229,FALSE))),NA()),NA())</f>
        <v>#N/A</v>
      </c>
      <c r="AZ250" s="65" t="e">
        <f>IF(AY58=1,IF(AY$13&lt;=COUNT($C30:$CS30),IF(INDEX($F$206:$F$229,MATCH($B250,$B$206:$B$229,FALSE))=0,NA(),INDEX(AY$14:AY$37,MATCH($B250,$B$14:$B$37,FALSE))/INDEX($F$206:$F$229,MATCH($B250,$B$206:$B$229,FALSE))),NA()),NA())</f>
        <v>#N/A</v>
      </c>
      <c r="BA250" s="65" t="e">
        <f>IF(AZ58=1,IF(AZ$13&lt;=COUNT($C30:$CS30),IF(INDEX($F$206:$F$229,MATCH($B250,$B$206:$B$229,FALSE))=0,NA(),INDEX(AZ$14:AZ$37,MATCH($B250,$B$14:$B$37,FALSE))/INDEX($F$206:$F$229,MATCH($B250,$B$206:$B$229,FALSE))),NA()),NA())</f>
        <v>#N/A</v>
      </c>
      <c r="BB250" s="65" t="e">
        <f>IF(BA58=1,IF(BA$13&lt;=COUNT($C30:$CS30),IF(INDEX($F$206:$F$229,MATCH($B250,$B$206:$B$229,FALSE))=0,NA(),INDEX(BA$14:BA$37,MATCH($B250,$B$14:$B$37,FALSE))/INDEX($F$206:$F$229,MATCH($B250,$B$206:$B$229,FALSE))),NA()),NA())</f>
        <v>#N/A</v>
      </c>
      <c r="BC250" s="65" t="e">
        <f>IF(BB58=1,IF(BB$13&lt;=COUNT($C30:$CS30),IF(INDEX($F$206:$F$229,MATCH($B250,$B$206:$B$229,FALSE))=0,NA(),INDEX(BB$14:BB$37,MATCH($B250,$B$14:$B$37,FALSE))/INDEX($F$206:$F$229,MATCH($B250,$B$206:$B$229,FALSE))),NA()),NA())</f>
        <v>#N/A</v>
      </c>
      <c r="BD250" s="65" t="e">
        <f>IF(BC58=1,IF(BC$13&lt;=COUNT($C30:$CS30),IF(INDEX($F$206:$F$229,MATCH($B250,$B$206:$B$229,FALSE))=0,NA(),INDEX(BC$14:BC$37,MATCH($B250,$B$14:$B$37,FALSE))/INDEX($F$206:$F$229,MATCH($B250,$B$206:$B$229,FALSE))),NA()),NA())</f>
        <v>#N/A</v>
      </c>
      <c r="BE250" s="65" t="e">
        <f>IF(BD58=1,IF(BD$13&lt;=COUNT($C30:$CS30),IF(INDEX($F$206:$F$229,MATCH($B250,$B$206:$B$229,FALSE))=0,NA(),INDEX(BD$14:BD$37,MATCH($B250,$B$14:$B$37,FALSE))/INDEX($F$206:$F$229,MATCH($B250,$B$206:$B$229,FALSE))),NA()),NA())</f>
        <v>#N/A</v>
      </c>
      <c r="BF250" s="65" t="e">
        <f>IF(BE58=1,IF(BE$13&lt;=COUNT($C30:$CS30),IF(INDEX($F$206:$F$229,MATCH($B250,$B$206:$B$229,FALSE))=0,NA(),INDEX(BE$14:BE$37,MATCH($B250,$B$14:$B$37,FALSE))/INDEX($F$206:$F$229,MATCH($B250,$B$206:$B$229,FALSE))),NA()),NA())</f>
        <v>#N/A</v>
      </c>
      <c r="BG250" s="65" t="e">
        <f>IF(BF58=1,IF(BF$13&lt;=COUNT($C30:$CS30),IF(INDEX($F$206:$F$229,MATCH($B250,$B$206:$B$229,FALSE))=0,NA(),INDEX(BF$14:BF$37,MATCH($B250,$B$14:$B$37,FALSE))/INDEX($F$206:$F$229,MATCH($B250,$B$206:$B$229,FALSE))),NA()),NA())</f>
        <v>#N/A</v>
      </c>
      <c r="BH250" s="65" t="e">
        <f>IF(BG58=1,IF(BG$13&lt;=COUNT($C30:$CS30),IF(INDEX($F$206:$F$229,MATCH($B250,$B$206:$B$229,FALSE))=0,NA(),INDEX(BG$14:BG$37,MATCH($B250,$B$14:$B$37,FALSE))/INDEX($F$206:$F$229,MATCH($B250,$B$206:$B$229,FALSE))),NA()),NA())</f>
        <v>#N/A</v>
      </c>
      <c r="BI250" s="65" t="e">
        <f>IF(BH58=1,IF(BH$13&lt;=COUNT($C30:$CS30),IF(INDEX($F$206:$F$229,MATCH($B250,$B$206:$B$229,FALSE))=0,NA(),INDEX(BH$14:BH$37,MATCH($B250,$B$14:$B$37,FALSE))/INDEX($F$206:$F$229,MATCH($B250,$B$206:$B$229,FALSE))),NA()),NA())</f>
        <v>#N/A</v>
      </c>
      <c r="BJ250" s="65" t="e">
        <f>IF(BI58=1,IF(BI$13&lt;=COUNT($C30:$CS30),IF(INDEX($F$206:$F$229,MATCH($B250,$B$206:$B$229,FALSE))=0,NA(),INDEX(BI$14:BI$37,MATCH($B250,$B$14:$B$37,FALSE))/INDEX($F$206:$F$229,MATCH($B250,$B$206:$B$229,FALSE))),NA()),NA())</f>
        <v>#N/A</v>
      </c>
      <c r="BK250" s="65" t="e">
        <f>IF(BJ58=1,IF(BJ$13&lt;=COUNT($C30:$CS30),IF(INDEX($F$206:$F$229,MATCH($B250,$B$206:$B$229,FALSE))=0,NA(),INDEX(BJ$14:BJ$37,MATCH($B250,$B$14:$B$37,FALSE))/INDEX($F$206:$F$229,MATCH($B250,$B$206:$B$229,FALSE))),NA()),NA())</f>
        <v>#N/A</v>
      </c>
      <c r="BL250" s="65" t="e">
        <f>IF(BK58=1,IF(BK$13&lt;=COUNT($C30:$CS30),IF(INDEX($F$206:$F$229,MATCH($B250,$B$206:$B$229,FALSE))=0,NA(),INDEX(BK$14:BK$37,MATCH($B250,$B$14:$B$37,FALSE))/INDEX($F$206:$F$229,MATCH($B250,$B$206:$B$229,FALSE))),NA()),NA())</f>
        <v>#N/A</v>
      </c>
      <c r="BM250" s="65" t="e">
        <f>IF(BL58=1,IF(BL$13&lt;=COUNT($C30:$CS30),IF(INDEX($F$206:$F$229,MATCH($B250,$B$206:$B$229,FALSE))=0,NA(),INDEX(BL$14:BL$37,MATCH($B250,$B$14:$B$37,FALSE))/INDEX($F$206:$F$229,MATCH($B250,$B$206:$B$229,FALSE))),NA()),NA())</f>
        <v>#N/A</v>
      </c>
      <c r="BN250" s="65" t="e">
        <f>IF(BM58=1,IF(BM$13&lt;=COUNT($C30:$CS30),IF(INDEX($F$206:$F$229,MATCH($B250,$B$206:$B$229,FALSE))=0,NA(),INDEX(BM$14:BM$37,MATCH($B250,$B$14:$B$37,FALSE))/INDEX($F$206:$F$229,MATCH($B250,$B$206:$B$229,FALSE))),NA()),NA())</f>
        <v>#N/A</v>
      </c>
      <c r="BO250" s="65" t="e">
        <f>IF(BN58=1,IF(BN$13&lt;=COUNT($C30:$CS30),IF(INDEX($F$206:$F$229,MATCH($B250,$B$206:$B$229,FALSE))=0,NA(),INDEX(BN$14:BN$37,MATCH($B250,$B$14:$B$37,FALSE))/INDEX($F$206:$F$229,MATCH($B250,$B$206:$B$229,FALSE))),NA()),NA())</f>
        <v>#N/A</v>
      </c>
      <c r="BP250" s="65" t="e">
        <f>IF(BO58=1,IF(BO$13&lt;=COUNT($C30:$CS30),IF(INDEX($F$206:$F$229,MATCH($B250,$B$206:$B$229,FALSE))=0,NA(),INDEX(BO$14:BO$37,MATCH($B250,$B$14:$B$37,FALSE))/INDEX($F$206:$F$229,MATCH($B250,$B$206:$B$229,FALSE))),NA()),NA())</f>
        <v>#N/A</v>
      </c>
      <c r="BQ250" s="65" t="e">
        <f>IF(BP58=1,IF(BP$13&lt;=COUNT($C30:$CS30),IF(INDEX($F$206:$F$229,MATCH($B250,$B$206:$B$229,FALSE))=0,NA(),INDEX(BP$14:BP$37,MATCH($B250,$B$14:$B$37,FALSE))/INDEX($F$206:$F$229,MATCH($B250,$B$206:$B$229,FALSE))),NA()),NA())</f>
        <v>#N/A</v>
      </c>
      <c r="BR250" s="65" t="e">
        <f>IF(BQ58=1,IF(BQ$13&lt;=COUNT($C30:$CS30),IF(INDEX($F$206:$F$229,MATCH($B250,$B$206:$B$229,FALSE))=0,NA(),INDEX(BQ$14:BQ$37,MATCH($B250,$B$14:$B$37,FALSE))/INDEX($F$206:$F$229,MATCH($B250,$B$206:$B$229,FALSE))),NA()),NA())</f>
        <v>#N/A</v>
      </c>
      <c r="BS250" s="65" t="e">
        <f>IF(BR58=1,IF(BR$13&lt;=COUNT($C30:$CS30),IF(INDEX($F$206:$F$229,MATCH($B250,$B$206:$B$229,FALSE))=0,NA(),INDEX(BR$14:BR$37,MATCH($B250,$B$14:$B$37,FALSE))/INDEX($F$206:$F$229,MATCH($B250,$B$206:$B$229,FALSE))),NA()),NA())</f>
        <v>#N/A</v>
      </c>
      <c r="BT250" s="65" t="e">
        <f>IF(BS58=1,IF(BS$13&lt;=COUNT($C30:$CS30),IF(INDEX($F$206:$F$229,MATCH($B250,$B$206:$B$229,FALSE))=0,NA(),INDEX(BS$14:BS$37,MATCH($B250,$B$14:$B$37,FALSE))/INDEX($F$206:$F$229,MATCH($B250,$B$206:$B$229,FALSE))),NA()),NA())</f>
        <v>#N/A</v>
      </c>
      <c r="BU250" s="65" t="e">
        <f>IF(BT58=1,IF(BT$13&lt;=COUNT($C30:$CS30),IF(INDEX($F$206:$F$229,MATCH($B250,$B$206:$B$229,FALSE))=0,NA(),INDEX(BT$14:BT$37,MATCH($B250,$B$14:$B$37,FALSE))/INDEX($F$206:$F$229,MATCH($B250,$B$206:$B$229,FALSE))),NA()),NA())</f>
        <v>#N/A</v>
      </c>
      <c r="BV250" s="65" t="e">
        <f>IF(BU58=1,IF(BU$13&lt;=COUNT($C30:$CS30),IF(INDEX($F$206:$F$229,MATCH($B250,$B$206:$B$229,FALSE))=0,NA(),INDEX(BU$14:BU$37,MATCH($B250,$B$14:$B$37,FALSE))/INDEX($F$206:$F$229,MATCH($B250,$B$206:$B$229,FALSE))),NA()),NA())</f>
        <v>#N/A</v>
      </c>
      <c r="BW250" s="65" t="e">
        <f>IF(BV58=1,IF(BV$13&lt;=COUNT($C30:$CS30),IF(INDEX($F$206:$F$229,MATCH($B250,$B$206:$B$229,FALSE))=0,NA(),INDEX(BV$14:BV$37,MATCH($B250,$B$14:$B$37,FALSE))/INDEX($F$206:$F$229,MATCH($B250,$B$206:$B$229,FALSE))),NA()),NA())</f>
        <v>#N/A</v>
      </c>
      <c r="BX250" s="65" t="e">
        <f>IF(BW58=1,IF(BW$13&lt;=COUNT($C30:$CS30),IF(INDEX($F$206:$F$229,MATCH($B250,$B$206:$B$229,FALSE))=0,NA(),INDEX(BW$14:BW$37,MATCH($B250,$B$14:$B$37,FALSE))/INDEX($F$206:$F$229,MATCH($B250,$B$206:$B$229,FALSE))),NA()),NA())</f>
        <v>#N/A</v>
      </c>
      <c r="BY250" s="65" t="e">
        <f>IF(BX58=1,IF(BX$13&lt;=COUNT($C30:$CS30),IF(INDEX($F$206:$F$229,MATCH($B250,$B$206:$B$229,FALSE))=0,NA(),INDEX(BX$14:BX$37,MATCH($B250,$B$14:$B$37,FALSE))/INDEX($F$206:$F$229,MATCH($B250,$B$206:$B$229,FALSE))),NA()),NA())</f>
        <v>#N/A</v>
      </c>
      <c r="BZ250" s="65" t="e">
        <f>IF(BY58=1,IF(BY$13&lt;=COUNT($C30:$CS30),IF(INDEX($F$206:$F$229,MATCH($B250,$B$206:$B$229,FALSE))=0,NA(),INDEX(BY$14:BY$37,MATCH($B250,$B$14:$B$37,FALSE))/INDEX($F$206:$F$229,MATCH($B250,$B$206:$B$229,FALSE))),NA()),NA())</f>
        <v>#N/A</v>
      </c>
      <c r="CA250" s="65" t="e">
        <f>IF(BZ58=1,IF(BZ$13&lt;=COUNT($C30:$CS30),IF(INDEX($F$206:$F$229,MATCH($B250,$B$206:$B$229,FALSE))=0,NA(),INDEX(BZ$14:BZ$37,MATCH($B250,$B$14:$B$37,FALSE))/INDEX($F$206:$F$229,MATCH($B250,$B$206:$B$229,FALSE))),NA()),NA())</f>
        <v>#N/A</v>
      </c>
      <c r="CB250" s="65" t="e">
        <f>IF(CA58=1,IF(CA$13&lt;=COUNT($C30:$CS30),IF(INDEX($F$206:$F$229,MATCH($B250,$B$206:$B$229,FALSE))=0,NA(),INDEX(CA$14:CA$37,MATCH($B250,$B$14:$B$37,FALSE))/INDEX($F$206:$F$229,MATCH($B250,$B$206:$B$229,FALSE))),NA()),NA())</f>
        <v>#N/A</v>
      </c>
      <c r="CC250" s="65" t="e">
        <f>IF(CB58=1,IF(CB$13&lt;=COUNT($C30:$CS30),IF(INDEX($F$206:$F$229,MATCH($B250,$B$206:$B$229,FALSE))=0,NA(),INDEX(CB$14:CB$37,MATCH($B250,$B$14:$B$37,FALSE))/INDEX($F$206:$F$229,MATCH($B250,$B$206:$B$229,FALSE))),NA()),NA())</f>
        <v>#N/A</v>
      </c>
      <c r="CD250" s="65" t="e">
        <f>IF(CC58=1,IF(CC$13&lt;=COUNT($C30:$CS30),IF(INDEX($F$206:$F$229,MATCH($B250,$B$206:$B$229,FALSE))=0,NA(),INDEX(CC$14:CC$37,MATCH($B250,$B$14:$B$37,FALSE))/INDEX($F$206:$F$229,MATCH($B250,$B$206:$B$229,FALSE))),NA()),NA())</f>
        <v>#N/A</v>
      </c>
      <c r="CE250" s="65" t="e">
        <f>IF(CD58=1,IF(CD$13&lt;=COUNT($C30:$CS30),IF(INDEX($F$206:$F$229,MATCH($B250,$B$206:$B$229,FALSE))=0,NA(),INDEX(CD$14:CD$37,MATCH($B250,$B$14:$B$37,FALSE))/INDEX($F$206:$F$229,MATCH($B250,$B$206:$B$229,FALSE))),NA()),NA())</f>
        <v>#N/A</v>
      </c>
      <c r="CF250" s="65" t="e">
        <f>IF(CE58=1,IF(CE$13&lt;=COUNT($C30:$CS30),IF(INDEX($F$206:$F$229,MATCH($B250,$B$206:$B$229,FALSE))=0,NA(),INDEX(CE$14:CE$37,MATCH($B250,$B$14:$B$37,FALSE))/INDEX($F$206:$F$229,MATCH($B250,$B$206:$B$229,FALSE))),NA()),NA())</f>
        <v>#N/A</v>
      </c>
      <c r="CG250" s="65" t="e">
        <f>IF(CF58=1,IF(CF$13&lt;=COUNT($C30:$CS30),IF(INDEX($F$206:$F$229,MATCH($B250,$B$206:$B$229,FALSE))=0,NA(),INDEX(CF$14:CF$37,MATCH($B250,$B$14:$B$37,FALSE))/INDEX($F$206:$F$229,MATCH($B250,$B$206:$B$229,FALSE))),NA()),NA())</f>
        <v>#N/A</v>
      </c>
      <c r="CH250" s="65" t="e">
        <f>IF(CG58=1,IF(CG$13&lt;=COUNT($C30:$CS30),IF(INDEX($F$206:$F$229,MATCH($B250,$B$206:$B$229,FALSE))=0,NA(),INDEX(CG$14:CG$37,MATCH($B250,$B$14:$B$37,FALSE))/INDEX($F$206:$F$229,MATCH($B250,$B$206:$B$229,FALSE))),NA()),NA())</f>
        <v>#N/A</v>
      </c>
      <c r="CI250" s="65" t="e">
        <f>IF(CH58=1,IF(CH$13&lt;=COUNT($C30:$CS30),IF(INDEX($F$206:$F$229,MATCH($B250,$B$206:$B$229,FALSE))=0,NA(),INDEX(CH$14:CH$37,MATCH($B250,$B$14:$B$37,FALSE))/INDEX($F$206:$F$229,MATCH($B250,$B$206:$B$229,FALSE))),NA()),NA())</f>
        <v>#N/A</v>
      </c>
      <c r="CJ250" s="65" t="e">
        <f>IF(CI58=1,IF(CI$13&lt;=COUNT($C30:$CS30),IF(INDEX($F$206:$F$229,MATCH($B250,$B$206:$B$229,FALSE))=0,NA(),INDEX(CI$14:CI$37,MATCH($B250,$B$14:$B$37,FALSE))/INDEX($F$206:$F$229,MATCH($B250,$B$206:$B$229,FALSE))),NA()),NA())</f>
        <v>#N/A</v>
      </c>
      <c r="CK250" s="65" t="e">
        <f>IF(CJ58=1,IF(CJ$13&lt;=COUNT($C30:$CS30),IF(INDEX($F$206:$F$229,MATCH($B250,$B$206:$B$229,FALSE))=0,NA(),INDEX(CJ$14:CJ$37,MATCH($B250,$B$14:$B$37,FALSE))/INDEX($F$206:$F$229,MATCH($B250,$B$206:$B$229,FALSE))),NA()),NA())</f>
        <v>#N/A</v>
      </c>
      <c r="CL250" s="65" t="e">
        <f>IF(CK58=1,IF(CK$13&lt;=COUNT($C30:$CS30),IF(INDEX($F$206:$F$229,MATCH($B250,$B$206:$B$229,FALSE))=0,NA(),INDEX(CK$14:CK$37,MATCH($B250,$B$14:$B$37,FALSE))/INDEX($F$206:$F$229,MATCH($B250,$B$206:$B$229,FALSE))),NA()),NA())</f>
        <v>#N/A</v>
      </c>
      <c r="CM250" s="65" t="e">
        <f>IF(CL58=1,IF(CL$13&lt;=COUNT($C30:$CS30),IF(INDEX($F$206:$F$229,MATCH($B250,$B$206:$B$229,FALSE))=0,NA(),INDEX(CL$14:CL$37,MATCH($B250,$B$14:$B$37,FALSE))/INDEX($F$206:$F$229,MATCH($B250,$B$206:$B$229,FALSE))),NA()),NA())</f>
        <v>#N/A</v>
      </c>
      <c r="CN250" s="65" t="e">
        <f>IF(CM58=1,IF(CM$13&lt;=COUNT($C30:$CS30),IF(INDEX($F$206:$F$229,MATCH($B250,$B$206:$B$229,FALSE))=0,NA(),INDEX(CM$14:CM$37,MATCH($B250,$B$14:$B$37,FALSE))/INDEX($F$206:$F$229,MATCH($B250,$B$206:$B$229,FALSE))),NA()),NA())</f>
        <v>#N/A</v>
      </c>
      <c r="CO250" s="65" t="e">
        <f>IF(CN58=1,IF(CN$13&lt;=COUNT($C30:$CS30),IF(INDEX($F$206:$F$229,MATCH($B250,$B$206:$B$229,FALSE))=0,NA(),INDEX(CN$14:CN$37,MATCH($B250,$B$14:$B$37,FALSE))/INDEX($F$206:$F$229,MATCH($B250,$B$206:$B$229,FALSE))),NA()),NA())</f>
        <v>#N/A</v>
      </c>
      <c r="CP250" s="65" t="e">
        <f>IF(CO58=1,IF(CO$13&lt;=COUNT($C30:$CS30),IF(INDEX($F$206:$F$229,MATCH($B250,$B$206:$B$229,FALSE))=0,NA(),INDEX(CO$14:CO$37,MATCH($B250,$B$14:$B$37,FALSE))/INDEX($F$206:$F$229,MATCH($B250,$B$206:$B$229,FALSE))),NA()),NA())</f>
        <v>#N/A</v>
      </c>
      <c r="CQ250" s="65" t="e">
        <f>IF(CP58=1,IF(CP$13&lt;=COUNT($C30:$CS30),IF(INDEX($F$206:$F$229,MATCH($B250,$B$206:$B$229,FALSE))=0,NA(),INDEX(CP$14:CP$37,MATCH($B250,$B$14:$B$37,FALSE))/INDEX($F$206:$F$229,MATCH($B250,$B$206:$B$229,FALSE))),NA()),NA())</f>
        <v>#N/A</v>
      </c>
      <c r="CR250" s="65" t="e">
        <f>IF(CQ58=1,IF(CQ$13&lt;=COUNT($C30:$CS30),IF(INDEX($F$206:$F$229,MATCH($B250,$B$206:$B$229,FALSE))=0,NA(),INDEX(CQ$14:CQ$37,MATCH($B250,$B$14:$B$37,FALSE))/INDEX($F$206:$F$229,MATCH($B250,$B$206:$B$229,FALSE))),NA()),NA())</f>
        <v>#N/A</v>
      </c>
      <c r="CS250" s="65" t="e">
        <f>IF(CR58=1,IF(CR$13&lt;=COUNT($C30:$CS30),IF(INDEX($F$206:$F$229,MATCH($B250,$B$206:$B$229,FALSE))=0,NA(),INDEX(CR$14:CR$37,MATCH($B250,$B$14:$B$37,FALSE))/INDEX($F$206:$F$229,MATCH($B250,$B$206:$B$229,FALSE))),NA()),NA())</f>
        <v>#N/A</v>
      </c>
      <c r="CT250" s="49"/>
      <c r="CU250" s="49"/>
      <c r="CV250" s="49"/>
      <c r="CW250" s="49"/>
    </row>
    <row r="251" spans="1:101" x14ac:dyDescent="0.25">
      <c r="A251" s="97">
        <f t="shared" si="105"/>
        <v>1</v>
      </c>
      <c r="B251" s="29">
        <f t="shared" si="104"/>
        <v>2013</v>
      </c>
      <c r="C251" s="154" t="str">
        <f t="shared" si="106"/>
        <v/>
      </c>
      <c r="D251" s="54" t="e">
        <f ca="1">IF(C59=1,IF(C$13&lt;=COUNT($C31:$CS31),IF(INDEX($F$206:$F$229,MATCH($B251,$B$206:$B$229,FALSE))=0,NA(),INDEX(C$14:C$37,MATCH($B251,$B$14:$B$37,FALSE))/INDEX($F$206:$F$229,MATCH($B251,$B$206:$B$229,FALSE))),NA()),NA())</f>
        <v>#N/A</v>
      </c>
      <c r="E251" s="65" t="e">
        <f ca="1">IF(D59=1,IF(D$13&lt;=COUNT($C31:$CS31),IF(INDEX($F$206:$F$229,MATCH($B251,$B$206:$B$229,FALSE))=0,NA(),INDEX(D$14:D$37,MATCH($B251,$B$14:$B$37,FALSE))/INDEX($F$206:$F$229,MATCH($B251,$B$206:$B$229,FALSE))),NA()),NA())</f>
        <v>#N/A</v>
      </c>
      <c r="F251" s="65" t="e">
        <f ca="1">IF(E59=1,IF(E$13&lt;=COUNT($C31:$CS31),IF(INDEX($F$206:$F$229,MATCH($B251,$B$206:$B$229,FALSE))=0,NA(),INDEX(E$14:E$37,MATCH($B251,$B$14:$B$37,FALSE))/INDEX($F$206:$F$229,MATCH($B251,$B$206:$B$229,FALSE))),NA()),NA())</f>
        <v>#N/A</v>
      </c>
      <c r="G251" s="65" t="e">
        <f ca="1">IF(F59=1,IF(F$13&lt;=COUNT($C31:$CS31),IF(INDEX($F$206:$F$229,MATCH($B251,$B$206:$B$229,FALSE))=0,NA(),INDEX(F$14:F$37,MATCH($B251,$B$14:$B$37,FALSE))/INDEX($F$206:$F$229,MATCH($B251,$B$206:$B$229,FALSE))),NA()),NA())</f>
        <v>#N/A</v>
      </c>
      <c r="H251" s="65" t="e">
        <f ca="1">IF(G59=1,IF(G$13&lt;=COUNT($C31:$CS31),IF(INDEX($F$206:$F$229,MATCH($B251,$B$206:$B$229,FALSE))=0,NA(),INDEX(G$14:G$37,MATCH($B251,$B$14:$B$37,FALSE))/INDEX($F$206:$F$229,MATCH($B251,$B$206:$B$229,FALSE))),NA()),NA())</f>
        <v>#N/A</v>
      </c>
      <c r="I251" s="65" t="e">
        <f ca="1">IF(H59=1,IF(H$13&lt;=COUNT($C31:$CS31),IF(INDEX($F$206:$F$229,MATCH($B251,$B$206:$B$229,FALSE))=0,NA(),INDEX(H$14:H$37,MATCH($B251,$B$14:$B$37,FALSE))/INDEX($F$206:$F$229,MATCH($B251,$B$206:$B$229,FALSE))),NA()),NA())</f>
        <v>#N/A</v>
      </c>
      <c r="J251" s="65" t="e">
        <f ca="1">IF(I59=1,IF(I$13&lt;=COUNT($C31:$CS31),IF(INDEX($F$206:$F$229,MATCH($B251,$B$206:$B$229,FALSE))=0,NA(),INDEX(I$14:I$37,MATCH($B251,$B$14:$B$37,FALSE))/INDEX($F$206:$F$229,MATCH($B251,$B$206:$B$229,FALSE))),NA()),NA())</f>
        <v>#N/A</v>
      </c>
      <c r="K251" s="65" t="e">
        <f>IF(J59=1,IF(J$13&lt;=COUNT($C31:$CS31),IF(INDEX($F$206:$F$229,MATCH($B251,$B$206:$B$229,FALSE))=0,NA(),INDEX(J$14:J$37,MATCH($B251,$B$14:$B$37,FALSE))/INDEX($F$206:$F$229,MATCH($B251,$B$206:$B$229,FALSE))),NA()),NA())</f>
        <v>#N/A</v>
      </c>
      <c r="L251" s="65" t="e">
        <f>IF(K59=1,IF(K$13&lt;=COUNT($C31:$CS31),IF(INDEX($F$206:$F$229,MATCH($B251,$B$206:$B$229,FALSE))=0,NA(),INDEX(K$14:K$37,MATCH($B251,$B$14:$B$37,FALSE))/INDEX($F$206:$F$229,MATCH($B251,$B$206:$B$229,FALSE))),NA()),NA())</f>
        <v>#N/A</v>
      </c>
      <c r="M251" s="65" t="e">
        <f>IF(L59=1,IF(L$13&lt;=COUNT($C31:$CS31),IF(INDEX($F$206:$F$229,MATCH($B251,$B$206:$B$229,FALSE))=0,NA(),INDEX(L$14:L$37,MATCH($B251,$B$14:$B$37,FALSE))/INDEX($F$206:$F$229,MATCH($B251,$B$206:$B$229,FALSE))),NA()),NA())</f>
        <v>#N/A</v>
      </c>
      <c r="N251" s="65" t="e">
        <f>IF(M59=1,IF(M$13&lt;=COUNT($C31:$CS31),IF(INDEX($F$206:$F$229,MATCH($B251,$B$206:$B$229,FALSE))=0,NA(),INDEX(M$14:M$37,MATCH($B251,$B$14:$B$37,FALSE))/INDEX($F$206:$F$229,MATCH($B251,$B$206:$B$229,FALSE))),NA()),NA())</f>
        <v>#N/A</v>
      </c>
      <c r="O251" s="65" t="e">
        <f>IF(N59=1,IF(N$13&lt;=COUNT($C31:$CS31),IF(INDEX($F$206:$F$229,MATCH($B251,$B$206:$B$229,FALSE))=0,NA(),INDEX(N$14:N$37,MATCH($B251,$B$14:$B$37,FALSE))/INDEX($F$206:$F$229,MATCH($B251,$B$206:$B$229,FALSE))),NA()),NA())</f>
        <v>#N/A</v>
      </c>
      <c r="P251" s="65" t="e">
        <f>IF(O59=1,IF(O$13&lt;=COUNT($C31:$CS31),IF(INDEX($F$206:$F$229,MATCH($B251,$B$206:$B$229,FALSE))=0,NA(),INDEX(O$14:O$37,MATCH($B251,$B$14:$B$37,FALSE))/INDEX($F$206:$F$229,MATCH($B251,$B$206:$B$229,FALSE))),NA()),NA())</f>
        <v>#N/A</v>
      </c>
      <c r="Q251" s="65" t="e">
        <f>IF(P59=1,IF(P$13&lt;=COUNT($C31:$CS31),IF(INDEX($F$206:$F$229,MATCH($B251,$B$206:$B$229,FALSE))=0,NA(),INDEX(P$14:P$37,MATCH($B251,$B$14:$B$37,FALSE))/INDEX($F$206:$F$229,MATCH($B251,$B$206:$B$229,FALSE))),NA()),NA())</f>
        <v>#N/A</v>
      </c>
      <c r="R251" s="65" t="e">
        <f>IF(Q59=1,IF(Q$13&lt;=COUNT($C31:$CS31),IF(INDEX($F$206:$F$229,MATCH($B251,$B$206:$B$229,FALSE))=0,NA(),INDEX(Q$14:Q$37,MATCH($B251,$B$14:$B$37,FALSE))/INDEX($F$206:$F$229,MATCH($B251,$B$206:$B$229,FALSE))),NA()),NA())</f>
        <v>#N/A</v>
      </c>
      <c r="S251" s="65" t="e">
        <f>IF(R59=1,IF(R$13&lt;=COUNT($C31:$CS31),IF(INDEX($F$206:$F$229,MATCH($B251,$B$206:$B$229,FALSE))=0,NA(),INDEX(R$14:R$37,MATCH($B251,$B$14:$B$37,FALSE))/INDEX($F$206:$F$229,MATCH($B251,$B$206:$B$229,FALSE))),NA()),NA())</f>
        <v>#N/A</v>
      </c>
      <c r="T251" s="65" t="e">
        <f>IF(S59=1,IF(S$13&lt;=COUNT($C31:$CS31),IF(INDEX($F$206:$F$229,MATCH($B251,$B$206:$B$229,FALSE))=0,NA(),INDEX(S$14:S$37,MATCH($B251,$B$14:$B$37,FALSE))/INDEX($F$206:$F$229,MATCH($B251,$B$206:$B$229,FALSE))),NA()),NA())</f>
        <v>#N/A</v>
      </c>
      <c r="U251" s="65" t="e">
        <f>IF(T59=1,IF(T$13&lt;=COUNT($C31:$CS31),IF(INDEX($F$206:$F$229,MATCH($B251,$B$206:$B$229,FALSE))=0,NA(),INDEX(T$14:T$37,MATCH($B251,$B$14:$B$37,FALSE))/INDEX($F$206:$F$229,MATCH($B251,$B$206:$B$229,FALSE))),NA()),NA())</f>
        <v>#N/A</v>
      </c>
      <c r="V251" s="65" t="e">
        <f>IF(U59=1,IF(U$13&lt;=COUNT($C31:$CS31),IF(INDEX($F$206:$F$229,MATCH($B251,$B$206:$B$229,FALSE))=0,NA(),INDEX(U$14:U$37,MATCH($B251,$B$14:$B$37,FALSE))/INDEX($F$206:$F$229,MATCH($B251,$B$206:$B$229,FALSE))),NA()),NA())</f>
        <v>#N/A</v>
      </c>
      <c r="W251" s="65" t="e">
        <f>IF(V59=1,IF(V$13&lt;=COUNT($C31:$CS31),IF(INDEX($F$206:$F$229,MATCH($B251,$B$206:$B$229,FALSE))=0,NA(),INDEX(V$14:V$37,MATCH($B251,$B$14:$B$37,FALSE))/INDEX($F$206:$F$229,MATCH($B251,$B$206:$B$229,FALSE))),NA()),NA())</f>
        <v>#N/A</v>
      </c>
      <c r="X251" s="65" t="e">
        <f>IF(W59=1,IF(W$13&lt;=COUNT($C31:$CS31),IF(INDEX($F$206:$F$229,MATCH($B251,$B$206:$B$229,FALSE))=0,NA(),INDEX(W$14:W$37,MATCH($B251,$B$14:$B$37,FALSE))/INDEX($F$206:$F$229,MATCH($B251,$B$206:$B$229,FALSE))),NA()),NA())</f>
        <v>#N/A</v>
      </c>
      <c r="Y251" s="65" t="e">
        <f>IF(X59=1,IF(X$13&lt;=COUNT($C31:$CS31),IF(INDEX($F$206:$F$229,MATCH($B251,$B$206:$B$229,FALSE))=0,NA(),INDEX(X$14:X$37,MATCH($B251,$B$14:$B$37,FALSE))/INDEX($F$206:$F$229,MATCH($B251,$B$206:$B$229,FALSE))),NA()),NA())</f>
        <v>#N/A</v>
      </c>
      <c r="Z251" s="65" t="e">
        <f>IF(Y59=1,IF(Y$13&lt;=COUNT($C31:$CS31),IF(INDEX($F$206:$F$229,MATCH($B251,$B$206:$B$229,FALSE))=0,NA(),INDEX(Y$14:Y$37,MATCH($B251,$B$14:$B$37,FALSE))/INDEX($F$206:$F$229,MATCH($B251,$B$206:$B$229,FALSE))),NA()),NA())</f>
        <v>#N/A</v>
      </c>
      <c r="AA251" s="65" t="e">
        <f>IF(Z59=1,IF(Z$13&lt;=COUNT($C31:$CS31),IF(INDEX($F$206:$F$229,MATCH($B251,$B$206:$B$229,FALSE))=0,NA(),INDEX(Z$14:Z$37,MATCH($B251,$B$14:$B$37,FALSE))/INDEX($F$206:$F$229,MATCH($B251,$B$206:$B$229,FALSE))),NA()),NA())</f>
        <v>#N/A</v>
      </c>
      <c r="AB251" s="65" t="e">
        <f>IF(AA59=1,IF(AA$13&lt;=COUNT($C31:$CS31),IF(INDEX($F$206:$F$229,MATCH($B251,$B$206:$B$229,FALSE))=0,NA(),INDEX(AA$14:AA$37,MATCH($B251,$B$14:$B$37,FALSE))/INDEX($F$206:$F$229,MATCH($B251,$B$206:$B$229,FALSE))),NA()),NA())</f>
        <v>#N/A</v>
      </c>
      <c r="AC251" s="65" t="e">
        <f>IF(AB59=1,IF(AB$13&lt;=COUNT($C31:$CS31),IF(INDEX($F$206:$F$229,MATCH($B251,$B$206:$B$229,FALSE))=0,NA(),INDEX(AB$14:AB$37,MATCH($B251,$B$14:$B$37,FALSE))/INDEX($F$206:$F$229,MATCH($B251,$B$206:$B$229,FALSE))),NA()),NA())</f>
        <v>#N/A</v>
      </c>
      <c r="AD251" s="65" t="e">
        <f>IF(AC59=1,IF(AC$13&lt;=COUNT($C31:$CS31),IF(INDEX($F$206:$F$229,MATCH($B251,$B$206:$B$229,FALSE))=0,NA(),INDEX(AC$14:AC$37,MATCH($B251,$B$14:$B$37,FALSE))/INDEX($F$206:$F$229,MATCH($B251,$B$206:$B$229,FALSE))),NA()),NA())</f>
        <v>#N/A</v>
      </c>
      <c r="AE251" s="65" t="e">
        <f>IF(AD59=1,IF(AD$13&lt;=COUNT($C31:$CS31),IF(INDEX($F$206:$F$229,MATCH($B251,$B$206:$B$229,FALSE))=0,NA(),INDEX(AD$14:AD$37,MATCH($B251,$B$14:$B$37,FALSE))/INDEX($F$206:$F$229,MATCH($B251,$B$206:$B$229,FALSE))),NA()),NA())</f>
        <v>#N/A</v>
      </c>
      <c r="AF251" s="65" t="e">
        <f>IF(AE59=1,IF(AE$13&lt;=COUNT($C31:$CS31),IF(INDEX($F$206:$F$229,MATCH($B251,$B$206:$B$229,FALSE))=0,NA(),INDEX(AE$14:AE$37,MATCH($B251,$B$14:$B$37,FALSE))/INDEX($F$206:$F$229,MATCH($B251,$B$206:$B$229,FALSE))),NA()),NA())</f>
        <v>#N/A</v>
      </c>
      <c r="AG251" s="65" t="e">
        <f>IF(AF59=1,IF(AF$13&lt;=COUNT($C31:$CS31),IF(INDEX($F$206:$F$229,MATCH($B251,$B$206:$B$229,FALSE))=0,NA(),INDEX(AF$14:AF$37,MATCH($B251,$B$14:$B$37,FALSE))/INDEX($F$206:$F$229,MATCH($B251,$B$206:$B$229,FALSE))),NA()),NA())</f>
        <v>#N/A</v>
      </c>
      <c r="AH251" s="65" t="e">
        <f>IF(AG59=1,IF(AG$13&lt;=COUNT($C31:$CS31),IF(INDEX($F$206:$F$229,MATCH($B251,$B$206:$B$229,FALSE))=0,NA(),INDEX(AG$14:AG$37,MATCH($B251,$B$14:$B$37,FALSE))/INDEX($F$206:$F$229,MATCH($B251,$B$206:$B$229,FALSE))),NA()),NA())</f>
        <v>#N/A</v>
      </c>
      <c r="AI251" s="65" t="e">
        <f>IF(AH59=1,IF(AH$13&lt;=COUNT($C31:$CS31),IF(INDEX($F$206:$F$229,MATCH($B251,$B$206:$B$229,FALSE))=0,NA(),INDEX(AH$14:AH$37,MATCH($B251,$B$14:$B$37,FALSE))/INDEX($F$206:$F$229,MATCH($B251,$B$206:$B$229,FALSE))),NA()),NA())</f>
        <v>#N/A</v>
      </c>
      <c r="AJ251" s="65" t="e">
        <f>IF(AI59=1,IF(AI$13&lt;=COUNT($C31:$CS31),IF(INDEX($F$206:$F$229,MATCH($B251,$B$206:$B$229,FALSE))=0,NA(),INDEX(AI$14:AI$37,MATCH($B251,$B$14:$B$37,FALSE))/INDEX($F$206:$F$229,MATCH($B251,$B$206:$B$229,FALSE))),NA()),NA())</f>
        <v>#N/A</v>
      </c>
      <c r="AK251" s="65" t="e">
        <f>IF(AJ59=1,IF(AJ$13&lt;=COUNT($C31:$CS31),IF(INDEX($F$206:$F$229,MATCH($B251,$B$206:$B$229,FALSE))=0,NA(),INDEX(AJ$14:AJ$37,MATCH($B251,$B$14:$B$37,FALSE))/INDEX($F$206:$F$229,MATCH($B251,$B$206:$B$229,FALSE))),NA()),NA())</f>
        <v>#N/A</v>
      </c>
      <c r="AL251" s="65" t="e">
        <f>IF(AK59=1,IF(AK$13&lt;=COUNT($C31:$CS31),IF(INDEX($F$206:$F$229,MATCH($B251,$B$206:$B$229,FALSE))=0,NA(),INDEX(AK$14:AK$37,MATCH($B251,$B$14:$B$37,FALSE))/INDEX($F$206:$F$229,MATCH($B251,$B$206:$B$229,FALSE))),NA()),NA())</f>
        <v>#N/A</v>
      </c>
      <c r="AM251" s="65" t="e">
        <f>IF(AL59=1,IF(AL$13&lt;=COUNT($C31:$CS31),IF(INDEX($F$206:$F$229,MATCH($B251,$B$206:$B$229,FALSE))=0,NA(),INDEX(AL$14:AL$37,MATCH($B251,$B$14:$B$37,FALSE))/INDEX($F$206:$F$229,MATCH($B251,$B$206:$B$229,FALSE))),NA()),NA())</f>
        <v>#N/A</v>
      </c>
      <c r="AN251" s="65" t="e">
        <f>IF(AM59=1,IF(AM$13&lt;=COUNT($C31:$CS31),IF(INDEX($F$206:$F$229,MATCH($B251,$B$206:$B$229,FALSE))=0,NA(),INDEX(AM$14:AM$37,MATCH($B251,$B$14:$B$37,FALSE))/INDEX($F$206:$F$229,MATCH($B251,$B$206:$B$229,FALSE))),NA()),NA())</f>
        <v>#N/A</v>
      </c>
      <c r="AO251" s="65" t="e">
        <f>IF(AN59=1,IF(AN$13&lt;=COUNT($C31:$CS31),IF(INDEX($F$206:$F$229,MATCH($B251,$B$206:$B$229,FALSE))=0,NA(),INDEX(AN$14:AN$37,MATCH($B251,$B$14:$B$37,FALSE))/INDEX($F$206:$F$229,MATCH($B251,$B$206:$B$229,FALSE))),NA()),NA())</f>
        <v>#N/A</v>
      </c>
      <c r="AP251" s="65" t="e">
        <f>IF(AO59=1,IF(AO$13&lt;=COUNT($C31:$CS31),IF(INDEX($F$206:$F$229,MATCH($B251,$B$206:$B$229,FALSE))=0,NA(),INDEX(AO$14:AO$37,MATCH($B251,$B$14:$B$37,FALSE))/INDEX($F$206:$F$229,MATCH($B251,$B$206:$B$229,FALSE))),NA()),NA())</f>
        <v>#N/A</v>
      </c>
      <c r="AQ251" s="65" t="e">
        <f>IF(AP59=1,IF(AP$13&lt;=COUNT($C31:$CS31),IF(INDEX($F$206:$F$229,MATCH($B251,$B$206:$B$229,FALSE))=0,NA(),INDEX(AP$14:AP$37,MATCH($B251,$B$14:$B$37,FALSE))/INDEX($F$206:$F$229,MATCH($B251,$B$206:$B$229,FALSE))),NA()),NA())</f>
        <v>#N/A</v>
      </c>
      <c r="AR251" s="65" t="e">
        <f>IF(AQ59=1,IF(AQ$13&lt;=COUNT($C31:$CS31),IF(INDEX($F$206:$F$229,MATCH($B251,$B$206:$B$229,FALSE))=0,NA(),INDEX(AQ$14:AQ$37,MATCH($B251,$B$14:$B$37,FALSE))/INDEX($F$206:$F$229,MATCH($B251,$B$206:$B$229,FALSE))),NA()),NA())</f>
        <v>#N/A</v>
      </c>
      <c r="AS251" s="65" t="e">
        <f>IF(AR59=1,IF(AR$13&lt;=COUNT($C31:$CS31),IF(INDEX($F$206:$F$229,MATCH($B251,$B$206:$B$229,FALSE))=0,NA(),INDEX(AR$14:AR$37,MATCH($B251,$B$14:$B$37,FALSE))/INDEX($F$206:$F$229,MATCH($B251,$B$206:$B$229,FALSE))),NA()),NA())</f>
        <v>#N/A</v>
      </c>
      <c r="AT251" s="65" t="e">
        <f>IF(AS59=1,IF(AS$13&lt;=COUNT($C31:$CS31),IF(INDEX($F$206:$F$229,MATCH($B251,$B$206:$B$229,FALSE))=0,NA(),INDEX(AS$14:AS$37,MATCH($B251,$B$14:$B$37,FALSE))/INDEX($F$206:$F$229,MATCH($B251,$B$206:$B$229,FALSE))),NA()),NA())</f>
        <v>#N/A</v>
      </c>
      <c r="AU251" s="65" t="e">
        <f>IF(AT59=1,IF(AT$13&lt;=COUNT($C31:$CS31),IF(INDEX($F$206:$F$229,MATCH($B251,$B$206:$B$229,FALSE))=0,NA(),INDEX(AT$14:AT$37,MATCH($B251,$B$14:$B$37,FALSE))/INDEX($F$206:$F$229,MATCH($B251,$B$206:$B$229,FALSE))),NA()),NA())</f>
        <v>#N/A</v>
      </c>
      <c r="AV251" s="65" t="e">
        <f>IF(AU59=1,IF(AU$13&lt;=COUNT($C31:$CS31),IF(INDEX($F$206:$F$229,MATCH($B251,$B$206:$B$229,FALSE))=0,NA(),INDEX(AU$14:AU$37,MATCH($B251,$B$14:$B$37,FALSE))/INDEX($F$206:$F$229,MATCH($B251,$B$206:$B$229,FALSE))),NA()),NA())</f>
        <v>#N/A</v>
      </c>
      <c r="AW251" s="65" t="e">
        <f>IF(AV59=1,IF(AV$13&lt;=COUNT($C31:$CS31),IF(INDEX($F$206:$F$229,MATCH($B251,$B$206:$B$229,FALSE))=0,NA(),INDEX(AV$14:AV$37,MATCH($B251,$B$14:$B$37,FALSE))/INDEX($F$206:$F$229,MATCH($B251,$B$206:$B$229,FALSE))),NA()),NA())</f>
        <v>#N/A</v>
      </c>
      <c r="AX251" s="65" t="e">
        <f>IF(AW59=1,IF(AW$13&lt;=COUNT($C31:$CS31),IF(INDEX($F$206:$F$229,MATCH($B251,$B$206:$B$229,FALSE))=0,NA(),INDEX(AW$14:AW$37,MATCH($B251,$B$14:$B$37,FALSE))/INDEX($F$206:$F$229,MATCH($B251,$B$206:$B$229,FALSE))),NA()),NA())</f>
        <v>#N/A</v>
      </c>
      <c r="AY251" s="65" t="e">
        <f>IF(AX59=1,IF(AX$13&lt;=COUNT($C31:$CS31),IF(INDEX($F$206:$F$229,MATCH($B251,$B$206:$B$229,FALSE))=0,NA(),INDEX(AX$14:AX$37,MATCH($B251,$B$14:$B$37,FALSE))/INDEX($F$206:$F$229,MATCH($B251,$B$206:$B$229,FALSE))),NA()),NA())</f>
        <v>#N/A</v>
      </c>
      <c r="AZ251" s="65" t="e">
        <f>IF(AY59=1,IF(AY$13&lt;=COUNT($C31:$CS31),IF(INDEX($F$206:$F$229,MATCH($B251,$B$206:$B$229,FALSE))=0,NA(),INDEX(AY$14:AY$37,MATCH($B251,$B$14:$B$37,FALSE))/INDEX($F$206:$F$229,MATCH($B251,$B$206:$B$229,FALSE))),NA()),NA())</f>
        <v>#N/A</v>
      </c>
      <c r="BA251" s="65" t="e">
        <f>IF(AZ59=1,IF(AZ$13&lt;=COUNT($C31:$CS31),IF(INDEX($F$206:$F$229,MATCH($B251,$B$206:$B$229,FALSE))=0,NA(),INDEX(AZ$14:AZ$37,MATCH($B251,$B$14:$B$37,FALSE))/INDEX($F$206:$F$229,MATCH($B251,$B$206:$B$229,FALSE))),NA()),NA())</f>
        <v>#N/A</v>
      </c>
      <c r="BB251" s="65" t="e">
        <f>IF(BA59=1,IF(BA$13&lt;=COUNT($C31:$CS31),IF(INDEX($F$206:$F$229,MATCH($B251,$B$206:$B$229,FALSE))=0,NA(),INDEX(BA$14:BA$37,MATCH($B251,$B$14:$B$37,FALSE))/INDEX($F$206:$F$229,MATCH($B251,$B$206:$B$229,FALSE))),NA()),NA())</f>
        <v>#N/A</v>
      </c>
      <c r="BC251" s="65" t="e">
        <f>IF(BB59=1,IF(BB$13&lt;=COUNT($C31:$CS31),IF(INDEX($F$206:$F$229,MATCH($B251,$B$206:$B$229,FALSE))=0,NA(),INDEX(BB$14:BB$37,MATCH($B251,$B$14:$B$37,FALSE))/INDEX($F$206:$F$229,MATCH($B251,$B$206:$B$229,FALSE))),NA()),NA())</f>
        <v>#N/A</v>
      </c>
      <c r="BD251" s="65" t="e">
        <f>IF(BC59=1,IF(BC$13&lt;=COUNT($C31:$CS31),IF(INDEX($F$206:$F$229,MATCH($B251,$B$206:$B$229,FALSE))=0,NA(),INDEX(BC$14:BC$37,MATCH($B251,$B$14:$B$37,FALSE))/INDEX($F$206:$F$229,MATCH($B251,$B$206:$B$229,FALSE))),NA()),NA())</f>
        <v>#N/A</v>
      </c>
      <c r="BE251" s="65" t="e">
        <f>IF(BD59=1,IF(BD$13&lt;=COUNT($C31:$CS31),IF(INDEX($F$206:$F$229,MATCH($B251,$B$206:$B$229,FALSE))=0,NA(),INDEX(BD$14:BD$37,MATCH($B251,$B$14:$B$37,FALSE))/INDEX($F$206:$F$229,MATCH($B251,$B$206:$B$229,FALSE))),NA()),NA())</f>
        <v>#N/A</v>
      </c>
      <c r="BF251" s="65" t="e">
        <f>IF(BE59=1,IF(BE$13&lt;=COUNT($C31:$CS31),IF(INDEX($F$206:$F$229,MATCH($B251,$B$206:$B$229,FALSE))=0,NA(),INDEX(BE$14:BE$37,MATCH($B251,$B$14:$B$37,FALSE))/INDEX($F$206:$F$229,MATCH($B251,$B$206:$B$229,FALSE))),NA()),NA())</f>
        <v>#N/A</v>
      </c>
      <c r="BG251" s="65" t="e">
        <f>IF(BF59=1,IF(BF$13&lt;=COUNT($C31:$CS31),IF(INDEX($F$206:$F$229,MATCH($B251,$B$206:$B$229,FALSE))=0,NA(),INDEX(BF$14:BF$37,MATCH($B251,$B$14:$B$37,FALSE))/INDEX($F$206:$F$229,MATCH($B251,$B$206:$B$229,FALSE))),NA()),NA())</f>
        <v>#N/A</v>
      </c>
      <c r="BH251" s="65" t="e">
        <f>IF(BG59=1,IF(BG$13&lt;=COUNT($C31:$CS31),IF(INDEX($F$206:$F$229,MATCH($B251,$B$206:$B$229,FALSE))=0,NA(),INDEX(BG$14:BG$37,MATCH($B251,$B$14:$B$37,FALSE))/INDEX($F$206:$F$229,MATCH($B251,$B$206:$B$229,FALSE))),NA()),NA())</f>
        <v>#N/A</v>
      </c>
      <c r="BI251" s="65" t="e">
        <f>IF(BH59=1,IF(BH$13&lt;=COUNT($C31:$CS31),IF(INDEX($F$206:$F$229,MATCH($B251,$B$206:$B$229,FALSE))=0,NA(),INDEX(BH$14:BH$37,MATCH($B251,$B$14:$B$37,FALSE))/INDEX($F$206:$F$229,MATCH($B251,$B$206:$B$229,FALSE))),NA()),NA())</f>
        <v>#N/A</v>
      </c>
      <c r="BJ251" s="65" t="e">
        <f>IF(BI59=1,IF(BI$13&lt;=COUNT($C31:$CS31),IF(INDEX($F$206:$F$229,MATCH($B251,$B$206:$B$229,FALSE))=0,NA(),INDEX(BI$14:BI$37,MATCH($B251,$B$14:$B$37,FALSE))/INDEX($F$206:$F$229,MATCH($B251,$B$206:$B$229,FALSE))),NA()),NA())</f>
        <v>#N/A</v>
      </c>
      <c r="BK251" s="65" t="e">
        <f>IF(BJ59=1,IF(BJ$13&lt;=COUNT($C31:$CS31),IF(INDEX($F$206:$F$229,MATCH($B251,$B$206:$B$229,FALSE))=0,NA(),INDEX(BJ$14:BJ$37,MATCH($B251,$B$14:$B$37,FALSE))/INDEX($F$206:$F$229,MATCH($B251,$B$206:$B$229,FALSE))),NA()),NA())</f>
        <v>#N/A</v>
      </c>
      <c r="BL251" s="65" t="e">
        <f>IF(BK59=1,IF(BK$13&lt;=COUNT($C31:$CS31),IF(INDEX($F$206:$F$229,MATCH($B251,$B$206:$B$229,FALSE))=0,NA(),INDEX(BK$14:BK$37,MATCH($B251,$B$14:$B$37,FALSE))/INDEX($F$206:$F$229,MATCH($B251,$B$206:$B$229,FALSE))),NA()),NA())</f>
        <v>#N/A</v>
      </c>
      <c r="BM251" s="65" t="e">
        <f>IF(BL59=1,IF(BL$13&lt;=COUNT($C31:$CS31),IF(INDEX($F$206:$F$229,MATCH($B251,$B$206:$B$229,FALSE))=0,NA(),INDEX(BL$14:BL$37,MATCH($B251,$B$14:$B$37,FALSE))/INDEX($F$206:$F$229,MATCH($B251,$B$206:$B$229,FALSE))),NA()),NA())</f>
        <v>#N/A</v>
      </c>
      <c r="BN251" s="65" t="e">
        <f>IF(BM59=1,IF(BM$13&lt;=COUNT($C31:$CS31),IF(INDEX($F$206:$F$229,MATCH($B251,$B$206:$B$229,FALSE))=0,NA(),INDEX(BM$14:BM$37,MATCH($B251,$B$14:$B$37,FALSE))/INDEX($F$206:$F$229,MATCH($B251,$B$206:$B$229,FALSE))),NA()),NA())</f>
        <v>#N/A</v>
      </c>
      <c r="BO251" s="65" t="e">
        <f>IF(BN59=1,IF(BN$13&lt;=COUNT($C31:$CS31),IF(INDEX($F$206:$F$229,MATCH($B251,$B$206:$B$229,FALSE))=0,NA(),INDEX(BN$14:BN$37,MATCH($B251,$B$14:$B$37,FALSE))/INDEX($F$206:$F$229,MATCH($B251,$B$206:$B$229,FALSE))),NA()),NA())</f>
        <v>#N/A</v>
      </c>
      <c r="BP251" s="65" t="e">
        <f>IF(BO59=1,IF(BO$13&lt;=COUNT($C31:$CS31),IF(INDEX($F$206:$F$229,MATCH($B251,$B$206:$B$229,FALSE))=0,NA(),INDEX(BO$14:BO$37,MATCH($B251,$B$14:$B$37,FALSE))/INDEX($F$206:$F$229,MATCH($B251,$B$206:$B$229,FALSE))),NA()),NA())</f>
        <v>#N/A</v>
      </c>
      <c r="BQ251" s="65" t="e">
        <f>IF(BP59=1,IF(BP$13&lt;=COUNT($C31:$CS31),IF(INDEX($F$206:$F$229,MATCH($B251,$B$206:$B$229,FALSE))=0,NA(),INDEX(BP$14:BP$37,MATCH($B251,$B$14:$B$37,FALSE))/INDEX($F$206:$F$229,MATCH($B251,$B$206:$B$229,FALSE))),NA()),NA())</f>
        <v>#N/A</v>
      </c>
      <c r="BR251" s="65" t="e">
        <f>IF(BQ59=1,IF(BQ$13&lt;=COUNT($C31:$CS31),IF(INDEX($F$206:$F$229,MATCH($B251,$B$206:$B$229,FALSE))=0,NA(),INDEX(BQ$14:BQ$37,MATCH($B251,$B$14:$B$37,FALSE))/INDEX($F$206:$F$229,MATCH($B251,$B$206:$B$229,FALSE))),NA()),NA())</f>
        <v>#N/A</v>
      </c>
      <c r="BS251" s="65" t="e">
        <f>IF(BR59=1,IF(BR$13&lt;=COUNT($C31:$CS31),IF(INDEX($F$206:$F$229,MATCH($B251,$B$206:$B$229,FALSE))=0,NA(),INDEX(BR$14:BR$37,MATCH($B251,$B$14:$B$37,FALSE))/INDEX($F$206:$F$229,MATCH($B251,$B$206:$B$229,FALSE))),NA()),NA())</f>
        <v>#N/A</v>
      </c>
      <c r="BT251" s="65" t="e">
        <f>IF(BS59=1,IF(BS$13&lt;=COUNT($C31:$CS31),IF(INDEX($F$206:$F$229,MATCH($B251,$B$206:$B$229,FALSE))=0,NA(),INDEX(BS$14:BS$37,MATCH($B251,$B$14:$B$37,FALSE))/INDEX($F$206:$F$229,MATCH($B251,$B$206:$B$229,FALSE))),NA()),NA())</f>
        <v>#N/A</v>
      </c>
      <c r="BU251" s="65" t="e">
        <f>IF(BT59=1,IF(BT$13&lt;=COUNT($C31:$CS31),IF(INDEX($F$206:$F$229,MATCH($B251,$B$206:$B$229,FALSE))=0,NA(),INDEX(BT$14:BT$37,MATCH($B251,$B$14:$B$37,FALSE))/INDEX($F$206:$F$229,MATCH($B251,$B$206:$B$229,FALSE))),NA()),NA())</f>
        <v>#N/A</v>
      </c>
      <c r="BV251" s="65" t="e">
        <f>IF(BU59=1,IF(BU$13&lt;=COUNT($C31:$CS31),IF(INDEX($F$206:$F$229,MATCH($B251,$B$206:$B$229,FALSE))=0,NA(),INDEX(BU$14:BU$37,MATCH($B251,$B$14:$B$37,FALSE))/INDEX($F$206:$F$229,MATCH($B251,$B$206:$B$229,FALSE))),NA()),NA())</f>
        <v>#N/A</v>
      </c>
      <c r="BW251" s="65" t="e">
        <f>IF(BV59=1,IF(BV$13&lt;=COUNT($C31:$CS31),IF(INDEX($F$206:$F$229,MATCH($B251,$B$206:$B$229,FALSE))=0,NA(),INDEX(BV$14:BV$37,MATCH($B251,$B$14:$B$37,FALSE))/INDEX($F$206:$F$229,MATCH($B251,$B$206:$B$229,FALSE))),NA()),NA())</f>
        <v>#N/A</v>
      </c>
      <c r="BX251" s="65" t="e">
        <f>IF(BW59=1,IF(BW$13&lt;=COUNT($C31:$CS31),IF(INDEX($F$206:$F$229,MATCH($B251,$B$206:$B$229,FALSE))=0,NA(),INDEX(BW$14:BW$37,MATCH($B251,$B$14:$B$37,FALSE))/INDEX($F$206:$F$229,MATCH($B251,$B$206:$B$229,FALSE))),NA()),NA())</f>
        <v>#N/A</v>
      </c>
      <c r="BY251" s="65" t="e">
        <f>IF(BX59=1,IF(BX$13&lt;=COUNT($C31:$CS31),IF(INDEX($F$206:$F$229,MATCH($B251,$B$206:$B$229,FALSE))=0,NA(),INDEX(BX$14:BX$37,MATCH($B251,$B$14:$B$37,FALSE))/INDEX($F$206:$F$229,MATCH($B251,$B$206:$B$229,FALSE))),NA()),NA())</f>
        <v>#N/A</v>
      </c>
      <c r="BZ251" s="65" t="e">
        <f>IF(BY59=1,IF(BY$13&lt;=COUNT($C31:$CS31),IF(INDEX($F$206:$F$229,MATCH($B251,$B$206:$B$229,FALSE))=0,NA(),INDEX(BY$14:BY$37,MATCH($B251,$B$14:$B$37,FALSE))/INDEX($F$206:$F$229,MATCH($B251,$B$206:$B$229,FALSE))),NA()),NA())</f>
        <v>#N/A</v>
      </c>
      <c r="CA251" s="65" t="e">
        <f>IF(BZ59=1,IF(BZ$13&lt;=COUNT($C31:$CS31),IF(INDEX($F$206:$F$229,MATCH($B251,$B$206:$B$229,FALSE))=0,NA(),INDEX(BZ$14:BZ$37,MATCH($B251,$B$14:$B$37,FALSE))/INDEX($F$206:$F$229,MATCH($B251,$B$206:$B$229,FALSE))),NA()),NA())</f>
        <v>#N/A</v>
      </c>
      <c r="CB251" s="65" t="e">
        <f>IF(CA59=1,IF(CA$13&lt;=COUNT($C31:$CS31),IF(INDEX($F$206:$F$229,MATCH($B251,$B$206:$B$229,FALSE))=0,NA(),INDEX(CA$14:CA$37,MATCH($B251,$B$14:$B$37,FALSE))/INDEX($F$206:$F$229,MATCH($B251,$B$206:$B$229,FALSE))),NA()),NA())</f>
        <v>#N/A</v>
      </c>
      <c r="CC251" s="65" t="e">
        <f>IF(CB59=1,IF(CB$13&lt;=COUNT($C31:$CS31),IF(INDEX($F$206:$F$229,MATCH($B251,$B$206:$B$229,FALSE))=0,NA(),INDEX(CB$14:CB$37,MATCH($B251,$B$14:$B$37,FALSE))/INDEX($F$206:$F$229,MATCH($B251,$B$206:$B$229,FALSE))),NA()),NA())</f>
        <v>#N/A</v>
      </c>
      <c r="CD251" s="65" t="e">
        <f>IF(CC59=1,IF(CC$13&lt;=COUNT($C31:$CS31),IF(INDEX($F$206:$F$229,MATCH($B251,$B$206:$B$229,FALSE))=0,NA(),INDEX(CC$14:CC$37,MATCH($B251,$B$14:$B$37,FALSE))/INDEX($F$206:$F$229,MATCH($B251,$B$206:$B$229,FALSE))),NA()),NA())</f>
        <v>#N/A</v>
      </c>
      <c r="CE251" s="65" t="e">
        <f>IF(CD59=1,IF(CD$13&lt;=COUNT($C31:$CS31),IF(INDEX($F$206:$F$229,MATCH($B251,$B$206:$B$229,FALSE))=0,NA(),INDEX(CD$14:CD$37,MATCH($B251,$B$14:$B$37,FALSE))/INDEX($F$206:$F$229,MATCH($B251,$B$206:$B$229,FALSE))),NA()),NA())</f>
        <v>#N/A</v>
      </c>
      <c r="CF251" s="65" t="e">
        <f>IF(CE59=1,IF(CE$13&lt;=COUNT($C31:$CS31),IF(INDEX($F$206:$F$229,MATCH($B251,$B$206:$B$229,FALSE))=0,NA(),INDEX(CE$14:CE$37,MATCH($B251,$B$14:$B$37,FALSE))/INDEX($F$206:$F$229,MATCH($B251,$B$206:$B$229,FALSE))),NA()),NA())</f>
        <v>#N/A</v>
      </c>
      <c r="CG251" s="65" t="e">
        <f>IF(CF59=1,IF(CF$13&lt;=COUNT($C31:$CS31),IF(INDEX($F$206:$F$229,MATCH($B251,$B$206:$B$229,FALSE))=0,NA(),INDEX(CF$14:CF$37,MATCH($B251,$B$14:$B$37,FALSE))/INDEX($F$206:$F$229,MATCH($B251,$B$206:$B$229,FALSE))),NA()),NA())</f>
        <v>#N/A</v>
      </c>
      <c r="CH251" s="65" t="e">
        <f>IF(CG59=1,IF(CG$13&lt;=COUNT($C31:$CS31),IF(INDEX($F$206:$F$229,MATCH($B251,$B$206:$B$229,FALSE))=0,NA(),INDEX(CG$14:CG$37,MATCH($B251,$B$14:$B$37,FALSE))/INDEX($F$206:$F$229,MATCH($B251,$B$206:$B$229,FALSE))),NA()),NA())</f>
        <v>#N/A</v>
      </c>
      <c r="CI251" s="65" t="e">
        <f>IF(CH59=1,IF(CH$13&lt;=COUNT($C31:$CS31),IF(INDEX($F$206:$F$229,MATCH($B251,$B$206:$B$229,FALSE))=0,NA(),INDEX(CH$14:CH$37,MATCH($B251,$B$14:$B$37,FALSE))/INDEX($F$206:$F$229,MATCH($B251,$B$206:$B$229,FALSE))),NA()),NA())</f>
        <v>#N/A</v>
      </c>
      <c r="CJ251" s="65" t="e">
        <f>IF(CI59=1,IF(CI$13&lt;=COUNT($C31:$CS31),IF(INDEX($F$206:$F$229,MATCH($B251,$B$206:$B$229,FALSE))=0,NA(),INDEX(CI$14:CI$37,MATCH($B251,$B$14:$B$37,FALSE))/INDEX($F$206:$F$229,MATCH($B251,$B$206:$B$229,FALSE))),NA()),NA())</f>
        <v>#N/A</v>
      </c>
      <c r="CK251" s="65" t="e">
        <f>IF(CJ59=1,IF(CJ$13&lt;=COUNT($C31:$CS31),IF(INDEX($F$206:$F$229,MATCH($B251,$B$206:$B$229,FALSE))=0,NA(),INDEX(CJ$14:CJ$37,MATCH($B251,$B$14:$B$37,FALSE))/INDEX($F$206:$F$229,MATCH($B251,$B$206:$B$229,FALSE))),NA()),NA())</f>
        <v>#N/A</v>
      </c>
      <c r="CL251" s="65" t="e">
        <f>IF(CK59=1,IF(CK$13&lt;=COUNT($C31:$CS31),IF(INDEX($F$206:$F$229,MATCH($B251,$B$206:$B$229,FALSE))=0,NA(),INDEX(CK$14:CK$37,MATCH($B251,$B$14:$B$37,FALSE))/INDEX($F$206:$F$229,MATCH($B251,$B$206:$B$229,FALSE))),NA()),NA())</f>
        <v>#N/A</v>
      </c>
      <c r="CM251" s="65" t="e">
        <f>IF(CL59=1,IF(CL$13&lt;=COUNT($C31:$CS31),IF(INDEX($F$206:$F$229,MATCH($B251,$B$206:$B$229,FALSE))=0,NA(),INDEX(CL$14:CL$37,MATCH($B251,$B$14:$B$37,FALSE))/INDEX($F$206:$F$229,MATCH($B251,$B$206:$B$229,FALSE))),NA()),NA())</f>
        <v>#N/A</v>
      </c>
      <c r="CN251" s="65" t="e">
        <f>IF(CM59=1,IF(CM$13&lt;=COUNT($C31:$CS31),IF(INDEX($F$206:$F$229,MATCH($B251,$B$206:$B$229,FALSE))=0,NA(),INDEX(CM$14:CM$37,MATCH($B251,$B$14:$B$37,FALSE))/INDEX($F$206:$F$229,MATCH($B251,$B$206:$B$229,FALSE))),NA()),NA())</f>
        <v>#N/A</v>
      </c>
      <c r="CO251" s="65" t="e">
        <f>IF(CN59=1,IF(CN$13&lt;=COUNT($C31:$CS31),IF(INDEX($F$206:$F$229,MATCH($B251,$B$206:$B$229,FALSE))=0,NA(),INDEX(CN$14:CN$37,MATCH($B251,$B$14:$B$37,FALSE))/INDEX($F$206:$F$229,MATCH($B251,$B$206:$B$229,FALSE))),NA()),NA())</f>
        <v>#N/A</v>
      </c>
      <c r="CP251" s="65" t="e">
        <f>IF(CO59=1,IF(CO$13&lt;=COUNT($C31:$CS31),IF(INDEX($F$206:$F$229,MATCH($B251,$B$206:$B$229,FALSE))=0,NA(),INDEX(CO$14:CO$37,MATCH($B251,$B$14:$B$37,FALSE))/INDEX($F$206:$F$229,MATCH($B251,$B$206:$B$229,FALSE))),NA()),NA())</f>
        <v>#N/A</v>
      </c>
      <c r="CQ251" s="65" t="e">
        <f>IF(CP59=1,IF(CP$13&lt;=COUNT($C31:$CS31),IF(INDEX($F$206:$F$229,MATCH($B251,$B$206:$B$229,FALSE))=0,NA(),INDEX(CP$14:CP$37,MATCH($B251,$B$14:$B$37,FALSE))/INDEX($F$206:$F$229,MATCH($B251,$B$206:$B$229,FALSE))),NA()),NA())</f>
        <v>#N/A</v>
      </c>
      <c r="CR251" s="65" t="e">
        <f>IF(CQ59=1,IF(CQ$13&lt;=COUNT($C31:$CS31),IF(INDEX($F$206:$F$229,MATCH($B251,$B$206:$B$229,FALSE))=0,NA(),INDEX(CQ$14:CQ$37,MATCH($B251,$B$14:$B$37,FALSE))/INDEX($F$206:$F$229,MATCH($B251,$B$206:$B$229,FALSE))),NA()),NA())</f>
        <v>#N/A</v>
      </c>
      <c r="CS251" s="65" t="e">
        <f>IF(CR59=1,IF(CR$13&lt;=COUNT($C31:$CS31),IF(INDEX($F$206:$F$229,MATCH($B251,$B$206:$B$229,FALSE))=0,NA(),INDEX(CR$14:CR$37,MATCH($B251,$B$14:$B$37,FALSE))/INDEX($F$206:$F$229,MATCH($B251,$B$206:$B$229,FALSE))),NA()),NA())</f>
        <v>#N/A</v>
      </c>
      <c r="CT251" s="49"/>
      <c r="CU251" s="49"/>
      <c r="CV251" s="49"/>
      <c r="CW251" s="49"/>
    </row>
    <row r="252" spans="1:101" x14ac:dyDescent="0.25">
      <c r="A252" s="97">
        <f t="shared" si="105"/>
        <v>1</v>
      </c>
      <c r="B252" s="29">
        <f t="shared" si="104"/>
        <v>2014</v>
      </c>
      <c r="C252" s="154" t="str">
        <f t="shared" si="106"/>
        <v/>
      </c>
      <c r="D252" s="54">
        <f t="shared" ca="1" si="108"/>
        <v>0.241393091364941</v>
      </c>
      <c r="E252" s="65">
        <f t="shared" ca="1" si="108"/>
        <v>1.1327219618674496</v>
      </c>
      <c r="F252" s="65">
        <f t="shared" ca="1" si="108"/>
        <v>1.1327219618674496</v>
      </c>
      <c r="G252" s="65">
        <f t="shared" ca="1" si="108"/>
        <v>1.1913067168979117</v>
      </c>
      <c r="H252" s="65">
        <f t="shared" ca="1" si="108"/>
        <v>1.1725178889698906</v>
      </c>
      <c r="I252" s="65">
        <f t="shared" ca="1" si="108"/>
        <v>1.0827441392065948</v>
      </c>
      <c r="J252" s="65" t="e">
        <f>IF(I60=1,IF(I$13&lt;=COUNT($C32:$CS32),IF(INDEX($F$206:$F$229,MATCH($B252,$B$206:$B$229,FALSE))=0,NA(),INDEX(I$14:I$37,MATCH($B252,$B$14:$B$37,FALSE))/INDEX($F$206:$F$229,MATCH($B252,$B$206:$B$229,FALSE))),NA()),NA())</f>
        <v>#N/A</v>
      </c>
      <c r="K252" s="65" t="e">
        <f>IF(J60=1,IF(J$13&lt;=COUNT($C32:$CS32),IF(INDEX($F$206:$F$229,MATCH($B252,$B$206:$B$229,FALSE))=0,NA(),INDEX(J$14:J$37,MATCH($B252,$B$14:$B$37,FALSE))/INDEX($F$206:$F$229,MATCH($B252,$B$206:$B$229,FALSE))),NA()),NA())</f>
        <v>#N/A</v>
      </c>
      <c r="L252" s="65" t="e">
        <f>IF(K60=1,IF(K$13&lt;=COUNT($C32:$CS32),IF(INDEX($F$206:$F$229,MATCH($B252,$B$206:$B$229,FALSE))=0,NA(),INDEX(K$14:K$37,MATCH($B252,$B$14:$B$37,FALSE))/INDEX($F$206:$F$229,MATCH($B252,$B$206:$B$229,FALSE))),NA()),NA())</f>
        <v>#N/A</v>
      </c>
      <c r="M252" s="65" t="e">
        <f>IF(L60=1,IF(L$13&lt;=COUNT($C32:$CS32),IF(INDEX($F$206:$F$229,MATCH($B252,$B$206:$B$229,FALSE))=0,NA(),INDEX(L$14:L$37,MATCH($B252,$B$14:$B$37,FALSE))/INDEX($F$206:$F$229,MATCH($B252,$B$206:$B$229,FALSE))),NA()),NA())</f>
        <v>#N/A</v>
      </c>
      <c r="N252" s="65" t="e">
        <f>IF(M60=1,IF(M$13&lt;=COUNT($C32:$CS32),IF(INDEX($F$206:$F$229,MATCH($B252,$B$206:$B$229,FALSE))=0,NA(),INDEX(M$14:M$37,MATCH($B252,$B$14:$B$37,FALSE))/INDEX($F$206:$F$229,MATCH($B252,$B$206:$B$229,FALSE))),NA()),NA())</f>
        <v>#N/A</v>
      </c>
      <c r="O252" s="65" t="e">
        <f>IF(N60=1,IF(N$13&lt;=COUNT($C32:$CS32),IF(INDEX($F$206:$F$229,MATCH($B252,$B$206:$B$229,FALSE))=0,NA(),INDEX(N$14:N$37,MATCH($B252,$B$14:$B$37,FALSE))/INDEX($F$206:$F$229,MATCH($B252,$B$206:$B$229,FALSE))),NA()),NA())</f>
        <v>#N/A</v>
      </c>
      <c r="P252" s="65" t="e">
        <f>IF(O60=1,IF(O$13&lt;=COUNT($C32:$CS32),IF(INDEX($F$206:$F$229,MATCH($B252,$B$206:$B$229,FALSE))=0,NA(),INDEX(O$14:O$37,MATCH($B252,$B$14:$B$37,FALSE))/INDEX($F$206:$F$229,MATCH($B252,$B$206:$B$229,FALSE))),NA()),NA())</f>
        <v>#N/A</v>
      </c>
      <c r="Q252" s="65" t="e">
        <f>IF(P60=1,IF(P$13&lt;=COUNT($C32:$CS32),IF(INDEX($F$206:$F$229,MATCH($B252,$B$206:$B$229,FALSE))=0,NA(),INDEX(P$14:P$37,MATCH($B252,$B$14:$B$37,FALSE))/INDEX($F$206:$F$229,MATCH($B252,$B$206:$B$229,FALSE))),NA()),NA())</f>
        <v>#N/A</v>
      </c>
      <c r="R252" s="65" t="e">
        <f>IF(Q60=1,IF(Q$13&lt;=COUNT($C32:$CS32),IF(INDEX($F$206:$F$229,MATCH($B252,$B$206:$B$229,FALSE))=0,NA(),INDEX(Q$14:Q$37,MATCH($B252,$B$14:$B$37,FALSE))/INDEX($F$206:$F$229,MATCH($B252,$B$206:$B$229,FALSE))),NA()),NA())</f>
        <v>#N/A</v>
      </c>
      <c r="S252" s="65" t="e">
        <f>IF(R60=1,IF(R$13&lt;=COUNT($C32:$CS32),IF(INDEX($F$206:$F$229,MATCH($B252,$B$206:$B$229,FALSE))=0,NA(),INDEX(R$14:R$37,MATCH($B252,$B$14:$B$37,FALSE))/INDEX($F$206:$F$229,MATCH($B252,$B$206:$B$229,FALSE))),NA()),NA())</f>
        <v>#N/A</v>
      </c>
      <c r="T252" s="65" t="e">
        <f>IF(S60=1,IF(S$13&lt;=COUNT($C32:$CS32),IF(INDEX($F$206:$F$229,MATCH($B252,$B$206:$B$229,FALSE))=0,NA(),INDEX(S$14:S$37,MATCH($B252,$B$14:$B$37,FALSE))/INDEX($F$206:$F$229,MATCH($B252,$B$206:$B$229,FALSE))),NA()),NA())</f>
        <v>#N/A</v>
      </c>
      <c r="U252" s="65" t="e">
        <f>IF(T60=1,IF(T$13&lt;=COUNT($C32:$CS32),IF(INDEX($F$206:$F$229,MATCH($B252,$B$206:$B$229,FALSE))=0,NA(),INDEX(T$14:T$37,MATCH($B252,$B$14:$B$37,FALSE))/INDEX($F$206:$F$229,MATCH($B252,$B$206:$B$229,FALSE))),NA()),NA())</f>
        <v>#N/A</v>
      </c>
      <c r="V252" s="65" t="e">
        <f>IF(U60=1,IF(U$13&lt;=COUNT($C32:$CS32),IF(INDEX($F$206:$F$229,MATCH($B252,$B$206:$B$229,FALSE))=0,NA(),INDEX(U$14:U$37,MATCH($B252,$B$14:$B$37,FALSE))/INDEX($F$206:$F$229,MATCH($B252,$B$206:$B$229,FALSE))),NA()),NA())</f>
        <v>#N/A</v>
      </c>
      <c r="W252" s="65" t="e">
        <f>IF(V60=1,IF(V$13&lt;=COUNT($C32:$CS32),IF(INDEX($F$206:$F$229,MATCH($B252,$B$206:$B$229,FALSE))=0,NA(),INDEX(V$14:V$37,MATCH($B252,$B$14:$B$37,FALSE))/INDEX($F$206:$F$229,MATCH($B252,$B$206:$B$229,FALSE))),NA()),NA())</f>
        <v>#N/A</v>
      </c>
      <c r="X252" s="65" t="e">
        <f>IF(W60=1,IF(W$13&lt;=COUNT($C32:$CS32),IF(INDEX($F$206:$F$229,MATCH($B252,$B$206:$B$229,FALSE))=0,NA(),INDEX(W$14:W$37,MATCH($B252,$B$14:$B$37,FALSE))/INDEX($F$206:$F$229,MATCH($B252,$B$206:$B$229,FALSE))),NA()),NA())</f>
        <v>#N/A</v>
      </c>
      <c r="Y252" s="65" t="e">
        <f>IF(X60=1,IF(X$13&lt;=COUNT($C32:$CS32),IF(INDEX($F$206:$F$229,MATCH($B252,$B$206:$B$229,FALSE))=0,NA(),INDEX(X$14:X$37,MATCH($B252,$B$14:$B$37,FALSE))/INDEX($F$206:$F$229,MATCH($B252,$B$206:$B$229,FALSE))),NA()),NA())</f>
        <v>#N/A</v>
      </c>
      <c r="Z252" s="65" t="e">
        <f>IF(Y60=1,IF(Y$13&lt;=COUNT($C32:$CS32),IF(INDEX($F$206:$F$229,MATCH($B252,$B$206:$B$229,FALSE))=0,NA(),INDEX(Y$14:Y$37,MATCH($B252,$B$14:$B$37,FALSE))/INDEX($F$206:$F$229,MATCH($B252,$B$206:$B$229,FALSE))),NA()),NA())</f>
        <v>#N/A</v>
      </c>
      <c r="AA252" s="65" t="e">
        <f>IF(Z60=1,IF(Z$13&lt;=COUNT($C32:$CS32),IF(INDEX($F$206:$F$229,MATCH($B252,$B$206:$B$229,FALSE))=0,NA(),INDEX(Z$14:Z$37,MATCH($B252,$B$14:$B$37,FALSE))/INDEX($F$206:$F$229,MATCH($B252,$B$206:$B$229,FALSE))),NA()),NA())</f>
        <v>#N/A</v>
      </c>
      <c r="AB252" s="65" t="e">
        <f>IF(AA60=1,IF(AA$13&lt;=COUNT($C32:$CS32),IF(INDEX($F$206:$F$229,MATCH($B252,$B$206:$B$229,FALSE))=0,NA(),INDEX(AA$14:AA$37,MATCH($B252,$B$14:$B$37,FALSE))/INDEX($F$206:$F$229,MATCH($B252,$B$206:$B$229,FALSE))),NA()),NA())</f>
        <v>#N/A</v>
      </c>
      <c r="AC252" s="65" t="e">
        <f>IF(AB60=1,IF(AB$13&lt;=COUNT($C32:$CS32),IF(INDEX($F$206:$F$229,MATCH($B252,$B$206:$B$229,FALSE))=0,NA(),INDEX(AB$14:AB$37,MATCH($B252,$B$14:$B$37,FALSE))/INDEX($F$206:$F$229,MATCH($B252,$B$206:$B$229,FALSE))),NA()),NA())</f>
        <v>#N/A</v>
      </c>
      <c r="AD252" s="65" t="e">
        <f>IF(AC60=1,IF(AC$13&lt;=COUNT($C32:$CS32),IF(INDEX($F$206:$F$229,MATCH($B252,$B$206:$B$229,FALSE))=0,NA(),INDEX(AC$14:AC$37,MATCH($B252,$B$14:$B$37,FALSE))/INDEX($F$206:$F$229,MATCH($B252,$B$206:$B$229,FALSE))),NA()),NA())</f>
        <v>#N/A</v>
      </c>
      <c r="AE252" s="65" t="e">
        <f>IF(AD60=1,IF(AD$13&lt;=COUNT($C32:$CS32),IF(INDEX($F$206:$F$229,MATCH($B252,$B$206:$B$229,FALSE))=0,NA(),INDEX(AD$14:AD$37,MATCH($B252,$B$14:$B$37,FALSE))/INDEX($F$206:$F$229,MATCH($B252,$B$206:$B$229,FALSE))),NA()),NA())</f>
        <v>#N/A</v>
      </c>
      <c r="AF252" s="65" t="e">
        <f>IF(AE60=1,IF(AE$13&lt;=COUNT($C32:$CS32),IF(INDEX($F$206:$F$229,MATCH($B252,$B$206:$B$229,FALSE))=0,NA(),INDEX(AE$14:AE$37,MATCH($B252,$B$14:$B$37,FALSE))/INDEX($F$206:$F$229,MATCH($B252,$B$206:$B$229,FALSE))),NA()),NA())</f>
        <v>#N/A</v>
      </c>
      <c r="AG252" s="65" t="e">
        <f>IF(AF60=1,IF(AF$13&lt;=COUNT($C32:$CS32),IF(INDEX($F$206:$F$229,MATCH($B252,$B$206:$B$229,FALSE))=0,NA(),INDEX(AF$14:AF$37,MATCH($B252,$B$14:$B$37,FALSE))/INDEX($F$206:$F$229,MATCH($B252,$B$206:$B$229,FALSE))),NA()),NA())</f>
        <v>#N/A</v>
      </c>
      <c r="AH252" s="65" t="e">
        <f>IF(AG60=1,IF(AG$13&lt;=COUNT($C32:$CS32),IF(INDEX($F$206:$F$229,MATCH($B252,$B$206:$B$229,FALSE))=0,NA(),INDEX(AG$14:AG$37,MATCH($B252,$B$14:$B$37,FALSE))/INDEX($F$206:$F$229,MATCH($B252,$B$206:$B$229,FALSE))),NA()),NA())</f>
        <v>#N/A</v>
      </c>
      <c r="AI252" s="65" t="e">
        <f>IF(AH60=1,IF(AH$13&lt;=COUNT($C32:$CS32),IF(INDEX($F$206:$F$229,MATCH($B252,$B$206:$B$229,FALSE))=0,NA(),INDEX(AH$14:AH$37,MATCH($B252,$B$14:$B$37,FALSE))/INDEX($F$206:$F$229,MATCH($B252,$B$206:$B$229,FALSE))),NA()),NA())</f>
        <v>#N/A</v>
      </c>
      <c r="AJ252" s="65" t="e">
        <f>IF(AI60=1,IF(AI$13&lt;=COUNT($C32:$CS32),IF(INDEX($F$206:$F$229,MATCH($B252,$B$206:$B$229,FALSE))=0,NA(),INDEX(AI$14:AI$37,MATCH($B252,$B$14:$B$37,FALSE))/INDEX($F$206:$F$229,MATCH($B252,$B$206:$B$229,FALSE))),NA()),NA())</f>
        <v>#N/A</v>
      </c>
      <c r="AK252" s="65" t="e">
        <f>IF(AJ60=1,IF(AJ$13&lt;=COUNT($C32:$CS32),IF(INDEX($F$206:$F$229,MATCH($B252,$B$206:$B$229,FALSE))=0,NA(),INDEX(AJ$14:AJ$37,MATCH($B252,$B$14:$B$37,FALSE))/INDEX($F$206:$F$229,MATCH($B252,$B$206:$B$229,FALSE))),NA()),NA())</f>
        <v>#N/A</v>
      </c>
      <c r="AL252" s="65" t="e">
        <f>IF(AK60=1,IF(AK$13&lt;=COUNT($C32:$CS32),IF(INDEX($F$206:$F$229,MATCH($B252,$B$206:$B$229,FALSE))=0,NA(),INDEX(AK$14:AK$37,MATCH($B252,$B$14:$B$37,FALSE))/INDEX($F$206:$F$229,MATCH($B252,$B$206:$B$229,FALSE))),NA()),NA())</f>
        <v>#N/A</v>
      </c>
      <c r="AM252" s="65" t="e">
        <f>IF(AL60=1,IF(AL$13&lt;=COUNT($C32:$CS32),IF(INDEX($F$206:$F$229,MATCH($B252,$B$206:$B$229,FALSE))=0,NA(),INDEX(AL$14:AL$37,MATCH($B252,$B$14:$B$37,FALSE))/INDEX($F$206:$F$229,MATCH($B252,$B$206:$B$229,FALSE))),NA()),NA())</f>
        <v>#N/A</v>
      </c>
      <c r="AN252" s="65" t="e">
        <f>IF(AM60=1,IF(AM$13&lt;=COUNT($C32:$CS32),IF(INDEX($F$206:$F$229,MATCH($B252,$B$206:$B$229,FALSE))=0,NA(),INDEX(AM$14:AM$37,MATCH($B252,$B$14:$B$37,FALSE))/INDEX($F$206:$F$229,MATCH($B252,$B$206:$B$229,FALSE))),NA()),NA())</f>
        <v>#N/A</v>
      </c>
      <c r="AO252" s="65" t="e">
        <f>IF(AN60=1,IF(AN$13&lt;=COUNT($C32:$CS32),IF(INDEX($F$206:$F$229,MATCH($B252,$B$206:$B$229,FALSE))=0,NA(),INDEX(AN$14:AN$37,MATCH($B252,$B$14:$B$37,FALSE))/INDEX($F$206:$F$229,MATCH($B252,$B$206:$B$229,FALSE))),NA()),NA())</f>
        <v>#N/A</v>
      </c>
      <c r="AP252" s="65" t="e">
        <f>IF(AO60=1,IF(AO$13&lt;=COUNT($C32:$CS32),IF(INDEX($F$206:$F$229,MATCH($B252,$B$206:$B$229,FALSE))=0,NA(),INDEX(AO$14:AO$37,MATCH($B252,$B$14:$B$37,FALSE))/INDEX($F$206:$F$229,MATCH($B252,$B$206:$B$229,FALSE))),NA()),NA())</f>
        <v>#N/A</v>
      </c>
      <c r="AQ252" s="65" t="e">
        <f>IF(AP60=1,IF(AP$13&lt;=COUNT($C32:$CS32),IF(INDEX($F$206:$F$229,MATCH($B252,$B$206:$B$229,FALSE))=0,NA(),INDEX(AP$14:AP$37,MATCH($B252,$B$14:$B$37,FALSE))/INDEX($F$206:$F$229,MATCH($B252,$B$206:$B$229,FALSE))),NA()),NA())</f>
        <v>#N/A</v>
      </c>
      <c r="AR252" s="65" t="e">
        <f>IF(AQ60=1,IF(AQ$13&lt;=COUNT($C32:$CS32),IF(INDEX($F$206:$F$229,MATCH($B252,$B$206:$B$229,FALSE))=0,NA(),INDEX(AQ$14:AQ$37,MATCH($B252,$B$14:$B$37,FALSE))/INDEX($F$206:$F$229,MATCH($B252,$B$206:$B$229,FALSE))),NA()),NA())</f>
        <v>#N/A</v>
      </c>
      <c r="AS252" s="65" t="e">
        <f>IF(AR60=1,IF(AR$13&lt;=COUNT($C32:$CS32),IF(INDEX($F$206:$F$229,MATCH($B252,$B$206:$B$229,FALSE))=0,NA(),INDEX(AR$14:AR$37,MATCH($B252,$B$14:$B$37,FALSE))/INDEX($F$206:$F$229,MATCH($B252,$B$206:$B$229,FALSE))),NA()),NA())</f>
        <v>#N/A</v>
      </c>
      <c r="AT252" s="65" t="e">
        <f>IF(AS60=1,IF(AS$13&lt;=COUNT($C32:$CS32),IF(INDEX($F$206:$F$229,MATCH($B252,$B$206:$B$229,FALSE))=0,NA(),INDEX(AS$14:AS$37,MATCH($B252,$B$14:$B$37,FALSE))/INDEX($F$206:$F$229,MATCH($B252,$B$206:$B$229,FALSE))),NA()),NA())</f>
        <v>#N/A</v>
      </c>
      <c r="AU252" s="65" t="e">
        <f>IF(AT60=1,IF(AT$13&lt;=COUNT($C32:$CS32),IF(INDEX($F$206:$F$229,MATCH($B252,$B$206:$B$229,FALSE))=0,NA(),INDEX(AT$14:AT$37,MATCH($B252,$B$14:$B$37,FALSE))/INDEX($F$206:$F$229,MATCH($B252,$B$206:$B$229,FALSE))),NA()),NA())</f>
        <v>#N/A</v>
      </c>
      <c r="AV252" s="65" t="e">
        <f>IF(AU60=1,IF(AU$13&lt;=COUNT($C32:$CS32),IF(INDEX($F$206:$F$229,MATCH($B252,$B$206:$B$229,FALSE))=0,NA(),INDEX(AU$14:AU$37,MATCH($B252,$B$14:$B$37,FALSE))/INDEX($F$206:$F$229,MATCH($B252,$B$206:$B$229,FALSE))),NA()),NA())</f>
        <v>#N/A</v>
      </c>
      <c r="AW252" s="65" t="e">
        <f>IF(AV60=1,IF(AV$13&lt;=COUNT($C32:$CS32),IF(INDEX($F$206:$F$229,MATCH($B252,$B$206:$B$229,FALSE))=0,NA(),INDEX(AV$14:AV$37,MATCH($B252,$B$14:$B$37,FALSE))/INDEX($F$206:$F$229,MATCH($B252,$B$206:$B$229,FALSE))),NA()),NA())</f>
        <v>#N/A</v>
      </c>
      <c r="AX252" s="65" t="e">
        <f>IF(AW60=1,IF(AW$13&lt;=COUNT($C32:$CS32),IF(INDEX($F$206:$F$229,MATCH($B252,$B$206:$B$229,FALSE))=0,NA(),INDEX(AW$14:AW$37,MATCH($B252,$B$14:$B$37,FALSE))/INDEX($F$206:$F$229,MATCH($B252,$B$206:$B$229,FALSE))),NA()),NA())</f>
        <v>#N/A</v>
      </c>
      <c r="AY252" s="65" t="e">
        <f>IF(AX60=1,IF(AX$13&lt;=COUNT($C32:$CS32),IF(INDEX($F$206:$F$229,MATCH($B252,$B$206:$B$229,FALSE))=0,NA(),INDEX(AX$14:AX$37,MATCH($B252,$B$14:$B$37,FALSE))/INDEX($F$206:$F$229,MATCH($B252,$B$206:$B$229,FALSE))),NA()),NA())</f>
        <v>#N/A</v>
      </c>
      <c r="AZ252" s="65" t="e">
        <f>IF(AY60=1,IF(AY$13&lt;=COUNT($C32:$CS32),IF(INDEX($F$206:$F$229,MATCH($B252,$B$206:$B$229,FALSE))=0,NA(),INDEX(AY$14:AY$37,MATCH($B252,$B$14:$B$37,FALSE))/INDEX($F$206:$F$229,MATCH($B252,$B$206:$B$229,FALSE))),NA()),NA())</f>
        <v>#N/A</v>
      </c>
      <c r="BA252" s="65" t="e">
        <f>IF(AZ60=1,IF(AZ$13&lt;=COUNT($C32:$CS32),IF(INDEX($F$206:$F$229,MATCH($B252,$B$206:$B$229,FALSE))=0,NA(),INDEX(AZ$14:AZ$37,MATCH($B252,$B$14:$B$37,FALSE))/INDEX($F$206:$F$229,MATCH($B252,$B$206:$B$229,FALSE))),NA()),NA())</f>
        <v>#N/A</v>
      </c>
      <c r="BB252" s="65" t="e">
        <f>IF(BA60=1,IF(BA$13&lt;=COUNT($C32:$CS32),IF(INDEX($F$206:$F$229,MATCH($B252,$B$206:$B$229,FALSE))=0,NA(),INDEX(BA$14:BA$37,MATCH($B252,$B$14:$B$37,FALSE))/INDEX($F$206:$F$229,MATCH($B252,$B$206:$B$229,FALSE))),NA()),NA())</f>
        <v>#N/A</v>
      </c>
      <c r="BC252" s="65" t="e">
        <f>IF(BB60=1,IF(BB$13&lt;=COUNT($C32:$CS32),IF(INDEX($F$206:$F$229,MATCH($B252,$B$206:$B$229,FALSE))=0,NA(),INDEX(BB$14:BB$37,MATCH($B252,$B$14:$B$37,FALSE))/INDEX($F$206:$F$229,MATCH($B252,$B$206:$B$229,FALSE))),NA()),NA())</f>
        <v>#N/A</v>
      </c>
      <c r="BD252" s="65" t="e">
        <f>IF(BC60=1,IF(BC$13&lt;=COUNT($C32:$CS32),IF(INDEX($F$206:$F$229,MATCH($B252,$B$206:$B$229,FALSE))=0,NA(),INDEX(BC$14:BC$37,MATCH($B252,$B$14:$B$37,FALSE))/INDEX($F$206:$F$229,MATCH($B252,$B$206:$B$229,FALSE))),NA()),NA())</f>
        <v>#N/A</v>
      </c>
      <c r="BE252" s="65" t="e">
        <f>IF(BD60=1,IF(BD$13&lt;=COUNT($C32:$CS32),IF(INDEX($F$206:$F$229,MATCH($B252,$B$206:$B$229,FALSE))=0,NA(),INDEX(BD$14:BD$37,MATCH($B252,$B$14:$B$37,FALSE))/INDEX($F$206:$F$229,MATCH($B252,$B$206:$B$229,FALSE))),NA()),NA())</f>
        <v>#N/A</v>
      </c>
      <c r="BF252" s="65" t="e">
        <f>IF(BE60=1,IF(BE$13&lt;=COUNT($C32:$CS32),IF(INDEX($F$206:$F$229,MATCH($B252,$B$206:$B$229,FALSE))=0,NA(),INDEX(BE$14:BE$37,MATCH($B252,$B$14:$B$37,FALSE))/INDEX($F$206:$F$229,MATCH($B252,$B$206:$B$229,FALSE))),NA()),NA())</f>
        <v>#N/A</v>
      </c>
      <c r="BG252" s="65" t="e">
        <f>IF(BF60=1,IF(BF$13&lt;=COUNT($C32:$CS32),IF(INDEX($F$206:$F$229,MATCH($B252,$B$206:$B$229,FALSE))=0,NA(),INDEX(BF$14:BF$37,MATCH($B252,$B$14:$B$37,FALSE))/INDEX($F$206:$F$229,MATCH($B252,$B$206:$B$229,FALSE))),NA()),NA())</f>
        <v>#N/A</v>
      </c>
      <c r="BH252" s="65" t="e">
        <f>IF(BG60=1,IF(BG$13&lt;=COUNT($C32:$CS32),IF(INDEX($F$206:$F$229,MATCH($B252,$B$206:$B$229,FALSE))=0,NA(),INDEX(BG$14:BG$37,MATCH($B252,$B$14:$B$37,FALSE))/INDEX($F$206:$F$229,MATCH($B252,$B$206:$B$229,FALSE))),NA()),NA())</f>
        <v>#N/A</v>
      </c>
      <c r="BI252" s="65" t="e">
        <f>IF(BH60=1,IF(BH$13&lt;=COUNT($C32:$CS32),IF(INDEX($F$206:$F$229,MATCH($B252,$B$206:$B$229,FALSE))=0,NA(),INDEX(BH$14:BH$37,MATCH($B252,$B$14:$B$37,FALSE))/INDEX($F$206:$F$229,MATCH($B252,$B$206:$B$229,FALSE))),NA()),NA())</f>
        <v>#N/A</v>
      </c>
      <c r="BJ252" s="65" t="e">
        <f>IF(BI60=1,IF(BI$13&lt;=COUNT($C32:$CS32),IF(INDEX($F$206:$F$229,MATCH($B252,$B$206:$B$229,FALSE))=0,NA(),INDEX(BI$14:BI$37,MATCH($B252,$B$14:$B$37,FALSE))/INDEX($F$206:$F$229,MATCH($B252,$B$206:$B$229,FALSE))),NA()),NA())</f>
        <v>#N/A</v>
      </c>
      <c r="BK252" s="65" t="e">
        <f>IF(BJ60=1,IF(BJ$13&lt;=COUNT($C32:$CS32),IF(INDEX($F$206:$F$229,MATCH($B252,$B$206:$B$229,FALSE))=0,NA(),INDEX(BJ$14:BJ$37,MATCH($B252,$B$14:$B$37,FALSE))/INDEX($F$206:$F$229,MATCH($B252,$B$206:$B$229,FALSE))),NA()),NA())</f>
        <v>#N/A</v>
      </c>
      <c r="BL252" s="65" t="e">
        <f>IF(BK60=1,IF(BK$13&lt;=COUNT($C32:$CS32),IF(INDEX($F$206:$F$229,MATCH($B252,$B$206:$B$229,FALSE))=0,NA(),INDEX(BK$14:BK$37,MATCH($B252,$B$14:$B$37,FALSE))/INDEX($F$206:$F$229,MATCH($B252,$B$206:$B$229,FALSE))),NA()),NA())</f>
        <v>#N/A</v>
      </c>
      <c r="BM252" s="65" t="e">
        <f>IF(BL60=1,IF(BL$13&lt;=COUNT($C32:$CS32),IF(INDEX($F$206:$F$229,MATCH($B252,$B$206:$B$229,FALSE))=0,NA(),INDEX(BL$14:BL$37,MATCH($B252,$B$14:$B$37,FALSE))/INDEX($F$206:$F$229,MATCH($B252,$B$206:$B$229,FALSE))),NA()),NA())</f>
        <v>#N/A</v>
      </c>
      <c r="BN252" s="65" t="e">
        <f>IF(BM60=1,IF(BM$13&lt;=COUNT($C32:$CS32),IF(INDEX($F$206:$F$229,MATCH($B252,$B$206:$B$229,FALSE))=0,NA(),INDEX(BM$14:BM$37,MATCH($B252,$B$14:$B$37,FALSE))/INDEX($F$206:$F$229,MATCH($B252,$B$206:$B$229,FALSE))),NA()),NA())</f>
        <v>#N/A</v>
      </c>
      <c r="BO252" s="65" t="e">
        <f>IF(BN60=1,IF(BN$13&lt;=COUNT($C32:$CS32),IF(INDEX($F$206:$F$229,MATCH($B252,$B$206:$B$229,FALSE))=0,NA(),INDEX(BN$14:BN$37,MATCH($B252,$B$14:$B$37,FALSE))/INDEX($F$206:$F$229,MATCH($B252,$B$206:$B$229,FALSE))),NA()),NA())</f>
        <v>#N/A</v>
      </c>
      <c r="BP252" s="65" t="e">
        <f>IF(BO60=1,IF(BO$13&lt;=COUNT($C32:$CS32),IF(INDEX($F$206:$F$229,MATCH($B252,$B$206:$B$229,FALSE))=0,NA(),INDEX(BO$14:BO$37,MATCH($B252,$B$14:$B$37,FALSE))/INDEX($F$206:$F$229,MATCH($B252,$B$206:$B$229,FALSE))),NA()),NA())</f>
        <v>#N/A</v>
      </c>
      <c r="BQ252" s="65" t="e">
        <f>IF(BP60=1,IF(BP$13&lt;=COUNT($C32:$CS32),IF(INDEX($F$206:$F$229,MATCH($B252,$B$206:$B$229,FALSE))=0,NA(),INDEX(BP$14:BP$37,MATCH($B252,$B$14:$B$37,FALSE))/INDEX($F$206:$F$229,MATCH($B252,$B$206:$B$229,FALSE))),NA()),NA())</f>
        <v>#N/A</v>
      </c>
      <c r="BR252" s="65" t="e">
        <f>IF(BQ60=1,IF(BQ$13&lt;=COUNT($C32:$CS32),IF(INDEX($F$206:$F$229,MATCH($B252,$B$206:$B$229,FALSE))=0,NA(),INDEX(BQ$14:BQ$37,MATCH($B252,$B$14:$B$37,FALSE))/INDEX($F$206:$F$229,MATCH($B252,$B$206:$B$229,FALSE))),NA()),NA())</f>
        <v>#N/A</v>
      </c>
      <c r="BS252" s="65" t="e">
        <f>IF(BR60=1,IF(BR$13&lt;=COUNT($C32:$CS32),IF(INDEX($F$206:$F$229,MATCH($B252,$B$206:$B$229,FALSE))=0,NA(),INDEX(BR$14:BR$37,MATCH($B252,$B$14:$B$37,FALSE))/INDEX($F$206:$F$229,MATCH($B252,$B$206:$B$229,FALSE))),NA()),NA())</f>
        <v>#N/A</v>
      </c>
      <c r="BT252" s="65" t="e">
        <f>IF(BS60=1,IF(BS$13&lt;=COUNT($C32:$CS32),IF(INDEX($F$206:$F$229,MATCH($B252,$B$206:$B$229,FALSE))=0,NA(),INDEX(BS$14:BS$37,MATCH($B252,$B$14:$B$37,FALSE))/INDEX($F$206:$F$229,MATCH($B252,$B$206:$B$229,FALSE))),NA()),NA())</f>
        <v>#N/A</v>
      </c>
      <c r="BU252" s="65" t="e">
        <f>IF(BT60=1,IF(BT$13&lt;=COUNT($C32:$CS32),IF(INDEX($F$206:$F$229,MATCH($B252,$B$206:$B$229,FALSE))=0,NA(),INDEX(BT$14:BT$37,MATCH($B252,$B$14:$B$37,FALSE))/INDEX($F$206:$F$229,MATCH($B252,$B$206:$B$229,FALSE))),NA()),NA())</f>
        <v>#N/A</v>
      </c>
      <c r="BV252" s="65" t="e">
        <f>IF(BU60=1,IF(BU$13&lt;=COUNT($C32:$CS32),IF(INDEX($F$206:$F$229,MATCH($B252,$B$206:$B$229,FALSE))=0,NA(),INDEX(BU$14:BU$37,MATCH($B252,$B$14:$B$37,FALSE))/INDEX($F$206:$F$229,MATCH($B252,$B$206:$B$229,FALSE))),NA()),NA())</f>
        <v>#N/A</v>
      </c>
      <c r="BW252" s="65" t="e">
        <f>IF(BV60=1,IF(BV$13&lt;=COUNT($C32:$CS32),IF(INDEX($F$206:$F$229,MATCH($B252,$B$206:$B$229,FALSE))=0,NA(),INDEX(BV$14:BV$37,MATCH($B252,$B$14:$B$37,FALSE))/INDEX($F$206:$F$229,MATCH($B252,$B$206:$B$229,FALSE))),NA()),NA())</f>
        <v>#N/A</v>
      </c>
      <c r="BX252" s="65" t="e">
        <f>IF(BW60=1,IF(BW$13&lt;=COUNT($C32:$CS32),IF(INDEX($F$206:$F$229,MATCH($B252,$B$206:$B$229,FALSE))=0,NA(),INDEX(BW$14:BW$37,MATCH($B252,$B$14:$B$37,FALSE))/INDEX($F$206:$F$229,MATCH($B252,$B$206:$B$229,FALSE))),NA()),NA())</f>
        <v>#N/A</v>
      </c>
      <c r="BY252" s="65" t="e">
        <f>IF(BX60=1,IF(BX$13&lt;=COUNT($C32:$CS32),IF(INDEX($F$206:$F$229,MATCH($B252,$B$206:$B$229,FALSE))=0,NA(),INDEX(BX$14:BX$37,MATCH($B252,$B$14:$B$37,FALSE))/INDEX($F$206:$F$229,MATCH($B252,$B$206:$B$229,FALSE))),NA()),NA())</f>
        <v>#N/A</v>
      </c>
      <c r="BZ252" s="65" t="e">
        <f>IF(BY60=1,IF(BY$13&lt;=COUNT($C32:$CS32),IF(INDEX($F$206:$F$229,MATCH($B252,$B$206:$B$229,FALSE))=0,NA(),INDEX(BY$14:BY$37,MATCH($B252,$B$14:$B$37,FALSE))/INDEX($F$206:$F$229,MATCH($B252,$B$206:$B$229,FALSE))),NA()),NA())</f>
        <v>#N/A</v>
      </c>
      <c r="CA252" s="65" t="e">
        <f>IF(BZ60=1,IF(BZ$13&lt;=COUNT($C32:$CS32),IF(INDEX($F$206:$F$229,MATCH($B252,$B$206:$B$229,FALSE))=0,NA(),INDEX(BZ$14:BZ$37,MATCH($B252,$B$14:$B$37,FALSE))/INDEX($F$206:$F$229,MATCH($B252,$B$206:$B$229,FALSE))),NA()),NA())</f>
        <v>#N/A</v>
      </c>
      <c r="CB252" s="65" t="e">
        <f>IF(CA60=1,IF(CA$13&lt;=COUNT($C32:$CS32),IF(INDEX($F$206:$F$229,MATCH($B252,$B$206:$B$229,FALSE))=0,NA(),INDEX(CA$14:CA$37,MATCH($B252,$B$14:$B$37,FALSE))/INDEX($F$206:$F$229,MATCH($B252,$B$206:$B$229,FALSE))),NA()),NA())</f>
        <v>#N/A</v>
      </c>
      <c r="CC252" s="65" t="e">
        <f>IF(CB60=1,IF(CB$13&lt;=COUNT($C32:$CS32),IF(INDEX($F$206:$F$229,MATCH($B252,$B$206:$B$229,FALSE))=0,NA(),INDEX(CB$14:CB$37,MATCH($B252,$B$14:$B$37,FALSE))/INDEX($F$206:$F$229,MATCH($B252,$B$206:$B$229,FALSE))),NA()),NA())</f>
        <v>#N/A</v>
      </c>
      <c r="CD252" s="65" t="e">
        <f>IF(CC60=1,IF(CC$13&lt;=COUNT($C32:$CS32),IF(INDEX($F$206:$F$229,MATCH($B252,$B$206:$B$229,FALSE))=0,NA(),INDEX(CC$14:CC$37,MATCH($B252,$B$14:$B$37,FALSE))/INDEX($F$206:$F$229,MATCH($B252,$B$206:$B$229,FALSE))),NA()),NA())</f>
        <v>#N/A</v>
      </c>
      <c r="CE252" s="65" t="e">
        <f>IF(CD60=1,IF(CD$13&lt;=COUNT($C32:$CS32),IF(INDEX($F$206:$F$229,MATCH($B252,$B$206:$B$229,FALSE))=0,NA(),INDEX(CD$14:CD$37,MATCH($B252,$B$14:$B$37,FALSE))/INDEX($F$206:$F$229,MATCH($B252,$B$206:$B$229,FALSE))),NA()),NA())</f>
        <v>#N/A</v>
      </c>
      <c r="CF252" s="65" t="e">
        <f>IF(CE60=1,IF(CE$13&lt;=COUNT($C32:$CS32),IF(INDEX($F$206:$F$229,MATCH($B252,$B$206:$B$229,FALSE))=0,NA(),INDEX(CE$14:CE$37,MATCH($B252,$B$14:$B$37,FALSE))/INDEX($F$206:$F$229,MATCH($B252,$B$206:$B$229,FALSE))),NA()),NA())</f>
        <v>#N/A</v>
      </c>
      <c r="CG252" s="65" t="e">
        <f>IF(CF60=1,IF(CF$13&lt;=COUNT($C32:$CS32),IF(INDEX($F$206:$F$229,MATCH($B252,$B$206:$B$229,FALSE))=0,NA(),INDEX(CF$14:CF$37,MATCH($B252,$B$14:$B$37,FALSE))/INDEX($F$206:$F$229,MATCH($B252,$B$206:$B$229,FALSE))),NA()),NA())</f>
        <v>#N/A</v>
      </c>
      <c r="CH252" s="65" t="e">
        <f>IF(CG60=1,IF(CG$13&lt;=COUNT($C32:$CS32),IF(INDEX($F$206:$F$229,MATCH($B252,$B$206:$B$229,FALSE))=0,NA(),INDEX(CG$14:CG$37,MATCH($B252,$B$14:$B$37,FALSE))/INDEX($F$206:$F$229,MATCH($B252,$B$206:$B$229,FALSE))),NA()),NA())</f>
        <v>#N/A</v>
      </c>
      <c r="CI252" s="65" t="e">
        <f>IF(CH60=1,IF(CH$13&lt;=COUNT($C32:$CS32),IF(INDEX($F$206:$F$229,MATCH($B252,$B$206:$B$229,FALSE))=0,NA(),INDEX(CH$14:CH$37,MATCH($B252,$B$14:$B$37,FALSE))/INDEX($F$206:$F$229,MATCH($B252,$B$206:$B$229,FALSE))),NA()),NA())</f>
        <v>#N/A</v>
      </c>
      <c r="CJ252" s="65" t="e">
        <f>IF(CI60=1,IF(CI$13&lt;=COUNT($C32:$CS32),IF(INDEX($F$206:$F$229,MATCH($B252,$B$206:$B$229,FALSE))=0,NA(),INDEX(CI$14:CI$37,MATCH($B252,$B$14:$B$37,FALSE))/INDEX($F$206:$F$229,MATCH($B252,$B$206:$B$229,FALSE))),NA()),NA())</f>
        <v>#N/A</v>
      </c>
      <c r="CK252" s="65" t="e">
        <f>IF(CJ60=1,IF(CJ$13&lt;=COUNT($C32:$CS32),IF(INDEX($F$206:$F$229,MATCH($B252,$B$206:$B$229,FALSE))=0,NA(),INDEX(CJ$14:CJ$37,MATCH($B252,$B$14:$B$37,FALSE))/INDEX($F$206:$F$229,MATCH($B252,$B$206:$B$229,FALSE))),NA()),NA())</f>
        <v>#N/A</v>
      </c>
      <c r="CL252" s="65" t="e">
        <f>IF(CK60=1,IF(CK$13&lt;=COUNT($C32:$CS32),IF(INDEX($F$206:$F$229,MATCH($B252,$B$206:$B$229,FALSE))=0,NA(),INDEX(CK$14:CK$37,MATCH($B252,$B$14:$B$37,FALSE))/INDEX($F$206:$F$229,MATCH($B252,$B$206:$B$229,FALSE))),NA()),NA())</f>
        <v>#N/A</v>
      </c>
      <c r="CM252" s="65" t="e">
        <f>IF(CL60=1,IF(CL$13&lt;=COUNT($C32:$CS32),IF(INDEX($F$206:$F$229,MATCH($B252,$B$206:$B$229,FALSE))=0,NA(),INDEX(CL$14:CL$37,MATCH($B252,$B$14:$B$37,FALSE))/INDEX($F$206:$F$229,MATCH($B252,$B$206:$B$229,FALSE))),NA()),NA())</f>
        <v>#N/A</v>
      </c>
      <c r="CN252" s="65" t="e">
        <f>IF(CM60=1,IF(CM$13&lt;=COUNT($C32:$CS32),IF(INDEX($F$206:$F$229,MATCH($B252,$B$206:$B$229,FALSE))=0,NA(),INDEX(CM$14:CM$37,MATCH($B252,$B$14:$B$37,FALSE))/INDEX($F$206:$F$229,MATCH($B252,$B$206:$B$229,FALSE))),NA()),NA())</f>
        <v>#N/A</v>
      </c>
      <c r="CO252" s="65" t="e">
        <f>IF(CN60=1,IF(CN$13&lt;=COUNT($C32:$CS32),IF(INDEX($F$206:$F$229,MATCH($B252,$B$206:$B$229,FALSE))=0,NA(),INDEX(CN$14:CN$37,MATCH($B252,$B$14:$B$37,FALSE))/INDEX($F$206:$F$229,MATCH($B252,$B$206:$B$229,FALSE))),NA()),NA())</f>
        <v>#N/A</v>
      </c>
      <c r="CP252" s="65" t="e">
        <f>IF(CO60=1,IF(CO$13&lt;=COUNT($C32:$CS32),IF(INDEX($F$206:$F$229,MATCH($B252,$B$206:$B$229,FALSE))=0,NA(),INDEX(CO$14:CO$37,MATCH($B252,$B$14:$B$37,FALSE))/INDEX($F$206:$F$229,MATCH($B252,$B$206:$B$229,FALSE))),NA()),NA())</f>
        <v>#N/A</v>
      </c>
      <c r="CQ252" s="65" t="e">
        <f>IF(CP60=1,IF(CP$13&lt;=COUNT($C32:$CS32),IF(INDEX($F$206:$F$229,MATCH($B252,$B$206:$B$229,FALSE))=0,NA(),INDEX(CP$14:CP$37,MATCH($B252,$B$14:$B$37,FALSE))/INDEX($F$206:$F$229,MATCH($B252,$B$206:$B$229,FALSE))),NA()),NA())</f>
        <v>#N/A</v>
      </c>
      <c r="CR252" s="65" t="e">
        <f>IF(CQ60=1,IF(CQ$13&lt;=COUNT($C32:$CS32),IF(INDEX($F$206:$F$229,MATCH($B252,$B$206:$B$229,FALSE))=0,NA(),INDEX(CQ$14:CQ$37,MATCH($B252,$B$14:$B$37,FALSE))/INDEX($F$206:$F$229,MATCH($B252,$B$206:$B$229,FALSE))),NA()),NA())</f>
        <v>#N/A</v>
      </c>
      <c r="CS252" s="65" t="e">
        <f>IF(CR60=1,IF(CR$13&lt;=COUNT($C32:$CS32),IF(INDEX($F$206:$F$229,MATCH($B252,$B$206:$B$229,FALSE))=0,NA(),INDEX(CR$14:CR$37,MATCH($B252,$B$14:$B$37,FALSE))/INDEX($F$206:$F$229,MATCH($B252,$B$206:$B$229,FALSE))),NA()),NA())</f>
        <v>#N/A</v>
      </c>
      <c r="CT252" s="49"/>
      <c r="CU252" s="49"/>
      <c r="CV252" s="49"/>
      <c r="CW252" s="49"/>
    </row>
    <row r="253" spans="1:101" x14ac:dyDescent="0.25">
      <c r="A253" s="97">
        <f t="shared" si="105"/>
        <v>1</v>
      </c>
      <c r="B253" s="29">
        <f t="shared" si="104"/>
        <v>2015</v>
      </c>
      <c r="C253" s="154" t="str">
        <f t="shared" si="106"/>
        <v/>
      </c>
      <c r="D253" s="54" t="e">
        <f ca="1">IF(C61=1,IF(C$13&lt;=COUNT($C33:$CS33),IF(INDEX($F$206:$F$229,MATCH($B253,$B$206:$B$229,FALSE))=0,NA(),INDEX(C$14:C$37,MATCH($B253,$B$14:$B$37,FALSE))/INDEX($F$206:$F$229,MATCH($B253,$B$206:$B$229,FALSE))),NA()),NA())</f>
        <v>#N/A</v>
      </c>
      <c r="E253" s="65" t="e">
        <f ca="1">IF(D61=1,IF(D$13&lt;=COUNT($C33:$CS33),IF(INDEX($F$206:$F$229,MATCH($B253,$B$206:$B$229,FALSE))=0,NA(),INDEX(D$14:D$37,MATCH($B253,$B$14:$B$37,FALSE))/INDEX($F$206:$F$229,MATCH($B253,$B$206:$B$229,FALSE))),NA()),NA())</f>
        <v>#N/A</v>
      </c>
      <c r="F253" s="65" t="e">
        <f ca="1">IF(E61=1,IF(E$13&lt;=COUNT($C33:$CS33),IF(INDEX($F$206:$F$229,MATCH($B253,$B$206:$B$229,FALSE))=0,NA(),INDEX(E$14:E$37,MATCH($B253,$B$14:$B$37,FALSE))/INDEX($F$206:$F$229,MATCH($B253,$B$206:$B$229,FALSE))),NA()),NA())</f>
        <v>#N/A</v>
      </c>
      <c r="G253" s="65" t="e">
        <f ca="1">IF(F61=1,IF(F$13&lt;=COUNT($C33:$CS33),IF(INDEX($F$206:$F$229,MATCH($B253,$B$206:$B$229,FALSE))=0,NA(),INDEX(F$14:F$37,MATCH($B253,$B$14:$B$37,FALSE))/INDEX($F$206:$F$229,MATCH($B253,$B$206:$B$229,FALSE))),NA()),NA())</f>
        <v>#N/A</v>
      </c>
      <c r="H253" s="65" t="e">
        <f ca="1">IF(G61=1,IF(G$13&lt;=COUNT($C33:$CS33),IF(INDEX($F$206:$F$229,MATCH($B253,$B$206:$B$229,FALSE))=0,NA(),INDEX(G$14:G$37,MATCH($B253,$B$14:$B$37,FALSE))/INDEX($F$206:$F$229,MATCH($B253,$B$206:$B$229,FALSE))),NA()),NA())</f>
        <v>#N/A</v>
      </c>
      <c r="I253" s="65" t="e">
        <f>IF(H61=1,IF(H$13&lt;=COUNT($C33:$CS33),IF(INDEX($F$206:$F$229,MATCH($B253,$B$206:$B$229,FALSE))=0,NA(),INDEX(H$14:H$37,MATCH($B253,$B$14:$B$37,FALSE))/INDEX($F$206:$F$229,MATCH($B253,$B$206:$B$229,FALSE))),NA()),NA())</f>
        <v>#N/A</v>
      </c>
      <c r="J253" s="65" t="e">
        <f>IF(I61=1,IF(I$13&lt;=COUNT($C33:$CS33),IF(INDEX($F$206:$F$229,MATCH($B253,$B$206:$B$229,FALSE))=0,NA(),INDEX(I$14:I$37,MATCH($B253,$B$14:$B$37,FALSE))/INDEX($F$206:$F$229,MATCH($B253,$B$206:$B$229,FALSE))),NA()),NA())</f>
        <v>#N/A</v>
      </c>
      <c r="K253" s="65" t="e">
        <f>IF(J61=1,IF(J$13&lt;=COUNT($C33:$CS33),IF(INDEX($F$206:$F$229,MATCH($B253,$B$206:$B$229,FALSE))=0,NA(),INDEX(J$14:J$37,MATCH($B253,$B$14:$B$37,FALSE))/INDEX($F$206:$F$229,MATCH($B253,$B$206:$B$229,FALSE))),NA()),NA())</f>
        <v>#N/A</v>
      </c>
      <c r="L253" s="65" t="e">
        <f>IF(K61=1,IF(K$13&lt;=COUNT($C33:$CS33),IF(INDEX($F$206:$F$229,MATCH($B253,$B$206:$B$229,FALSE))=0,NA(),INDEX(K$14:K$37,MATCH($B253,$B$14:$B$37,FALSE))/INDEX($F$206:$F$229,MATCH($B253,$B$206:$B$229,FALSE))),NA()),NA())</f>
        <v>#N/A</v>
      </c>
      <c r="M253" s="65" t="e">
        <f>IF(L61=1,IF(L$13&lt;=COUNT($C33:$CS33),IF(INDEX($F$206:$F$229,MATCH($B253,$B$206:$B$229,FALSE))=0,NA(),INDEX(L$14:L$37,MATCH($B253,$B$14:$B$37,FALSE))/INDEX($F$206:$F$229,MATCH($B253,$B$206:$B$229,FALSE))),NA()),NA())</f>
        <v>#N/A</v>
      </c>
      <c r="N253" s="65" t="e">
        <f>IF(M61=1,IF(M$13&lt;=COUNT($C33:$CS33),IF(INDEX($F$206:$F$229,MATCH($B253,$B$206:$B$229,FALSE))=0,NA(),INDEX(M$14:M$37,MATCH($B253,$B$14:$B$37,FALSE))/INDEX($F$206:$F$229,MATCH($B253,$B$206:$B$229,FALSE))),NA()),NA())</f>
        <v>#N/A</v>
      </c>
      <c r="O253" s="65" t="e">
        <f>IF(N61=1,IF(N$13&lt;=COUNT($C33:$CS33),IF(INDEX($F$206:$F$229,MATCH($B253,$B$206:$B$229,FALSE))=0,NA(),INDEX(N$14:N$37,MATCH($B253,$B$14:$B$37,FALSE))/INDEX($F$206:$F$229,MATCH($B253,$B$206:$B$229,FALSE))),NA()),NA())</f>
        <v>#N/A</v>
      </c>
      <c r="P253" s="65" t="e">
        <f>IF(O61=1,IF(O$13&lt;=COUNT($C33:$CS33),IF(INDEX($F$206:$F$229,MATCH($B253,$B$206:$B$229,FALSE))=0,NA(),INDEX(O$14:O$37,MATCH($B253,$B$14:$B$37,FALSE))/INDEX($F$206:$F$229,MATCH($B253,$B$206:$B$229,FALSE))),NA()),NA())</f>
        <v>#N/A</v>
      </c>
      <c r="Q253" s="65" t="e">
        <f>IF(P61=1,IF(P$13&lt;=COUNT($C33:$CS33),IF(INDEX($F$206:$F$229,MATCH($B253,$B$206:$B$229,FALSE))=0,NA(),INDEX(P$14:P$37,MATCH($B253,$B$14:$B$37,FALSE))/INDEX($F$206:$F$229,MATCH($B253,$B$206:$B$229,FALSE))),NA()),NA())</f>
        <v>#N/A</v>
      </c>
      <c r="R253" s="65" t="e">
        <f>IF(Q61=1,IF(Q$13&lt;=COUNT($C33:$CS33),IF(INDEX($F$206:$F$229,MATCH($B253,$B$206:$B$229,FALSE))=0,NA(),INDEX(Q$14:Q$37,MATCH($B253,$B$14:$B$37,FALSE))/INDEX($F$206:$F$229,MATCH($B253,$B$206:$B$229,FALSE))),NA()),NA())</f>
        <v>#N/A</v>
      </c>
      <c r="S253" s="65" t="e">
        <f>IF(R61=1,IF(R$13&lt;=COUNT($C33:$CS33),IF(INDEX($F$206:$F$229,MATCH($B253,$B$206:$B$229,FALSE))=0,NA(),INDEX(R$14:R$37,MATCH($B253,$B$14:$B$37,FALSE))/INDEX($F$206:$F$229,MATCH($B253,$B$206:$B$229,FALSE))),NA()),NA())</f>
        <v>#N/A</v>
      </c>
      <c r="T253" s="65" t="e">
        <f>IF(S61=1,IF(S$13&lt;=COUNT($C33:$CS33),IF(INDEX($F$206:$F$229,MATCH($B253,$B$206:$B$229,FALSE))=0,NA(),INDEX(S$14:S$37,MATCH($B253,$B$14:$B$37,FALSE))/INDEX($F$206:$F$229,MATCH($B253,$B$206:$B$229,FALSE))),NA()),NA())</f>
        <v>#N/A</v>
      </c>
      <c r="U253" s="65" t="e">
        <f>IF(T61=1,IF(T$13&lt;=COUNT($C33:$CS33),IF(INDEX($F$206:$F$229,MATCH($B253,$B$206:$B$229,FALSE))=0,NA(),INDEX(T$14:T$37,MATCH($B253,$B$14:$B$37,FALSE))/INDEX($F$206:$F$229,MATCH($B253,$B$206:$B$229,FALSE))),NA()),NA())</f>
        <v>#N/A</v>
      </c>
      <c r="V253" s="65" t="e">
        <f>IF(U61=1,IF(U$13&lt;=COUNT($C33:$CS33),IF(INDEX($F$206:$F$229,MATCH($B253,$B$206:$B$229,FALSE))=0,NA(),INDEX(U$14:U$37,MATCH($B253,$B$14:$B$37,FALSE))/INDEX($F$206:$F$229,MATCH($B253,$B$206:$B$229,FALSE))),NA()),NA())</f>
        <v>#N/A</v>
      </c>
      <c r="W253" s="65" t="e">
        <f>IF(V61=1,IF(V$13&lt;=COUNT($C33:$CS33),IF(INDEX($F$206:$F$229,MATCH($B253,$B$206:$B$229,FALSE))=0,NA(),INDEX(V$14:V$37,MATCH($B253,$B$14:$B$37,FALSE))/INDEX($F$206:$F$229,MATCH($B253,$B$206:$B$229,FALSE))),NA()),NA())</f>
        <v>#N/A</v>
      </c>
      <c r="X253" s="65" t="e">
        <f>IF(W61=1,IF(W$13&lt;=COUNT($C33:$CS33),IF(INDEX($F$206:$F$229,MATCH($B253,$B$206:$B$229,FALSE))=0,NA(),INDEX(W$14:W$37,MATCH($B253,$B$14:$B$37,FALSE))/INDEX($F$206:$F$229,MATCH($B253,$B$206:$B$229,FALSE))),NA()),NA())</f>
        <v>#N/A</v>
      </c>
      <c r="Y253" s="65" t="e">
        <f>IF(X61=1,IF(X$13&lt;=COUNT($C33:$CS33),IF(INDEX($F$206:$F$229,MATCH($B253,$B$206:$B$229,FALSE))=0,NA(),INDEX(X$14:X$37,MATCH($B253,$B$14:$B$37,FALSE))/INDEX($F$206:$F$229,MATCH($B253,$B$206:$B$229,FALSE))),NA()),NA())</f>
        <v>#N/A</v>
      </c>
      <c r="Z253" s="65" t="e">
        <f>IF(Y61=1,IF(Y$13&lt;=COUNT($C33:$CS33),IF(INDEX($F$206:$F$229,MATCH($B253,$B$206:$B$229,FALSE))=0,NA(),INDEX(Y$14:Y$37,MATCH($B253,$B$14:$B$37,FALSE))/INDEX($F$206:$F$229,MATCH($B253,$B$206:$B$229,FALSE))),NA()),NA())</f>
        <v>#N/A</v>
      </c>
      <c r="AA253" s="65" t="e">
        <f>IF(Z61=1,IF(Z$13&lt;=COUNT($C33:$CS33),IF(INDEX($F$206:$F$229,MATCH($B253,$B$206:$B$229,FALSE))=0,NA(),INDEX(Z$14:Z$37,MATCH($B253,$B$14:$B$37,FALSE))/INDEX($F$206:$F$229,MATCH($B253,$B$206:$B$229,FALSE))),NA()),NA())</f>
        <v>#N/A</v>
      </c>
      <c r="AB253" s="65" t="e">
        <f>IF(AA61=1,IF(AA$13&lt;=COUNT($C33:$CS33),IF(INDEX($F$206:$F$229,MATCH($B253,$B$206:$B$229,FALSE))=0,NA(),INDEX(AA$14:AA$37,MATCH($B253,$B$14:$B$37,FALSE))/INDEX($F$206:$F$229,MATCH($B253,$B$206:$B$229,FALSE))),NA()),NA())</f>
        <v>#N/A</v>
      </c>
      <c r="AC253" s="65" t="e">
        <f>IF(AB61=1,IF(AB$13&lt;=COUNT($C33:$CS33),IF(INDEX($F$206:$F$229,MATCH($B253,$B$206:$B$229,FALSE))=0,NA(),INDEX(AB$14:AB$37,MATCH($B253,$B$14:$B$37,FALSE))/INDEX($F$206:$F$229,MATCH($B253,$B$206:$B$229,FALSE))),NA()),NA())</f>
        <v>#N/A</v>
      </c>
      <c r="AD253" s="65" t="e">
        <f>IF(AC61=1,IF(AC$13&lt;=COUNT($C33:$CS33),IF(INDEX($F$206:$F$229,MATCH($B253,$B$206:$B$229,FALSE))=0,NA(),INDEX(AC$14:AC$37,MATCH($B253,$B$14:$B$37,FALSE))/INDEX($F$206:$F$229,MATCH($B253,$B$206:$B$229,FALSE))),NA()),NA())</f>
        <v>#N/A</v>
      </c>
      <c r="AE253" s="65" t="e">
        <f>IF(AD61=1,IF(AD$13&lt;=COUNT($C33:$CS33),IF(INDEX($F$206:$F$229,MATCH($B253,$B$206:$B$229,FALSE))=0,NA(),INDEX(AD$14:AD$37,MATCH($B253,$B$14:$B$37,FALSE))/INDEX($F$206:$F$229,MATCH($B253,$B$206:$B$229,FALSE))),NA()),NA())</f>
        <v>#N/A</v>
      </c>
      <c r="AF253" s="65" t="e">
        <f>IF(AE61=1,IF(AE$13&lt;=COUNT($C33:$CS33),IF(INDEX($F$206:$F$229,MATCH($B253,$B$206:$B$229,FALSE))=0,NA(),INDEX(AE$14:AE$37,MATCH($B253,$B$14:$B$37,FALSE))/INDEX($F$206:$F$229,MATCH($B253,$B$206:$B$229,FALSE))),NA()),NA())</f>
        <v>#N/A</v>
      </c>
      <c r="AG253" s="65" t="e">
        <f>IF(AF61=1,IF(AF$13&lt;=COUNT($C33:$CS33),IF(INDEX($F$206:$F$229,MATCH($B253,$B$206:$B$229,FALSE))=0,NA(),INDEX(AF$14:AF$37,MATCH($B253,$B$14:$B$37,FALSE))/INDEX($F$206:$F$229,MATCH($B253,$B$206:$B$229,FALSE))),NA()),NA())</f>
        <v>#N/A</v>
      </c>
      <c r="AH253" s="65" t="e">
        <f>IF(AG61=1,IF(AG$13&lt;=COUNT($C33:$CS33),IF(INDEX($F$206:$F$229,MATCH($B253,$B$206:$B$229,FALSE))=0,NA(),INDEX(AG$14:AG$37,MATCH($B253,$B$14:$B$37,FALSE))/INDEX($F$206:$F$229,MATCH($B253,$B$206:$B$229,FALSE))),NA()),NA())</f>
        <v>#N/A</v>
      </c>
      <c r="AI253" s="65" t="e">
        <f>IF(AH61=1,IF(AH$13&lt;=COUNT($C33:$CS33),IF(INDEX($F$206:$F$229,MATCH($B253,$B$206:$B$229,FALSE))=0,NA(),INDEX(AH$14:AH$37,MATCH($B253,$B$14:$B$37,FALSE))/INDEX($F$206:$F$229,MATCH($B253,$B$206:$B$229,FALSE))),NA()),NA())</f>
        <v>#N/A</v>
      </c>
      <c r="AJ253" s="65" t="e">
        <f>IF(AI61=1,IF(AI$13&lt;=COUNT($C33:$CS33),IF(INDEX($F$206:$F$229,MATCH($B253,$B$206:$B$229,FALSE))=0,NA(),INDEX(AI$14:AI$37,MATCH($B253,$B$14:$B$37,FALSE))/INDEX($F$206:$F$229,MATCH($B253,$B$206:$B$229,FALSE))),NA()),NA())</f>
        <v>#N/A</v>
      </c>
      <c r="AK253" s="65" t="e">
        <f>IF(AJ61=1,IF(AJ$13&lt;=COUNT($C33:$CS33),IF(INDEX($F$206:$F$229,MATCH($B253,$B$206:$B$229,FALSE))=0,NA(),INDEX(AJ$14:AJ$37,MATCH($B253,$B$14:$B$37,FALSE))/INDEX($F$206:$F$229,MATCH($B253,$B$206:$B$229,FALSE))),NA()),NA())</f>
        <v>#N/A</v>
      </c>
      <c r="AL253" s="65" t="e">
        <f>IF(AK61=1,IF(AK$13&lt;=COUNT($C33:$CS33),IF(INDEX($F$206:$F$229,MATCH($B253,$B$206:$B$229,FALSE))=0,NA(),INDEX(AK$14:AK$37,MATCH($B253,$B$14:$B$37,FALSE))/INDEX($F$206:$F$229,MATCH($B253,$B$206:$B$229,FALSE))),NA()),NA())</f>
        <v>#N/A</v>
      </c>
      <c r="AM253" s="65" t="e">
        <f>IF(AL61=1,IF(AL$13&lt;=COUNT($C33:$CS33),IF(INDEX($F$206:$F$229,MATCH($B253,$B$206:$B$229,FALSE))=0,NA(),INDEX(AL$14:AL$37,MATCH($B253,$B$14:$B$37,FALSE))/INDEX($F$206:$F$229,MATCH($B253,$B$206:$B$229,FALSE))),NA()),NA())</f>
        <v>#N/A</v>
      </c>
      <c r="AN253" s="65" t="e">
        <f>IF(AM61=1,IF(AM$13&lt;=COUNT($C33:$CS33),IF(INDEX($F$206:$F$229,MATCH($B253,$B$206:$B$229,FALSE))=0,NA(),INDEX(AM$14:AM$37,MATCH($B253,$B$14:$B$37,FALSE))/INDEX($F$206:$F$229,MATCH($B253,$B$206:$B$229,FALSE))),NA()),NA())</f>
        <v>#N/A</v>
      </c>
      <c r="AO253" s="65" t="e">
        <f>IF(AN61=1,IF(AN$13&lt;=COUNT($C33:$CS33),IF(INDEX($F$206:$F$229,MATCH($B253,$B$206:$B$229,FALSE))=0,NA(),INDEX(AN$14:AN$37,MATCH($B253,$B$14:$B$37,FALSE))/INDEX($F$206:$F$229,MATCH($B253,$B$206:$B$229,FALSE))),NA()),NA())</f>
        <v>#N/A</v>
      </c>
      <c r="AP253" s="65" t="e">
        <f>IF(AO61=1,IF(AO$13&lt;=COUNT($C33:$CS33),IF(INDEX($F$206:$F$229,MATCH($B253,$B$206:$B$229,FALSE))=0,NA(),INDEX(AO$14:AO$37,MATCH($B253,$B$14:$B$37,FALSE))/INDEX($F$206:$F$229,MATCH($B253,$B$206:$B$229,FALSE))),NA()),NA())</f>
        <v>#N/A</v>
      </c>
      <c r="AQ253" s="65" t="e">
        <f>IF(AP61=1,IF(AP$13&lt;=COUNT($C33:$CS33),IF(INDEX($F$206:$F$229,MATCH($B253,$B$206:$B$229,FALSE))=0,NA(),INDEX(AP$14:AP$37,MATCH($B253,$B$14:$B$37,FALSE))/INDEX($F$206:$F$229,MATCH($B253,$B$206:$B$229,FALSE))),NA()),NA())</f>
        <v>#N/A</v>
      </c>
      <c r="AR253" s="65" t="e">
        <f>IF(AQ61=1,IF(AQ$13&lt;=COUNT($C33:$CS33),IF(INDEX($F$206:$F$229,MATCH($B253,$B$206:$B$229,FALSE))=0,NA(),INDEX(AQ$14:AQ$37,MATCH($B253,$B$14:$B$37,FALSE))/INDEX($F$206:$F$229,MATCH($B253,$B$206:$B$229,FALSE))),NA()),NA())</f>
        <v>#N/A</v>
      </c>
      <c r="AS253" s="65" t="e">
        <f>IF(AR61=1,IF(AR$13&lt;=COUNT($C33:$CS33),IF(INDEX($F$206:$F$229,MATCH($B253,$B$206:$B$229,FALSE))=0,NA(),INDEX(AR$14:AR$37,MATCH($B253,$B$14:$B$37,FALSE))/INDEX($F$206:$F$229,MATCH($B253,$B$206:$B$229,FALSE))),NA()),NA())</f>
        <v>#N/A</v>
      </c>
      <c r="AT253" s="65" t="e">
        <f>IF(AS61=1,IF(AS$13&lt;=COUNT($C33:$CS33),IF(INDEX($F$206:$F$229,MATCH($B253,$B$206:$B$229,FALSE))=0,NA(),INDEX(AS$14:AS$37,MATCH($B253,$B$14:$B$37,FALSE))/INDEX($F$206:$F$229,MATCH($B253,$B$206:$B$229,FALSE))),NA()),NA())</f>
        <v>#N/A</v>
      </c>
      <c r="AU253" s="65" t="e">
        <f>IF(AT61=1,IF(AT$13&lt;=COUNT($C33:$CS33),IF(INDEX($F$206:$F$229,MATCH($B253,$B$206:$B$229,FALSE))=0,NA(),INDEX(AT$14:AT$37,MATCH($B253,$B$14:$B$37,FALSE))/INDEX($F$206:$F$229,MATCH($B253,$B$206:$B$229,FALSE))),NA()),NA())</f>
        <v>#N/A</v>
      </c>
      <c r="AV253" s="65" t="e">
        <f>IF(AU61=1,IF(AU$13&lt;=COUNT($C33:$CS33),IF(INDEX($F$206:$F$229,MATCH($B253,$B$206:$B$229,FALSE))=0,NA(),INDEX(AU$14:AU$37,MATCH($B253,$B$14:$B$37,FALSE))/INDEX($F$206:$F$229,MATCH($B253,$B$206:$B$229,FALSE))),NA()),NA())</f>
        <v>#N/A</v>
      </c>
      <c r="AW253" s="65" t="e">
        <f>IF(AV61=1,IF(AV$13&lt;=COUNT($C33:$CS33),IF(INDEX($F$206:$F$229,MATCH($B253,$B$206:$B$229,FALSE))=0,NA(),INDEX(AV$14:AV$37,MATCH($B253,$B$14:$B$37,FALSE))/INDEX($F$206:$F$229,MATCH($B253,$B$206:$B$229,FALSE))),NA()),NA())</f>
        <v>#N/A</v>
      </c>
      <c r="AX253" s="65" t="e">
        <f>IF(AW61=1,IF(AW$13&lt;=COUNT($C33:$CS33),IF(INDEX($F$206:$F$229,MATCH($B253,$B$206:$B$229,FALSE))=0,NA(),INDEX(AW$14:AW$37,MATCH($B253,$B$14:$B$37,FALSE))/INDEX($F$206:$F$229,MATCH($B253,$B$206:$B$229,FALSE))),NA()),NA())</f>
        <v>#N/A</v>
      </c>
      <c r="AY253" s="65" t="e">
        <f>IF(AX61=1,IF(AX$13&lt;=COUNT($C33:$CS33),IF(INDEX($F$206:$F$229,MATCH($B253,$B$206:$B$229,FALSE))=0,NA(),INDEX(AX$14:AX$37,MATCH($B253,$B$14:$B$37,FALSE))/INDEX($F$206:$F$229,MATCH($B253,$B$206:$B$229,FALSE))),NA()),NA())</f>
        <v>#N/A</v>
      </c>
      <c r="AZ253" s="65" t="e">
        <f>IF(AY61=1,IF(AY$13&lt;=COUNT($C33:$CS33),IF(INDEX($F$206:$F$229,MATCH($B253,$B$206:$B$229,FALSE))=0,NA(),INDEX(AY$14:AY$37,MATCH($B253,$B$14:$B$37,FALSE))/INDEX($F$206:$F$229,MATCH($B253,$B$206:$B$229,FALSE))),NA()),NA())</f>
        <v>#N/A</v>
      </c>
      <c r="BA253" s="65" t="e">
        <f>IF(AZ61=1,IF(AZ$13&lt;=COUNT($C33:$CS33),IF(INDEX($F$206:$F$229,MATCH($B253,$B$206:$B$229,FALSE))=0,NA(),INDEX(AZ$14:AZ$37,MATCH($B253,$B$14:$B$37,FALSE))/INDEX($F$206:$F$229,MATCH($B253,$B$206:$B$229,FALSE))),NA()),NA())</f>
        <v>#N/A</v>
      </c>
      <c r="BB253" s="65" t="e">
        <f>IF(BA61=1,IF(BA$13&lt;=COUNT($C33:$CS33),IF(INDEX($F$206:$F$229,MATCH($B253,$B$206:$B$229,FALSE))=0,NA(),INDEX(BA$14:BA$37,MATCH($B253,$B$14:$B$37,FALSE))/INDEX($F$206:$F$229,MATCH($B253,$B$206:$B$229,FALSE))),NA()),NA())</f>
        <v>#N/A</v>
      </c>
      <c r="BC253" s="65" t="e">
        <f>IF(BB61=1,IF(BB$13&lt;=COUNT($C33:$CS33),IF(INDEX($F$206:$F$229,MATCH($B253,$B$206:$B$229,FALSE))=0,NA(),INDEX(BB$14:BB$37,MATCH($B253,$B$14:$B$37,FALSE))/INDEX($F$206:$F$229,MATCH($B253,$B$206:$B$229,FALSE))),NA()),NA())</f>
        <v>#N/A</v>
      </c>
      <c r="BD253" s="65" t="e">
        <f>IF(BC61=1,IF(BC$13&lt;=COUNT($C33:$CS33),IF(INDEX($F$206:$F$229,MATCH($B253,$B$206:$B$229,FALSE))=0,NA(),INDEX(BC$14:BC$37,MATCH($B253,$B$14:$B$37,FALSE))/INDEX($F$206:$F$229,MATCH($B253,$B$206:$B$229,FALSE))),NA()),NA())</f>
        <v>#N/A</v>
      </c>
      <c r="BE253" s="65" t="e">
        <f>IF(BD61=1,IF(BD$13&lt;=COUNT($C33:$CS33),IF(INDEX($F$206:$F$229,MATCH($B253,$B$206:$B$229,FALSE))=0,NA(),INDEX(BD$14:BD$37,MATCH($B253,$B$14:$B$37,FALSE))/INDEX($F$206:$F$229,MATCH($B253,$B$206:$B$229,FALSE))),NA()),NA())</f>
        <v>#N/A</v>
      </c>
      <c r="BF253" s="65" t="e">
        <f>IF(BE61=1,IF(BE$13&lt;=COUNT($C33:$CS33),IF(INDEX($F$206:$F$229,MATCH($B253,$B$206:$B$229,FALSE))=0,NA(),INDEX(BE$14:BE$37,MATCH($B253,$B$14:$B$37,FALSE))/INDEX($F$206:$F$229,MATCH($B253,$B$206:$B$229,FALSE))),NA()),NA())</f>
        <v>#N/A</v>
      </c>
      <c r="BG253" s="65" t="e">
        <f>IF(BF61=1,IF(BF$13&lt;=COUNT($C33:$CS33),IF(INDEX($F$206:$F$229,MATCH($B253,$B$206:$B$229,FALSE))=0,NA(),INDEX(BF$14:BF$37,MATCH($B253,$B$14:$B$37,FALSE))/INDEX($F$206:$F$229,MATCH($B253,$B$206:$B$229,FALSE))),NA()),NA())</f>
        <v>#N/A</v>
      </c>
      <c r="BH253" s="65" t="e">
        <f>IF(BG61=1,IF(BG$13&lt;=COUNT($C33:$CS33),IF(INDEX($F$206:$F$229,MATCH($B253,$B$206:$B$229,FALSE))=0,NA(),INDEX(BG$14:BG$37,MATCH($B253,$B$14:$B$37,FALSE))/INDEX($F$206:$F$229,MATCH($B253,$B$206:$B$229,FALSE))),NA()),NA())</f>
        <v>#N/A</v>
      </c>
      <c r="BI253" s="65" t="e">
        <f>IF(BH61=1,IF(BH$13&lt;=COUNT($C33:$CS33),IF(INDEX($F$206:$F$229,MATCH($B253,$B$206:$B$229,FALSE))=0,NA(),INDEX(BH$14:BH$37,MATCH($B253,$B$14:$B$37,FALSE))/INDEX($F$206:$F$229,MATCH($B253,$B$206:$B$229,FALSE))),NA()),NA())</f>
        <v>#N/A</v>
      </c>
      <c r="BJ253" s="65" t="e">
        <f>IF(BI61=1,IF(BI$13&lt;=COUNT($C33:$CS33),IF(INDEX($F$206:$F$229,MATCH($B253,$B$206:$B$229,FALSE))=0,NA(),INDEX(BI$14:BI$37,MATCH($B253,$B$14:$B$37,FALSE))/INDEX($F$206:$F$229,MATCH($B253,$B$206:$B$229,FALSE))),NA()),NA())</f>
        <v>#N/A</v>
      </c>
      <c r="BK253" s="65" t="e">
        <f>IF(BJ61=1,IF(BJ$13&lt;=COUNT($C33:$CS33),IF(INDEX($F$206:$F$229,MATCH($B253,$B$206:$B$229,FALSE))=0,NA(),INDEX(BJ$14:BJ$37,MATCH($B253,$B$14:$B$37,FALSE))/INDEX($F$206:$F$229,MATCH($B253,$B$206:$B$229,FALSE))),NA()),NA())</f>
        <v>#N/A</v>
      </c>
      <c r="BL253" s="65" t="e">
        <f>IF(BK61=1,IF(BK$13&lt;=COUNT($C33:$CS33),IF(INDEX($F$206:$F$229,MATCH($B253,$B$206:$B$229,FALSE))=0,NA(),INDEX(BK$14:BK$37,MATCH($B253,$B$14:$B$37,FALSE))/INDEX($F$206:$F$229,MATCH($B253,$B$206:$B$229,FALSE))),NA()),NA())</f>
        <v>#N/A</v>
      </c>
      <c r="BM253" s="65" t="e">
        <f>IF(BL61=1,IF(BL$13&lt;=COUNT($C33:$CS33),IF(INDEX($F$206:$F$229,MATCH($B253,$B$206:$B$229,FALSE))=0,NA(),INDEX(BL$14:BL$37,MATCH($B253,$B$14:$B$37,FALSE))/INDEX($F$206:$F$229,MATCH($B253,$B$206:$B$229,FALSE))),NA()),NA())</f>
        <v>#N/A</v>
      </c>
      <c r="BN253" s="65" t="e">
        <f>IF(BM61=1,IF(BM$13&lt;=COUNT($C33:$CS33),IF(INDEX($F$206:$F$229,MATCH($B253,$B$206:$B$229,FALSE))=0,NA(),INDEX(BM$14:BM$37,MATCH($B253,$B$14:$B$37,FALSE))/INDEX($F$206:$F$229,MATCH($B253,$B$206:$B$229,FALSE))),NA()),NA())</f>
        <v>#N/A</v>
      </c>
      <c r="BO253" s="65" t="e">
        <f>IF(BN61=1,IF(BN$13&lt;=COUNT($C33:$CS33),IF(INDEX($F$206:$F$229,MATCH($B253,$B$206:$B$229,FALSE))=0,NA(),INDEX(BN$14:BN$37,MATCH($B253,$B$14:$B$37,FALSE))/INDEX($F$206:$F$229,MATCH($B253,$B$206:$B$229,FALSE))),NA()),NA())</f>
        <v>#N/A</v>
      </c>
      <c r="BP253" s="65" t="e">
        <f>IF(BO61=1,IF(BO$13&lt;=COUNT($C33:$CS33),IF(INDEX($F$206:$F$229,MATCH($B253,$B$206:$B$229,FALSE))=0,NA(),INDEX(BO$14:BO$37,MATCH($B253,$B$14:$B$37,FALSE))/INDEX($F$206:$F$229,MATCH($B253,$B$206:$B$229,FALSE))),NA()),NA())</f>
        <v>#N/A</v>
      </c>
      <c r="BQ253" s="65" t="e">
        <f>IF(BP61=1,IF(BP$13&lt;=COUNT($C33:$CS33),IF(INDEX($F$206:$F$229,MATCH($B253,$B$206:$B$229,FALSE))=0,NA(),INDEX(BP$14:BP$37,MATCH($B253,$B$14:$B$37,FALSE))/INDEX($F$206:$F$229,MATCH($B253,$B$206:$B$229,FALSE))),NA()),NA())</f>
        <v>#N/A</v>
      </c>
      <c r="BR253" s="65" t="e">
        <f>IF(BQ61=1,IF(BQ$13&lt;=COUNT($C33:$CS33),IF(INDEX($F$206:$F$229,MATCH($B253,$B$206:$B$229,FALSE))=0,NA(),INDEX(BQ$14:BQ$37,MATCH($B253,$B$14:$B$37,FALSE))/INDEX($F$206:$F$229,MATCH($B253,$B$206:$B$229,FALSE))),NA()),NA())</f>
        <v>#N/A</v>
      </c>
      <c r="BS253" s="65" t="e">
        <f>IF(BR61=1,IF(BR$13&lt;=COUNT($C33:$CS33),IF(INDEX($F$206:$F$229,MATCH($B253,$B$206:$B$229,FALSE))=0,NA(),INDEX(BR$14:BR$37,MATCH($B253,$B$14:$B$37,FALSE))/INDEX($F$206:$F$229,MATCH($B253,$B$206:$B$229,FALSE))),NA()),NA())</f>
        <v>#N/A</v>
      </c>
      <c r="BT253" s="65" t="e">
        <f>IF(BS61=1,IF(BS$13&lt;=COUNT($C33:$CS33),IF(INDEX($F$206:$F$229,MATCH($B253,$B$206:$B$229,FALSE))=0,NA(),INDEX(BS$14:BS$37,MATCH($B253,$B$14:$B$37,FALSE))/INDEX($F$206:$F$229,MATCH($B253,$B$206:$B$229,FALSE))),NA()),NA())</f>
        <v>#N/A</v>
      </c>
      <c r="BU253" s="65" t="e">
        <f>IF(BT61=1,IF(BT$13&lt;=COUNT($C33:$CS33),IF(INDEX($F$206:$F$229,MATCH($B253,$B$206:$B$229,FALSE))=0,NA(),INDEX(BT$14:BT$37,MATCH($B253,$B$14:$B$37,FALSE))/INDEX($F$206:$F$229,MATCH($B253,$B$206:$B$229,FALSE))),NA()),NA())</f>
        <v>#N/A</v>
      </c>
      <c r="BV253" s="65" t="e">
        <f>IF(BU61=1,IF(BU$13&lt;=COUNT($C33:$CS33),IF(INDEX($F$206:$F$229,MATCH($B253,$B$206:$B$229,FALSE))=0,NA(),INDEX(BU$14:BU$37,MATCH($B253,$B$14:$B$37,FALSE))/INDEX($F$206:$F$229,MATCH($B253,$B$206:$B$229,FALSE))),NA()),NA())</f>
        <v>#N/A</v>
      </c>
      <c r="BW253" s="65" t="e">
        <f>IF(BV61=1,IF(BV$13&lt;=COUNT($C33:$CS33),IF(INDEX($F$206:$F$229,MATCH($B253,$B$206:$B$229,FALSE))=0,NA(),INDEX(BV$14:BV$37,MATCH($B253,$B$14:$B$37,FALSE))/INDEX($F$206:$F$229,MATCH($B253,$B$206:$B$229,FALSE))),NA()),NA())</f>
        <v>#N/A</v>
      </c>
      <c r="BX253" s="65" t="e">
        <f>IF(BW61=1,IF(BW$13&lt;=COUNT($C33:$CS33),IF(INDEX($F$206:$F$229,MATCH($B253,$B$206:$B$229,FALSE))=0,NA(),INDEX(BW$14:BW$37,MATCH($B253,$B$14:$B$37,FALSE))/INDEX($F$206:$F$229,MATCH($B253,$B$206:$B$229,FALSE))),NA()),NA())</f>
        <v>#N/A</v>
      </c>
      <c r="BY253" s="65" t="e">
        <f>IF(BX61=1,IF(BX$13&lt;=COUNT($C33:$CS33),IF(INDEX($F$206:$F$229,MATCH($B253,$B$206:$B$229,FALSE))=0,NA(),INDEX(BX$14:BX$37,MATCH($B253,$B$14:$B$37,FALSE))/INDEX($F$206:$F$229,MATCH($B253,$B$206:$B$229,FALSE))),NA()),NA())</f>
        <v>#N/A</v>
      </c>
      <c r="BZ253" s="65" t="e">
        <f>IF(BY61=1,IF(BY$13&lt;=COUNT($C33:$CS33),IF(INDEX($F$206:$F$229,MATCH($B253,$B$206:$B$229,FALSE))=0,NA(),INDEX(BY$14:BY$37,MATCH($B253,$B$14:$B$37,FALSE))/INDEX($F$206:$F$229,MATCH($B253,$B$206:$B$229,FALSE))),NA()),NA())</f>
        <v>#N/A</v>
      </c>
      <c r="CA253" s="65" t="e">
        <f>IF(BZ61=1,IF(BZ$13&lt;=COUNT($C33:$CS33),IF(INDEX($F$206:$F$229,MATCH($B253,$B$206:$B$229,FALSE))=0,NA(),INDEX(BZ$14:BZ$37,MATCH($B253,$B$14:$B$37,FALSE))/INDEX($F$206:$F$229,MATCH($B253,$B$206:$B$229,FALSE))),NA()),NA())</f>
        <v>#N/A</v>
      </c>
      <c r="CB253" s="65" t="e">
        <f>IF(CA61=1,IF(CA$13&lt;=COUNT($C33:$CS33),IF(INDEX($F$206:$F$229,MATCH($B253,$B$206:$B$229,FALSE))=0,NA(),INDEX(CA$14:CA$37,MATCH($B253,$B$14:$B$37,FALSE))/INDEX($F$206:$F$229,MATCH($B253,$B$206:$B$229,FALSE))),NA()),NA())</f>
        <v>#N/A</v>
      </c>
      <c r="CC253" s="65" t="e">
        <f>IF(CB61=1,IF(CB$13&lt;=COUNT($C33:$CS33),IF(INDEX($F$206:$F$229,MATCH($B253,$B$206:$B$229,FALSE))=0,NA(),INDEX(CB$14:CB$37,MATCH($B253,$B$14:$B$37,FALSE))/INDEX($F$206:$F$229,MATCH($B253,$B$206:$B$229,FALSE))),NA()),NA())</f>
        <v>#N/A</v>
      </c>
      <c r="CD253" s="65" t="e">
        <f>IF(CC61=1,IF(CC$13&lt;=COUNT($C33:$CS33),IF(INDEX($F$206:$F$229,MATCH($B253,$B$206:$B$229,FALSE))=0,NA(),INDEX(CC$14:CC$37,MATCH($B253,$B$14:$B$37,FALSE))/INDEX($F$206:$F$229,MATCH($B253,$B$206:$B$229,FALSE))),NA()),NA())</f>
        <v>#N/A</v>
      </c>
      <c r="CE253" s="65" t="e">
        <f>IF(CD61=1,IF(CD$13&lt;=COUNT($C33:$CS33),IF(INDEX($F$206:$F$229,MATCH($B253,$B$206:$B$229,FALSE))=0,NA(),INDEX(CD$14:CD$37,MATCH($B253,$B$14:$B$37,FALSE))/INDEX($F$206:$F$229,MATCH($B253,$B$206:$B$229,FALSE))),NA()),NA())</f>
        <v>#N/A</v>
      </c>
      <c r="CF253" s="65" t="e">
        <f>IF(CE61=1,IF(CE$13&lt;=COUNT($C33:$CS33),IF(INDEX($F$206:$F$229,MATCH($B253,$B$206:$B$229,FALSE))=0,NA(),INDEX(CE$14:CE$37,MATCH($B253,$B$14:$B$37,FALSE))/INDEX($F$206:$F$229,MATCH($B253,$B$206:$B$229,FALSE))),NA()),NA())</f>
        <v>#N/A</v>
      </c>
      <c r="CG253" s="65" t="e">
        <f>IF(CF61=1,IF(CF$13&lt;=COUNT($C33:$CS33),IF(INDEX($F$206:$F$229,MATCH($B253,$B$206:$B$229,FALSE))=0,NA(),INDEX(CF$14:CF$37,MATCH($B253,$B$14:$B$37,FALSE))/INDEX($F$206:$F$229,MATCH($B253,$B$206:$B$229,FALSE))),NA()),NA())</f>
        <v>#N/A</v>
      </c>
      <c r="CH253" s="65" t="e">
        <f>IF(CG61=1,IF(CG$13&lt;=COUNT($C33:$CS33),IF(INDEX($F$206:$F$229,MATCH($B253,$B$206:$B$229,FALSE))=0,NA(),INDEX(CG$14:CG$37,MATCH($B253,$B$14:$B$37,FALSE))/INDEX($F$206:$F$229,MATCH($B253,$B$206:$B$229,FALSE))),NA()),NA())</f>
        <v>#N/A</v>
      </c>
      <c r="CI253" s="65" t="e">
        <f>IF(CH61=1,IF(CH$13&lt;=COUNT($C33:$CS33),IF(INDEX($F$206:$F$229,MATCH($B253,$B$206:$B$229,FALSE))=0,NA(),INDEX(CH$14:CH$37,MATCH($B253,$B$14:$B$37,FALSE))/INDEX($F$206:$F$229,MATCH($B253,$B$206:$B$229,FALSE))),NA()),NA())</f>
        <v>#N/A</v>
      </c>
      <c r="CJ253" s="65" t="e">
        <f>IF(CI61=1,IF(CI$13&lt;=COUNT($C33:$CS33),IF(INDEX($F$206:$F$229,MATCH($B253,$B$206:$B$229,FALSE))=0,NA(),INDEX(CI$14:CI$37,MATCH($B253,$B$14:$B$37,FALSE))/INDEX($F$206:$F$229,MATCH($B253,$B$206:$B$229,FALSE))),NA()),NA())</f>
        <v>#N/A</v>
      </c>
      <c r="CK253" s="65" t="e">
        <f>IF(CJ61=1,IF(CJ$13&lt;=COUNT($C33:$CS33),IF(INDEX($F$206:$F$229,MATCH($B253,$B$206:$B$229,FALSE))=0,NA(),INDEX(CJ$14:CJ$37,MATCH($B253,$B$14:$B$37,FALSE))/INDEX($F$206:$F$229,MATCH($B253,$B$206:$B$229,FALSE))),NA()),NA())</f>
        <v>#N/A</v>
      </c>
      <c r="CL253" s="65" t="e">
        <f>IF(CK61=1,IF(CK$13&lt;=COUNT($C33:$CS33),IF(INDEX($F$206:$F$229,MATCH($B253,$B$206:$B$229,FALSE))=0,NA(),INDEX(CK$14:CK$37,MATCH($B253,$B$14:$B$37,FALSE))/INDEX($F$206:$F$229,MATCH($B253,$B$206:$B$229,FALSE))),NA()),NA())</f>
        <v>#N/A</v>
      </c>
      <c r="CM253" s="65" t="e">
        <f>IF(CL61=1,IF(CL$13&lt;=COUNT($C33:$CS33),IF(INDEX($F$206:$F$229,MATCH($B253,$B$206:$B$229,FALSE))=0,NA(),INDEX(CL$14:CL$37,MATCH($B253,$B$14:$B$37,FALSE))/INDEX($F$206:$F$229,MATCH($B253,$B$206:$B$229,FALSE))),NA()),NA())</f>
        <v>#N/A</v>
      </c>
      <c r="CN253" s="65" t="e">
        <f>IF(CM61=1,IF(CM$13&lt;=COUNT($C33:$CS33),IF(INDEX($F$206:$F$229,MATCH($B253,$B$206:$B$229,FALSE))=0,NA(),INDEX(CM$14:CM$37,MATCH($B253,$B$14:$B$37,FALSE))/INDEX($F$206:$F$229,MATCH($B253,$B$206:$B$229,FALSE))),NA()),NA())</f>
        <v>#N/A</v>
      </c>
      <c r="CO253" s="65" t="e">
        <f>IF(CN61=1,IF(CN$13&lt;=COUNT($C33:$CS33),IF(INDEX($F$206:$F$229,MATCH($B253,$B$206:$B$229,FALSE))=0,NA(),INDEX(CN$14:CN$37,MATCH($B253,$B$14:$B$37,FALSE))/INDEX($F$206:$F$229,MATCH($B253,$B$206:$B$229,FALSE))),NA()),NA())</f>
        <v>#N/A</v>
      </c>
      <c r="CP253" s="65" t="e">
        <f>IF(CO61=1,IF(CO$13&lt;=COUNT($C33:$CS33),IF(INDEX($F$206:$F$229,MATCH($B253,$B$206:$B$229,FALSE))=0,NA(),INDEX(CO$14:CO$37,MATCH($B253,$B$14:$B$37,FALSE))/INDEX($F$206:$F$229,MATCH($B253,$B$206:$B$229,FALSE))),NA()),NA())</f>
        <v>#N/A</v>
      </c>
      <c r="CQ253" s="65" t="e">
        <f>IF(CP61=1,IF(CP$13&lt;=COUNT($C33:$CS33),IF(INDEX($F$206:$F$229,MATCH($B253,$B$206:$B$229,FALSE))=0,NA(),INDEX(CP$14:CP$37,MATCH($B253,$B$14:$B$37,FALSE))/INDEX($F$206:$F$229,MATCH($B253,$B$206:$B$229,FALSE))),NA()),NA())</f>
        <v>#N/A</v>
      </c>
      <c r="CR253" s="65" t="e">
        <f>IF(CQ61=1,IF(CQ$13&lt;=COUNT($C33:$CS33),IF(INDEX($F$206:$F$229,MATCH($B253,$B$206:$B$229,FALSE))=0,NA(),INDEX(CQ$14:CQ$37,MATCH($B253,$B$14:$B$37,FALSE))/INDEX($F$206:$F$229,MATCH($B253,$B$206:$B$229,FALSE))),NA()),NA())</f>
        <v>#N/A</v>
      </c>
      <c r="CS253" s="65" t="e">
        <f>IF(CR61=1,IF(CR$13&lt;=COUNT($C33:$CS33),IF(INDEX($F$206:$F$229,MATCH($B253,$B$206:$B$229,FALSE))=0,NA(),INDEX(CR$14:CR$37,MATCH($B253,$B$14:$B$37,FALSE))/INDEX($F$206:$F$229,MATCH($B253,$B$206:$B$229,FALSE))),NA()),NA())</f>
        <v>#N/A</v>
      </c>
      <c r="CT253" s="49"/>
      <c r="CU253" s="49"/>
      <c r="CV253" s="49"/>
      <c r="CW253" s="49"/>
    </row>
    <row r="254" spans="1:101" x14ac:dyDescent="0.25">
      <c r="A254" s="97">
        <f t="shared" si="105"/>
        <v>1</v>
      </c>
      <c r="B254" s="29">
        <f t="shared" si="104"/>
        <v>2016</v>
      </c>
      <c r="C254" s="154" t="str">
        <f t="shared" si="106"/>
        <v/>
      </c>
      <c r="D254" s="54">
        <f t="shared" ref="D254:BO257" ca="1" si="109">IF(C62=1,IF(C$13&lt;=COUNT($C34:$CS34),IF(INDEX($F$206:$F$229,MATCH($B254,$B$206:$B$229,FALSE))=0,NA(),INDEX(C$14:C$37,MATCH($B254,$B$14:$B$37,FALSE))/INDEX($F$206:$F$229,MATCH($B254,$B$206:$B$229,FALSE))),NA()),NA())</f>
        <v>0.38380334351433348</v>
      </c>
      <c r="E254" s="65">
        <f t="shared" ca="1" si="109"/>
        <v>1.2845617334920303</v>
      </c>
      <c r="F254" s="65">
        <f t="shared" ca="1" si="109"/>
        <v>1.503292935585022</v>
      </c>
      <c r="G254" s="65">
        <f t="shared" ca="1" si="109"/>
        <v>1.3327215582436804</v>
      </c>
      <c r="H254" s="65" t="e">
        <f>IF(G62=1,IF(G$13&lt;=COUNT($C34:$CS34),IF(INDEX($F$206:$F$229,MATCH($B254,$B$206:$B$229,FALSE))=0,NA(),INDEX(G$14:G$37,MATCH($B254,$B$14:$B$37,FALSE))/INDEX($F$206:$F$229,MATCH($B254,$B$206:$B$229,FALSE))),NA()),NA())</f>
        <v>#N/A</v>
      </c>
      <c r="I254" s="65" t="e">
        <f>IF(H62=1,IF(H$13&lt;=COUNT($C34:$CS34),IF(INDEX($F$206:$F$229,MATCH($B254,$B$206:$B$229,FALSE))=0,NA(),INDEX(H$14:H$37,MATCH($B254,$B$14:$B$37,FALSE))/INDEX($F$206:$F$229,MATCH($B254,$B$206:$B$229,FALSE))),NA()),NA())</f>
        <v>#N/A</v>
      </c>
      <c r="J254" s="65" t="e">
        <f>IF(I62=1,IF(I$13&lt;=COUNT($C34:$CS34),IF(INDEX($F$206:$F$229,MATCH($B254,$B$206:$B$229,FALSE))=0,NA(),INDEX(I$14:I$37,MATCH($B254,$B$14:$B$37,FALSE))/INDEX($F$206:$F$229,MATCH($B254,$B$206:$B$229,FALSE))),NA()),NA())</f>
        <v>#N/A</v>
      </c>
      <c r="K254" s="65" t="e">
        <f>IF(J62=1,IF(J$13&lt;=COUNT($C34:$CS34),IF(INDEX($F$206:$F$229,MATCH($B254,$B$206:$B$229,FALSE))=0,NA(),INDEX(J$14:J$37,MATCH($B254,$B$14:$B$37,FALSE))/INDEX($F$206:$F$229,MATCH($B254,$B$206:$B$229,FALSE))),NA()),NA())</f>
        <v>#N/A</v>
      </c>
      <c r="L254" s="65" t="e">
        <f>IF(K62=1,IF(K$13&lt;=COUNT($C34:$CS34),IF(INDEX($F$206:$F$229,MATCH($B254,$B$206:$B$229,FALSE))=0,NA(),INDEX(K$14:K$37,MATCH($B254,$B$14:$B$37,FALSE))/INDEX($F$206:$F$229,MATCH($B254,$B$206:$B$229,FALSE))),NA()),NA())</f>
        <v>#N/A</v>
      </c>
      <c r="M254" s="65" t="e">
        <f>IF(L62=1,IF(L$13&lt;=COUNT($C34:$CS34),IF(INDEX($F$206:$F$229,MATCH($B254,$B$206:$B$229,FALSE))=0,NA(),INDEX(L$14:L$37,MATCH($B254,$B$14:$B$37,FALSE))/INDEX($F$206:$F$229,MATCH($B254,$B$206:$B$229,FALSE))),NA()),NA())</f>
        <v>#N/A</v>
      </c>
      <c r="N254" s="65" t="e">
        <f>IF(M62=1,IF(M$13&lt;=COUNT($C34:$CS34),IF(INDEX($F$206:$F$229,MATCH($B254,$B$206:$B$229,FALSE))=0,NA(),INDEX(M$14:M$37,MATCH($B254,$B$14:$B$37,FALSE))/INDEX($F$206:$F$229,MATCH($B254,$B$206:$B$229,FALSE))),NA()),NA())</f>
        <v>#N/A</v>
      </c>
      <c r="O254" s="65" t="e">
        <f>IF(N62=1,IF(N$13&lt;=COUNT($C34:$CS34),IF(INDEX($F$206:$F$229,MATCH($B254,$B$206:$B$229,FALSE))=0,NA(),INDEX(N$14:N$37,MATCH($B254,$B$14:$B$37,FALSE))/INDEX($F$206:$F$229,MATCH($B254,$B$206:$B$229,FALSE))),NA()),NA())</f>
        <v>#N/A</v>
      </c>
      <c r="P254" s="65" t="e">
        <f>IF(O62=1,IF(O$13&lt;=COUNT($C34:$CS34),IF(INDEX($F$206:$F$229,MATCH($B254,$B$206:$B$229,FALSE))=0,NA(),INDEX(O$14:O$37,MATCH($B254,$B$14:$B$37,FALSE))/INDEX($F$206:$F$229,MATCH($B254,$B$206:$B$229,FALSE))),NA()),NA())</f>
        <v>#N/A</v>
      </c>
      <c r="Q254" s="65" t="e">
        <f>IF(P62=1,IF(P$13&lt;=COUNT($C34:$CS34),IF(INDEX($F$206:$F$229,MATCH($B254,$B$206:$B$229,FALSE))=0,NA(),INDEX(P$14:P$37,MATCH($B254,$B$14:$B$37,FALSE))/INDEX($F$206:$F$229,MATCH($B254,$B$206:$B$229,FALSE))),NA()),NA())</f>
        <v>#N/A</v>
      </c>
      <c r="R254" s="65" t="e">
        <f>IF(Q62=1,IF(Q$13&lt;=COUNT($C34:$CS34),IF(INDEX($F$206:$F$229,MATCH($B254,$B$206:$B$229,FALSE))=0,NA(),INDEX(Q$14:Q$37,MATCH($B254,$B$14:$B$37,FALSE))/INDEX($F$206:$F$229,MATCH($B254,$B$206:$B$229,FALSE))),NA()),NA())</f>
        <v>#N/A</v>
      </c>
      <c r="S254" s="65" t="e">
        <f>IF(R62=1,IF(R$13&lt;=COUNT($C34:$CS34),IF(INDEX($F$206:$F$229,MATCH($B254,$B$206:$B$229,FALSE))=0,NA(),INDEX(R$14:R$37,MATCH($B254,$B$14:$B$37,FALSE))/INDEX($F$206:$F$229,MATCH($B254,$B$206:$B$229,FALSE))),NA()),NA())</f>
        <v>#N/A</v>
      </c>
      <c r="T254" s="65" t="e">
        <f>IF(S62=1,IF(S$13&lt;=COUNT($C34:$CS34),IF(INDEX($F$206:$F$229,MATCH($B254,$B$206:$B$229,FALSE))=0,NA(),INDEX(S$14:S$37,MATCH($B254,$B$14:$B$37,FALSE))/INDEX($F$206:$F$229,MATCH($B254,$B$206:$B$229,FALSE))),NA()),NA())</f>
        <v>#N/A</v>
      </c>
      <c r="U254" s="65" t="e">
        <f>IF(T62=1,IF(T$13&lt;=COUNT($C34:$CS34),IF(INDEX($F$206:$F$229,MATCH($B254,$B$206:$B$229,FALSE))=0,NA(),INDEX(T$14:T$37,MATCH($B254,$B$14:$B$37,FALSE))/INDEX($F$206:$F$229,MATCH($B254,$B$206:$B$229,FALSE))),NA()),NA())</f>
        <v>#N/A</v>
      </c>
      <c r="V254" s="65" t="e">
        <f>IF(U62=1,IF(U$13&lt;=COUNT($C34:$CS34),IF(INDEX($F$206:$F$229,MATCH($B254,$B$206:$B$229,FALSE))=0,NA(),INDEX(U$14:U$37,MATCH($B254,$B$14:$B$37,FALSE))/INDEX($F$206:$F$229,MATCH($B254,$B$206:$B$229,FALSE))),NA()),NA())</f>
        <v>#N/A</v>
      </c>
      <c r="W254" s="65" t="e">
        <f>IF(V62=1,IF(V$13&lt;=COUNT($C34:$CS34),IF(INDEX($F$206:$F$229,MATCH($B254,$B$206:$B$229,FALSE))=0,NA(),INDEX(V$14:V$37,MATCH($B254,$B$14:$B$37,FALSE))/INDEX($F$206:$F$229,MATCH($B254,$B$206:$B$229,FALSE))),NA()),NA())</f>
        <v>#N/A</v>
      </c>
      <c r="X254" s="65" t="e">
        <f>IF(W62=1,IF(W$13&lt;=COUNT($C34:$CS34),IF(INDEX($F$206:$F$229,MATCH($B254,$B$206:$B$229,FALSE))=0,NA(),INDEX(W$14:W$37,MATCH($B254,$B$14:$B$37,FALSE))/INDEX($F$206:$F$229,MATCH($B254,$B$206:$B$229,FALSE))),NA()),NA())</f>
        <v>#N/A</v>
      </c>
      <c r="Y254" s="65" t="e">
        <f>IF(X62=1,IF(X$13&lt;=COUNT($C34:$CS34),IF(INDEX($F$206:$F$229,MATCH($B254,$B$206:$B$229,FALSE))=0,NA(),INDEX(X$14:X$37,MATCH($B254,$B$14:$B$37,FALSE))/INDEX($F$206:$F$229,MATCH($B254,$B$206:$B$229,FALSE))),NA()),NA())</f>
        <v>#N/A</v>
      </c>
      <c r="Z254" s="65" t="e">
        <f>IF(Y62=1,IF(Y$13&lt;=COUNT($C34:$CS34),IF(INDEX($F$206:$F$229,MATCH($B254,$B$206:$B$229,FALSE))=0,NA(),INDEX(Y$14:Y$37,MATCH($B254,$B$14:$B$37,FALSE))/INDEX($F$206:$F$229,MATCH($B254,$B$206:$B$229,FALSE))),NA()),NA())</f>
        <v>#N/A</v>
      </c>
      <c r="AA254" s="65" t="e">
        <f>IF(Z62=1,IF(Z$13&lt;=COUNT($C34:$CS34),IF(INDEX($F$206:$F$229,MATCH($B254,$B$206:$B$229,FALSE))=0,NA(),INDEX(Z$14:Z$37,MATCH($B254,$B$14:$B$37,FALSE))/INDEX($F$206:$F$229,MATCH($B254,$B$206:$B$229,FALSE))),NA()),NA())</f>
        <v>#N/A</v>
      </c>
      <c r="AB254" s="65" t="e">
        <f>IF(AA62=1,IF(AA$13&lt;=COUNT($C34:$CS34),IF(INDEX($F$206:$F$229,MATCH($B254,$B$206:$B$229,FALSE))=0,NA(),INDEX(AA$14:AA$37,MATCH($B254,$B$14:$B$37,FALSE))/INDEX($F$206:$F$229,MATCH($B254,$B$206:$B$229,FALSE))),NA()),NA())</f>
        <v>#N/A</v>
      </c>
      <c r="AC254" s="65" t="e">
        <f>IF(AB62=1,IF(AB$13&lt;=COUNT($C34:$CS34),IF(INDEX($F$206:$F$229,MATCH($B254,$B$206:$B$229,FALSE))=0,NA(),INDEX(AB$14:AB$37,MATCH($B254,$B$14:$B$37,FALSE))/INDEX($F$206:$F$229,MATCH($B254,$B$206:$B$229,FALSE))),NA()),NA())</f>
        <v>#N/A</v>
      </c>
      <c r="AD254" s="65" t="e">
        <f>IF(AC62=1,IF(AC$13&lt;=COUNT($C34:$CS34),IF(INDEX($F$206:$F$229,MATCH($B254,$B$206:$B$229,FALSE))=0,NA(),INDEX(AC$14:AC$37,MATCH($B254,$B$14:$B$37,FALSE))/INDEX($F$206:$F$229,MATCH($B254,$B$206:$B$229,FALSE))),NA()),NA())</f>
        <v>#N/A</v>
      </c>
      <c r="AE254" s="65" t="e">
        <f>IF(AD62=1,IF(AD$13&lt;=COUNT($C34:$CS34),IF(INDEX($F$206:$F$229,MATCH($B254,$B$206:$B$229,FALSE))=0,NA(),INDEX(AD$14:AD$37,MATCH($B254,$B$14:$B$37,FALSE))/INDEX($F$206:$F$229,MATCH($B254,$B$206:$B$229,FALSE))),NA()),NA())</f>
        <v>#N/A</v>
      </c>
      <c r="AF254" s="65" t="e">
        <f>IF(AE62=1,IF(AE$13&lt;=COUNT($C34:$CS34),IF(INDEX($F$206:$F$229,MATCH($B254,$B$206:$B$229,FALSE))=0,NA(),INDEX(AE$14:AE$37,MATCH($B254,$B$14:$B$37,FALSE))/INDEX($F$206:$F$229,MATCH($B254,$B$206:$B$229,FALSE))),NA()),NA())</f>
        <v>#N/A</v>
      </c>
      <c r="AG254" s="65" t="e">
        <f>IF(AF62=1,IF(AF$13&lt;=COUNT($C34:$CS34),IF(INDEX($F$206:$F$229,MATCH($B254,$B$206:$B$229,FALSE))=0,NA(),INDEX(AF$14:AF$37,MATCH($B254,$B$14:$B$37,FALSE))/INDEX($F$206:$F$229,MATCH($B254,$B$206:$B$229,FALSE))),NA()),NA())</f>
        <v>#N/A</v>
      </c>
      <c r="AH254" s="65" t="e">
        <f>IF(AG62=1,IF(AG$13&lt;=COUNT($C34:$CS34),IF(INDEX($F$206:$F$229,MATCH($B254,$B$206:$B$229,FALSE))=0,NA(),INDEX(AG$14:AG$37,MATCH($B254,$B$14:$B$37,FALSE))/INDEX($F$206:$F$229,MATCH($B254,$B$206:$B$229,FALSE))),NA()),NA())</f>
        <v>#N/A</v>
      </c>
      <c r="AI254" s="65" t="e">
        <f>IF(AH62=1,IF(AH$13&lt;=COUNT($C34:$CS34),IF(INDEX($F$206:$F$229,MATCH($B254,$B$206:$B$229,FALSE))=0,NA(),INDEX(AH$14:AH$37,MATCH($B254,$B$14:$B$37,FALSE))/INDEX($F$206:$F$229,MATCH($B254,$B$206:$B$229,FALSE))),NA()),NA())</f>
        <v>#N/A</v>
      </c>
      <c r="AJ254" s="65" t="e">
        <f>IF(AI62=1,IF(AI$13&lt;=COUNT($C34:$CS34),IF(INDEX($F$206:$F$229,MATCH($B254,$B$206:$B$229,FALSE))=0,NA(),INDEX(AI$14:AI$37,MATCH($B254,$B$14:$B$37,FALSE))/INDEX($F$206:$F$229,MATCH($B254,$B$206:$B$229,FALSE))),NA()),NA())</f>
        <v>#N/A</v>
      </c>
      <c r="AK254" s="65" t="e">
        <f>IF(AJ62=1,IF(AJ$13&lt;=COUNT($C34:$CS34),IF(INDEX($F$206:$F$229,MATCH($B254,$B$206:$B$229,FALSE))=0,NA(),INDEX(AJ$14:AJ$37,MATCH($B254,$B$14:$B$37,FALSE))/INDEX($F$206:$F$229,MATCH($B254,$B$206:$B$229,FALSE))),NA()),NA())</f>
        <v>#N/A</v>
      </c>
      <c r="AL254" s="65" t="e">
        <f>IF(AK62=1,IF(AK$13&lt;=COUNT($C34:$CS34),IF(INDEX($F$206:$F$229,MATCH($B254,$B$206:$B$229,FALSE))=0,NA(),INDEX(AK$14:AK$37,MATCH($B254,$B$14:$B$37,FALSE))/INDEX($F$206:$F$229,MATCH($B254,$B$206:$B$229,FALSE))),NA()),NA())</f>
        <v>#N/A</v>
      </c>
      <c r="AM254" s="65" t="e">
        <f>IF(AL62=1,IF(AL$13&lt;=COUNT($C34:$CS34),IF(INDEX($F$206:$F$229,MATCH($B254,$B$206:$B$229,FALSE))=0,NA(),INDEX(AL$14:AL$37,MATCH($B254,$B$14:$B$37,FALSE))/INDEX($F$206:$F$229,MATCH($B254,$B$206:$B$229,FALSE))),NA()),NA())</f>
        <v>#N/A</v>
      </c>
      <c r="AN254" s="65" t="e">
        <f>IF(AM62=1,IF(AM$13&lt;=COUNT($C34:$CS34),IF(INDEX($F$206:$F$229,MATCH($B254,$B$206:$B$229,FALSE))=0,NA(),INDEX(AM$14:AM$37,MATCH($B254,$B$14:$B$37,FALSE))/INDEX($F$206:$F$229,MATCH($B254,$B$206:$B$229,FALSE))),NA()),NA())</f>
        <v>#N/A</v>
      </c>
      <c r="AO254" s="65" t="e">
        <f>IF(AN62=1,IF(AN$13&lt;=COUNT($C34:$CS34),IF(INDEX($F$206:$F$229,MATCH($B254,$B$206:$B$229,FALSE))=0,NA(),INDEX(AN$14:AN$37,MATCH($B254,$B$14:$B$37,FALSE))/INDEX($F$206:$F$229,MATCH($B254,$B$206:$B$229,FALSE))),NA()),NA())</f>
        <v>#N/A</v>
      </c>
      <c r="AP254" s="65" t="e">
        <f>IF(AO62=1,IF(AO$13&lt;=COUNT($C34:$CS34),IF(INDEX($F$206:$F$229,MATCH($B254,$B$206:$B$229,FALSE))=0,NA(),INDEX(AO$14:AO$37,MATCH($B254,$B$14:$B$37,FALSE))/INDEX($F$206:$F$229,MATCH($B254,$B$206:$B$229,FALSE))),NA()),NA())</f>
        <v>#N/A</v>
      </c>
      <c r="AQ254" s="65" t="e">
        <f>IF(AP62=1,IF(AP$13&lt;=COUNT($C34:$CS34),IF(INDEX($F$206:$F$229,MATCH($B254,$B$206:$B$229,FALSE))=0,NA(),INDEX(AP$14:AP$37,MATCH($B254,$B$14:$B$37,FALSE))/INDEX($F$206:$F$229,MATCH($B254,$B$206:$B$229,FALSE))),NA()),NA())</f>
        <v>#N/A</v>
      </c>
      <c r="AR254" s="65" t="e">
        <f>IF(AQ62=1,IF(AQ$13&lt;=COUNT($C34:$CS34),IF(INDEX($F$206:$F$229,MATCH($B254,$B$206:$B$229,FALSE))=0,NA(),INDEX(AQ$14:AQ$37,MATCH($B254,$B$14:$B$37,FALSE))/INDEX($F$206:$F$229,MATCH($B254,$B$206:$B$229,FALSE))),NA()),NA())</f>
        <v>#N/A</v>
      </c>
      <c r="AS254" s="65" t="e">
        <f>IF(AR62=1,IF(AR$13&lt;=COUNT($C34:$CS34),IF(INDEX($F$206:$F$229,MATCH($B254,$B$206:$B$229,FALSE))=0,NA(),INDEX(AR$14:AR$37,MATCH($B254,$B$14:$B$37,FALSE))/INDEX($F$206:$F$229,MATCH($B254,$B$206:$B$229,FALSE))),NA()),NA())</f>
        <v>#N/A</v>
      </c>
      <c r="AT254" s="65" t="e">
        <f>IF(AS62=1,IF(AS$13&lt;=COUNT($C34:$CS34),IF(INDEX($F$206:$F$229,MATCH($B254,$B$206:$B$229,FALSE))=0,NA(),INDEX(AS$14:AS$37,MATCH($B254,$B$14:$B$37,FALSE))/INDEX($F$206:$F$229,MATCH($B254,$B$206:$B$229,FALSE))),NA()),NA())</f>
        <v>#N/A</v>
      </c>
      <c r="AU254" s="65" t="e">
        <f>IF(AT62=1,IF(AT$13&lt;=COUNT($C34:$CS34),IF(INDEX($F$206:$F$229,MATCH($B254,$B$206:$B$229,FALSE))=0,NA(),INDEX(AT$14:AT$37,MATCH($B254,$B$14:$B$37,FALSE))/INDEX($F$206:$F$229,MATCH($B254,$B$206:$B$229,FALSE))),NA()),NA())</f>
        <v>#N/A</v>
      </c>
      <c r="AV254" s="65" t="e">
        <f>IF(AU62=1,IF(AU$13&lt;=COUNT($C34:$CS34),IF(INDEX($F$206:$F$229,MATCH($B254,$B$206:$B$229,FALSE))=0,NA(),INDEX(AU$14:AU$37,MATCH($B254,$B$14:$B$37,FALSE))/INDEX($F$206:$F$229,MATCH($B254,$B$206:$B$229,FALSE))),NA()),NA())</f>
        <v>#N/A</v>
      </c>
      <c r="AW254" s="65" t="e">
        <f>IF(AV62=1,IF(AV$13&lt;=COUNT($C34:$CS34),IF(INDEX($F$206:$F$229,MATCH($B254,$B$206:$B$229,FALSE))=0,NA(),INDEX(AV$14:AV$37,MATCH($B254,$B$14:$B$37,FALSE))/INDEX($F$206:$F$229,MATCH($B254,$B$206:$B$229,FALSE))),NA()),NA())</f>
        <v>#N/A</v>
      </c>
      <c r="AX254" s="65" t="e">
        <f>IF(AW62=1,IF(AW$13&lt;=COUNT($C34:$CS34),IF(INDEX($F$206:$F$229,MATCH($B254,$B$206:$B$229,FALSE))=0,NA(),INDEX(AW$14:AW$37,MATCH($B254,$B$14:$B$37,FALSE))/INDEX($F$206:$F$229,MATCH($B254,$B$206:$B$229,FALSE))),NA()),NA())</f>
        <v>#N/A</v>
      </c>
      <c r="AY254" s="65" t="e">
        <f>IF(AX62=1,IF(AX$13&lt;=COUNT($C34:$CS34),IF(INDEX($F$206:$F$229,MATCH($B254,$B$206:$B$229,FALSE))=0,NA(),INDEX(AX$14:AX$37,MATCH($B254,$B$14:$B$37,FALSE))/INDEX($F$206:$F$229,MATCH($B254,$B$206:$B$229,FALSE))),NA()),NA())</f>
        <v>#N/A</v>
      </c>
      <c r="AZ254" s="65" t="e">
        <f>IF(AY62=1,IF(AY$13&lt;=COUNT($C34:$CS34),IF(INDEX($F$206:$F$229,MATCH($B254,$B$206:$B$229,FALSE))=0,NA(),INDEX(AY$14:AY$37,MATCH($B254,$B$14:$B$37,FALSE))/INDEX($F$206:$F$229,MATCH($B254,$B$206:$B$229,FALSE))),NA()),NA())</f>
        <v>#N/A</v>
      </c>
      <c r="BA254" s="65" t="e">
        <f>IF(AZ62=1,IF(AZ$13&lt;=COUNT($C34:$CS34),IF(INDEX($F$206:$F$229,MATCH($B254,$B$206:$B$229,FALSE))=0,NA(),INDEX(AZ$14:AZ$37,MATCH($B254,$B$14:$B$37,FALSE))/INDEX($F$206:$F$229,MATCH($B254,$B$206:$B$229,FALSE))),NA()),NA())</f>
        <v>#N/A</v>
      </c>
      <c r="BB254" s="65" t="e">
        <f>IF(BA62=1,IF(BA$13&lt;=COUNT($C34:$CS34),IF(INDEX($F$206:$F$229,MATCH($B254,$B$206:$B$229,FALSE))=0,NA(),INDEX(BA$14:BA$37,MATCH($B254,$B$14:$B$37,FALSE))/INDEX($F$206:$F$229,MATCH($B254,$B$206:$B$229,FALSE))),NA()),NA())</f>
        <v>#N/A</v>
      </c>
      <c r="BC254" s="65" t="e">
        <f>IF(BB62=1,IF(BB$13&lt;=COUNT($C34:$CS34),IF(INDEX($F$206:$F$229,MATCH($B254,$B$206:$B$229,FALSE))=0,NA(),INDEX(BB$14:BB$37,MATCH($B254,$B$14:$B$37,FALSE))/INDEX($F$206:$F$229,MATCH($B254,$B$206:$B$229,FALSE))),NA()),NA())</f>
        <v>#N/A</v>
      </c>
      <c r="BD254" s="65" t="e">
        <f>IF(BC62=1,IF(BC$13&lt;=COUNT($C34:$CS34),IF(INDEX($F$206:$F$229,MATCH($B254,$B$206:$B$229,FALSE))=0,NA(),INDEX(BC$14:BC$37,MATCH($B254,$B$14:$B$37,FALSE))/INDEX($F$206:$F$229,MATCH($B254,$B$206:$B$229,FALSE))),NA()),NA())</f>
        <v>#N/A</v>
      </c>
      <c r="BE254" s="65" t="e">
        <f>IF(BD62=1,IF(BD$13&lt;=COUNT($C34:$CS34),IF(INDEX($F$206:$F$229,MATCH($B254,$B$206:$B$229,FALSE))=0,NA(),INDEX(BD$14:BD$37,MATCH($B254,$B$14:$B$37,FALSE))/INDEX($F$206:$F$229,MATCH($B254,$B$206:$B$229,FALSE))),NA()),NA())</f>
        <v>#N/A</v>
      </c>
      <c r="BF254" s="65" t="e">
        <f>IF(BE62=1,IF(BE$13&lt;=COUNT($C34:$CS34),IF(INDEX($F$206:$F$229,MATCH($B254,$B$206:$B$229,FALSE))=0,NA(),INDEX(BE$14:BE$37,MATCH($B254,$B$14:$B$37,FALSE))/INDEX($F$206:$F$229,MATCH($B254,$B$206:$B$229,FALSE))),NA()),NA())</f>
        <v>#N/A</v>
      </c>
      <c r="BG254" s="65" t="e">
        <f>IF(BF62=1,IF(BF$13&lt;=COUNT($C34:$CS34),IF(INDEX($F$206:$F$229,MATCH($B254,$B$206:$B$229,FALSE))=0,NA(),INDEX(BF$14:BF$37,MATCH($B254,$B$14:$B$37,FALSE))/INDEX($F$206:$F$229,MATCH($B254,$B$206:$B$229,FALSE))),NA()),NA())</f>
        <v>#N/A</v>
      </c>
      <c r="BH254" s="65" t="e">
        <f>IF(BG62=1,IF(BG$13&lt;=COUNT($C34:$CS34),IF(INDEX($F$206:$F$229,MATCH($B254,$B$206:$B$229,FALSE))=0,NA(),INDEX(BG$14:BG$37,MATCH($B254,$B$14:$B$37,FALSE))/INDEX($F$206:$F$229,MATCH($B254,$B$206:$B$229,FALSE))),NA()),NA())</f>
        <v>#N/A</v>
      </c>
      <c r="BI254" s="65" t="e">
        <f>IF(BH62=1,IF(BH$13&lt;=COUNT($C34:$CS34),IF(INDEX($F$206:$F$229,MATCH($B254,$B$206:$B$229,FALSE))=0,NA(),INDEX(BH$14:BH$37,MATCH($B254,$B$14:$B$37,FALSE))/INDEX($F$206:$F$229,MATCH($B254,$B$206:$B$229,FALSE))),NA()),NA())</f>
        <v>#N/A</v>
      </c>
      <c r="BJ254" s="65" t="e">
        <f>IF(BI62=1,IF(BI$13&lt;=COUNT($C34:$CS34),IF(INDEX($F$206:$F$229,MATCH($B254,$B$206:$B$229,FALSE))=0,NA(),INDEX(BI$14:BI$37,MATCH($B254,$B$14:$B$37,FALSE))/INDEX($F$206:$F$229,MATCH($B254,$B$206:$B$229,FALSE))),NA()),NA())</f>
        <v>#N/A</v>
      </c>
      <c r="BK254" s="65" t="e">
        <f>IF(BJ62=1,IF(BJ$13&lt;=COUNT($C34:$CS34),IF(INDEX($F$206:$F$229,MATCH($B254,$B$206:$B$229,FALSE))=0,NA(),INDEX(BJ$14:BJ$37,MATCH($B254,$B$14:$B$37,FALSE))/INDEX($F$206:$F$229,MATCH($B254,$B$206:$B$229,FALSE))),NA()),NA())</f>
        <v>#N/A</v>
      </c>
      <c r="BL254" s="65" t="e">
        <f>IF(BK62=1,IF(BK$13&lt;=COUNT($C34:$CS34),IF(INDEX($F$206:$F$229,MATCH($B254,$B$206:$B$229,FALSE))=0,NA(),INDEX(BK$14:BK$37,MATCH($B254,$B$14:$B$37,FALSE))/INDEX($F$206:$F$229,MATCH($B254,$B$206:$B$229,FALSE))),NA()),NA())</f>
        <v>#N/A</v>
      </c>
      <c r="BM254" s="65" t="e">
        <f>IF(BL62=1,IF(BL$13&lt;=COUNT($C34:$CS34),IF(INDEX($F$206:$F$229,MATCH($B254,$B$206:$B$229,FALSE))=0,NA(),INDEX(BL$14:BL$37,MATCH($B254,$B$14:$B$37,FALSE))/INDEX($F$206:$F$229,MATCH($B254,$B$206:$B$229,FALSE))),NA()),NA())</f>
        <v>#N/A</v>
      </c>
      <c r="BN254" s="65" t="e">
        <f>IF(BM62=1,IF(BM$13&lt;=COUNT($C34:$CS34),IF(INDEX($F$206:$F$229,MATCH($B254,$B$206:$B$229,FALSE))=0,NA(),INDEX(BM$14:BM$37,MATCH($B254,$B$14:$B$37,FALSE))/INDEX($F$206:$F$229,MATCH($B254,$B$206:$B$229,FALSE))),NA()),NA())</f>
        <v>#N/A</v>
      </c>
      <c r="BO254" s="65" t="e">
        <f>IF(BN62=1,IF(BN$13&lt;=COUNT($C34:$CS34),IF(INDEX($F$206:$F$229,MATCH($B254,$B$206:$B$229,FALSE))=0,NA(),INDEX(BN$14:BN$37,MATCH($B254,$B$14:$B$37,FALSE))/INDEX($F$206:$F$229,MATCH($B254,$B$206:$B$229,FALSE))),NA()),NA())</f>
        <v>#N/A</v>
      </c>
      <c r="BP254" s="65" t="e">
        <f>IF(BO62=1,IF(BO$13&lt;=COUNT($C34:$CS34),IF(INDEX($F$206:$F$229,MATCH($B254,$B$206:$B$229,FALSE))=0,NA(),INDEX(BO$14:BO$37,MATCH($B254,$B$14:$B$37,FALSE))/INDEX($F$206:$F$229,MATCH($B254,$B$206:$B$229,FALSE))),NA()),NA())</f>
        <v>#N/A</v>
      </c>
      <c r="BQ254" s="65" t="e">
        <f>IF(BP62=1,IF(BP$13&lt;=COUNT($C34:$CS34),IF(INDEX($F$206:$F$229,MATCH($B254,$B$206:$B$229,FALSE))=0,NA(),INDEX(BP$14:BP$37,MATCH($B254,$B$14:$B$37,FALSE))/INDEX($F$206:$F$229,MATCH($B254,$B$206:$B$229,FALSE))),NA()),NA())</f>
        <v>#N/A</v>
      </c>
      <c r="BR254" s="65" t="e">
        <f>IF(BQ62=1,IF(BQ$13&lt;=COUNT($C34:$CS34),IF(INDEX($F$206:$F$229,MATCH($B254,$B$206:$B$229,FALSE))=0,NA(),INDEX(BQ$14:BQ$37,MATCH($B254,$B$14:$B$37,FALSE))/INDEX($F$206:$F$229,MATCH($B254,$B$206:$B$229,FALSE))),NA()),NA())</f>
        <v>#N/A</v>
      </c>
      <c r="BS254" s="65" t="e">
        <f>IF(BR62=1,IF(BR$13&lt;=COUNT($C34:$CS34),IF(INDEX($F$206:$F$229,MATCH($B254,$B$206:$B$229,FALSE))=0,NA(),INDEX(BR$14:BR$37,MATCH($B254,$B$14:$B$37,FALSE))/INDEX($F$206:$F$229,MATCH($B254,$B$206:$B$229,FALSE))),NA()),NA())</f>
        <v>#N/A</v>
      </c>
      <c r="BT254" s="65" t="e">
        <f>IF(BS62=1,IF(BS$13&lt;=COUNT($C34:$CS34),IF(INDEX($F$206:$F$229,MATCH($B254,$B$206:$B$229,FALSE))=0,NA(),INDEX(BS$14:BS$37,MATCH($B254,$B$14:$B$37,FALSE))/INDEX($F$206:$F$229,MATCH($B254,$B$206:$B$229,FALSE))),NA()),NA())</f>
        <v>#N/A</v>
      </c>
      <c r="BU254" s="65" t="e">
        <f>IF(BT62=1,IF(BT$13&lt;=COUNT($C34:$CS34),IF(INDEX($F$206:$F$229,MATCH($B254,$B$206:$B$229,FALSE))=0,NA(),INDEX(BT$14:BT$37,MATCH($B254,$B$14:$B$37,FALSE))/INDEX($F$206:$F$229,MATCH($B254,$B$206:$B$229,FALSE))),NA()),NA())</f>
        <v>#N/A</v>
      </c>
      <c r="BV254" s="65" t="e">
        <f>IF(BU62=1,IF(BU$13&lt;=COUNT($C34:$CS34),IF(INDEX($F$206:$F$229,MATCH($B254,$B$206:$B$229,FALSE))=0,NA(),INDEX(BU$14:BU$37,MATCH($B254,$B$14:$B$37,FALSE))/INDEX($F$206:$F$229,MATCH($B254,$B$206:$B$229,FALSE))),NA()),NA())</f>
        <v>#N/A</v>
      </c>
      <c r="BW254" s="65" t="e">
        <f>IF(BV62=1,IF(BV$13&lt;=COUNT($C34:$CS34),IF(INDEX($F$206:$F$229,MATCH($B254,$B$206:$B$229,FALSE))=0,NA(),INDEX(BV$14:BV$37,MATCH($B254,$B$14:$B$37,FALSE))/INDEX($F$206:$F$229,MATCH($B254,$B$206:$B$229,FALSE))),NA()),NA())</f>
        <v>#N/A</v>
      </c>
      <c r="BX254" s="65" t="e">
        <f>IF(BW62=1,IF(BW$13&lt;=COUNT($C34:$CS34),IF(INDEX($F$206:$F$229,MATCH($B254,$B$206:$B$229,FALSE))=0,NA(),INDEX(BW$14:BW$37,MATCH($B254,$B$14:$B$37,FALSE))/INDEX($F$206:$F$229,MATCH($B254,$B$206:$B$229,FALSE))),NA()),NA())</f>
        <v>#N/A</v>
      </c>
      <c r="BY254" s="65" t="e">
        <f>IF(BX62=1,IF(BX$13&lt;=COUNT($C34:$CS34),IF(INDEX($F$206:$F$229,MATCH($B254,$B$206:$B$229,FALSE))=0,NA(),INDEX(BX$14:BX$37,MATCH($B254,$B$14:$B$37,FALSE))/INDEX($F$206:$F$229,MATCH($B254,$B$206:$B$229,FALSE))),NA()),NA())</f>
        <v>#N/A</v>
      </c>
      <c r="BZ254" s="65" t="e">
        <f>IF(BY62=1,IF(BY$13&lt;=COUNT($C34:$CS34),IF(INDEX($F$206:$F$229,MATCH($B254,$B$206:$B$229,FALSE))=0,NA(),INDEX(BY$14:BY$37,MATCH($B254,$B$14:$B$37,FALSE))/INDEX($F$206:$F$229,MATCH($B254,$B$206:$B$229,FALSE))),NA()),NA())</f>
        <v>#N/A</v>
      </c>
      <c r="CA254" s="65" t="e">
        <f>IF(BZ62=1,IF(BZ$13&lt;=COUNT($C34:$CS34),IF(INDEX($F$206:$F$229,MATCH($B254,$B$206:$B$229,FALSE))=0,NA(),INDEX(BZ$14:BZ$37,MATCH($B254,$B$14:$B$37,FALSE))/INDEX($F$206:$F$229,MATCH($B254,$B$206:$B$229,FALSE))),NA()),NA())</f>
        <v>#N/A</v>
      </c>
      <c r="CB254" s="65" t="e">
        <f>IF(CA62=1,IF(CA$13&lt;=COUNT($C34:$CS34),IF(INDEX($F$206:$F$229,MATCH($B254,$B$206:$B$229,FALSE))=0,NA(),INDEX(CA$14:CA$37,MATCH($B254,$B$14:$B$37,FALSE))/INDEX($F$206:$F$229,MATCH($B254,$B$206:$B$229,FALSE))),NA()),NA())</f>
        <v>#N/A</v>
      </c>
      <c r="CC254" s="65" t="e">
        <f>IF(CB62=1,IF(CB$13&lt;=COUNT($C34:$CS34),IF(INDEX($F$206:$F$229,MATCH($B254,$B$206:$B$229,FALSE))=0,NA(),INDEX(CB$14:CB$37,MATCH($B254,$B$14:$B$37,FALSE))/INDEX($F$206:$F$229,MATCH($B254,$B$206:$B$229,FALSE))),NA()),NA())</f>
        <v>#N/A</v>
      </c>
      <c r="CD254" s="65" t="e">
        <f>IF(CC62=1,IF(CC$13&lt;=COUNT($C34:$CS34),IF(INDEX($F$206:$F$229,MATCH($B254,$B$206:$B$229,FALSE))=0,NA(),INDEX(CC$14:CC$37,MATCH($B254,$B$14:$B$37,FALSE))/INDEX($F$206:$F$229,MATCH($B254,$B$206:$B$229,FALSE))),NA()),NA())</f>
        <v>#N/A</v>
      </c>
      <c r="CE254" s="65" t="e">
        <f>IF(CD62=1,IF(CD$13&lt;=COUNT($C34:$CS34),IF(INDEX($F$206:$F$229,MATCH($B254,$B$206:$B$229,FALSE))=0,NA(),INDEX(CD$14:CD$37,MATCH($B254,$B$14:$B$37,FALSE))/INDEX($F$206:$F$229,MATCH($B254,$B$206:$B$229,FALSE))),NA()),NA())</f>
        <v>#N/A</v>
      </c>
      <c r="CF254" s="65" t="e">
        <f>IF(CE62=1,IF(CE$13&lt;=COUNT($C34:$CS34),IF(INDEX($F$206:$F$229,MATCH($B254,$B$206:$B$229,FALSE))=0,NA(),INDEX(CE$14:CE$37,MATCH($B254,$B$14:$B$37,FALSE))/INDEX($F$206:$F$229,MATCH($B254,$B$206:$B$229,FALSE))),NA()),NA())</f>
        <v>#N/A</v>
      </c>
      <c r="CG254" s="65" t="e">
        <f>IF(CF62=1,IF(CF$13&lt;=COUNT($C34:$CS34),IF(INDEX($F$206:$F$229,MATCH($B254,$B$206:$B$229,FALSE))=0,NA(),INDEX(CF$14:CF$37,MATCH($B254,$B$14:$B$37,FALSE))/INDEX($F$206:$F$229,MATCH($B254,$B$206:$B$229,FALSE))),NA()),NA())</f>
        <v>#N/A</v>
      </c>
      <c r="CH254" s="65" t="e">
        <f>IF(CG62=1,IF(CG$13&lt;=COUNT($C34:$CS34),IF(INDEX($F$206:$F$229,MATCH($B254,$B$206:$B$229,FALSE))=0,NA(),INDEX(CG$14:CG$37,MATCH($B254,$B$14:$B$37,FALSE))/INDEX($F$206:$F$229,MATCH($B254,$B$206:$B$229,FALSE))),NA()),NA())</f>
        <v>#N/A</v>
      </c>
      <c r="CI254" s="65" t="e">
        <f>IF(CH62=1,IF(CH$13&lt;=COUNT($C34:$CS34),IF(INDEX($F$206:$F$229,MATCH($B254,$B$206:$B$229,FALSE))=0,NA(),INDEX(CH$14:CH$37,MATCH($B254,$B$14:$B$37,FALSE))/INDEX($F$206:$F$229,MATCH($B254,$B$206:$B$229,FALSE))),NA()),NA())</f>
        <v>#N/A</v>
      </c>
      <c r="CJ254" s="65" t="e">
        <f>IF(CI62=1,IF(CI$13&lt;=COUNT($C34:$CS34),IF(INDEX($F$206:$F$229,MATCH($B254,$B$206:$B$229,FALSE))=0,NA(),INDEX(CI$14:CI$37,MATCH($B254,$B$14:$B$37,FALSE))/INDEX($F$206:$F$229,MATCH($B254,$B$206:$B$229,FALSE))),NA()),NA())</f>
        <v>#N/A</v>
      </c>
      <c r="CK254" s="65" t="e">
        <f>IF(CJ62=1,IF(CJ$13&lt;=COUNT($C34:$CS34),IF(INDEX($F$206:$F$229,MATCH($B254,$B$206:$B$229,FALSE))=0,NA(),INDEX(CJ$14:CJ$37,MATCH($B254,$B$14:$B$37,FALSE))/INDEX($F$206:$F$229,MATCH($B254,$B$206:$B$229,FALSE))),NA()),NA())</f>
        <v>#N/A</v>
      </c>
      <c r="CL254" s="65" t="e">
        <f>IF(CK62=1,IF(CK$13&lt;=COUNT($C34:$CS34),IF(INDEX($F$206:$F$229,MATCH($B254,$B$206:$B$229,FALSE))=0,NA(),INDEX(CK$14:CK$37,MATCH($B254,$B$14:$B$37,FALSE))/INDEX($F$206:$F$229,MATCH($B254,$B$206:$B$229,FALSE))),NA()),NA())</f>
        <v>#N/A</v>
      </c>
      <c r="CM254" s="65" t="e">
        <f>IF(CL62=1,IF(CL$13&lt;=COUNT($C34:$CS34),IF(INDEX($F$206:$F$229,MATCH($B254,$B$206:$B$229,FALSE))=0,NA(),INDEX(CL$14:CL$37,MATCH($B254,$B$14:$B$37,FALSE))/INDEX($F$206:$F$229,MATCH($B254,$B$206:$B$229,FALSE))),NA()),NA())</f>
        <v>#N/A</v>
      </c>
      <c r="CN254" s="65" t="e">
        <f>IF(CM62=1,IF(CM$13&lt;=COUNT($C34:$CS34),IF(INDEX($F$206:$F$229,MATCH($B254,$B$206:$B$229,FALSE))=0,NA(),INDEX(CM$14:CM$37,MATCH($B254,$B$14:$B$37,FALSE))/INDEX($F$206:$F$229,MATCH($B254,$B$206:$B$229,FALSE))),NA()),NA())</f>
        <v>#N/A</v>
      </c>
      <c r="CO254" s="65" t="e">
        <f>IF(CN62=1,IF(CN$13&lt;=COUNT($C34:$CS34),IF(INDEX($F$206:$F$229,MATCH($B254,$B$206:$B$229,FALSE))=0,NA(),INDEX(CN$14:CN$37,MATCH($B254,$B$14:$B$37,FALSE))/INDEX($F$206:$F$229,MATCH($B254,$B$206:$B$229,FALSE))),NA()),NA())</f>
        <v>#N/A</v>
      </c>
      <c r="CP254" s="65" t="e">
        <f>IF(CO62=1,IF(CO$13&lt;=COUNT($C34:$CS34),IF(INDEX($F$206:$F$229,MATCH($B254,$B$206:$B$229,FALSE))=0,NA(),INDEX(CO$14:CO$37,MATCH($B254,$B$14:$B$37,FALSE))/INDEX($F$206:$F$229,MATCH($B254,$B$206:$B$229,FALSE))),NA()),NA())</f>
        <v>#N/A</v>
      </c>
      <c r="CQ254" s="65" t="e">
        <f>IF(CP62=1,IF(CP$13&lt;=COUNT($C34:$CS34),IF(INDEX($F$206:$F$229,MATCH($B254,$B$206:$B$229,FALSE))=0,NA(),INDEX(CP$14:CP$37,MATCH($B254,$B$14:$B$37,FALSE))/INDEX($F$206:$F$229,MATCH($B254,$B$206:$B$229,FALSE))),NA()),NA())</f>
        <v>#N/A</v>
      </c>
      <c r="CR254" s="65" t="e">
        <f>IF(CQ62=1,IF(CQ$13&lt;=COUNT($C34:$CS34),IF(INDEX($F$206:$F$229,MATCH($B254,$B$206:$B$229,FALSE))=0,NA(),INDEX(CQ$14:CQ$37,MATCH($B254,$B$14:$B$37,FALSE))/INDEX($F$206:$F$229,MATCH($B254,$B$206:$B$229,FALSE))),NA()),NA())</f>
        <v>#N/A</v>
      </c>
      <c r="CS254" s="65" t="e">
        <f>IF(CR62=1,IF(CR$13&lt;=COUNT($C34:$CS34),IF(INDEX($F$206:$F$229,MATCH($B254,$B$206:$B$229,FALSE))=0,NA(),INDEX(CR$14:CR$37,MATCH($B254,$B$14:$B$37,FALSE))/INDEX($F$206:$F$229,MATCH($B254,$B$206:$B$229,FALSE))),NA()),NA())</f>
        <v>#N/A</v>
      </c>
      <c r="CT254" s="49"/>
      <c r="CU254" s="49"/>
      <c r="CV254" s="49"/>
      <c r="CW254" s="49"/>
    </row>
    <row r="255" spans="1:101" x14ac:dyDescent="0.25">
      <c r="A255" s="97">
        <f t="shared" si="105"/>
        <v>1</v>
      </c>
      <c r="B255" s="29">
        <f t="shared" si="104"/>
        <v>2017</v>
      </c>
      <c r="C255" s="154" t="str">
        <f t="shared" si="106"/>
        <v/>
      </c>
      <c r="D255" s="54">
        <f t="shared" ca="1" si="109"/>
        <v>0</v>
      </c>
      <c r="E255" s="65">
        <f t="shared" ca="1" si="109"/>
        <v>1.2584749097372236E-2</v>
      </c>
      <c r="F255" s="65">
        <f t="shared" ca="1" si="109"/>
        <v>1.211605288074515</v>
      </c>
      <c r="G255" s="65" t="e">
        <f>IF(F63=1,IF(F$13&lt;=COUNT($C35:$CS35),IF(INDEX($F$206:$F$229,MATCH($B255,$B$206:$B$229,FALSE))=0,NA(),INDEX(F$14:F$37,MATCH($B255,$B$14:$B$37,FALSE))/INDEX($F$206:$F$229,MATCH($B255,$B$206:$B$229,FALSE))),NA()),NA())</f>
        <v>#N/A</v>
      </c>
      <c r="H255" s="65" t="e">
        <f>IF(G63=1,IF(G$13&lt;=COUNT($C35:$CS35),IF(INDEX($F$206:$F$229,MATCH($B255,$B$206:$B$229,FALSE))=0,NA(),INDEX(G$14:G$37,MATCH($B255,$B$14:$B$37,FALSE))/INDEX($F$206:$F$229,MATCH($B255,$B$206:$B$229,FALSE))),NA()),NA())</f>
        <v>#N/A</v>
      </c>
      <c r="I255" s="65" t="e">
        <f>IF(H63=1,IF(H$13&lt;=COUNT($C35:$CS35),IF(INDEX($F$206:$F$229,MATCH($B255,$B$206:$B$229,FALSE))=0,NA(),INDEX(H$14:H$37,MATCH($B255,$B$14:$B$37,FALSE))/INDEX($F$206:$F$229,MATCH($B255,$B$206:$B$229,FALSE))),NA()),NA())</f>
        <v>#N/A</v>
      </c>
      <c r="J255" s="65" t="e">
        <f>IF(I63=1,IF(I$13&lt;=COUNT($C35:$CS35),IF(INDEX($F$206:$F$229,MATCH($B255,$B$206:$B$229,FALSE))=0,NA(),INDEX(I$14:I$37,MATCH($B255,$B$14:$B$37,FALSE))/INDEX($F$206:$F$229,MATCH($B255,$B$206:$B$229,FALSE))),NA()),NA())</f>
        <v>#N/A</v>
      </c>
      <c r="K255" s="65" t="e">
        <f>IF(J63=1,IF(J$13&lt;=COUNT($C35:$CS35),IF(INDEX($F$206:$F$229,MATCH($B255,$B$206:$B$229,FALSE))=0,NA(),INDEX(J$14:J$37,MATCH($B255,$B$14:$B$37,FALSE))/INDEX($F$206:$F$229,MATCH($B255,$B$206:$B$229,FALSE))),NA()),NA())</f>
        <v>#N/A</v>
      </c>
      <c r="L255" s="65" t="e">
        <f>IF(K63=1,IF(K$13&lt;=COUNT($C35:$CS35),IF(INDEX($F$206:$F$229,MATCH($B255,$B$206:$B$229,FALSE))=0,NA(),INDEX(K$14:K$37,MATCH($B255,$B$14:$B$37,FALSE))/INDEX($F$206:$F$229,MATCH($B255,$B$206:$B$229,FALSE))),NA()),NA())</f>
        <v>#N/A</v>
      </c>
      <c r="M255" s="65" t="e">
        <f>IF(L63=1,IF(L$13&lt;=COUNT($C35:$CS35),IF(INDEX($F$206:$F$229,MATCH($B255,$B$206:$B$229,FALSE))=0,NA(),INDEX(L$14:L$37,MATCH($B255,$B$14:$B$37,FALSE))/INDEX($F$206:$F$229,MATCH($B255,$B$206:$B$229,FALSE))),NA()),NA())</f>
        <v>#N/A</v>
      </c>
      <c r="N255" s="65" t="e">
        <f>IF(M63=1,IF(M$13&lt;=COUNT($C35:$CS35),IF(INDEX($F$206:$F$229,MATCH($B255,$B$206:$B$229,FALSE))=0,NA(),INDEX(M$14:M$37,MATCH($B255,$B$14:$B$37,FALSE))/INDEX($F$206:$F$229,MATCH($B255,$B$206:$B$229,FALSE))),NA()),NA())</f>
        <v>#N/A</v>
      </c>
      <c r="O255" s="65" t="e">
        <f>IF(N63=1,IF(N$13&lt;=COUNT($C35:$CS35),IF(INDEX($F$206:$F$229,MATCH($B255,$B$206:$B$229,FALSE))=0,NA(),INDEX(N$14:N$37,MATCH($B255,$B$14:$B$37,FALSE))/INDEX($F$206:$F$229,MATCH($B255,$B$206:$B$229,FALSE))),NA()),NA())</f>
        <v>#N/A</v>
      </c>
      <c r="P255" s="65" t="e">
        <f>IF(O63=1,IF(O$13&lt;=COUNT($C35:$CS35),IF(INDEX($F$206:$F$229,MATCH($B255,$B$206:$B$229,FALSE))=0,NA(),INDEX(O$14:O$37,MATCH($B255,$B$14:$B$37,FALSE))/INDEX($F$206:$F$229,MATCH($B255,$B$206:$B$229,FALSE))),NA()),NA())</f>
        <v>#N/A</v>
      </c>
      <c r="Q255" s="65" t="e">
        <f>IF(P63=1,IF(P$13&lt;=COUNT($C35:$CS35),IF(INDEX($F$206:$F$229,MATCH($B255,$B$206:$B$229,FALSE))=0,NA(),INDEX(P$14:P$37,MATCH($B255,$B$14:$B$37,FALSE))/INDEX($F$206:$F$229,MATCH($B255,$B$206:$B$229,FALSE))),NA()),NA())</f>
        <v>#N/A</v>
      </c>
      <c r="R255" s="65" t="e">
        <f>IF(Q63=1,IF(Q$13&lt;=COUNT($C35:$CS35),IF(INDEX($F$206:$F$229,MATCH($B255,$B$206:$B$229,FALSE))=0,NA(),INDEX(Q$14:Q$37,MATCH($B255,$B$14:$B$37,FALSE))/INDEX($F$206:$F$229,MATCH($B255,$B$206:$B$229,FALSE))),NA()),NA())</f>
        <v>#N/A</v>
      </c>
      <c r="S255" s="65" t="e">
        <f>IF(R63=1,IF(R$13&lt;=COUNT($C35:$CS35),IF(INDEX($F$206:$F$229,MATCH($B255,$B$206:$B$229,FALSE))=0,NA(),INDEX(R$14:R$37,MATCH($B255,$B$14:$B$37,FALSE))/INDEX($F$206:$F$229,MATCH($B255,$B$206:$B$229,FALSE))),NA()),NA())</f>
        <v>#N/A</v>
      </c>
      <c r="T255" s="65" t="e">
        <f>IF(S63=1,IF(S$13&lt;=COUNT($C35:$CS35),IF(INDEX($F$206:$F$229,MATCH($B255,$B$206:$B$229,FALSE))=0,NA(),INDEX(S$14:S$37,MATCH($B255,$B$14:$B$37,FALSE))/INDEX($F$206:$F$229,MATCH($B255,$B$206:$B$229,FALSE))),NA()),NA())</f>
        <v>#N/A</v>
      </c>
      <c r="U255" s="65" t="e">
        <f>IF(T63=1,IF(T$13&lt;=COUNT($C35:$CS35),IF(INDEX($F$206:$F$229,MATCH($B255,$B$206:$B$229,FALSE))=0,NA(),INDEX(T$14:T$37,MATCH($B255,$B$14:$B$37,FALSE))/INDEX($F$206:$F$229,MATCH($B255,$B$206:$B$229,FALSE))),NA()),NA())</f>
        <v>#N/A</v>
      </c>
      <c r="V255" s="65" t="e">
        <f>IF(U63=1,IF(U$13&lt;=COUNT($C35:$CS35),IF(INDEX($F$206:$F$229,MATCH($B255,$B$206:$B$229,FALSE))=0,NA(),INDEX(U$14:U$37,MATCH($B255,$B$14:$B$37,FALSE))/INDEX($F$206:$F$229,MATCH($B255,$B$206:$B$229,FALSE))),NA()),NA())</f>
        <v>#N/A</v>
      </c>
      <c r="W255" s="65" t="e">
        <f>IF(V63=1,IF(V$13&lt;=COUNT($C35:$CS35),IF(INDEX($F$206:$F$229,MATCH($B255,$B$206:$B$229,FALSE))=0,NA(),INDEX(V$14:V$37,MATCH($B255,$B$14:$B$37,FALSE))/INDEX($F$206:$F$229,MATCH($B255,$B$206:$B$229,FALSE))),NA()),NA())</f>
        <v>#N/A</v>
      </c>
      <c r="X255" s="65" t="e">
        <f>IF(W63=1,IF(W$13&lt;=COUNT($C35:$CS35),IF(INDEX($F$206:$F$229,MATCH($B255,$B$206:$B$229,FALSE))=0,NA(),INDEX(W$14:W$37,MATCH($B255,$B$14:$B$37,FALSE))/INDEX($F$206:$F$229,MATCH($B255,$B$206:$B$229,FALSE))),NA()),NA())</f>
        <v>#N/A</v>
      </c>
      <c r="Y255" s="65" t="e">
        <f>IF(X63=1,IF(X$13&lt;=COUNT($C35:$CS35),IF(INDEX($F$206:$F$229,MATCH($B255,$B$206:$B$229,FALSE))=0,NA(),INDEX(X$14:X$37,MATCH($B255,$B$14:$B$37,FALSE))/INDEX($F$206:$F$229,MATCH($B255,$B$206:$B$229,FALSE))),NA()),NA())</f>
        <v>#N/A</v>
      </c>
      <c r="Z255" s="65" t="e">
        <f>IF(Y63=1,IF(Y$13&lt;=COUNT($C35:$CS35),IF(INDEX($F$206:$F$229,MATCH($B255,$B$206:$B$229,FALSE))=0,NA(),INDEX(Y$14:Y$37,MATCH($B255,$B$14:$B$37,FALSE))/INDEX($F$206:$F$229,MATCH($B255,$B$206:$B$229,FALSE))),NA()),NA())</f>
        <v>#N/A</v>
      </c>
      <c r="AA255" s="65" t="e">
        <f>IF(Z63=1,IF(Z$13&lt;=COUNT($C35:$CS35),IF(INDEX($F$206:$F$229,MATCH($B255,$B$206:$B$229,FALSE))=0,NA(),INDEX(Z$14:Z$37,MATCH($B255,$B$14:$B$37,FALSE))/INDEX($F$206:$F$229,MATCH($B255,$B$206:$B$229,FALSE))),NA()),NA())</f>
        <v>#N/A</v>
      </c>
      <c r="AB255" s="65" t="e">
        <f>IF(AA63=1,IF(AA$13&lt;=COUNT($C35:$CS35),IF(INDEX($F$206:$F$229,MATCH($B255,$B$206:$B$229,FALSE))=0,NA(),INDEX(AA$14:AA$37,MATCH($B255,$B$14:$B$37,FALSE))/INDEX($F$206:$F$229,MATCH($B255,$B$206:$B$229,FALSE))),NA()),NA())</f>
        <v>#N/A</v>
      </c>
      <c r="AC255" s="65" t="e">
        <f>IF(AB63=1,IF(AB$13&lt;=COUNT($C35:$CS35),IF(INDEX($F$206:$F$229,MATCH($B255,$B$206:$B$229,FALSE))=0,NA(),INDEX(AB$14:AB$37,MATCH($B255,$B$14:$B$37,FALSE))/INDEX($F$206:$F$229,MATCH($B255,$B$206:$B$229,FALSE))),NA()),NA())</f>
        <v>#N/A</v>
      </c>
      <c r="AD255" s="65" t="e">
        <f>IF(AC63=1,IF(AC$13&lt;=COUNT($C35:$CS35),IF(INDEX($F$206:$F$229,MATCH($B255,$B$206:$B$229,FALSE))=0,NA(),INDEX(AC$14:AC$37,MATCH($B255,$B$14:$B$37,FALSE))/INDEX($F$206:$F$229,MATCH($B255,$B$206:$B$229,FALSE))),NA()),NA())</f>
        <v>#N/A</v>
      </c>
      <c r="AE255" s="65" t="e">
        <f>IF(AD63=1,IF(AD$13&lt;=COUNT($C35:$CS35),IF(INDEX($F$206:$F$229,MATCH($B255,$B$206:$B$229,FALSE))=0,NA(),INDEX(AD$14:AD$37,MATCH($B255,$B$14:$B$37,FALSE))/INDEX($F$206:$F$229,MATCH($B255,$B$206:$B$229,FALSE))),NA()),NA())</f>
        <v>#N/A</v>
      </c>
      <c r="AF255" s="65" t="e">
        <f>IF(AE63=1,IF(AE$13&lt;=COUNT($C35:$CS35),IF(INDEX($F$206:$F$229,MATCH($B255,$B$206:$B$229,FALSE))=0,NA(),INDEX(AE$14:AE$37,MATCH($B255,$B$14:$B$37,FALSE))/INDEX($F$206:$F$229,MATCH($B255,$B$206:$B$229,FALSE))),NA()),NA())</f>
        <v>#N/A</v>
      </c>
      <c r="AG255" s="65" t="e">
        <f>IF(AF63=1,IF(AF$13&lt;=COUNT($C35:$CS35),IF(INDEX($F$206:$F$229,MATCH($B255,$B$206:$B$229,FALSE))=0,NA(),INDEX(AF$14:AF$37,MATCH($B255,$B$14:$B$37,FALSE))/INDEX($F$206:$F$229,MATCH($B255,$B$206:$B$229,FALSE))),NA()),NA())</f>
        <v>#N/A</v>
      </c>
      <c r="AH255" s="65" t="e">
        <f>IF(AG63=1,IF(AG$13&lt;=COUNT($C35:$CS35),IF(INDEX($F$206:$F$229,MATCH($B255,$B$206:$B$229,FALSE))=0,NA(),INDEX(AG$14:AG$37,MATCH($B255,$B$14:$B$37,FALSE))/INDEX($F$206:$F$229,MATCH($B255,$B$206:$B$229,FALSE))),NA()),NA())</f>
        <v>#N/A</v>
      </c>
      <c r="AI255" s="65" t="e">
        <f>IF(AH63=1,IF(AH$13&lt;=COUNT($C35:$CS35),IF(INDEX($F$206:$F$229,MATCH($B255,$B$206:$B$229,FALSE))=0,NA(),INDEX(AH$14:AH$37,MATCH($B255,$B$14:$B$37,FALSE))/INDEX($F$206:$F$229,MATCH($B255,$B$206:$B$229,FALSE))),NA()),NA())</f>
        <v>#N/A</v>
      </c>
      <c r="AJ255" s="65" t="e">
        <f>IF(AI63=1,IF(AI$13&lt;=COUNT($C35:$CS35),IF(INDEX($F$206:$F$229,MATCH($B255,$B$206:$B$229,FALSE))=0,NA(),INDEX(AI$14:AI$37,MATCH($B255,$B$14:$B$37,FALSE))/INDEX($F$206:$F$229,MATCH($B255,$B$206:$B$229,FALSE))),NA()),NA())</f>
        <v>#N/A</v>
      </c>
      <c r="AK255" s="65" t="e">
        <f>IF(AJ63=1,IF(AJ$13&lt;=COUNT($C35:$CS35),IF(INDEX($F$206:$F$229,MATCH($B255,$B$206:$B$229,FALSE))=0,NA(),INDEX(AJ$14:AJ$37,MATCH($B255,$B$14:$B$37,FALSE))/INDEX($F$206:$F$229,MATCH($B255,$B$206:$B$229,FALSE))),NA()),NA())</f>
        <v>#N/A</v>
      </c>
      <c r="AL255" s="65" t="e">
        <f>IF(AK63=1,IF(AK$13&lt;=COUNT($C35:$CS35),IF(INDEX($F$206:$F$229,MATCH($B255,$B$206:$B$229,FALSE))=0,NA(),INDEX(AK$14:AK$37,MATCH($B255,$B$14:$B$37,FALSE))/INDEX($F$206:$F$229,MATCH($B255,$B$206:$B$229,FALSE))),NA()),NA())</f>
        <v>#N/A</v>
      </c>
      <c r="AM255" s="65" t="e">
        <f>IF(AL63=1,IF(AL$13&lt;=COUNT($C35:$CS35),IF(INDEX($F$206:$F$229,MATCH($B255,$B$206:$B$229,FALSE))=0,NA(),INDEX(AL$14:AL$37,MATCH($B255,$B$14:$B$37,FALSE))/INDEX($F$206:$F$229,MATCH($B255,$B$206:$B$229,FALSE))),NA()),NA())</f>
        <v>#N/A</v>
      </c>
      <c r="AN255" s="65" t="e">
        <f>IF(AM63=1,IF(AM$13&lt;=COUNT($C35:$CS35),IF(INDEX($F$206:$F$229,MATCH($B255,$B$206:$B$229,FALSE))=0,NA(),INDEX(AM$14:AM$37,MATCH($B255,$B$14:$B$37,FALSE))/INDEX($F$206:$F$229,MATCH($B255,$B$206:$B$229,FALSE))),NA()),NA())</f>
        <v>#N/A</v>
      </c>
      <c r="AO255" s="65" t="e">
        <f>IF(AN63=1,IF(AN$13&lt;=COUNT($C35:$CS35),IF(INDEX($F$206:$F$229,MATCH($B255,$B$206:$B$229,FALSE))=0,NA(),INDEX(AN$14:AN$37,MATCH($B255,$B$14:$B$37,FALSE))/INDEX($F$206:$F$229,MATCH($B255,$B$206:$B$229,FALSE))),NA()),NA())</f>
        <v>#N/A</v>
      </c>
      <c r="AP255" s="65" t="e">
        <f>IF(AO63=1,IF(AO$13&lt;=COUNT($C35:$CS35),IF(INDEX($F$206:$F$229,MATCH($B255,$B$206:$B$229,FALSE))=0,NA(),INDEX(AO$14:AO$37,MATCH($B255,$B$14:$B$37,FALSE))/INDEX($F$206:$F$229,MATCH($B255,$B$206:$B$229,FALSE))),NA()),NA())</f>
        <v>#N/A</v>
      </c>
      <c r="AQ255" s="65" t="e">
        <f>IF(AP63=1,IF(AP$13&lt;=COUNT($C35:$CS35),IF(INDEX($F$206:$F$229,MATCH($B255,$B$206:$B$229,FALSE))=0,NA(),INDEX(AP$14:AP$37,MATCH($B255,$B$14:$B$37,FALSE))/INDEX($F$206:$F$229,MATCH($B255,$B$206:$B$229,FALSE))),NA()),NA())</f>
        <v>#N/A</v>
      </c>
      <c r="AR255" s="65" t="e">
        <f>IF(AQ63=1,IF(AQ$13&lt;=COUNT($C35:$CS35),IF(INDEX($F$206:$F$229,MATCH($B255,$B$206:$B$229,FALSE))=0,NA(),INDEX(AQ$14:AQ$37,MATCH($B255,$B$14:$B$37,FALSE))/INDEX($F$206:$F$229,MATCH($B255,$B$206:$B$229,FALSE))),NA()),NA())</f>
        <v>#N/A</v>
      </c>
      <c r="AS255" s="65" t="e">
        <f>IF(AR63=1,IF(AR$13&lt;=COUNT($C35:$CS35),IF(INDEX($F$206:$F$229,MATCH($B255,$B$206:$B$229,FALSE))=0,NA(),INDEX(AR$14:AR$37,MATCH($B255,$B$14:$B$37,FALSE))/INDEX($F$206:$F$229,MATCH($B255,$B$206:$B$229,FALSE))),NA()),NA())</f>
        <v>#N/A</v>
      </c>
      <c r="AT255" s="65" t="e">
        <f>IF(AS63=1,IF(AS$13&lt;=COUNT($C35:$CS35),IF(INDEX($F$206:$F$229,MATCH($B255,$B$206:$B$229,FALSE))=0,NA(),INDEX(AS$14:AS$37,MATCH($B255,$B$14:$B$37,FALSE))/INDEX($F$206:$F$229,MATCH($B255,$B$206:$B$229,FALSE))),NA()),NA())</f>
        <v>#N/A</v>
      </c>
      <c r="AU255" s="65" t="e">
        <f>IF(AT63=1,IF(AT$13&lt;=COUNT($C35:$CS35),IF(INDEX($F$206:$F$229,MATCH($B255,$B$206:$B$229,FALSE))=0,NA(),INDEX(AT$14:AT$37,MATCH($B255,$B$14:$B$37,FALSE))/INDEX($F$206:$F$229,MATCH($B255,$B$206:$B$229,FALSE))),NA()),NA())</f>
        <v>#N/A</v>
      </c>
      <c r="AV255" s="65" t="e">
        <f>IF(AU63=1,IF(AU$13&lt;=COUNT($C35:$CS35),IF(INDEX($F$206:$F$229,MATCH($B255,$B$206:$B$229,FALSE))=0,NA(),INDEX(AU$14:AU$37,MATCH($B255,$B$14:$B$37,FALSE))/INDEX($F$206:$F$229,MATCH($B255,$B$206:$B$229,FALSE))),NA()),NA())</f>
        <v>#N/A</v>
      </c>
      <c r="AW255" s="65" t="e">
        <f>IF(AV63=1,IF(AV$13&lt;=COUNT($C35:$CS35),IF(INDEX($F$206:$F$229,MATCH($B255,$B$206:$B$229,FALSE))=0,NA(),INDEX(AV$14:AV$37,MATCH($B255,$B$14:$B$37,FALSE))/INDEX($F$206:$F$229,MATCH($B255,$B$206:$B$229,FALSE))),NA()),NA())</f>
        <v>#N/A</v>
      </c>
      <c r="AX255" s="65" t="e">
        <f>IF(AW63=1,IF(AW$13&lt;=COUNT($C35:$CS35),IF(INDEX($F$206:$F$229,MATCH($B255,$B$206:$B$229,FALSE))=0,NA(),INDEX(AW$14:AW$37,MATCH($B255,$B$14:$B$37,FALSE))/INDEX($F$206:$F$229,MATCH($B255,$B$206:$B$229,FALSE))),NA()),NA())</f>
        <v>#N/A</v>
      </c>
      <c r="AY255" s="65" t="e">
        <f>IF(AX63=1,IF(AX$13&lt;=COUNT($C35:$CS35),IF(INDEX($F$206:$F$229,MATCH($B255,$B$206:$B$229,FALSE))=0,NA(),INDEX(AX$14:AX$37,MATCH($B255,$B$14:$B$37,FALSE))/INDEX($F$206:$F$229,MATCH($B255,$B$206:$B$229,FALSE))),NA()),NA())</f>
        <v>#N/A</v>
      </c>
      <c r="AZ255" s="65" t="e">
        <f>IF(AY63=1,IF(AY$13&lt;=COUNT($C35:$CS35),IF(INDEX($F$206:$F$229,MATCH($B255,$B$206:$B$229,FALSE))=0,NA(),INDEX(AY$14:AY$37,MATCH($B255,$B$14:$B$37,FALSE))/INDEX($F$206:$F$229,MATCH($B255,$B$206:$B$229,FALSE))),NA()),NA())</f>
        <v>#N/A</v>
      </c>
      <c r="BA255" s="65" t="e">
        <f>IF(AZ63=1,IF(AZ$13&lt;=COUNT($C35:$CS35),IF(INDEX($F$206:$F$229,MATCH($B255,$B$206:$B$229,FALSE))=0,NA(),INDEX(AZ$14:AZ$37,MATCH($B255,$B$14:$B$37,FALSE))/INDEX($F$206:$F$229,MATCH($B255,$B$206:$B$229,FALSE))),NA()),NA())</f>
        <v>#N/A</v>
      </c>
      <c r="BB255" s="65" t="e">
        <f>IF(BA63=1,IF(BA$13&lt;=COUNT($C35:$CS35),IF(INDEX($F$206:$F$229,MATCH($B255,$B$206:$B$229,FALSE))=0,NA(),INDEX(BA$14:BA$37,MATCH($B255,$B$14:$B$37,FALSE))/INDEX($F$206:$F$229,MATCH($B255,$B$206:$B$229,FALSE))),NA()),NA())</f>
        <v>#N/A</v>
      </c>
      <c r="BC255" s="65" t="e">
        <f>IF(BB63=1,IF(BB$13&lt;=COUNT($C35:$CS35),IF(INDEX($F$206:$F$229,MATCH($B255,$B$206:$B$229,FALSE))=0,NA(),INDEX(BB$14:BB$37,MATCH($B255,$B$14:$B$37,FALSE))/INDEX($F$206:$F$229,MATCH($B255,$B$206:$B$229,FALSE))),NA()),NA())</f>
        <v>#N/A</v>
      </c>
      <c r="BD255" s="65" t="e">
        <f>IF(BC63=1,IF(BC$13&lt;=COUNT($C35:$CS35),IF(INDEX($F$206:$F$229,MATCH($B255,$B$206:$B$229,FALSE))=0,NA(),INDEX(BC$14:BC$37,MATCH($B255,$B$14:$B$37,FALSE))/INDEX($F$206:$F$229,MATCH($B255,$B$206:$B$229,FALSE))),NA()),NA())</f>
        <v>#N/A</v>
      </c>
      <c r="BE255" s="65" t="e">
        <f>IF(BD63=1,IF(BD$13&lt;=COUNT($C35:$CS35),IF(INDEX($F$206:$F$229,MATCH($B255,$B$206:$B$229,FALSE))=0,NA(),INDEX(BD$14:BD$37,MATCH($B255,$B$14:$B$37,FALSE))/INDEX($F$206:$F$229,MATCH($B255,$B$206:$B$229,FALSE))),NA()),NA())</f>
        <v>#N/A</v>
      </c>
      <c r="BF255" s="65" t="e">
        <f>IF(BE63=1,IF(BE$13&lt;=COUNT($C35:$CS35),IF(INDEX($F$206:$F$229,MATCH($B255,$B$206:$B$229,FALSE))=0,NA(),INDEX(BE$14:BE$37,MATCH($B255,$B$14:$B$37,FALSE))/INDEX($F$206:$F$229,MATCH($B255,$B$206:$B$229,FALSE))),NA()),NA())</f>
        <v>#N/A</v>
      </c>
      <c r="BG255" s="65" t="e">
        <f>IF(BF63=1,IF(BF$13&lt;=COUNT($C35:$CS35),IF(INDEX($F$206:$F$229,MATCH($B255,$B$206:$B$229,FALSE))=0,NA(),INDEX(BF$14:BF$37,MATCH($B255,$B$14:$B$37,FALSE))/INDEX($F$206:$F$229,MATCH($B255,$B$206:$B$229,FALSE))),NA()),NA())</f>
        <v>#N/A</v>
      </c>
      <c r="BH255" s="65" t="e">
        <f>IF(BG63=1,IF(BG$13&lt;=COUNT($C35:$CS35),IF(INDEX($F$206:$F$229,MATCH($B255,$B$206:$B$229,FALSE))=0,NA(),INDEX(BG$14:BG$37,MATCH($B255,$B$14:$B$37,FALSE))/INDEX($F$206:$F$229,MATCH($B255,$B$206:$B$229,FALSE))),NA()),NA())</f>
        <v>#N/A</v>
      </c>
      <c r="BI255" s="65" t="e">
        <f>IF(BH63=1,IF(BH$13&lt;=COUNT($C35:$CS35),IF(INDEX($F$206:$F$229,MATCH($B255,$B$206:$B$229,FALSE))=0,NA(),INDEX(BH$14:BH$37,MATCH($B255,$B$14:$B$37,FALSE))/INDEX($F$206:$F$229,MATCH($B255,$B$206:$B$229,FALSE))),NA()),NA())</f>
        <v>#N/A</v>
      </c>
      <c r="BJ255" s="65" t="e">
        <f>IF(BI63=1,IF(BI$13&lt;=COUNT($C35:$CS35),IF(INDEX($F$206:$F$229,MATCH($B255,$B$206:$B$229,FALSE))=0,NA(),INDEX(BI$14:BI$37,MATCH($B255,$B$14:$B$37,FALSE))/INDEX($F$206:$F$229,MATCH($B255,$B$206:$B$229,FALSE))),NA()),NA())</f>
        <v>#N/A</v>
      </c>
      <c r="BK255" s="65" t="e">
        <f>IF(BJ63=1,IF(BJ$13&lt;=COUNT($C35:$CS35),IF(INDEX($F$206:$F$229,MATCH($B255,$B$206:$B$229,FALSE))=0,NA(),INDEX(BJ$14:BJ$37,MATCH($B255,$B$14:$B$37,FALSE))/INDEX($F$206:$F$229,MATCH($B255,$B$206:$B$229,FALSE))),NA()),NA())</f>
        <v>#N/A</v>
      </c>
      <c r="BL255" s="65" t="e">
        <f>IF(BK63=1,IF(BK$13&lt;=COUNT($C35:$CS35),IF(INDEX($F$206:$F$229,MATCH($B255,$B$206:$B$229,FALSE))=0,NA(),INDEX(BK$14:BK$37,MATCH($B255,$B$14:$B$37,FALSE))/INDEX($F$206:$F$229,MATCH($B255,$B$206:$B$229,FALSE))),NA()),NA())</f>
        <v>#N/A</v>
      </c>
      <c r="BM255" s="65" t="e">
        <f>IF(BL63=1,IF(BL$13&lt;=COUNT($C35:$CS35),IF(INDEX($F$206:$F$229,MATCH($B255,$B$206:$B$229,FALSE))=0,NA(),INDEX(BL$14:BL$37,MATCH($B255,$B$14:$B$37,FALSE))/INDEX($F$206:$F$229,MATCH($B255,$B$206:$B$229,FALSE))),NA()),NA())</f>
        <v>#N/A</v>
      </c>
      <c r="BN255" s="65" t="e">
        <f>IF(BM63=1,IF(BM$13&lt;=COUNT($C35:$CS35),IF(INDEX($F$206:$F$229,MATCH($B255,$B$206:$B$229,FALSE))=0,NA(),INDEX(BM$14:BM$37,MATCH($B255,$B$14:$B$37,FALSE))/INDEX($F$206:$F$229,MATCH($B255,$B$206:$B$229,FALSE))),NA()),NA())</f>
        <v>#N/A</v>
      </c>
      <c r="BO255" s="65" t="e">
        <f>IF(BN63=1,IF(BN$13&lt;=COUNT($C35:$CS35),IF(INDEX($F$206:$F$229,MATCH($B255,$B$206:$B$229,FALSE))=0,NA(),INDEX(BN$14:BN$37,MATCH($B255,$B$14:$B$37,FALSE))/INDEX($F$206:$F$229,MATCH($B255,$B$206:$B$229,FALSE))),NA()),NA())</f>
        <v>#N/A</v>
      </c>
      <c r="BP255" s="65" t="e">
        <f>IF(BO63=1,IF(BO$13&lt;=COUNT($C35:$CS35),IF(INDEX($F$206:$F$229,MATCH($B255,$B$206:$B$229,FALSE))=0,NA(),INDEX(BO$14:BO$37,MATCH($B255,$B$14:$B$37,FALSE))/INDEX($F$206:$F$229,MATCH($B255,$B$206:$B$229,FALSE))),NA()),NA())</f>
        <v>#N/A</v>
      </c>
      <c r="BQ255" s="65" t="e">
        <f>IF(BP63=1,IF(BP$13&lt;=COUNT($C35:$CS35),IF(INDEX($F$206:$F$229,MATCH($B255,$B$206:$B$229,FALSE))=0,NA(),INDEX(BP$14:BP$37,MATCH($B255,$B$14:$B$37,FALSE))/INDEX($F$206:$F$229,MATCH($B255,$B$206:$B$229,FALSE))),NA()),NA())</f>
        <v>#N/A</v>
      </c>
      <c r="BR255" s="65" t="e">
        <f>IF(BQ63=1,IF(BQ$13&lt;=COUNT($C35:$CS35),IF(INDEX($F$206:$F$229,MATCH($B255,$B$206:$B$229,FALSE))=0,NA(),INDEX(BQ$14:BQ$37,MATCH($B255,$B$14:$B$37,FALSE))/INDEX($F$206:$F$229,MATCH($B255,$B$206:$B$229,FALSE))),NA()),NA())</f>
        <v>#N/A</v>
      </c>
      <c r="BS255" s="65" t="e">
        <f>IF(BR63=1,IF(BR$13&lt;=COUNT($C35:$CS35),IF(INDEX($F$206:$F$229,MATCH($B255,$B$206:$B$229,FALSE))=0,NA(),INDEX(BR$14:BR$37,MATCH($B255,$B$14:$B$37,FALSE))/INDEX($F$206:$F$229,MATCH($B255,$B$206:$B$229,FALSE))),NA()),NA())</f>
        <v>#N/A</v>
      </c>
      <c r="BT255" s="65" t="e">
        <f>IF(BS63=1,IF(BS$13&lt;=COUNT($C35:$CS35),IF(INDEX($F$206:$F$229,MATCH($B255,$B$206:$B$229,FALSE))=0,NA(),INDEX(BS$14:BS$37,MATCH($B255,$B$14:$B$37,FALSE))/INDEX($F$206:$F$229,MATCH($B255,$B$206:$B$229,FALSE))),NA()),NA())</f>
        <v>#N/A</v>
      </c>
      <c r="BU255" s="65" t="e">
        <f>IF(BT63=1,IF(BT$13&lt;=COUNT($C35:$CS35),IF(INDEX($F$206:$F$229,MATCH($B255,$B$206:$B$229,FALSE))=0,NA(),INDEX(BT$14:BT$37,MATCH($B255,$B$14:$B$37,FALSE))/INDEX($F$206:$F$229,MATCH($B255,$B$206:$B$229,FALSE))),NA()),NA())</f>
        <v>#N/A</v>
      </c>
      <c r="BV255" s="65" t="e">
        <f>IF(BU63=1,IF(BU$13&lt;=COUNT($C35:$CS35),IF(INDEX($F$206:$F$229,MATCH($B255,$B$206:$B$229,FALSE))=0,NA(),INDEX(BU$14:BU$37,MATCH($B255,$B$14:$B$37,FALSE))/INDEX($F$206:$F$229,MATCH($B255,$B$206:$B$229,FALSE))),NA()),NA())</f>
        <v>#N/A</v>
      </c>
      <c r="BW255" s="65" t="e">
        <f>IF(BV63=1,IF(BV$13&lt;=COUNT($C35:$CS35),IF(INDEX($F$206:$F$229,MATCH($B255,$B$206:$B$229,FALSE))=0,NA(),INDEX(BV$14:BV$37,MATCH($B255,$B$14:$B$37,FALSE))/INDEX($F$206:$F$229,MATCH($B255,$B$206:$B$229,FALSE))),NA()),NA())</f>
        <v>#N/A</v>
      </c>
      <c r="BX255" s="65" t="e">
        <f>IF(BW63=1,IF(BW$13&lt;=COUNT($C35:$CS35),IF(INDEX($F$206:$F$229,MATCH($B255,$B$206:$B$229,FALSE))=0,NA(),INDEX(BW$14:BW$37,MATCH($B255,$B$14:$B$37,FALSE))/INDEX($F$206:$F$229,MATCH($B255,$B$206:$B$229,FALSE))),NA()),NA())</f>
        <v>#N/A</v>
      </c>
      <c r="BY255" s="65" t="e">
        <f>IF(BX63=1,IF(BX$13&lt;=COUNT($C35:$CS35),IF(INDEX($F$206:$F$229,MATCH($B255,$B$206:$B$229,FALSE))=0,NA(),INDEX(BX$14:BX$37,MATCH($B255,$B$14:$B$37,FALSE))/INDEX($F$206:$F$229,MATCH($B255,$B$206:$B$229,FALSE))),NA()),NA())</f>
        <v>#N/A</v>
      </c>
      <c r="BZ255" s="65" t="e">
        <f>IF(BY63=1,IF(BY$13&lt;=COUNT($C35:$CS35),IF(INDEX($F$206:$F$229,MATCH($B255,$B$206:$B$229,FALSE))=0,NA(),INDEX(BY$14:BY$37,MATCH($B255,$B$14:$B$37,FALSE))/INDEX($F$206:$F$229,MATCH($B255,$B$206:$B$229,FALSE))),NA()),NA())</f>
        <v>#N/A</v>
      </c>
      <c r="CA255" s="65" t="e">
        <f>IF(BZ63=1,IF(BZ$13&lt;=COUNT($C35:$CS35),IF(INDEX($F$206:$F$229,MATCH($B255,$B$206:$B$229,FALSE))=0,NA(),INDEX(BZ$14:BZ$37,MATCH($B255,$B$14:$B$37,FALSE))/INDEX($F$206:$F$229,MATCH($B255,$B$206:$B$229,FALSE))),NA()),NA())</f>
        <v>#N/A</v>
      </c>
      <c r="CB255" s="65" t="e">
        <f>IF(CA63=1,IF(CA$13&lt;=COUNT($C35:$CS35),IF(INDEX($F$206:$F$229,MATCH($B255,$B$206:$B$229,FALSE))=0,NA(),INDEX(CA$14:CA$37,MATCH($B255,$B$14:$B$37,FALSE))/INDEX($F$206:$F$229,MATCH($B255,$B$206:$B$229,FALSE))),NA()),NA())</f>
        <v>#N/A</v>
      </c>
      <c r="CC255" s="65" t="e">
        <f>IF(CB63=1,IF(CB$13&lt;=COUNT($C35:$CS35),IF(INDEX($F$206:$F$229,MATCH($B255,$B$206:$B$229,FALSE))=0,NA(),INDEX(CB$14:CB$37,MATCH($B255,$B$14:$B$37,FALSE))/INDEX($F$206:$F$229,MATCH($B255,$B$206:$B$229,FALSE))),NA()),NA())</f>
        <v>#N/A</v>
      </c>
      <c r="CD255" s="65" t="e">
        <f>IF(CC63=1,IF(CC$13&lt;=COUNT($C35:$CS35),IF(INDEX($F$206:$F$229,MATCH($B255,$B$206:$B$229,FALSE))=0,NA(),INDEX(CC$14:CC$37,MATCH($B255,$B$14:$B$37,FALSE))/INDEX($F$206:$F$229,MATCH($B255,$B$206:$B$229,FALSE))),NA()),NA())</f>
        <v>#N/A</v>
      </c>
      <c r="CE255" s="65" t="e">
        <f>IF(CD63=1,IF(CD$13&lt;=COUNT($C35:$CS35),IF(INDEX($F$206:$F$229,MATCH($B255,$B$206:$B$229,FALSE))=0,NA(),INDEX(CD$14:CD$37,MATCH($B255,$B$14:$B$37,FALSE))/INDEX($F$206:$F$229,MATCH($B255,$B$206:$B$229,FALSE))),NA()),NA())</f>
        <v>#N/A</v>
      </c>
      <c r="CF255" s="65" t="e">
        <f>IF(CE63=1,IF(CE$13&lt;=COUNT($C35:$CS35),IF(INDEX($F$206:$F$229,MATCH($B255,$B$206:$B$229,FALSE))=0,NA(),INDEX(CE$14:CE$37,MATCH($B255,$B$14:$B$37,FALSE))/INDEX($F$206:$F$229,MATCH($B255,$B$206:$B$229,FALSE))),NA()),NA())</f>
        <v>#N/A</v>
      </c>
      <c r="CG255" s="65" t="e">
        <f>IF(CF63=1,IF(CF$13&lt;=COUNT($C35:$CS35),IF(INDEX($F$206:$F$229,MATCH($B255,$B$206:$B$229,FALSE))=0,NA(),INDEX(CF$14:CF$37,MATCH($B255,$B$14:$B$37,FALSE))/INDEX($F$206:$F$229,MATCH($B255,$B$206:$B$229,FALSE))),NA()),NA())</f>
        <v>#N/A</v>
      </c>
      <c r="CH255" s="65" t="e">
        <f>IF(CG63=1,IF(CG$13&lt;=COUNT($C35:$CS35),IF(INDEX($F$206:$F$229,MATCH($B255,$B$206:$B$229,FALSE))=0,NA(),INDEX(CG$14:CG$37,MATCH($B255,$B$14:$B$37,FALSE))/INDEX($F$206:$F$229,MATCH($B255,$B$206:$B$229,FALSE))),NA()),NA())</f>
        <v>#N/A</v>
      </c>
      <c r="CI255" s="65" t="e">
        <f>IF(CH63=1,IF(CH$13&lt;=COUNT($C35:$CS35),IF(INDEX($F$206:$F$229,MATCH($B255,$B$206:$B$229,FALSE))=0,NA(),INDEX(CH$14:CH$37,MATCH($B255,$B$14:$B$37,FALSE))/INDEX($F$206:$F$229,MATCH($B255,$B$206:$B$229,FALSE))),NA()),NA())</f>
        <v>#N/A</v>
      </c>
      <c r="CJ255" s="65" t="e">
        <f>IF(CI63=1,IF(CI$13&lt;=COUNT($C35:$CS35),IF(INDEX($F$206:$F$229,MATCH($B255,$B$206:$B$229,FALSE))=0,NA(),INDEX(CI$14:CI$37,MATCH($B255,$B$14:$B$37,FALSE))/INDEX($F$206:$F$229,MATCH($B255,$B$206:$B$229,FALSE))),NA()),NA())</f>
        <v>#N/A</v>
      </c>
      <c r="CK255" s="65" t="e">
        <f>IF(CJ63=1,IF(CJ$13&lt;=COUNT($C35:$CS35),IF(INDEX($F$206:$F$229,MATCH($B255,$B$206:$B$229,FALSE))=0,NA(),INDEX(CJ$14:CJ$37,MATCH($B255,$B$14:$B$37,FALSE))/INDEX($F$206:$F$229,MATCH($B255,$B$206:$B$229,FALSE))),NA()),NA())</f>
        <v>#N/A</v>
      </c>
      <c r="CL255" s="65" t="e">
        <f>IF(CK63=1,IF(CK$13&lt;=COUNT($C35:$CS35),IF(INDEX($F$206:$F$229,MATCH($B255,$B$206:$B$229,FALSE))=0,NA(),INDEX(CK$14:CK$37,MATCH($B255,$B$14:$B$37,FALSE))/INDEX($F$206:$F$229,MATCH($B255,$B$206:$B$229,FALSE))),NA()),NA())</f>
        <v>#N/A</v>
      </c>
      <c r="CM255" s="65" t="e">
        <f>IF(CL63=1,IF(CL$13&lt;=COUNT($C35:$CS35),IF(INDEX($F$206:$F$229,MATCH($B255,$B$206:$B$229,FALSE))=0,NA(),INDEX(CL$14:CL$37,MATCH($B255,$B$14:$B$37,FALSE))/INDEX($F$206:$F$229,MATCH($B255,$B$206:$B$229,FALSE))),NA()),NA())</f>
        <v>#N/A</v>
      </c>
      <c r="CN255" s="65" t="e">
        <f>IF(CM63=1,IF(CM$13&lt;=COUNT($C35:$CS35),IF(INDEX($F$206:$F$229,MATCH($B255,$B$206:$B$229,FALSE))=0,NA(),INDEX(CM$14:CM$37,MATCH($B255,$B$14:$B$37,FALSE))/INDEX($F$206:$F$229,MATCH($B255,$B$206:$B$229,FALSE))),NA()),NA())</f>
        <v>#N/A</v>
      </c>
      <c r="CO255" s="65" t="e">
        <f>IF(CN63=1,IF(CN$13&lt;=COUNT($C35:$CS35),IF(INDEX($F$206:$F$229,MATCH($B255,$B$206:$B$229,FALSE))=0,NA(),INDEX(CN$14:CN$37,MATCH($B255,$B$14:$B$37,FALSE))/INDEX($F$206:$F$229,MATCH($B255,$B$206:$B$229,FALSE))),NA()),NA())</f>
        <v>#N/A</v>
      </c>
      <c r="CP255" s="65" t="e">
        <f>IF(CO63=1,IF(CO$13&lt;=COUNT($C35:$CS35),IF(INDEX($F$206:$F$229,MATCH($B255,$B$206:$B$229,FALSE))=0,NA(),INDEX(CO$14:CO$37,MATCH($B255,$B$14:$B$37,FALSE))/INDEX($F$206:$F$229,MATCH($B255,$B$206:$B$229,FALSE))),NA()),NA())</f>
        <v>#N/A</v>
      </c>
      <c r="CQ255" s="65" t="e">
        <f>IF(CP63=1,IF(CP$13&lt;=COUNT($C35:$CS35),IF(INDEX($F$206:$F$229,MATCH($B255,$B$206:$B$229,FALSE))=0,NA(),INDEX(CP$14:CP$37,MATCH($B255,$B$14:$B$37,FALSE))/INDEX($F$206:$F$229,MATCH($B255,$B$206:$B$229,FALSE))),NA()),NA())</f>
        <v>#N/A</v>
      </c>
      <c r="CR255" s="65" t="e">
        <f>IF(CQ63=1,IF(CQ$13&lt;=COUNT($C35:$CS35),IF(INDEX($F$206:$F$229,MATCH($B255,$B$206:$B$229,FALSE))=0,NA(),INDEX(CQ$14:CQ$37,MATCH($B255,$B$14:$B$37,FALSE))/INDEX($F$206:$F$229,MATCH($B255,$B$206:$B$229,FALSE))),NA()),NA())</f>
        <v>#N/A</v>
      </c>
      <c r="CS255" s="65" t="e">
        <f>IF(CR63=1,IF(CR$13&lt;=COUNT($C35:$CS35),IF(INDEX($F$206:$F$229,MATCH($B255,$B$206:$B$229,FALSE))=0,NA(),INDEX(CR$14:CR$37,MATCH($B255,$B$14:$B$37,FALSE))/INDEX($F$206:$F$229,MATCH($B255,$B$206:$B$229,FALSE))),NA()),NA())</f>
        <v>#N/A</v>
      </c>
      <c r="CT255" s="49"/>
      <c r="CU255" s="49"/>
      <c r="CV255" s="49"/>
      <c r="CW255" s="49"/>
    </row>
    <row r="256" spans="1:101" x14ac:dyDescent="0.25">
      <c r="A256" s="97">
        <f t="shared" si="105"/>
        <v>1</v>
      </c>
      <c r="B256" s="29">
        <v>2018</v>
      </c>
      <c r="C256" s="154" t="str">
        <f t="shared" si="106"/>
        <v/>
      </c>
      <c r="D256" s="54">
        <f t="shared" ca="1" si="109"/>
        <v>1.5647448724643089</v>
      </c>
      <c r="E256" s="65">
        <f t="shared" ca="1" si="109"/>
        <v>0.89861382713277738</v>
      </c>
      <c r="F256" s="65" t="e">
        <f>IF(E64=1,IF(E$13&lt;=COUNT($C36:$CS36),IF(INDEX($F$206:$F$229,MATCH($B256,$B$206:$B$229,FALSE))=0,NA(),INDEX(E$14:E$37,MATCH($B256,$B$14:$B$37,FALSE))/INDEX($F$206:$F$229,MATCH($B256,$B$206:$B$229,FALSE))),NA()),NA())</f>
        <v>#N/A</v>
      </c>
      <c r="G256" s="65" t="e">
        <f>IF(F64=1,IF(F$13&lt;=COUNT($C36:$CS36),IF(INDEX($F$206:$F$229,MATCH($B256,$B$206:$B$229,FALSE))=0,NA(),INDEX(F$14:F$37,MATCH($B256,$B$14:$B$37,FALSE))/INDEX($F$206:$F$229,MATCH($B256,$B$206:$B$229,FALSE))),NA()),NA())</f>
        <v>#N/A</v>
      </c>
      <c r="H256" s="65" t="e">
        <f>IF(G64=1,IF(G$13&lt;=COUNT($C36:$CS36),IF(INDEX($F$206:$F$229,MATCH($B256,$B$206:$B$229,FALSE))=0,NA(),INDEX(G$14:G$37,MATCH($B256,$B$14:$B$37,FALSE))/INDEX($F$206:$F$229,MATCH($B256,$B$206:$B$229,FALSE))),NA()),NA())</f>
        <v>#N/A</v>
      </c>
      <c r="I256" s="65" t="e">
        <f>IF(H64=1,IF(H$13&lt;=COUNT($C36:$CS36),IF(INDEX($F$206:$F$229,MATCH($B256,$B$206:$B$229,FALSE))=0,NA(),INDEX(H$14:H$37,MATCH($B256,$B$14:$B$37,FALSE))/INDEX($F$206:$F$229,MATCH($B256,$B$206:$B$229,FALSE))),NA()),NA())</f>
        <v>#N/A</v>
      </c>
      <c r="J256" s="65" t="e">
        <f>IF(I64=1,IF(I$13&lt;=COUNT($C36:$CS36),IF(INDEX($F$206:$F$229,MATCH($B256,$B$206:$B$229,FALSE))=0,NA(),INDEX(I$14:I$37,MATCH($B256,$B$14:$B$37,FALSE))/INDEX($F$206:$F$229,MATCH($B256,$B$206:$B$229,FALSE))),NA()),NA())</f>
        <v>#N/A</v>
      </c>
      <c r="K256" s="65" t="e">
        <f>IF(J64=1,IF(J$13&lt;=COUNT($C36:$CS36),IF(INDEX($F$206:$F$229,MATCH($B256,$B$206:$B$229,FALSE))=0,NA(),INDEX(J$14:J$37,MATCH($B256,$B$14:$B$37,FALSE))/INDEX($F$206:$F$229,MATCH($B256,$B$206:$B$229,FALSE))),NA()),NA())</f>
        <v>#N/A</v>
      </c>
      <c r="L256" s="65" t="e">
        <f>IF(K64=1,IF(K$13&lt;=COUNT($C36:$CS36),IF(INDEX($F$206:$F$229,MATCH($B256,$B$206:$B$229,FALSE))=0,NA(),INDEX(K$14:K$37,MATCH($B256,$B$14:$B$37,FALSE))/INDEX($F$206:$F$229,MATCH($B256,$B$206:$B$229,FALSE))),NA()),NA())</f>
        <v>#N/A</v>
      </c>
      <c r="M256" s="65" t="e">
        <f>IF(L64=1,IF(L$13&lt;=COUNT($C36:$CS36),IF(INDEX($F$206:$F$229,MATCH($B256,$B$206:$B$229,FALSE))=0,NA(),INDEX(L$14:L$37,MATCH($B256,$B$14:$B$37,FALSE))/INDEX($F$206:$F$229,MATCH($B256,$B$206:$B$229,FALSE))),NA()),NA())</f>
        <v>#N/A</v>
      </c>
      <c r="N256" s="65" t="e">
        <f>IF(M64=1,IF(M$13&lt;=COUNT($C36:$CS36),IF(INDEX($F$206:$F$229,MATCH($B256,$B$206:$B$229,FALSE))=0,NA(),INDEX(M$14:M$37,MATCH($B256,$B$14:$B$37,FALSE))/INDEX($F$206:$F$229,MATCH($B256,$B$206:$B$229,FALSE))),NA()),NA())</f>
        <v>#N/A</v>
      </c>
      <c r="O256" s="65" t="e">
        <f>IF(N64=1,IF(N$13&lt;=COUNT($C36:$CS36),IF(INDEX($F$206:$F$229,MATCH($B256,$B$206:$B$229,FALSE))=0,NA(),INDEX(N$14:N$37,MATCH($B256,$B$14:$B$37,FALSE))/INDEX($F$206:$F$229,MATCH($B256,$B$206:$B$229,FALSE))),NA()),NA())</f>
        <v>#N/A</v>
      </c>
      <c r="P256" s="65" t="e">
        <f>IF(O64=1,IF(O$13&lt;=COUNT($C36:$CS36),IF(INDEX($F$206:$F$229,MATCH($B256,$B$206:$B$229,FALSE))=0,NA(),INDEX(O$14:O$37,MATCH($B256,$B$14:$B$37,FALSE))/INDEX($F$206:$F$229,MATCH($B256,$B$206:$B$229,FALSE))),NA()),NA())</f>
        <v>#N/A</v>
      </c>
      <c r="Q256" s="65" t="e">
        <f>IF(P64=1,IF(P$13&lt;=COUNT($C36:$CS36),IF(INDEX($F$206:$F$229,MATCH($B256,$B$206:$B$229,FALSE))=0,NA(),INDEX(P$14:P$37,MATCH($B256,$B$14:$B$37,FALSE))/INDEX($F$206:$F$229,MATCH($B256,$B$206:$B$229,FALSE))),NA()),NA())</f>
        <v>#N/A</v>
      </c>
      <c r="R256" s="65" t="e">
        <f>IF(Q64=1,IF(Q$13&lt;=COUNT($C36:$CS36),IF(INDEX($F$206:$F$229,MATCH($B256,$B$206:$B$229,FALSE))=0,NA(),INDEX(Q$14:Q$37,MATCH($B256,$B$14:$B$37,FALSE))/INDEX($F$206:$F$229,MATCH($B256,$B$206:$B$229,FALSE))),NA()),NA())</f>
        <v>#N/A</v>
      </c>
      <c r="S256" s="65" t="e">
        <f>IF(R64=1,IF(R$13&lt;=COUNT($C36:$CS36),IF(INDEX($F$206:$F$229,MATCH($B256,$B$206:$B$229,FALSE))=0,NA(),INDEX(R$14:R$37,MATCH($B256,$B$14:$B$37,FALSE))/INDEX($F$206:$F$229,MATCH($B256,$B$206:$B$229,FALSE))),NA()),NA())</f>
        <v>#N/A</v>
      </c>
      <c r="T256" s="65" t="e">
        <f>IF(S64=1,IF(S$13&lt;=COUNT($C36:$CS36),IF(INDEX($F$206:$F$229,MATCH($B256,$B$206:$B$229,FALSE))=0,NA(),INDEX(S$14:S$37,MATCH($B256,$B$14:$B$37,FALSE))/INDEX($F$206:$F$229,MATCH($B256,$B$206:$B$229,FALSE))),NA()),NA())</f>
        <v>#N/A</v>
      </c>
      <c r="U256" s="65" t="e">
        <f>IF(T64=1,IF(T$13&lt;=COUNT($C36:$CS36),IF(INDEX($F$206:$F$229,MATCH($B256,$B$206:$B$229,FALSE))=0,NA(),INDEX(T$14:T$37,MATCH($B256,$B$14:$B$37,FALSE))/INDEX($F$206:$F$229,MATCH($B256,$B$206:$B$229,FALSE))),NA()),NA())</f>
        <v>#N/A</v>
      </c>
      <c r="V256" s="65" t="e">
        <f>IF(U64=1,IF(U$13&lt;=COUNT($C36:$CS36),IF(INDEX($F$206:$F$229,MATCH($B256,$B$206:$B$229,FALSE))=0,NA(),INDEX(U$14:U$37,MATCH($B256,$B$14:$B$37,FALSE))/INDEX($F$206:$F$229,MATCH($B256,$B$206:$B$229,FALSE))),NA()),NA())</f>
        <v>#N/A</v>
      </c>
      <c r="W256" s="65" t="e">
        <f>IF(V64=1,IF(V$13&lt;=COUNT($C36:$CS36),IF(INDEX($F$206:$F$229,MATCH($B256,$B$206:$B$229,FALSE))=0,NA(),INDEX(V$14:V$37,MATCH($B256,$B$14:$B$37,FALSE))/INDEX($F$206:$F$229,MATCH($B256,$B$206:$B$229,FALSE))),NA()),NA())</f>
        <v>#N/A</v>
      </c>
      <c r="X256" s="65" t="e">
        <f>IF(W64=1,IF(W$13&lt;=COUNT($C36:$CS36),IF(INDEX($F$206:$F$229,MATCH($B256,$B$206:$B$229,FALSE))=0,NA(),INDEX(W$14:W$37,MATCH($B256,$B$14:$B$37,FALSE))/INDEX($F$206:$F$229,MATCH($B256,$B$206:$B$229,FALSE))),NA()),NA())</f>
        <v>#N/A</v>
      </c>
      <c r="Y256" s="65" t="e">
        <f>IF(X64=1,IF(X$13&lt;=COUNT($C36:$CS36),IF(INDEX($F$206:$F$229,MATCH($B256,$B$206:$B$229,FALSE))=0,NA(),INDEX(X$14:X$37,MATCH($B256,$B$14:$B$37,FALSE))/INDEX($F$206:$F$229,MATCH($B256,$B$206:$B$229,FALSE))),NA()),NA())</f>
        <v>#N/A</v>
      </c>
      <c r="Z256" s="65" t="e">
        <f>IF(Y64=1,IF(Y$13&lt;=COUNT($C36:$CS36),IF(INDEX($F$206:$F$229,MATCH($B256,$B$206:$B$229,FALSE))=0,NA(),INDEX(Y$14:Y$37,MATCH($B256,$B$14:$B$37,FALSE))/INDEX($F$206:$F$229,MATCH($B256,$B$206:$B$229,FALSE))),NA()),NA())</f>
        <v>#N/A</v>
      </c>
      <c r="AA256" s="65" t="e">
        <f>IF(Z64=1,IF(Z$13&lt;=COUNT($C36:$CS36),IF(INDEX($F$206:$F$229,MATCH($B256,$B$206:$B$229,FALSE))=0,NA(),INDEX(Z$14:Z$37,MATCH($B256,$B$14:$B$37,FALSE))/INDEX($F$206:$F$229,MATCH($B256,$B$206:$B$229,FALSE))),NA()),NA())</f>
        <v>#N/A</v>
      </c>
      <c r="AB256" s="65" t="e">
        <f>IF(AA64=1,IF(AA$13&lt;=COUNT($C36:$CS36),IF(INDEX($F$206:$F$229,MATCH($B256,$B$206:$B$229,FALSE))=0,NA(),INDEX(AA$14:AA$37,MATCH($B256,$B$14:$B$37,FALSE))/INDEX($F$206:$F$229,MATCH($B256,$B$206:$B$229,FALSE))),NA()),NA())</f>
        <v>#N/A</v>
      </c>
      <c r="AC256" s="65" t="e">
        <f>IF(AB64=1,IF(AB$13&lt;=COUNT($C36:$CS36),IF(INDEX($F$206:$F$229,MATCH($B256,$B$206:$B$229,FALSE))=0,NA(),INDEX(AB$14:AB$37,MATCH($B256,$B$14:$B$37,FALSE))/INDEX($F$206:$F$229,MATCH($B256,$B$206:$B$229,FALSE))),NA()),NA())</f>
        <v>#N/A</v>
      </c>
      <c r="AD256" s="65" t="e">
        <f>IF(AC64=1,IF(AC$13&lt;=COUNT($C36:$CS36),IF(INDEX($F$206:$F$229,MATCH($B256,$B$206:$B$229,FALSE))=0,NA(),INDEX(AC$14:AC$37,MATCH($B256,$B$14:$B$37,FALSE))/INDEX($F$206:$F$229,MATCH($B256,$B$206:$B$229,FALSE))),NA()),NA())</f>
        <v>#N/A</v>
      </c>
      <c r="AE256" s="65" t="e">
        <f>IF(AD64=1,IF(AD$13&lt;=COUNT($C36:$CS36),IF(INDEX($F$206:$F$229,MATCH($B256,$B$206:$B$229,FALSE))=0,NA(),INDEX(AD$14:AD$37,MATCH($B256,$B$14:$B$37,FALSE))/INDEX($F$206:$F$229,MATCH($B256,$B$206:$B$229,FALSE))),NA()),NA())</f>
        <v>#N/A</v>
      </c>
      <c r="AF256" s="65" t="e">
        <f>IF(AE64=1,IF(AE$13&lt;=COUNT($C36:$CS36),IF(INDEX($F$206:$F$229,MATCH($B256,$B$206:$B$229,FALSE))=0,NA(),INDEX(AE$14:AE$37,MATCH($B256,$B$14:$B$37,FALSE))/INDEX($F$206:$F$229,MATCH($B256,$B$206:$B$229,FALSE))),NA()),NA())</f>
        <v>#N/A</v>
      </c>
      <c r="AG256" s="65" t="e">
        <f>IF(AF64=1,IF(AF$13&lt;=COUNT($C36:$CS36),IF(INDEX($F$206:$F$229,MATCH($B256,$B$206:$B$229,FALSE))=0,NA(),INDEX(AF$14:AF$37,MATCH($B256,$B$14:$B$37,FALSE))/INDEX($F$206:$F$229,MATCH($B256,$B$206:$B$229,FALSE))),NA()),NA())</f>
        <v>#N/A</v>
      </c>
      <c r="AH256" s="65" t="e">
        <f>IF(AG64=1,IF(AG$13&lt;=COUNT($C36:$CS36),IF(INDEX($F$206:$F$229,MATCH($B256,$B$206:$B$229,FALSE))=0,NA(),INDEX(AG$14:AG$37,MATCH($B256,$B$14:$B$37,FALSE))/INDEX($F$206:$F$229,MATCH($B256,$B$206:$B$229,FALSE))),NA()),NA())</f>
        <v>#N/A</v>
      </c>
      <c r="AI256" s="65" t="e">
        <f>IF(AH64=1,IF(AH$13&lt;=COUNT($C36:$CS36),IF(INDEX($F$206:$F$229,MATCH($B256,$B$206:$B$229,FALSE))=0,NA(),INDEX(AH$14:AH$37,MATCH($B256,$B$14:$B$37,FALSE))/INDEX($F$206:$F$229,MATCH($B256,$B$206:$B$229,FALSE))),NA()),NA())</f>
        <v>#N/A</v>
      </c>
      <c r="AJ256" s="65" t="e">
        <f>IF(AI64=1,IF(AI$13&lt;=COUNT($C36:$CS36),IF(INDEX($F$206:$F$229,MATCH($B256,$B$206:$B$229,FALSE))=0,NA(),INDEX(AI$14:AI$37,MATCH($B256,$B$14:$B$37,FALSE))/INDEX($F$206:$F$229,MATCH($B256,$B$206:$B$229,FALSE))),NA()),NA())</f>
        <v>#N/A</v>
      </c>
      <c r="AK256" s="65" t="e">
        <f>IF(AJ64=1,IF(AJ$13&lt;=COUNT($C36:$CS36),IF(INDEX($F$206:$F$229,MATCH($B256,$B$206:$B$229,FALSE))=0,NA(),INDEX(AJ$14:AJ$37,MATCH($B256,$B$14:$B$37,FALSE))/INDEX($F$206:$F$229,MATCH($B256,$B$206:$B$229,FALSE))),NA()),NA())</f>
        <v>#N/A</v>
      </c>
      <c r="AL256" s="65" t="e">
        <f>IF(AK64=1,IF(AK$13&lt;=COUNT($C36:$CS36),IF(INDEX($F$206:$F$229,MATCH($B256,$B$206:$B$229,FALSE))=0,NA(),INDEX(AK$14:AK$37,MATCH($B256,$B$14:$B$37,FALSE))/INDEX($F$206:$F$229,MATCH($B256,$B$206:$B$229,FALSE))),NA()),NA())</f>
        <v>#N/A</v>
      </c>
      <c r="AM256" s="65" t="e">
        <f>IF(AL64=1,IF(AL$13&lt;=COUNT($C36:$CS36),IF(INDEX($F$206:$F$229,MATCH($B256,$B$206:$B$229,FALSE))=0,NA(),INDEX(AL$14:AL$37,MATCH($B256,$B$14:$B$37,FALSE))/INDEX($F$206:$F$229,MATCH($B256,$B$206:$B$229,FALSE))),NA()),NA())</f>
        <v>#N/A</v>
      </c>
      <c r="AN256" s="65" t="e">
        <f>IF(AM64=1,IF(AM$13&lt;=COUNT($C36:$CS36),IF(INDEX($F$206:$F$229,MATCH($B256,$B$206:$B$229,FALSE))=0,NA(),INDEX(AM$14:AM$37,MATCH($B256,$B$14:$B$37,FALSE))/INDEX($F$206:$F$229,MATCH($B256,$B$206:$B$229,FALSE))),NA()),NA())</f>
        <v>#N/A</v>
      </c>
      <c r="AO256" s="65" t="e">
        <f>IF(AN64=1,IF(AN$13&lt;=COUNT($C36:$CS36),IF(INDEX($F$206:$F$229,MATCH($B256,$B$206:$B$229,FALSE))=0,NA(),INDEX(AN$14:AN$37,MATCH($B256,$B$14:$B$37,FALSE))/INDEX($F$206:$F$229,MATCH($B256,$B$206:$B$229,FALSE))),NA()),NA())</f>
        <v>#N/A</v>
      </c>
      <c r="AP256" s="65" t="e">
        <f>IF(AO64=1,IF(AO$13&lt;=COUNT($C36:$CS36),IF(INDEX($F$206:$F$229,MATCH($B256,$B$206:$B$229,FALSE))=0,NA(),INDEX(AO$14:AO$37,MATCH($B256,$B$14:$B$37,FALSE))/INDEX($F$206:$F$229,MATCH($B256,$B$206:$B$229,FALSE))),NA()),NA())</f>
        <v>#N/A</v>
      </c>
      <c r="AQ256" s="65" t="e">
        <f>IF(AP64=1,IF(AP$13&lt;=COUNT($C36:$CS36),IF(INDEX($F$206:$F$229,MATCH($B256,$B$206:$B$229,FALSE))=0,NA(),INDEX(AP$14:AP$37,MATCH($B256,$B$14:$B$37,FALSE))/INDEX($F$206:$F$229,MATCH($B256,$B$206:$B$229,FALSE))),NA()),NA())</f>
        <v>#N/A</v>
      </c>
      <c r="AR256" s="65" t="e">
        <f>IF(AQ64=1,IF(AQ$13&lt;=COUNT($C36:$CS36),IF(INDEX($F$206:$F$229,MATCH($B256,$B$206:$B$229,FALSE))=0,NA(),INDEX(AQ$14:AQ$37,MATCH($B256,$B$14:$B$37,FALSE))/INDEX($F$206:$F$229,MATCH($B256,$B$206:$B$229,FALSE))),NA()),NA())</f>
        <v>#N/A</v>
      </c>
      <c r="AS256" s="65" t="e">
        <f>IF(AR64=1,IF(AR$13&lt;=COUNT($C36:$CS36),IF(INDEX($F$206:$F$229,MATCH($B256,$B$206:$B$229,FALSE))=0,NA(),INDEX(AR$14:AR$37,MATCH($B256,$B$14:$B$37,FALSE))/INDEX($F$206:$F$229,MATCH($B256,$B$206:$B$229,FALSE))),NA()),NA())</f>
        <v>#N/A</v>
      </c>
      <c r="AT256" s="65" t="e">
        <f>IF(AS64=1,IF(AS$13&lt;=COUNT($C36:$CS36),IF(INDEX($F$206:$F$229,MATCH($B256,$B$206:$B$229,FALSE))=0,NA(),INDEX(AS$14:AS$37,MATCH($B256,$B$14:$B$37,FALSE))/INDEX($F$206:$F$229,MATCH($B256,$B$206:$B$229,FALSE))),NA()),NA())</f>
        <v>#N/A</v>
      </c>
      <c r="AU256" s="65" t="e">
        <f>IF(AT64=1,IF(AT$13&lt;=COUNT($C36:$CS36),IF(INDEX($F$206:$F$229,MATCH($B256,$B$206:$B$229,FALSE))=0,NA(),INDEX(AT$14:AT$37,MATCH($B256,$B$14:$B$37,FALSE))/INDEX($F$206:$F$229,MATCH($B256,$B$206:$B$229,FALSE))),NA()),NA())</f>
        <v>#N/A</v>
      </c>
      <c r="AV256" s="65" t="e">
        <f>IF(AU64=1,IF(AU$13&lt;=COUNT($C36:$CS36),IF(INDEX($F$206:$F$229,MATCH($B256,$B$206:$B$229,FALSE))=0,NA(),INDEX(AU$14:AU$37,MATCH($B256,$B$14:$B$37,FALSE))/INDEX($F$206:$F$229,MATCH($B256,$B$206:$B$229,FALSE))),NA()),NA())</f>
        <v>#N/A</v>
      </c>
      <c r="AW256" s="65" t="e">
        <f>IF(AV64=1,IF(AV$13&lt;=COUNT($C36:$CS36),IF(INDEX($F$206:$F$229,MATCH($B256,$B$206:$B$229,FALSE))=0,NA(),INDEX(AV$14:AV$37,MATCH($B256,$B$14:$B$37,FALSE))/INDEX($F$206:$F$229,MATCH($B256,$B$206:$B$229,FALSE))),NA()),NA())</f>
        <v>#N/A</v>
      </c>
      <c r="AX256" s="65" t="e">
        <f>IF(AW64=1,IF(AW$13&lt;=COUNT($C36:$CS36),IF(INDEX($F$206:$F$229,MATCH($B256,$B$206:$B$229,FALSE))=0,NA(),INDEX(AW$14:AW$37,MATCH($B256,$B$14:$B$37,FALSE))/INDEX($F$206:$F$229,MATCH($B256,$B$206:$B$229,FALSE))),NA()),NA())</f>
        <v>#N/A</v>
      </c>
      <c r="AY256" s="65" t="e">
        <f>IF(AX64=1,IF(AX$13&lt;=COUNT($C36:$CS36),IF(INDEX($F$206:$F$229,MATCH($B256,$B$206:$B$229,FALSE))=0,NA(),INDEX(AX$14:AX$37,MATCH($B256,$B$14:$B$37,FALSE))/INDEX($F$206:$F$229,MATCH($B256,$B$206:$B$229,FALSE))),NA()),NA())</f>
        <v>#N/A</v>
      </c>
      <c r="AZ256" s="65" t="e">
        <f>IF(AY64=1,IF(AY$13&lt;=COUNT($C36:$CS36),IF(INDEX($F$206:$F$229,MATCH($B256,$B$206:$B$229,FALSE))=0,NA(),INDEX(AY$14:AY$37,MATCH($B256,$B$14:$B$37,FALSE))/INDEX($F$206:$F$229,MATCH($B256,$B$206:$B$229,FALSE))),NA()),NA())</f>
        <v>#N/A</v>
      </c>
      <c r="BA256" s="65" t="e">
        <f>IF(AZ64=1,IF(AZ$13&lt;=COUNT($C36:$CS36),IF(INDEX($F$206:$F$229,MATCH($B256,$B$206:$B$229,FALSE))=0,NA(),INDEX(AZ$14:AZ$37,MATCH($B256,$B$14:$B$37,FALSE))/INDEX($F$206:$F$229,MATCH($B256,$B$206:$B$229,FALSE))),NA()),NA())</f>
        <v>#N/A</v>
      </c>
      <c r="BB256" s="65" t="e">
        <f>IF(BA64=1,IF(BA$13&lt;=COUNT($C36:$CS36),IF(INDEX($F$206:$F$229,MATCH($B256,$B$206:$B$229,FALSE))=0,NA(),INDEX(BA$14:BA$37,MATCH($B256,$B$14:$B$37,FALSE))/INDEX($F$206:$F$229,MATCH($B256,$B$206:$B$229,FALSE))),NA()),NA())</f>
        <v>#N/A</v>
      </c>
      <c r="BC256" s="65" t="e">
        <f>IF(BB64=1,IF(BB$13&lt;=COUNT($C36:$CS36),IF(INDEX($F$206:$F$229,MATCH($B256,$B$206:$B$229,FALSE))=0,NA(),INDEX(BB$14:BB$37,MATCH($B256,$B$14:$B$37,FALSE))/INDEX($F$206:$F$229,MATCH($B256,$B$206:$B$229,FALSE))),NA()),NA())</f>
        <v>#N/A</v>
      </c>
      <c r="BD256" s="65" t="e">
        <f>IF(BC64=1,IF(BC$13&lt;=COUNT($C36:$CS36),IF(INDEX($F$206:$F$229,MATCH($B256,$B$206:$B$229,FALSE))=0,NA(),INDEX(BC$14:BC$37,MATCH($B256,$B$14:$B$37,FALSE))/INDEX($F$206:$F$229,MATCH($B256,$B$206:$B$229,FALSE))),NA()),NA())</f>
        <v>#N/A</v>
      </c>
      <c r="BE256" s="65" t="e">
        <f>IF(BD64=1,IF(BD$13&lt;=COUNT($C36:$CS36),IF(INDEX($F$206:$F$229,MATCH($B256,$B$206:$B$229,FALSE))=0,NA(),INDEX(BD$14:BD$37,MATCH($B256,$B$14:$B$37,FALSE))/INDEX($F$206:$F$229,MATCH($B256,$B$206:$B$229,FALSE))),NA()),NA())</f>
        <v>#N/A</v>
      </c>
      <c r="BF256" s="65" t="e">
        <f>IF(BE64=1,IF(BE$13&lt;=COUNT($C36:$CS36),IF(INDEX($F$206:$F$229,MATCH($B256,$B$206:$B$229,FALSE))=0,NA(),INDEX(BE$14:BE$37,MATCH($B256,$B$14:$B$37,FALSE))/INDEX($F$206:$F$229,MATCH($B256,$B$206:$B$229,FALSE))),NA()),NA())</f>
        <v>#N/A</v>
      </c>
      <c r="BG256" s="65" t="e">
        <f>IF(BF64=1,IF(BF$13&lt;=COUNT($C36:$CS36),IF(INDEX($F$206:$F$229,MATCH($B256,$B$206:$B$229,FALSE))=0,NA(),INDEX(BF$14:BF$37,MATCH($B256,$B$14:$B$37,FALSE))/INDEX($F$206:$F$229,MATCH($B256,$B$206:$B$229,FALSE))),NA()),NA())</f>
        <v>#N/A</v>
      </c>
      <c r="BH256" s="65" t="e">
        <f>IF(BG64=1,IF(BG$13&lt;=COUNT($C36:$CS36),IF(INDEX($F$206:$F$229,MATCH($B256,$B$206:$B$229,FALSE))=0,NA(),INDEX(BG$14:BG$37,MATCH($B256,$B$14:$B$37,FALSE))/INDEX($F$206:$F$229,MATCH($B256,$B$206:$B$229,FALSE))),NA()),NA())</f>
        <v>#N/A</v>
      </c>
      <c r="BI256" s="65" t="e">
        <f>IF(BH64=1,IF(BH$13&lt;=COUNT($C36:$CS36),IF(INDEX($F$206:$F$229,MATCH($B256,$B$206:$B$229,FALSE))=0,NA(),INDEX(BH$14:BH$37,MATCH($B256,$B$14:$B$37,FALSE))/INDEX($F$206:$F$229,MATCH($B256,$B$206:$B$229,FALSE))),NA()),NA())</f>
        <v>#N/A</v>
      </c>
      <c r="BJ256" s="65" t="e">
        <f>IF(BI64=1,IF(BI$13&lt;=COUNT($C36:$CS36),IF(INDEX($F$206:$F$229,MATCH($B256,$B$206:$B$229,FALSE))=0,NA(),INDEX(BI$14:BI$37,MATCH($B256,$B$14:$B$37,FALSE))/INDEX($F$206:$F$229,MATCH($B256,$B$206:$B$229,FALSE))),NA()),NA())</f>
        <v>#N/A</v>
      </c>
      <c r="BK256" s="65" t="e">
        <f>IF(BJ64=1,IF(BJ$13&lt;=COUNT($C36:$CS36),IF(INDEX($F$206:$F$229,MATCH($B256,$B$206:$B$229,FALSE))=0,NA(),INDEX(BJ$14:BJ$37,MATCH($B256,$B$14:$B$37,FALSE))/INDEX($F$206:$F$229,MATCH($B256,$B$206:$B$229,FALSE))),NA()),NA())</f>
        <v>#N/A</v>
      </c>
      <c r="BL256" s="65" t="e">
        <f>IF(BK64=1,IF(BK$13&lt;=COUNT($C36:$CS36),IF(INDEX($F$206:$F$229,MATCH($B256,$B$206:$B$229,FALSE))=0,NA(),INDEX(BK$14:BK$37,MATCH($B256,$B$14:$B$37,FALSE))/INDEX($F$206:$F$229,MATCH($B256,$B$206:$B$229,FALSE))),NA()),NA())</f>
        <v>#N/A</v>
      </c>
      <c r="BM256" s="65" t="e">
        <f>IF(BL64=1,IF(BL$13&lt;=COUNT($C36:$CS36),IF(INDEX($F$206:$F$229,MATCH($B256,$B$206:$B$229,FALSE))=0,NA(),INDEX(BL$14:BL$37,MATCH($B256,$B$14:$B$37,FALSE))/INDEX($F$206:$F$229,MATCH($B256,$B$206:$B$229,FALSE))),NA()),NA())</f>
        <v>#N/A</v>
      </c>
      <c r="BN256" s="65" t="e">
        <f>IF(BM64=1,IF(BM$13&lt;=COUNT($C36:$CS36),IF(INDEX($F$206:$F$229,MATCH($B256,$B$206:$B$229,FALSE))=0,NA(),INDEX(BM$14:BM$37,MATCH($B256,$B$14:$B$37,FALSE))/INDEX($F$206:$F$229,MATCH($B256,$B$206:$B$229,FALSE))),NA()),NA())</f>
        <v>#N/A</v>
      </c>
      <c r="BO256" s="65" t="e">
        <f>IF(BN64=1,IF(BN$13&lt;=COUNT($C36:$CS36),IF(INDEX($F$206:$F$229,MATCH($B256,$B$206:$B$229,FALSE))=0,NA(),INDEX(BN$14:BN$37,MATCH($B256,$B$14:$B$37,FALSE))/INDEX($F$206:$F$229,MATCH($B256,$B$206:$B$229,FALSE))),NA()),NA())</f>
        <v>#N/A</v>
      </c>
      <c r="BP256" s="65" t="e">
        <f>IF(BO64=1,IF(BO$13&lt;=COUNT($C36:$CS36),IF(INDEX($F$206:$F$229,MATCH($B256,$B$206:$B$229,FALSE))=0,NA(),INDEX(BO$14:BO$37,MATCH($B256,$B$14:$B$37,FALSE))/INDEX($F$206:$F$229,MATCH($B256,$B$206:$B$229,FALSE))),NA()),NA())</f>
        <v>#N/A</v>
      </c>
      <c r="BQ256" s="65" t="e">
        <f>IF(BP64=1,IF(BP$13&lt;=COUNT($C36:$CS36),IF(INDEX($F$206:$F$229,MATCH($B256,$B$206:$B$229,FALSE))=0,NA(),INDEX(BP$14:BP$37,MATCH($B256,$B$14:$B$37,FALSE))/INDEX($F$206:$F$229,MATCH($B256,$B$206:$B$229,FALSE))),NA()),NA())</f>
        <v>#N/A</v>
      </c>
      <c r="BR256" s="65" t="e">
        <f>IF(BQ64=1,IF(BQ$13&lt;=COUNT($C36:$CS36),IF(INDEX($F$206:$F$229,MATCH($B256,$B$206:$B$229,FALSE))=0,NA(),INDEX(BQ$14:BQ$37,MATCH($B256,$B$14:$B$37,FALSE))/INDEX($F$206:$F$229,MATCH($B256,$B$206:$B$229,FALSE))),NA()),NA())</f>
        <v>#N/A</v>
      </c>
      <c r="BS256" s="65" t="e">
        <f>IF(BR64=1,IF(BR$13&lt;=COUNT($C36:$CS36),IF(INDEX($F$206:$F$229,MATCH($B256,$B$206:$B$229,FALSE))=0,NA(),INDEX(BR$14:BR$37,MATCH($B256,$B$14:$B$37,FALSE))/INDEX($F$206:$F$229,MATCH($B256,$B$206:$B$229,FALSE))),NA()),NA())</f>
        <v>#N/A</v>
      </c>
      <c r="BT256" s="65" t="e">
        <f>IF(BS64=1,IF(BS$13&lt;=COUNT($C36:$CS36),IF(INDEX($F$206:$F$229,MATCH($B256,$B$206:$B$229,FALSE))=0,NA(),INDEX(BS$14:BS$37,MATCH($B256,$B$14:$B$37,FALSE))/INDEX($F$206:$F$229,MATCH($B256,$B$206:$B$229,FALSE))),NA()),NA())</f>
        <v>#N/A</v>
      </c>
      <c r="BU256" s="65" t="e">
        <f>IF(BT64=1,IF(BT$13&lt;=COUNT($C36:$CS36),IF(INDEX($F$206:$F$229,MATCH($B256,$B$206:$B$229,FALSE))=0,NA(),INDEX(BT$14:BT$37,MATCH($B256,$B$14:$B$37,FALSE))/INDEX($F$206:$F$229,MATCH($B256,$B$206:$B$229,FALSE))),NA()),NA())</f>
        <v>#N/A</v>
      </c>
      <c r="BV256" s="65" t="e">
        <f>IF(BU64=1,IF(BU$13&lt;=COUNT($C36:$CS36),IF(INDEX($F$206:$F$229,MATCH($B256,$B$206:$B$229,FALSE))=0,NA(),INDEX(BU$14:BU$37,MATCH($B256,$B$14:$B$37,FALSE))/INDEX($F$206:$F$229,MATCH($B256,$B$206:$B$229,FALSE))),NA()),NA())</f>
        <v>#N/A</v>
      </c>
      <c r="BW256" s="65" t="e">
        <f>IF(BV64=1,IF(BV$13&lt;=COUNT($C36:$CS36),IF(INDEX($F$206:$F$229,MATCH($B256,$B$206:$B$229,FALSE))=0,NA(),INDEX(BV$14:BV$37,MATCH($B256,$B$14:$B$37,FALSE))/INDEX($F$206:$F$229,MATCH($B256,$B$206:$B$229,FALSE))),NA()),NA())</f>
        <v>#N/A</v>
      </c>
      <c r="BX256" s="65" t="e">
        <f>IF(BW64=1,IF(BW$13&lt;=COUNT($C36:$CS36),IF(INDEX($F$206:$F$229,MATCH($B256,$B$206:$B$229,FALSE))=0,NA(),INDEX(BW$14:BW$37,MATCH($B256,$B$14:$B$37,FALSE))/INDEX($F$206:$F$229,MATCH($B256,$B$206:$B$229,FALSE))),NA()),NA())</f>
        <v>#N/A</v>
      </c>
      <c r="BY256" s="65" t="e">
        <f>IF(BX64=1,IF(BX$13&lt;=COUNT($C36:$CS36),IF(INDEX($F$206:$F$229,MATCH($B256,$B$206:$B$229,FALSE))=0,NA(),INDEX(BX$14:BX$37,MATCH($B256,$B$14:$B$37,FALSE))/INDEX($F$206:$F$229,MATCH($B256,$B$206:$B$229,FALSE))),NA()),NA())</f>
        <v>#N/A</v>
      </c>
      <c r="BZ256" s="65" t="e">
        <f>IF(BY64=1,IF(BY$13&lt;=COUNT($C36:$CS36),IF(INDEX($F$206:$F$229,MATCH($B256,$B$206:$B$229,FALSE))=0,NA(),INDEX(BY$14:BY$37,MATCH($B256,$B$14:$B$37,FALSE))/INDEX($F$206:$F$229,MATCH($B256,$B$206:$B$229,FALSE))),NA()),NA())</f>
        <v>#N/A</v>
      </c>
      <c r="CA256" s="65" t="e">
        <f>IF(BZ64=1,IF(BZ$13&lt;=COUNT($C36:$CS36),IF(INDEX($F$206:$F$229,MATCH($B256,$B$206:$B$229,FALSE))=0,NA(),INDEX(BZ$14:BZ$37,MATCH($B256,$B$14:$B$37,FALSE))/INDEX($F$206:$F$229,MATCH($B256,$B$206:$B$229,FALSE))),NA()),NA())</f>
        <v>#N/A</v>
      </c>
      <c r="CB256" s="65" t="e">
        <f>IF(CA64=1,IF(CA$13&lt;=COUNT($C36:$CS36),IF(INDEX($F$206:$F$229,MATCH($B256,$B$206:$B$229,FALSE))=0,NA(),INDEX(CA$14:CA$37,MATCH($B256,$B$14:$B$37,FALSE))/INDEX($F$206:$F$229,MATCH($B256,$B$206:$B$229,FALSE))),NA()),NA())</f>
        <v>#N/A</v>
      </c>
      <c r="CC256" s="65" t="e">
        <f>IF(CB64=1,IF(CB$13&lt;=COUNT($C36:$CS36),IF(INDEX($F$206:$F$229,MATCH($B256,$B$206:$B$229,FALSE))=0,NA(),INDEX(CB$14:CB$37,MATCH($B256,$B$14:$B$37,FALSE))/INDEX($F$206:$F$229,MATCH($B256,$B$206:$B$229,FALSE))),NA()),NA())</f>
        <v>#N/A</v>
      </c>
      <c r="CD256" s="65" t="e">
        <f>IF(CC64=1,IF(CC$13&lt;=COUNT($C36:$CS36),IF(INDEX($F$206:$F$229,MATCH($B256,$B$206:$B$229,FALSE))=0,NA(),INDEX(CC$14:CC$37,MATCH($B256,$B$14:$B$37,FALSE))/INDEX($F$206:$F$229,MATCH($B256,$B$206:$B$229,FALSE))),NA()),NA())</f>
        <v>#N/A</v>
      </c>
      <c r="CE256" s="65" t="e">
        <f>IF(CD64=1,IF(CD$13&lt;=COUNT($C36:$CS36),IF(INDEX($F$206:$F$229,MATCH($B256,$B$206:$B$229,FALSE))=0,NA(),INDEX(CD$14:CD$37,MATCH($B256,$B$14:$B$37,FALSE))/INDEX($F$206:$F$229,MATCH($B256,$B$206:$B$229,FALSE))),NA()),NA())</f>
        <v>#N/A</v>
      </c>
      <c r="CF256" s="65" t="e">
        <f>IF(CE64=1,IF(CE$13&lt;=COUNT($C36:$CS36),IF(INDEX($F$206:$F$229,MATCH($B256,$B$206:$B$229,FALSE))=0,NA(),INDEX(CE$14:CE$37,MATCH($B256,$B$14:$B$37,FALSE))/INDEX($F$206:$F$229,MATCH($B256,$B$206:$B$229,FALSE))),NA()),NA())</f>
        <v>#N/A</v>
      </c>
      <c r="CG256" s="65" t="e">
        <f>IF(CF64=1,IF(CF$13&lt;=COUNT($C36:$CS36),IF(INDEX($F$206:$F$229,MATCH($B256,$B$206:$B$229,FALSE))=0,NA(),INDEX(CF$14:CF$37,MATCH($B256,$B$14:$B$37,FALSE))/INDEX($F$206:$F$229,MATCH($B256,$B$206:$B$229,FALSE))),NA()),NA())</f>
        <v>#N/A</v>
      </c>
      <c r="CH256" s="65" t="e">
        <f>IF(CG64=1,IF(CG$13&lt;=COUNT($C36:$CS36),IF(INDEX($F$206:$F$229,MATCH($B256,$B$206:$B$229,FALSE))=0,NA(),INDEX(CG$14:CG$37,MATCH($B256,$B$14:$B$37,FALSE))/INDEX($F$206:$F$229,MATCH($B256,$B$206:$B$229,FALSE))),NA()),NA())</f>
        <v>#N/A</v>
      </c>
      <c r="CI256" s="65" t="e">
        <f>IF(CH64=1,IF(CH$13&lt;=COUNT($C36:$CS36),IF(INDEX($F$206:$F$229,MATCH($B256,$B$206:$B$229,FALSE))=0,NA(),INDEX(CH$14:CH$37,MATCH($B256,$B$14:$B$37,FALSE))/INDEX($F$206:$F$229,MATCH($B256,$B$206:$B$229,FALSE))),NA()),NA())</f>
        <v>#N/A</v>
      </c>
      <c r="CJ256" s="65" t="e">
        <f>IF(CI64=1,IF(CI$13&lt;=COUNT($C36:$CS36),IF(INDEX($F$206:$F$229,MATCH($B256,$B$206:$B$229,FALSE))=0,NA(),INDEX(CI$14:CI$37,MATCH($B256,$B$14:$B$37,FALSE))/INDEX($F$206:$F$229,MATCH($B256,$B$206:$B$229,FALSE))),NA()),NA())</f>
        <v>#N/A</v>
      </c>
      <c r="CK256" s="65" t="e">
        <f>IF(CJ64=1,IF(CJ$13&lt;=COUNT($C36:$CS36),IF(INDEX($F$206:$F$229,MATCH($B256,$B$206:$B$229,FALSE))=0,NA(),INDEX(CJ$14:CJ$37,MATCH($B256,$B$14:$B$37,FALSE))/INDEX($F$206:$F$229,MATCH($B256,$B$206:$B$229,FALSE))),NA()),NA())</f>
        <v>#N/A</v>
      </c>
      <c r="CL256" s="65" t="e">
        <f>IF(CK64=1,IF(CK$13&lt;=COUNT($C36:$CS36),IF(INDEX($F$206:$F$229,MATCH($B256,$B$206:$B$229,FALSE))=0,NA(),INDEX(CK$14:CK$37,MATCH($B256,$B$14:$B$37,FALSE))/INDEX($F$206:$F$229,MATCH($B256,$B$206:$B$229,FALSE))),NA()),NA())</f>
        <v>#N/A</v>
      </c>
      <c r="CM256" s="65" t="e">
        <f>IF(CL64=1,IF(CL$13&lt;=COUNT($C36:$CS36),IF(INDEX($F$206:$F$229,MATCH($B256,$B$206:$B$229,FALSE))=0,NA(),INDEX(CL$14:CL$37,MATCH($B256,$B$14:$B$37,FALSE))/INDEX($F$206:$F$229,MATCH($B256,$B$206:$B$229,FALSE))),NA()),NA())</f>
        <v>#N/A</v>
      </c>
      <c r="CN256" s="65" t="e">
        <f>IF(CM64=1,IF(CM$13&lt;=COUNT($C36:$CS36),IF(INDEX($F$206:$F$229,MATCH($B256,$B$206:$B$229,FALSE))=0,NA(),INDEX(CM$14:CM$37,MATCH($B256,$B$14:$B$37,FALSE))/INDEX($F$206:$F$229,MATCH($B256,$B$206:$B$229,FALSE))),NA()),NA())</f>
        <v>#N/A</v>
      </c>
      <c r="CO256" s="65" t="e">
        <f>IF(CN64=1,IF(CN$13&lt;=COUNT($C36:$CS36),IF(INDEX($F$206:$F$229,MATCH($B256,$B$206:$B$229,FALSE))=0,NA(),INDEX(CN$14:CN$37,MATCH($B256,$B$14:$B$37,FALSE))/INDEX($F$206:$F$229,MATCH($B256,$B$206:$B$229,FALSE))),NA()),NA())</f>
        <v>#N/A</v>
      </c>
      <c r="CP256" s="65" t="e">
        <f>IF(CO64=1,IF(CO$13&lt;=COUNT($C36:$CS36),IF(INDEX($F$206:$F$229,MATCH($B256,$B$206:$B$229,FALSE))=0,NA(),INDEX(CO$14:CO$37,MATCH($B256,$B$14:$B$37,FALSE))/INDEX($F$206:$F$229,MATCH($B256,$B$206:$B$229,FALSE))),NA()),NA())</f>
        <v>#N/A</v>
      </c>
      <c r="CQ256" s="65" t="e">
        <f>IF(CP64=1,IF(CP$13&lt;=COUNT($C36:$CS36),IF(INDEX($F$206:$F$229,MATCH($B256,$B$206:$B$229,FALSE))=0,NA(),INDEX(CP$14:CP$37,MATCH($B256,$B$14:$B$37,FALSE))/INDEX($F$206:$F$229,MATCH($B256,$B$206:$B$229,FALSE))),NA()),NA())</f>
        <v>#N/A</v>
      </c>
      <c r="CR256" s="65" t="e">
        <f>IF(CQ64=1,IF(CQ$13&lt;=COUNT($C36:$CS36),IF(INDEX($F$206:$F$229,MATCH($B256,$B$206:$B$229,FALSE))=0,NA(),INDEX(CQ$14:CQ$37,MATCH($B256,$B$14:$B$37,FALSE))/INDEX($F$206:$F$229,MATCH($B256,$B$206:$B$229,FALSE))),NA()),NA())</f>
        <v>#N/A</v>
      </c>
      <c r="CS256" s="65" t="e">
        <f>IF(CR64=1,IF(CR$13&lt;=COUNT($C36:$CS36),IF(INDEX($F$206:$F$229,MATCH($B256,$B$206:$B$229,FALSE))=0,NA(),INDEX(CR$14:CR$37,MATCH($B256,$B$14:$B$37,FALSE))/INDEX($F$206:$F$229,MATCH($B256,$B$206:$B$229,FALSE))),NA()),NA())</f>
        <v>#N/A</v>
      </c>
      <c r="CT256" s="49"/>
      <c r="CU256" s="49"/>
      <c r="CV256" s="49"/>
      <c r="CW256" s="49"/>
    </row>
    <row r="257" spans="1:101" x14ac:dyDescent="0.25">
      <c r="A257" s="97">
        <f t="shared" si="105"/>
        <v>1</v>
      </c>
      <c r="B257" s="29">
        <v>2019</v>
      </c>
      <c r="C257" s="154" t="str">
        <f t="shared" si="106"/>
        <v/>
      </c>
      <c r="D257" s="55" t="e">
        <f ca="1">IF(C65=1,IF(C$13&lt;=COUNT($C37:$CS37),IF(INDEX($F$206:$F$229,MATCH($B257,$B$206:$B$229,FALSE))=0,NA(),INDEX(C$14:C$37,MATCH($B257,$B$14:$B$37,FALSE))/INDEX($F$206:$F$229,MATCH($B257,$B$206:$B$229,FALSE))),NA()),NA())</f>
        <v>#N/A</v>
      </c>
      <c r="E257" s="56" t="e">
        <f>IF(D65=1,IF(D$13&lt;=COUNT($C37:$CS37),IF(INDEX($F$206:$F$229,MATCH($B257,$B$206:$B$229,FALSE))=0,NA(),INDEX(D$14:D$37,MATCH($B257,$B$14:$B$37,FALSE))/INDEX($F$206:$F$229,MATCH($B257,$B$206:$B$229,FALSE))),NA()),NA())</f>
        <v>#N/A</v>
      </c>
      <c r="F257" s="56" t="e">
        <f>IF(E65=1,IF(E$13&lt;=COUNT($C37:$CS37),IF(INDEX($F$206:$F$229,MATCH($B257,$B$206:$B$229,FALSE))=0,NA(),INDEX(E$14:E$37,MATCH($B257,$B$14:$B$37,FALSE))/INDEX($F$206:$F$229,MATCH($B257,$B$206:$B$229,FALSE))),NA()),NA())</f>
        <v>#N/A</v>
      </c>
      <c r="G257" s="56" t="e">
        <f>IF(F65=1,IF(F$13&lt;=COUNT($C37:$CS37),IF(INDEX($F$206:$F$229,MATCH($B257,$B$206:$B$229,FALSE))=0,NA(),INDEX(F$14:F$37,MATCH($B257,$B$14:$B$37,FALSE))/INDEX($F$206:$F$229,MATCH($B257,$B$206:$B$229,FALSE))),NA()),NA())</f>
        <v>#N/A</v>
      </c>
      <c r="H257" s="56" t="e">
        <f>IF(G65=1,IF(G$13&lt;=COUNT($C37:$CS37),IF(INDEX($F$206:$F$229,MATCH($B257,$B$206:$B$229,FALSE))=0,NA(),INDEX(G$14:G$37,MATCH($B257,$B$14:$B$37,FALSE))/INDEX($F$206:$F$229,MATCH($B257,$B$206:$B$229,FALSE))),NA()),NA())</f>
        <v>#N/A</v>
      </c>
      <c r="I257" s="56" t="e">
        <f>IF(H65=1,IF(H$13&lt;=COUNT($C37:$CS37),IF(INDEX($F$206:$F$229,MATCH($B257,$B$206:$B$229,FALSE))=0,NA(),INDEX(H$14:H$37,MATCH($B257,$B$14:$B$37,FALSE))/INDEX($F$206:$F$229,MATCH($B257,$B$206:$B$229,FALSE))),NA()),NA())</f>
        <v>#N/A</v>
      </c>
      <c r="J257" s="56" t="e">
        <f>IF(I65=1,IF(I$13&lt;=COUNT($C37:$CS37),IF(INDEX($F$206:$F$229,MATCH($B257,$B$206:$B$229,FALSE))=0,NA(),INDEX(I$14:I$37,MATCH($B257,$B$14:$B$37,FALSE))/INDEX($F$206:$F$229,MATCH($B257,$B$206:$B$229,FALSE))),NA()),NA())</f>
        <v>#N/A</v>
      </c>
      <c r="K257" s="56" t="e">
        <f>IF(J65=1,IF(J$13&lt;=COUNT($C37:$CS37),IF(INDEX($F$206:$F$229,MATCH($B257,$B$206:$B$229,FALSE))=0,NA(),INDEX(J$14:J$37,MATCH($B257,$B$14:$B$37,FALSE))/INDEX($F$206:$F$229,MATCH($B257,$B$206:$B$229,FALSE))),NA()),NA())</f>
        <v>#N/A</v>
      </c>
      <c r="L257" s="56" t="e">
        <f>IF(K65=1,IF(K$13&lt;=COUNT($C37:$CS37),IF(INDEX($F$206:$F$229,MATCH($B257,$B$206:$B$229,FALSE))=0,NA(),INDEX(K$14:K$37,MATCH($B257,$B$14:$B$37,FALSE))/INDEX($F$206:$F$229,MATCH($B257,$B$206:$B$229,FALSE))),NA()),NA())</f>
        <v>#N/A</v>
      </c>
      <c r="M257" s="56" t="e">
        <f>IF(L65=1,IF(L$13&lt;=COUNT($C37:$CS37),IF(INDEX($F$206:$F$229,MATCH($B257,$B$206:$B$229,FALSE))=0,NA(),INDEX(L$14:L$37,MATCH($B257,$B$14:$B$37,FALSE))/INDEX($F$206:$F$229,MATCH($B257,$B$206:$B$229,FALSE))),NA()),NA())</f>
        <v>#N/A</v>
      </c>
      <c r="N257" s="56" t="e">
        <f>IF(M65=1,IF(M$13&lt;=COUNT($C37:$CS37),IF(INDEX($F$206:$F$229,MATCH($B257,$B$206:$B$229,FALSE))=0,NA(),INDEX(M$14:M$37,MATCH($B257,$B$14:$B$37,FALSE))/INDEX($F$206:$F$229,MATCH($B257,$B$206:$B$229,FALSE))),NA()),NA())</f>
        <v>#N/A</v>
      </c>
      <c r="O257" s="56" t="e">
        <f>IF(N65=1,IF(N$13&lt;=COUNT($C37:$CS37),IF(INDEX($F$206:$F$229,MATCH($B257,$B$206:$B$229,FALSE))=0,NA(),INDEX(N$14:N$37,MATCH($B257,$B$14:$B$37,FALSE))/INDEX($F$206:$F$229,MATCH($B257,$B$206:$B$229,FALSE))),NA()),NA())</f>
        <v>#N/A</v>
      </c>
      <c r="P257" s="56" t="e">
        <f>IF(O65=1,IF(O$13&lt;=COUNT($C37:$CS37),IF(INDEX($F$206:$F$229,MATCH($B257,$B$206:$B$229,FALSE))=0,NA(),INDEX(O$14:O$37,MATCH($B257,$B$14:$B$37,FALSE))/INDEX($F$206:$F$229,MATCH($B257,$B$206:$B$229,FALSE))),NA()),NA())</f>
        <v>#N/A</v>
      </c>
      <c r="Q257" s="56" t="e">
        <f>IF(P65=1,IF(P$13&lt;=COUNT($C37:$CS37),IF(INDEX($F$206:$F$229,MATCH($B257,$B$206:$B$229,FALSE))=0,NA(),INDEX(P$14:P$37,MATCH($B257,$B$14:$B$37,FALSE))/INDEX($F$206:$F$229,MATCH($B257,$B$206:$B$229,FALSE))),NA()),NA())</f>
        <v>#N/A</v>
      </c>
      <c r="R257" s="56" t="e">
        <f>IF(Q65=1,IF(Q$13&lt;=COUNT($C37:$CS37),IF(INDEX($F$206:$F$229,MATCH($B257,$B$206:$B$229,FALSE))=0,NA(),INDEX(Q$14:Q$37,MATCH($B257,$B$14:$B$37,FALSE))/INDEX($F$206:$F$229,MATCH($B257,$B$206:$B$229,FALSE))),NA()),NA())</f>
        <v>#N/A</v>
      </c>
      <c r="S257" s="56" t="e">
        <f>IF(R65=1,IF(R$13&lt;=COUNT($C37:$CS37),IF(INDEX($F$206:$F$229,MATCH($B257,$B$206:$B$229,FALSE))=0,NA(),INDEX(R$14:R$37,MATCH($B257,$B$14:$B$37,FALSE))/INDEX($F$206:$F$229,MATCH($B257,$B$206:$B$229,FALSE))),NA()),NA())</f>
        <v>#N/A</v>
      </c>
      <c r="T257" s="56" t="e">
        <f>IF(S65=1,IF(S$13&lt;=COUNT($C37:$CS37),IF(INDEX($F$206:$F$229,MATCH($B257,$B$206:$B$229,FALSE))=0,NA(),INDEX(S$14:S$37,MATCH($B257,$B$14:$B$37,FALSE))/INDEX($F$206:$F$229,MATCH($B257,$B$206:$B$229,FALSE))),NA()),NA())</f>
        <v>#N/A</v>
      </c>
      <c r="U257" s="56" t="e">
        <f>IF(T65=1,IF(T$13&lt;=COUNT($C37:$CS37),IF(INDEX($F$206:$F$229,MATCH($B257,$B$206:$B$229,FALSE))=0,NA(),INDEX(T$14:T$37,MATCH($B257,$B$14:$B$37,FALSE))/INDEX($F$206:$F$229,MATCH($B257,$B$206:$B$229,FALSE))),NA()),NA())</f>
        <v>#N/A</v>
      </c>
      <c r="V257" s="56" t="e">
        <f>IF(U65=1,IF(U$13&lt;=COUNT($C37:$CS37),IF(INDEX($F$206:$F$229,MATCH($B257,$B$206:$B$229,FALSE))=0,NA(),INDEX(U$14:U$37,MATCH($B257,$B$14:$B$37,FALSE))/INDEX($F$206:$F$229,MATCH($B257,$B$206:$B$229,FALSE))),NA()),NA())</f>
        <v>#N/A</v>
      </c>
      <c r="W257" s="56" t="e">
        <f>IF(V65=1,IF(V$13&lt;=COUNT($C37:$CS37),IF(INDEX($F$206:$F$229,MATCH($B257,$B$206:$B$229,FALSE))=0,NA(),INDEX(V$14:V$37,MATCH($B257,$B$14:$B$37,FALSE))/INDEX($F$206:$F$229,MATCH($B257,$B$206:$B$229,FALSE))),NA()),NA())</f>
        <v>#N/A</v>
      </c>
      <c r="X257" s="56" t="e">
        <f>IF(W65=1,IF(W$13&lt;=COUNT($C37:$CS37),IF(INDEX($F$206:$F$229,MATCH($B257,$B$206:$B$229,FALSE))=0,NA(),INDEX(W$14:W$37,MATCH($B257,$B$14:$B$37,FALSE))/INDEX($F$206:$F$229,MATCH($B257,$B$206:$B$229,FALSE))),NA()),NA())</f>
        <v>#N/A</v>
      </c>
      <c r="Y257" s="56" t="e">
        <f>IF(X65=1,IF(X$13&lt;=COUNT($C37:$CS37),IF(INDEX($F$206:$F$229,MATCH($B257,$B$206:$B$229,FALSE))=0,NA(),INDEX(X$14:X$37,MATCH($B257,$B$14:$B$37,FALSE))/INDEX($F$206:$F$229,MATCH($B257,$B$206:$B$229,FALSE))),NA()),NA())</f>
        <v>#N/A</v>
      </c>
      <c r="Z257" s="56" t="e">
        <f>IF(Y65=1,IF(Y$13&lt;=COUNT($C37:$CS37),IF(INDEX($F$206:$F$229,MATCH($B257,$B$206:$B$229,FALSE))=0,NA(),INDEX(Y$14:Y$37,MATCH($B257,$B$14:$B$37,FALSE))/INDEX($F$206:$F$229,MATCH($B257,$B$206:$B$229,FALSE))),NA()),NA())</f>
        <v>#N/A</v>
      </c>
      <c r="AA257" s="56" t="e">
        <f>IF(Z65=1,IF(Z$13&lt;=COUNT($C37:$CS37),IF(INDEX($F$206:$F$229,MATCH($B257,$B$206:$B$229,FALSE))=0,NA(),INDEX(Z$14:Z$37,MATCH($B257,$B$14:$B$37,FALSE))/INDEX($F$206:$F$229,MATCH($B257,$B$206:$B$229,FALSE))),NA()),NA())</f>
        <v>#N/A</v>
      </c>
      <c r="AB257" s="56" t="e">
        <f>IF(AA65=1,IF(AA$13&lt;=COUNT($C37:$CS37),IF(INDEX($F$206:$F$229,MATCH($B257,$B$206:$B$229,FALSE))=0,NA(),INDEX(AA$14:AA$37,MATCH($B257,$B$14:$B$37,FALSE))/INDEX($F$206:$F$229,MATCH($B257,$B$206:$B$229,FALSE))),NA()),NA())</f>
        <v>#N/A</v>
      </c>
      <c r="AC257" s="56" t="e">
        <f>IF(AB65=1,IF(AB$13&lt;=COUNT($C37:$CS37),IF(INDEX($F$206:$F$229,MATCH($B257,$B$206:$B$229,FALSE))=0,NA(),INDEX(AB$14:AB$37,MATCH($B257,$B$14:$B$37,FALSE))/INDEX($F$206:$F$229,MATCH($B257,$B$206:$B$229,FALSE))),NA()),NA())</f>
        <v>#N/A</v>
      </c>
      <c r="AD257" s="56" t="e">
        <f>IF(AC65=1,IF(AC$13&lt;=COUNT($C37:$CS37),IF(INDEX($F$206:$F$229,MATCH($B257,$B$206:$B$229,FALSE))=0,NA(),INDEX(AC$14:AC$37,MATCH($B257,$B$14:$B$37,FALSE))/INDEX($F$206:$F$229,MATCH($B257,$B$206:$B$229,FALSE))),NA()),NA())</f>
        <v>#N/A</v>
      </c>
      <c r="AE257" s="56" t="e">
        <f>IF(AD65=1,IF(AD$13&lt;=COUNT($C37:$CS37),IF(INDEX($F$206:$F$229,MATCH($B257,$B$206:$B$229,FALSE))=0,NA(),INDEX(AD$14:AD$37,MATCH($B257,$B$14:$B$37,FALSE))/INDEX($F$206:$F$229,MATCH($B257,$B$206:$B$229,FALSE))),NA()),NA())</f>
        <v>#N/A</v>
      </c>
      <c r="AF257" s="56" t="e">
        <f>IF(AE65=1,IF(AE$13&lt;=COUNT($C37:$CS37),IF(INDEX($F$206:$F$229,MATCH($B257,$B$206:$B$229,FALSE))=0,NA(),INDEX(AE$14:AE$37,MATCH($B257,$B$14:$B$37,FALSE))/INDEX($F$206:$F$229,MATCH($B257,$B$206:$B$229,FALSE))),NA()),NA())</f>
        <v>#N/A</v>
      </c>
      <c r="AG257" s="56" t="e">
        <f>IF(AF65=1,IF(AF$13&lt;=COUNT($C37:$CS37),IF(INDEX($F$206:$F$229,MATCH($B257,$B$206:$B$229,FALSE))=0,NA(),INDEX(AF$14:AF$37,MATCH($B257,$B$14:$B$37,FALSE))/INDEX($F$206:$F$229,MATCH($B257,$B$206:$B$229,FALSE))),NA()),NA())</f>
        <v>#N/A</v>
      </c>
      <c r="AH257" s="56" t="e">
        <f>IF(AG65=1,IF(AG$13&lt;=COUNT($C37:$CS37),IF(INDEX($F$206:$F$229,MATCH($B257,$B$206:$B$229,FALSE))=0,NA(),INDEX(AG$14:AG$37,MATCH($B257,$B$14:$B$37,FALSE))/INDEX($F$206:$F$229,MATCH($B257,$B$206:$B$229,FALSE))),NA()),NA())</f>
        <v>#N/A</v>
      </c>
      <c r="AI257" s="56" t="e">
        <f>IF(AH65=1,IF(AH$13&lt;=COUNT($C37:$CS37),IF(INDEX($F$206:$F$229,MATCH($B257,$B$206:$B$229,FALSE))=0,NA(),INDEX(AH$14:AH$37,MATCH($B257,$B$14:$B$37,FALSE))/INDEX($F$206:$F$229,MATCH($B257,$B$206:$B$229,FALSE))),NA()),NA())</f>
        <v>#N/A</v>
      </c>
      <c r="AJ257" s="56" t="e">
        <f>IF(AI65=1,IF(AI$13&lt;=COUNT($C37:$CS37),IF(INDEX($F$206:$F$229,MATCH($B257,$B$206:$B$229,FALSE))=0,NA(),INDEX(AI$14:AI$37,MATCH($B257,$B$14:$B$37,FALSE))/INDEX($F$206:$F$229,MATCH($B257,$B$206:$B$229,FALSE))),NA()),NA())</f>
        <v>#N/A</v>
      </c>
      <c r="AK257" s="56" t="e">
        <f>IF(AJ65=1,IF(AJ$13&lt;=COUNT($C37:$CS37),IF(INDEX($F$206:$F$229,MATCH($B257,$B$206:$B$229,FALSE))=0,NA(),INDEX(AJ$14:AJ$37,MATCH($B257,$B$14:$B$37,FALSE))/INDEX($F$206:$F$229,MATCH($B257,$B$206:$B$229,FALSE))),NA()),NA())</f>
        <v>#N/A</v>
      </c>
      <c r="AL257" s="56" t="e">
        <f>IF(AK65=1,IF(AK$13&lt;=COUNT($C37:$CS37),IF(INDEX($F$206:$F$229,MATCH($B257,$B$206:$B$229,FALSE))=0,NA(),INDEX(AK$14:AK$37,MATCH($B257,$B$14:$B$37,FALSE))/INDEX($F$206:$F$229,MATCH($B257,$B$206:$B$229,FALSE))),NA()),NA())</f>
        <v>#N/A</v>
      </c>
      <c r="AM257" s="56" t="e">
        <f>IF(AL65=1,IF(AL$13&lt;=COUNT($C37:$CS37),IF(INDEX($F$206:$F$229,MATCH($B257,$B$206:$B$229,FALSE))=0,NA(),INDEX(AL$14:AL$37,MATCH($B257,$B$14:$B$37,FALSE))/INDEX($F$206:$F$229,MATCH($B257,$B$206:$B$229,FALSE))),NA()),NA())</f>
        <v>#N/A</v>
      </c>
      <c r="AN257" s="56" t="e">
        <f>IF(AM65=1,IF(AM$13&lt;=COUNT($C37:$CS37),IF(INDEX($F$206:$F$229,MATCH($B257,$B$206:$B$229,FALSE))=0,NA(),INDEX(AM$14:AM$37,MATCH($B257,$B$14:$B$37,FALSE))/INDEX($F$206:$F$229,MATCH($B257,$B$206:$B$229,FALSE))),NA()),NA())</f>
        <v>#N/A</v>
      </c>
      <c r="AO257" s="56" t="e">
        <f>IF(AN65=1,IF(AN$13&lt;=COUNT($C37:$CS37),IF(INDEX($F$206:$F$229,MATCH($B257,$B$206:$B$229,FALSE))=0,NA(),INDEX(AN$14:AN$37,MATCH($B257,$B$14:$B$37,FALSE))/INDEX($F$206:$F$229,MATCH($B257,$B$206:$B$229,FALSE))),NA()),NA())</f>
        <v>#N/A</v>
      </c>
      <c r="AP257" s="56" t="e">
        <f>IF(AO65=1,IF(AO$13&lt;=COUNT($C37:$CS37),IF(INDEX($F$206:$F$229,MATCH($B257,$B$206:$B$229,FALSE))=0,NA(),INDEX(AO$14:AO$37,MATCH($B257,$B$14:$B$37,FALSE))/INDEX($F$206:$F$229,MATCH($B257,$B$206:$B$229,FALSE))),NA()),NA())</f>
        <v>#N/A</v>
      </c>
      <c r="AQ257" s="56" t="e">
        <f>IF(AP65=1,IF(AP$13&lt;=COUNT($C37:$CS37),IF(INDEX($F$206:$F$229,MATCH($B257,$B$206:$B$229,FALSE))=0,NA(),INDEX(AP$14:AP$37,MATCH($B257,$B$14:$B$37,FALSE))/INDEX($F$206:$F$229,MATCH($B257,$B$206:$B$229,FALSE))),NA()),NA())</f>
        <v>#N/A</v>
      </c>
      <c r="AR257" s="56" t="e">
        <f>IF(AQ65=1,IF(AQ$13&lt;=COUNT($C37:$CS37),IF(INDEX($F$206:$F$229,MATCH($B257,$B$206:$B$229,FALSE))=0,NA(),INDEX(AQ$14:AQ$37,MATCH($B257,$B$14:$B$37,FALSE))/INDEX($F$206:$F$229,MATCH($B257,$B$206:$B$229,FALSE))),NA()),NA())</f>
        <v>#N/A</v>
      </c>
      <c r="AS257" s="56" t="e">
        <f>IF(AR65=1,IF(AR$13&lt;=COUNT($C37:$CS37),IF(INDEX($F$206:$F$229,MATCH($B257,$B$206:$B$229,FALSE))=0,NA(),INDEX(AR$14:AR$37,MATCH($B257,$B$14:$B$37,FALSE))/INDEX($F$206:$F$229,MATCH($B257,$B$206:$B$229,FALSE))),NA()),NA())</f>
        <v>#N/A</v>
      </c>
      <c r="AT257" s="56" t="e">
        <f>IF(AS65=1,IF(AS$13&lt;=COUNT($C37:$CS37),IF(INDEX($F$206:$F$229,MATCH($B257,$B$206:$B$229,FALSE))=0,NA(),INDEX(AS$14:AS$37,MATCH($B257,$B$14:$B$37,FALSE))/INDEX($F$206:$F$229,MATCH($B257,$B$206:$B$229,FALSE))),NA()),NA())</f>
        <v>#N/A</v>
      </c>
      <c r="AU257" s="56" t="e">
        <f>IF(AT65=1,IF(AT$13&lt;=COUNT($C37:$CS37),IF(INDEX($F$206:$F$229,MATCH($B257,$B$206:$B$229,FALSE))=0,NA(),INDEX(AT$14:AT$37,MATCH($B257,$B$14:$B$37,FALSE))/INDEX($F$206:$F$229,MATCH($B257,$B$206:$B$229,FALSE))),NA()),NA())</f>
        <v>#N/A</v>
      </c>
      <c r="AV257" s="56" t="e">
        <f>IF(AU65=1,IF(AU$13&lt;=COUNT($C37:$CS37),IF(INDEX($F$206:$F$229,MATCH($B257,$B$206:$B$229,FALSE))=0,NA(),INDEX(AU$14:AU$37,MATCH($B257,$B$14:$B$37,FALSE))/INDEX($F$206:$F$229,MATCH($B257,$B$206:$B$229,FALSE))),NA()),NA())</f>
        <v>#N/A</v>
      </c>
      <c r="AW257" s="56" t="e">
        <f>IF(AV65=1,IF(AV$13&lt;=COUNT($C37:$CS37),IF(INDEX($F$206:$F$229,MATCH($B257,$B$206:$B$229,FALSE))=0,NA(),INDEX(AV$14:AV$37,MATCH($B257,$B$14:$B$37,FALSE))/INDEX($F$206:$F$229,MATCH($B257,$B$206:$B$229,FALSE))),NA()),NA())</f>
        <v>#N/A</v>
      </c>
      <c r="AX257" s="56" t="e">
        <f>IF(AW65=1,IF(AW$13&lt;=COUNT($C37:$CS37),IF(INDEX($F$206:$F$229,MATCH($B257,$B$206:$B$229,FALSE))=0,NA(),INDEX(AW$14:AW$37,MATCH($B257,$B$14:$B$37,FALSE))/INDEX($F$206:$F$229,MATCH($B257,$B$206:$B$229,FALSE))),NA()),NA())</f>
        <v>#N/A</v>
      </c>
      <c r="AY257" s="56" t="e">
        <f>IF(AX65=1,IF(AX$13&lt;=COUNT($C37:$CS37),IF(INDEX($F$206:$F$229,MATCH($B257,$B$206:$B$229,FALSE))=0,NA(),INDEX(AX$14:AX$37,MATCH($B257,$B$14:$B$37,FALSE))/INDEX($F$206:$F$229,MATCH($B257,$B$206:$B$229,FALSE))),NA()),NA())</f>
        <v>#N/A</v>
      </c>
      <c r="AZ257" s="56" t="e">
        <f>IF(AY65=1,IF(AY$13&lt;=COUNT($C37:$CS37),IF(INDEX($F$206:$F$229,MATCH($B257,$B$206:$B$229,FALSE))=0,NA(),INDEX(AY$14:AY$37,MATCH($B257,$B$14:$B$37,FALSE))/INDEX($F$206:$F$229,MATCH($B257,$B$206:$B$229,FALSE))),NA()),NA())</f>
        <v>#N/A</v>
      </c>
      <c r="BA257" s="56" t="e">
        <f>IF(AZ65=1,IF(AZ$13&lt;=COUNT($C37:$CS37),IF(INDEX($F$206:$F$229,MATCH($B257,$B$206:$B$229,FALSE))=0,NA(),INDEX(AZ$14:AZ$37,MATCH($B257,$B$14:$B$37,FALSE))/INDEX($F$206:$F$229,MATCH($B257,$B$206:$B$229,FALSE))),NA()),NA())</f>
        <v>#N/A</v>
      </c>
      <c r="BB257" s="56" t="e">
        <f>IF(BA65=1,IF(BA$13&lt;=COUNT($C37:$CS37),IF(INDEX($F$206:$F$229,MATCH($B257,$B$206:$B$229,FALSE))=0,NA(),INDEX(BA$14:BA$37,MATCH($B257,$B$14:$B$37,FALSE))/INDEX($F$206:$F$229,MATCH($B257,$B$206:$B$229,FALSE))),NA()),NA())</f>
        <v>#N/A</v>
      </c>
      <c r="BC257" s="56" t="e">
        <f>IF(BB65=1,IF(BB$13&lt;=COUNT($C37:$CS37),IF(INDEX($F$206:$F$229,MATCH($B257,$B$206:$B$229,FALSE))=0,NA(),INDEX(BB$14:BB$37,MATCH($B257,$B$14:$B$37,FALSE))/INDEX($F$206:$F$229,MATCH($B257,$B$206:$B$229,FALSE))),NA()),NA())</f>
        <v>#N/A</v>
      </c>
      <c r="BD257" s="56" t="e">
        <f>IF(BC65=1,IF(BC$13&lt;=COUNT($C37:$CS37),IF(INDEX($F$206:$F$229,MATCH($B257,$B$206:$B$229,FALSE))=0,NA(),INDEX(BC$14:BC$37,MATCH($B257,$B$14:$B$37,FALSE))/INDEX($F$206:$F$229,MATCH($B257,$B$206:$B$229,FALSE))),NA()),NA())</f>
        <v>#N/A</v>
      </c>
      <c r="BE257" s="56" t="e">
        <f>IF(BD65=1,IF(BD$13&lt;=COUNT($C37:$CS37),IF(INDEX($F$206:$F$229,MATCH($B257,$B$206:$B$229,FALSE))=0,NA(),INDEX(BD$14:BD$37,MATCH($B257,$B$14:$B$37,FALSE))/INDEX($F$206:$F$229,MATCH($B257,$B$206:$B$229,FALSE))),NA()),NA())</f>
        <v>#N/A</v>
      </c>
      <c r="BF257" s="56" t="e">
        <f>IF(BE65=1,IF(BE$13&lt;=COUNT($C37:$CS37),IF(INDEX($F$206:$F$229,MATCH($B257,$B$206:$B$229,FALSE))=0,NA(),INDEX(BE$14:BE$37,MATCH($B257,$B$14:$B$37,FALSE))/INDEX($F$206:$F$229,MATCH($B257,$B$206:$B$229,FALSE))),NA()),NA())</f>
        <v>#N/A</v>
      </c>
      <c r="BG257" s="56" t="e">
        <f>IF(BF65=1,IF(BF$13&lt;=COUNT($C37:$CS37),IF(INDEX($F$206:$F$229,MATCH($B257,$B$206:$B$229,FALSE))=0,NA(),INDEX(BF$14:BF$37,MATCH($B257,$B$14:$B$37,FALSE))/INDEX($F$206:$F$229,MATCH($B257,$B$206:$B$229,FALSE))),NA()),NA())</f>
        <v>#N/A</v>
      </c>
      <c r="BH257" s="56" t="e">
        <f>IF(BG65=1,IF(BG$13&lt;=COUNT($C37:$CS37),IF(INDEX($F$206:$F$229,MATCH($B257,$B$206:$B$229,FALSE))=0,NA(),INDEX(BG$14:BG$37,MATCH($B257,$B$14:$B$37,FALSE))/INDEX($F$206:$F$229,MATCH($B257,$B$206:$B$229,FALSE))),NA()),NA())</f>
        <v>#N/A</v>
      </c>
      <c r="BI257" s="56" t="e">
        <f>IF(BH65=1,IF(BH$13&lt;=COUNT($C37:$CS37),IF(INDEX($F$206:$F$229,MATCH($B257,$B$206:$B$229,FALSE))=0,NA(),INDEX(BH$14:BH$37,MATCH($B257,$B$14:$B$37,FALSE))/INDEX($F$206:$F$229,MATCH($B257,$B$206:$B$229,FALSE))),NA()),NA())</f>
        <v>#N/A</v>
      </c>
      <c r="BJ257" s="56" t="e">
        <f>IF(BI65=1,IF(BI$13&lt;=COUNT($C37:$CS37),IF(INDEX($F$206:$F$229,MATCH($B257,$B$206:$B$229,FALSE))=0,NA(),INDEX(BI$14:BI$37,MATCH($B257,$B$14:$B$37,FALSE))/INDEX($F$206:$F$229,MATCH($B257,$B$206:$B$229,FALSE))),NA()),NA())</f>
        <v>#N/A</v>
      </c>
      <c r="BK257" s="56" t="e">
        <f>IF(BJ65=1,IF(BJ$13&lt;=COUNT($C37:$CS37),IF(INDEX($F$206:$F$229,MATCH($B257,$B$206:$B$229,FALSE))=0,NA(),INDEX(BJ$14:BJ$37,MATCH($B257,$B$14:$B$37,FALSE))/INDEX($F$206:$F$229,MATCH($B257,$B$206:$B$229,FALSE))),NA()),NA())</f>
        <v>#N/A</v>
      </c>
      <c r="BL257" s="56" t="e">
        <f>IF(BK65=1,IF(BK$13&lt;=COUNT($C37:$CS37),IF(INDEX($F$206:$F$229,MATCH($B257,$B$206:$B$229,FALSE))=0,NA(),INDEX(BK$14:BK$37,MATCH($B257,$B$14:$B$37,FALSE))/INDEX($F$206:$F$229,MATCH($B257,$B$206:$B$229,FALSE))),NA()),NA())</f>
        <v>#N/A</v>
      </c>
      <c r="BM257" s="56" t="e">
        <f>IF(BL65=1,IF(BL$13&lt;=COUNT($C37:$CS37),IF(INDEX($F$206:$F$229,MATCH($B257,$B$206:$B$229,FALSE))=0,NA(),INDEX(BL$14:BL$37,MATCH($B257,$B$14:$B$37,FALSE))/INDEX($F$206:$F$229,MATCH($B257,$B$206:$B$229,FALSE))),NA()),NA())</f>
        <v>#N/A</v>
      </c>
      <c r="BN257" s="56" t="e">
        <f>IF(BM65=1,IF(BM$13&lt;=COUNT($C37:$CS37),IF(INDEX($F$206:$F$229,MATCH($B257,$B$206:$B$229,FALSE))=0,NA(),INDEX(BM$14:BM$37,MATCH($B257,$B$14:$B$37,FALSE))/INDEX($F$206:$F$229,MATCH($B257,$B$206:$B$229,FALSE))),NA()),NA())</f>
        <v>#N/A</v>
      </c>
      <c r="BO257" s="56" t="e">
        <f>IF(BN65=1,IF(BN$13&lt;=COUNT($C37:$CS37),IF(INDEX($F$206:$F$229,MATCH($B257,$B$206:$B$229,FALSE))=0,NA(),INDEX(BN$14:BN$37,MATCH($B257,$B$14:$B$37,FALSE))/INDEX($F$206:$F$229,MATCH($B257,$B$206:$B$229,FALSE))),NA()),NA())</f>
        <v>#N/A</v>
      </c>
      <c r="BP257" s="56" t="e">
        <f>IF(BO65=1,IF(BO$13&lt;=COUNT($C37:$CS37),IF(INDEX($F$206:$F$229,MATCH($B257,$B$206:$B$229,FALSE))=0,NA(),INDEX(BO$14:BO$37,MATCH($B257,$B$14:$B$37,FALSE))/INDEX($F$206:$F$229,MATCH($B257,$B$206:$B$229,FALSE))),NA()),NA())</f>
        <v>#N/A</v>
      </c>
      <c r="BQ257" s="56" t="e">
        <f>IF(BP65=1,IF(BP$13&lt;=COUNT($C37:$CS37),IF(INDEX($F$206:$F$229,MATCH($B257,$B$206:$B$229,FALSE))=0,NA(),INDEX(BP$14:BP$37,MATCH($B257,$B$14:$B$37,FALSE))/INDEX($F$206:$F$229,MATCH($B257,$B$206:$B$229,FALSE))),NA()),NA())</f>
        <v>#N/A</v>
      </c>
      <c r="BR257" s="56" t="e">
        <f>IF(BQ65=1,IF(BQ$13&lt;=COUNT($C37:$CS37),IF(INDEX($F$206:$F$229,MATCH($B257,$B$206:$B$229,FALSE))=0,NA(),INDEX(BQ$14:BQ$37,MATCH($B257,$B$14:$B$37,FALSE))/INDEX($F$206:$F$229,MATCH($B257,$B$206:$B$229,FALSE))),NA()),NA())</f>
        <v>#N/A</v>
      </c>
      <c r="BS257" s="56" t="e">
        <f>IF(BR65=1,IF(BR$13&lt;=COUNT($C37:$CS37),IF(INDEX($F$206:$F$229,MATCH($B257,$B$206:$B$229,FALSE))=0,NA(),INDEX(BR$14:BR$37,MATCH($B257,$B$14:$B$37,FALSE))/INDEX($F$206:$F$229,MATCH($B257,$B$206:$B$229,FALSE))),NA()),NA())</f>
        <v>#N/A</v>
      </c>
      <c r="BT257" s="56" t="e">
        <f>IF(BS65=1,IF(BS$13&lt;=COUNT($C37:$CS37),IF(INDEX($F$206:$F$229,MATCH($B257,$B$206:$B$229,FALSE))=0,NA(),INDEX(BS$14:BS$37,MATCH($B257,$B$14:$B$37,FALSE))/INDEX($F$206:$F$229,MATCH($B257,$B$206:$B$229,FALSE))),NA()),NA())</f>
        <v>#N/A</v>
      </c>
      <c r="BU257" s="56" t="e">
        <f>IF(BT65=1,IF(BT$13&lt;=COUNT($C37:$CS37),IF(INDEX($F$206:$F$229,MATCH($B257,$B$206:$B$229,FALSE))=0,NA(),INDEX(BT$14:BT$37,MATCH($B257,$B$14:$B$37,FALSE))/INDEX($F$206:$F$229,MATCH($B257,$B$206:$B$229,FALSE))),NA()),NA())</f>
        <v>#N/A</v>
      </c>
      <c r="BV257" s="56" t="e">
        <f>IF(BU65=1,IF(BU$13&lt;=COUNT($C37:$CS37),IF(INDEX($F$206:$F$229,MATCH($B257,$B$206:$B$229,FALSE))=0,NA(),INDEX(BU$14:BU$37,MATCH($B257,$B$14:$B$37,FALSE))/INDEX($F$206:$F$229,MATCH($B257,$B$206:$B$229,FALSE))),NA()),NA())</f>
        <v>#N/A</v>
      </c>
      <c r="BW257" s="56" t="e">
        <f>IF(BV65=1,IF(BV$13&lt;=COUNT($C37:$CS37),IF(INDEX($F$206:$F$229,MATCH($B257,$B$206:$B$229,FALSE))=0,NA(),INDEX(BV$14:BV$37,MATCH($B257,$B$14:$B$37,FALSE))/INDEX($F$206:$F$229,MATCH($B257,$B$206:$B$229,FALSE))),NA()),NA())</f>
        <v>#N/A</v>
      </c>
      <c r="BX257" s="56" t="e">
        <f>IF(BW65=1,IF(BW$13&lt;=COUNT($C37:$CS37),IF(INDEX($F$206:$F$229,MATCH($B257,$B$206:$B$229,FALSE))=0,NA(),INDEX(BW$14:BW$37,MATCH($B257,$B$14:$B$37,FALSE))/INDEX($F$206:$F$229,MATCH($B257,$B$206:$B$229,FALSE))),NA()),NA())</f>
        <v>#N/A</v>
      </c>
      <c r="BY257" s="56" t="e">
        <f>IF(BX65=1,IF(BX$13&lt;=COUNT($C37:$CS37),IF(INDEX($F$206:$F$229,MATCH($B257,$B$206:$B$229,FALSE))=0,NA(),INDEX(BX$14:BX$37,MATCH($B257,$B$14:$B$37,FALSE))/INDEX($F$206:$F$229,MATCH($B257,$B$206:$B$229,FALSE))),NA()),NA())</f>
        <v>#N/A</v>
      </c>
      <c r="BZ257" s="56" t="e">
        <f>IF(BY65=1,IF(BY$13&lt;=COUNT($C37:$CS37),IF(INDEX($F$206:$F$229,MATCH($B257,$B$206:$B$229,FALSE))=0,NA(),INDEX(BY$14:BY$37,MATCH($B257,$B$14:$B$37,FALSE))/INDEX($F$206:$F$229,MATCH($B257,$B$206:$B$229,FALSE))),NA()),NA())</f>
        <v>#N/A</v>
      </c>
      <c r="CA257" s="56" t="e">
        <f>IF(BZ65=1,IF(BZ$13&lt;=COUNT($C37:$CS37),IF(INDEX($F$206:$F$229,MATCH($B257,$B$206:$B$229,FALSE))=0,NA(),INDEX(BZ$14:BZ$37,MATCH($B257,$B$14:$B$37,FALSE))/INDEX($F$206:$F$229,MATCH($B257,$B$206:$B$229,FALSE))),NA()),NA())</f>
        <v>#N/A</v>
      </c>
      <c r="CB257" s="56" t="e">
        <f>IF(CA65=1,IF(CA$13&lt;=COUNT($C37:$CS37),IF(INDEX($F$206:$F$229,MATCH($B257,$B$206:$B$229,FALSE))=0,NA(),INDEX(CA$14:CA$37,MATCH($B257,$B$14:$B$37,FALSE))/INDEX($F$206:$F$229,MATCH($B257,$B$206:$B$229,FALSE))),NA()),NA())</f>
        <v>#N/A</v>
      </c>
      <c r="CC257" s="56" t="e">
        <f>IF(CB65=1,IF(CB$13&lt;=COUNT($C37:$CS37),IF(INDEX($F$206:$F$229,MATCH($B257,$B$206:$B$229,FALSE))=0,NA(),INDEX(CB$14:CB$37,MATCH($B257,$B$14:$B$37,FALSE))/INDEX($F$206:$F$229,MATCH($B257,$B$206:$B$229,FALSE))),NA()),NA())</f>
        <v>#N/A</v>
      </c>
      <c r="CD257" s="56" t="e">
        <f>IF(CC65=1,IF(CC$13&lt;=COUNT($C37:$CS37),IF(INDEX($F$206:$F$229,MATCH($B257,$B$206:$B$229,FALSE))=0,NA(),INDEX(CC$14:CC$37,MATCH($B257,$B$14:$B$37,FALSE))/INDEX($F$206:$F$229,MATCH($B257,$B$206:$B$229,FALSE))),NA()),NA())</f>
        <v>#N/A</v>
      </c>
      <c r="CE257" s="56" t="e">
        <f>IF(CD65=1,IF(CD$13&lt;=COUNT($C37:$CS37),IF(INDEX($F$206:$F$229,MATCH($B257,$B$206:$B$229,FALSE))=0,NA(),INDEX(CD$14:CD$37,MATCH($B257,$B$14:$B$37,FALSE))/INDEX($F$206:$F$229,MATCH($B257,$B$206:$B$229,FALSE))),NA()),NA())</f>
        <v>#N/A</v>
      </c>
      <c r="CF257" s="56" t="e">
        <f>IF(CE65=1,IF(CE$13&lt;=COUNT($C37:$CS37),IF(INDEX($F$206:$F$229,MATCH($B257,$B$206:$B$229,FALSE))=0,NA(),INDEX(CE$14:CE$37,MATCH($B257,$B$14:$B$37,FALSE))/INDEX($F$206:$F$229,MATCH($B257,$B$206:$B$229,FALSE))),NA()),NA())</f>
        <v>#N/A</v>
      </c>
      <c r="CG257" s="56" t="e">
        <f>IF(CF65=1,IF(CF$13&lt;=COUNT($C37:$CS37),IF(INDEX($F$206:$F$229,MATCH($B257,$B$206:$B$229,FALSE))=0,NA(),INDEX(CF$14:CF$37,MATCH($B257,$B$14:$B$37,FALSE))/INDEX($F$206:$F$229,MATCH($B257,$B$206:$B$229,FALSE))),NA()),NA())</f>
        <v>#N/A</v>
      </c>
      <c r="CH257" s="56" t="e">
        <f>IF(CG65=1,IF(CG$13&lt;=COUNT($C37:$CS37),IF(INDEX($F$206:$F$229,MATCH($B257,$B$206:$B$229,FALSE))=0,NA(),INDEX(CG$14:CG$37,MATCH($B257,$B$14:$B$37,FALSE))/INDEX($F$206:$F$229,MATCH($B257,$B$206:$B$229,FALSE))),NA()),NA())</f>
        <v>#N/A</v>
      </c>
      <c r="CI257" s="56" t="e">
        <f>IF(CH65=1,IF(CH$13&lt;=COUNT($C37:$CS37),IF(INDEX($F$206:$F$229,MATCH($B257,$B$206:$B$229,FALSE))=0,NA(),INDEX(CH$14:CH$37,MATCH($B257,$B$14:$B$37,FALSE))/INDEX($F$206:$F$229,MATCH($B257,$B$206:$B$229,FALSE))),NA()),NA())</f>
        <v>#N/A</v>
      </c>
      <c r="CJ257" s="56" t="e">
        <f>IF(CI65=1,IF(CI$13&lt;=COUNT($C37:$CS37),IF(INDEX($F$206:$F$229,MATCH($B257,$B$206:$B$229,FALSE))=0,NA(),INDEX(CI$14:CI$37,MATCH($B257,$B$14:$B$37,FALSE))/INDEX($F$206:$F$229,MATCH($B257,$B$206:$B$229,FALSE))),NA()),NA())</f>
        <v>#N/A</v>
      </c>
      <c r="CK257" s="56" t="e">
        <f>IF(CJ65=1,IF(CJ$13&lt;=COUNT($C37:$CS37),IF(INDEX($F$206:$F$229,MATCH($B257,$B$206:$B$229,FALSE))=0,NA(),INDEX(CJ$14:CJ$37,MATCH($B257,$B$14:$B$37,FALSE))/INDEX($F$206:$F$229,MATCH($B257,$B$206:$B$229,FALSE))),NA()),NA())</f>
        <v>#N/A</v>
      </c>
      <c r="CL257" s="56" t="e">
        <f>IF(CK65=1,IF(CK$13&lt;=COUNT($C37:$CS37),IF(INDEX($F$206:$F$229,MATCH($B257,$B$206:$B$229,FALSE))=0,NA(),INDEX(CK$14:CK$37,MATCH($B257,$B$14:$B$37,FALSE))/INDEX($F$206:$F$229,MATCH($B257,$B$206:$B$229,FALSE))),NA()),NA())</f>
        <v>#N/A</v>
      </c>
      <c r="CM257" s="56" t="e">
        <f>IF(CL65=1,IF(CL$13&lt;=COUNT($C37:$CS37),IF(INDEX($F$206:$F$229,MATCH($B257,$B$206:$B$229,FALSE))=0,NA(),INDEX(CL$14:CL$37,MATCH($B257,$B$14:$B$37,FALSE))/INDEX($F$206:$F$229,MATCH($B257,$B$206:$B$229,FALSE))),NA()),NA())</f>
        <v>#N/A</v>
      </c>
      <c r="CN257" s="56" t="e">
        <f>IF(CM65=1,IF(CM$13&lt;=COUNT($C37:$CS37),IF(INDEX($F$206:$F$229,MATCH($B257,$B$206:$B$229,FALSE))=0,NA(),INDEX(CM$14:CM$37,MATCH($B257,$B$14:$B$37,FALSE))/INDEX($F$206:$F$229,MATCH($B257,$B$206:$B$229,FALSE))),NA()),NA())</f>
        <v>#N/A</v>
      </c>
      <c r="CO257" s="56" t="e">
        <f>IF(CN65=1,IF(CN$13&lt;=COUNT($C37:$CS37),IF(INDEX($F$206:$F$229,MATCH($B257,$B$206:$B$229,FALSE))=0,NA(),INDEX(CN$14:CN$37,MATCH($B257,$B$14:$B$37,FALSE))/INDEX($F$206:$F$229,MATCH($B257,$B$206:$B$229,FALSE))),NA()),NA())</f>
        <v>#N/A</v>
      </c>
      <c r="CP257" s="56" t="e">
        <f>IF(CO65=1,IF(CO$13&lt;=COUNT($C37:$CS37),IF(INDEX($F$206:$F$229,MATCH($B257,$B$206:$B$229,FALSE))=0,NA(),INDEX(CO$14:CO$37,MATCH($B257,$B$14:$B$37,FALSE))/INDEX($F$206:$F$229,MATCH($B257,$B$206:$B$229,FALSE))),NA()),NA())</f>
        <v>#N/A</v>
      </c>
      <c r="CQ257" s="56" t="e">
        <f>IF(CP65=1,IF(CP$13&lt;=COUNT($C37:$CS37),IF(INDEX($F$206:$F$229,MATCH($B257,$B$206:$B$229,FALSE))=0,NA(),INDEX(CP$14:CP$37,MATCH($B257,$B$14:$B$37,FALSE))/INDEX($F$206:$F$229,MATCH($B257,$B$206:$B$229,FALSE))),NA()),NA())</f>
        <v>#N/A</v>
      </c>
      <c r="CR257" s="56" t="e">
        <f>IF(CQ65=1,IF(CQ$13&lt;=COUNT($C37:$CS37),IF(INDEX($F$206:$F$229,MATCH($B257,$B$206:$B$229,FALSE))=0,NA(),INDEX(CQ$14:CQ$37,MATCH($B257,$B$14:$B$37,FALSE))/INDEX($F$206:$F$229,MATCH($B257,$B$206:$B$229,FALSE))),NA()),NA())</f>
        <v>#N/A</v>
      </c>
      <c r="CS257" s="56" t="e">
        <f>IF(CR65=1,IF(CR$13&lt;=COUNT($C37:$CS37),IF(INDEX($F$206:$F$229,MATCH($B257,$B$206:$B$229,FALSE))=0,NA(),INDEX(CR$14:CR$37,MATCH($B257,$B$14:$B$37,FALSE))/INDEX($F$206:$F$229,MATCH($B257,$B$206:$B$229,FALSE))),NA()),NA())</f>
        <v>#N/A</v>
      </c>
      <c r="CT257" s="49"/>
      <c r="CU257" s="49"/>
      <c r="CV257" s="49"/>
      <c r="CW257" s="49"/>
    </row>
    <row r="258" spans="1:101" x14ac:dyDescent="0.25">
      <c r="A258" s="97">
        <f t="shared" si="105"/>
        <v>1</v>
      </c>
      <c r="B258" s="153" t="s">
        <v>13</v>
      </c>
      <c r="C258" s="155">
        <v>0</v>
      </c>
      <c r="D258" s="57">
        <f t="shared" ref="D258:BO259" ca="1" si="110">C200</f>
        <v>0.35172268133802653</v>
      </c>
      <c r="E258" s="57">
        <f t="shared" ca="1" si="110"/>
        <v>0.89861382713277738</v>
      </c>
      <c r="F258" s="57">
        <f t="shared" ca="1" si="110"/>
        <v>1.211605288074515</v>
      </c>
      <c r="G258" s="57">
        <f t="shared" ca="1" si="110"/>
        <v>1.3327215582436804</v>
      </c>
      <c r="H258" s="57">
        <f t="shared" ca="1" si="110"/>
        <v>1.2921089569738489</v>
      </c>
      <c r="I258" s="57">
        <f t="shared" ca="1" si="110"/>
        <v>1.0827441392065948</v>
      </c>
      <c r="J258" s="57">
        <f t="shared" ca="1" si="110"/>
        <v>1.0003099113477911</v>
      </c>
      <c r="K258" s="57">
        <f t="shared" ca="1" si="110"/>
        <v>1</v>
      </c>
      <c r="L258" s="57">
        <f t="shared" ca="1" si="110"/>
        <v>1</v>
      </c>
      <c r="M258" s="57">
        <f t="shared" ca="1" si="110"/>
        <v>1</v>
      </c>
      <c r="N258" s="57">
        <f t="shared" ca="1" si="110"/>
        <v>1</v>
      </c>
      <c r="O258" s="57">
        <f t="shared" ca="1" si="110"/>
        <v>1</v>
      </c>
      <c r="P258" s="57">
        <f t="shared" ca="1" si="110"/>
        <v>1</v>
      </c>
      <c r="Q258" s="57">
        <f t="shared" ca="1" si="110"/>
        <v>1</v>
      </c>
      <c r="R258" s="57">
        <f t="shared" ca="1" si="110"/>
        <v>1</v>
      </c>
      <c r="S258" s="57">
        <f t="shared" ca="1" si="110"/>
        <v>1</v>
      </c>
      <c r="T258" s="57">
        <f t="shared" ca="1" si="110"/>
        <v>1</v>
      </c>
      <c r="U258" s="57">
        <f t="shared" ca="1" si="110"/>
        <v>1</v>
      </c>
      <c r="V258" s="57">
        <f t="shared" ca="1" si="110"/>
        <v>1</v>
      </c>
      <c r="W258" s="57">
        <f t="shared" ca="1" si="110"/>
        <v>1</v>
      </c>
      <c r="X258" s="57">
        <f t="shared" ca="1" si="110"/>
        <v>1</v>
      </c>
      <c r="Y258" s="57">
        <f t="shared" ca="1" si="110"/>
        <v>1</v>
      </c>
      <c r="Z258" s="57">
        <f t="shared" ca="1" si="110"/>
        <v>1</v>
      </c>
      <c r="AA258" s="57">
        <f t="shared" ca="1" si="110"/>
        <v>1</v>
      </c>
      <c r="AB258" s="57">
        <f t="shared" ca="1" si="110"/>
        <v>1</v>
      </c>
      <c r="AC258" s="57">
        <f t="shared" ca="1" si="110"/>
        <v>1</v>
      </c>
      <c r="AD258" s="57">
        <f t="shared" ca="1" si="110"/>
        <v>1</v>
      </c>
      <c r="AE258" s="57">
        <f t="shared" ca="1" si="110"/>
        <v>1</v>
      </c>
      <c r="AF258" s="57">
        <f t="shared" ca="1" si="110"/>
        <v>1</v>
      </c>
      <c r="AG258" s="57">
        <f t="shared" ca="1" si="110"/>
        <v>1</v>
      </c>
      <c r="AH258" s="57">
        <f t="shared" ca="1" si="110"/>
        <v>1</v>
      </c>
      <c r="AI258" s="57">
        <f t="shared" ca="1" si="110"/>
        <v>1</v>
      </c>
      <c r="AJ258" s="57">
        <f t="shared" ca="1" si="110"/>
        <v>1</v>
      </c>
      <c r="AK258" s="57">
        <f t="shared" ca="1" si="110"/>
        <v>1</v>
      </c>
      <c r="AL258" s="57">
        <f t="shared" ca="1" si="110"/>
        <v>1</v>
      </c>
      <c r="AM258" s="57">
        <f t="shared" ca="1" si="110"/>
        <v>1</v>
      </c>
      <c r="AN258" s="57">
        <f t="shared" ca="1" si="110"/>
        <v>1</v>
      </c>
      <c r="AO258" s="57">
        <f t="shared" ca="1" si="110"/>
        <v>1</v>
      </c>
      <c r="AP258" s="57">
        <f t="shared" ca="1" si="110"/>
        <v>1</v>
      </c>
      <c r="AQ258" s="57">
        <f t="shared" ca="1" si="110"/>
        <v>1</v>
      </c>
      <c r="AR258" s="57">
        <f t="shared" ca="1" si="110"/>
        <v>1</v>
      </c>
      <c r="AS258" s="57">
        <f t="shared" ca="1" si="110"/>
        <v>1</v>
      </c>
      <c r="AT258" s="57">
        <f t="shared" ca="1" si="110"/>
        <v>1</v>
      </c>
      <c r="AU258" s="57">
        <f t="shared" ca="1" si="110"/>
        <v>1</v>
      </c>
      <c r="AV258" s="57">
        <f t="shared" ca="1" si="110"/>
        <v>1</v>
      </c>
      <c r="AW258" s="57">
        <f t="shared" ca="1" si="110"/>
        <v>1</v>
      </c>
      <c r="AX258" s="57">
        <f t="shared" ca="1" si="110"/>
        <v>1</v>
      </c>
      <c r="AY258" s="57">
        <f t="shared" ca="1" si="110"/>
        <v>1</v>
      </c>
      <c r="AZ258" s="57">
        <f t="shared" ca="1" si="110"/>
        <v>1</v>
      </c>
      <c r="BA258" s="57">
        <f t="shared" ca="1" si="110"/>
        <v>1</v>
      </c>
      <c r="BB258" s="57">
        <f t="shared" ca="1" si="110"/>
        <v>1</v>
      </c>
      <c r="BC258" s="57">
        <f t="shared" ca="1" si="110"/>
        <v>1</v>
      </c>
      <c r="BD258" s="57">
        <f t="shared" ca="1" si="110"/>
        <v>1</v>
      </c>
      <c r="BE258" s="57">
        <f t="shared" ca="1" si="110"/>
        <v>1</v>
      </c>
      <c r="BF258" s="57">
        <f t="shared" ca="1" si="110"/>
        <v>1</v>
      </c>
      <c r="BG258" s="57">
        <f t="shared" ca="1" si="110"/>
        <v>1</v>
      </c>
      <c r="BH258" s="57">
        <f t="shared" ca="1" si="110"/>
        <v>1</v>
      </c>
      <c r="BI258" s="57">
        <f t="shared" ca="1" si="110"/>
        <v>1</v>
      </c>
      <c r="BJ258" s="57">
        <f t="shared" ca="1" si="110"/>
        <v>1</v>
      </c>
      <c r="BK258" s="57">
        <f t="shared" ca="1" si="110"/>
        <v>1</v>
      </c>
      <c r="BL258" s="57">
        <f t="shared" ca="1" si="110"/>
        <v>1</v>
      </c>
      <c r="BM258" s="57">
        <f t="shared" ca="1" si="110"/>
        <v>1</v>
      </c>
      <c r="BN258" s="57">
        <f t="shared" ca="1" si="110"/>
        <v>1</v>
      </c>
      <c r="BO258" s="57">
        <f t="shared" ca="1" si="110"/>
        <v>1</v>
      </c>
      <c r="BP258" s="57">
        <f t="shared" ref="BP258:CS259" ca="1" si="111">BO200</f>
        <v>1</v>
      </c>
      <c r="BQ258" s="57">
        <f t="shared" ca="1" si="111"/>
        <v>1</v>
      </c>
      <c r="BR258" s="57">
        <f t="shared" ca="1" si="111"/>
        <v>1</v>
      </c>
      <c r="BS258" s="57">
        <f t="shared" ca="1" si="111"/>
        <v>1</v>
      </c>
      <c r="BT258" s="57">
        <f t="shared" ca="1" si="111"/>
        <v>1</v>
      </c>
      <c r="BU258" s="57">
        <f t="shared" ca="1" si="111"/>
        <v>1</v>
      </c>
      <c r="BV258" s="57">
        <f t="shared" ca="1" si="111"/>
        <v>1</v>
      </c>
      <c r="BW258" s="57">
        <f t="shared" ca="1" si="111"/>
        <v>1</v>
      </c>
      <c r="BX258" s="57">
        <f t="shared" ca="1" si="111"/>
        <v>1</v>
      </c>
      <c r="BY258" s="57">
        <f t="shared" ca="1" si="111"/>
        <v>1</v>
      </c>
      <c r="BZ258" s="57">
        <f t="shared" ca="1" si="111"/>
        <v>1</v>
      </c>
      <c r="CA258" s="57">
        <f t="shared" ca="1" si="111"/>
        <v>1</v>
      </c>
      <c r="CB258" s="57">
        <f t="shared" ca="1" si="111"/>
        <v>1</v>
      </c>
      <c r="CC258" s="57">
        <f t="shared" ca="1" si="111"/>
        <v>1</v>
      </c>
      <c r="CD258" s="57">
        <f t="shared" ca="1" si="111"/>
        <v>1</v>
      </c>
      <c r="CE258" s="57">
        <f t="shared" ca="1" si="111"/>
        <v>1</v>
      </c>
      <c r="CF258" s="57">
        <f t="shared" ca="1" si="111"/>
        <v>1</v>
      </c>
      <c r="CG258" s="57">
        <f t="shared" ca="1" si="111"/>
        <v>1</v>
      </c>
      <c r="CH258" s="57">
        <f t="shared" ca="1" si="111"/>
        <v>1</v>
      </c>
      <c r="CI258" s="57">
        <f t="shared" ca="1" si="111"/>
        <v>1</v>
      </c>
      <c r="CJ258" s="57">
        <f t="shared" ca="1" si="111"/>
        <v>1</v>
      </c>
      <c r="CK258" s="57">
        <f t="shared" ca="1" si="111"/>
        <v>1</v>
      </c>
      <c r="CL258" s="57">
        <f t="shared" ca="1" si="111"/>
        <v>1</v>
      </c>
      <c r="CM258" s="57">
        <f t="shared" ca="1" si="111"/>
        <v>1</v>
      </c>
      <c r="CN258" s="57">
        <f t="shared" ca="1" si="111"/>
        <v>1</v>
      </c>
      <c r="CO258" s="57">
        <f t="shared" ca="1" si="111"/>
        <v>1</v>
      </c>
      <c r="CP258" s="57">
        <f t="shared" ca="1" si="111"/>
        <v>1</v>
      </c>
      <c r="CQ258" s="57">
        <f t="shared" ca="1" si="111"/>
        <v>1</v>
      </c>
      <c r="CR258" s="57">
        <f t="shared" ca="1" si="111"/>
        <v>1</v>
      </c>
      <c r="CS258" s="57">
        <f t="shared" ca="1" si="111"/>
        <v>1</v>
      </c>
      <c r="CT258" s="58"/>
      <c r="CU258" s="58"/>
      <c r="CV258" s="58"/>
    </row>
    <row r="259" spans="1:101" x14ac:dyDescent="0.25">
      <c r="A259" s="97">
        <v>1</v>
      </c>
      <c r="B259" s="153" t="s">
        <v>57</v>
      </c>
      <c r="C259" s="155">
        <v>0</v>
      </c>
      <c r="D259" s="152">
        <f t="shared" ca="1" si="110"/>
        <v>0.36196361125603499</v>
      </c>
      <c r="E259" s="152">
        <f t="shared" ca="1" si="110"/>
        <v>0.92477830760361712</v>
      </c>
      <c r="F259" s="152">
        <f t="shared" ca="1" si="110"/>
        <v>1.2468829812737623</v>
      </c>
      <c r="G259" s="152">
        <f t="shared" ca="1" si="110"/>
        <v>1.3715257321066554</v>
      </c>
      <c r="H259" s="152">
        <f t="shared" ca="1" si="110"/>
        <v>1.3297306344399178</v>
      </c>
      <c r="I259" s="152">
        <f t="shared" ca="1" si="110"/>
        <v>1.1142698480592821</v>
      </c>
      <c r="J259" s="152">
        <f t="shared" ca="1" si="110"/>
        <v>1.0294354248331066</v>
      </c>
      <c r="K259" s="152">
        <f t="shared" ca="1" si="110"/>
        <v>1.0291164899546705</v>
      </c>
      <c r="L259" s="152">
        <f t="shared" ca="1" si="110"/>
        <v>1</v>
      </c>
      <c r="M259" s="152">
        <f t="shared" ca="1" si="110"/>
        <v>1</v>
      </c>
      <c r="N259" s="152">
        <f t="shared" ca="1" si="110"/>
        <v>1</v>
      </c>
      <c r="O259" s="152">
        <f t="shared" ca="1" si="110"/>
        <v>1</v>
      </c>
      <c r="P259" s="152">
        <f t="shared" ca="1" si="110"/>
        <v>1</v>
      </c>
      <c r="Q259" s="152">
        <f t="shared" ca="1" si="110"/>
        <v>1</v>
      </c>
      <c r="R259" s="152">
        <f t="shared" ca="1" si="110"/>
        <v>1</v>
      </c>
      <c r="S259" s="152">
        <f t="shared" ca="1" si="110"/>
        <v>1</v>
      </c>
      <c r="T259" s="152">
        <f t="shared" ca="1" si="110"/>
        <v>1</v>
      </c>
      <c r="U259" s="152">
        <f t="shared" ca="1" si="110"/>
        <v>1</v>
      </c>
      <c r="V259" s="152">
        <f t="shared" ca="1" si="110"/>
        <v>1</v>
      </c>
      <c r="W259" s="152">
        <f t="shared" ca="1" si="110"/>
        <v>1</v>
      </c>
      <c r="X259" s="152">
        <f t="shared" ca="1" si="110"/>
        <v>1</v>
      </c>
      <c r="Y259" s="152">
        <f t="shared" ca="1" si="110"/>
        <v>1</v>
      </c>
      <c r="Z259" s="152">
        <f t="shared" ca="1" si="110"/>
        <v>1</v>
      </c>
      <c r="AA259" s="152">
        <f t="shared" ca="1" si="110"/>
        <v>1</v>
      </c>
      <c r="AB259" s="152">
        <f t="shared" ca="1" si="110"/>
        <v>1</v>
      </c>
      <c r="AC259" s="152">
        <f t="shared" ca="1" si="110"/>
        <v>1</v>
      </c>
      <c r="AD259" s="152">
        <f t="shared" ca="1" si="110"/>
        <v>1</v>
      </c>
      <c r="AE259" s="152">
        <f t="shared" ca="1" si="110"/>
        <v>1</v>
      </c>
      <c r="AF259" s="152">
        <f t="shared" ca="1" si="110"/>
        <v>1</v>
      </c>
      <c r="AG259" s="152">
        <f t="shared" ca="1" si="110"/>
        <v>1</v>
      </c>
      <c r="AH259" s="152">
        <f t="shared" ca="1" si="110"/>
        <v>1</v>
      </c>
      <c r="AI259" s="152">
        <f t="shared" ca="1" si="110"/>
        <v>1</v>
      </c>
      <c r="AJ259" s="152">
        <f t="shared" ca="1" si="110"/>
        <v>1</v>
      </c>
      <c r="AK259" s="152">
        <f t="shared" ca="1" si="110"/>
        <v>1</v>
      </c>
      <c r="AL259" s="152">
        <f t="shared" ca="1" si="110"/>
        <v>1</v>
      </c>
      <c r="AM259" s="152">
        <f t="shared" ca="1" si="110"/>
        <v>1</v>
      </c>
      <c r="AN259" s="152">
        <f t="shared" ca="1" si="110"/>
        <v>1</v>
      </c>
      <c r="AO259" s="152">
        <f t="shared" ca="1" si="110"/>
        <v>1</v>
      </c>
      <c r="AP259" s="152">
        <f t="shared" ca="1" si="110"/>
        <v>1</v>
      </c>
      <c r="AQ259" s="152">
        <f t="shared" ca="1" si="110"/>
        <v>1</v>
      </c>
      <c r="AR259" s="152">
        <f t="shared" ca="1" si="110"/>
        <v>1</v>
      </c>
      <c r="AS259" s="152">
        <f t="shared" ca="1" si="110"/>
        <v>1</v>
      </c>
      <c r="AT259" s="152">
        <f t="shared" ca="1" si="110"/>
        <v>1</v>
      </c>
      <c r="AU259" s="152">
        <f t="shared" ca="1" si="110"/>
        <v>1</v>
      </c>
      <c r="AV259" s="152">
        <f t="shared" ca="1" si="110"/>
        <v>1</v>
      </c>
      <c r="AW259" s="152">
        <f t="shared" ca="1" si="110"/>
        <v>1</v>
      </c>
      <c r="AX259" s="152">
        <f t="shared" ca="1" si="110"/>
        <v>1</v>
      </c>
      <c r="AY259" s="152">
        <f t="shared" ca="1" si="110"/>
        <v>1</v>
      </c>
      <c r="AZ259" s="152">
        <f t="shared" ca="1" si="110"/>
        <v>1</v>
      </c>
      <c r="BA259" s="152">
        <f t="shared" ca="1" si="110"/>
        <v>1</v>
      </c>
      <c r="BB259" s="152">
        <f t="shared" ca="1" si="110"/>
        <v>1</v>
      </c>
      <c r="BC259" s="152">
        <f t="shared" ca="1" si="110"/>
        <v>1</v>
      </c>
      <c r="BD259" s="152">
        <f t="shared" ca="1" si="110"/>
        <v>1</v>
      </c>
      <c r="BE259" s="152">
        <f t="shared" ca="1" si="110"/>
        <v>1</v>
      </c>
      <c r="BF259" s="152">
        <f t="shared" ca="1" si="110"/>
        <v>1</v>
      </c>
      <c r="BG259" s="152">
        <f t="shared" ca="1" si="110"/>
        <v>1</v>
      </c>
      <c r="BH259" s="152">
        <f t="shared" ca="1" si="110"/>
        <v>1</v>
      </c>
      <c r="BI259" s="152">
        <f t="shared" ca="1" si="110"/>
        <v>1</v>
      </c>
      <c r="BJ259" s="152">
        <f t="shared" ca="1" si="110"/>
        <v>1</v>
      </c>
      <c r="BK259" s="152">
        <f t="shared" ca="1" si="110"/>
        <v>1</v>
      </c>
      <c r="BL259" s="152">
        <f t="shared" ca="1" si="110"/>
        <v>1</v>
      </c>
      <c r="BM259" s="152">
        <f t="shared" ca="1" si="110"/>
        <v>1</v>
      </c>
      <c r="BN259" s="152">
        <f t="shared" ca="1" si="110"/>
        <v>1</v>
      </c>
      <c r="BO259" s="152">
        <f t="shared" ca="1" si="110"/>
        <v>1</v>
      </c>
      <c r="BP259" s="152">
        <f t="shared" ca="1" si="111"/>
        <v>1</v>
      </c>
      <c r="BQ259" s="152">
        <f t="shared" ca="1" si="111"/>
        <v>1</v>
      </c>
      <c r="BR259" s="152">
        <f t="shared" ca="1" si="111"/>
        <v>1</v>
      </c>
      <c r="BS259" s="152">
        <f t="shared" ca="1" si="111"/>
        <v>1</v>
      </c>
      <c r="BT259" s="152">
        <f t="shared" ca="1" si="111"/>
        <v>1</v>
      </c>
      <c r="BU259" s="152">
        <f t="shared" ca="1" si="111"/>
        <v>1</v>
      </c>
      <c r="BV259" s="152">
        <f t="shared" ca="1" si="111"/>
        <v>1</v>
      </c>
      <c r="BW259" s="152">
        <f t="shared" ca="1" si="111"/>
        <v>1</v>
      </c>
      <c r="BX259" s="152">
        <f t="shared" ca="1" si="111"/>
        <v>1</v>
      </c>
      <c r="BY259" s="152">
        <f t="shared" ca="1" si="111"/>
        <v>1</v>
      </c>
      <c r="BZ259" s="152">
        <f t="shared" ca="1" si="111"/>
        <v>1</v>
      </c>
      <c r="CA259" s="152">
        <f t="shared" ca="1" si="111"/>
        <v>1</v>
      </c>
      <c r="CB259" s="152">
        <f t="shared" ca="1" si="111"/>
        <v>1</v>
      </c>
      <c r="CC259" s="152">
        <f t="shared" ca="1" si="111"/>
        <v>1</v>
      </c>
      <c r="CD259" s="152">
        <f t="shared" ca="1" si="111"/>
        <v>1</v>
      </c>
      <c r="CE259" s="152">
        <f t="shared" ca="1" si="111"/>
        <v>1</v>
      </c>
      <c r="CF259" s="152">
        <f t="shared" ca="1" si="111"/>
        <v>1</v>
      </c>
      <c r="CG259" s="152">
        <f t="shared" ca="1" si="111"/>
        <v>1</v>
      </c>
      <c r="CH259" s="152">
        <f t="shared" ca="1" si="111"/>
        <v>1</v>
      </c>
      <c r="CI259" s="152">
        <f t="shared" ca="1" si="111"/>
        <v>1</v>
      </c>
      <c r="CJ259" s="152">
        <f t="shared" ca="1" si="111"/>
        <v>1</v>
      </c>
      <c r="CK259" s="152">
        <f t="shared" ca="1" si="111"/>
        <v>1</v>
      </c>
      <c r="CL259" s="152">
        <f t="shared" ca="1" si="111"/>
        <v>1</v>
      </c>
      <c r="CM259" s="152">
        <f t="shared" ca="1" si="111"/>
        <v>1</v>
      </c>
      <c r="CN259" s="152">
        <f t="shared" ca="1" si="111"/>
        <v>1</v>
      </c>
      <c r="CO259" s="152">
        <f t="shared" ca="1" si="111"/>
        <v>1</v>
      </c>
      <c r="CP259" s="152">
        <f t="shared" ca="1" si="111"/>
        <v>1</v>
      </c>
      <c r="CQ259" s="152">
        <f t="shared" ca="1" si="111"/>
        <v>1</v>
      </c>
      <c r="CR259" s="152">
        <f t="shared" ca="1" si="111"/>
        <v>1</v>
      </c>
      <c r="CS259" s="152">
        <f t="shared" ca="1" si="111"/>
        <v>1</v>
      </c>
      <c r="CT259" s="58"/>
      <c r="CU259" s="58"/>
      <c r="CV259" s="58"/>
    </row>
    <row r="261" spans="1:101" x14ac:dyDescent="0.25">
      <c r="A261" s="98"/>
      <c r="B261" s="59" t="s">
        <v>63</v>
      </c>
      <c r="C261" s="144">
        <v>0</v>
      </c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</row>
    <row r="262" spans="1:101" x14ac:dyDescent="0.25">
      <c r="A262" s="98"/>
      <c r="B262" s="59" t="s">
        <v>64</v>
      </c>
      <c r="C262" s="144">
        <v>20</v>
      </c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X262" s="191"/>
      <c r="Y262" s="191"/>
      <c r="Z262" s="191"/>
      <c r="AA262" s="191"/>
    </row>
    <row r="263" spans="1:101" x14ac:dyDescent="0.25">
      <c r="A263" s="98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Y263" s="191"/>
      <c r="Z263" s="191"/>
      <c r="AA263" s="191"/>
      <c r="CT263" s="12"/>
    </row>
    <row r="264" spans="1:101" x14ac:dyDescent="0.25">
      <c r="A264" s="98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Y264" s="191"/>
      <c r="Z264" s="191"/>
      <c r="AA264" s="191"/>
    </row>
    <row r="265" spans="1:101" x14ac:dyDescent="0.25">
      <c r="A265" s="98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Y265" s="191"/>
      <c r="Z265" s="191"/>
      <c r="AA265" s="191"/>
    </row>
    <row r="266" spans="1:101" x14ac:dyDescent="0.25">
      <c r="A266" s="98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Y266" s="191"/>
      <c r="Z266" s="191"/>
      <c r="AA266" s="191"/>
    </row>
    <row r="267" spans="1:101" x14ac:dyDescent="0.25">
      <c r="A267" s="98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Y267" s="191"/>
      <c r="Z267" s="191"/>
      <c r="AA267" s="191"/>
    </row>
    <row r="268" spans="1:101" x14ac:dyDescent="0.25">
      <c r="A268" s="98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Y268" s="191"/>
      <c r="Z268" s="191"/>
      <c r="AA268" s="191"/>
    </row>
    <row r="269" spans="1:101" x14ac:dyDescent="0.25">
      <c r="A269" s="98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Y269" s="191"/>
      <c r="Z269" s="191"/>
      <c r="AA269" s="191"/>
    </row>
    <row r="270" spans="1:101" x14ac:dyDescent="0.25">
      <c r="A270" s="98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Y270" s="191"/>
      <c r="Z270" s="191"/>
      <c r="AA270" s="191"/>
    </row>
    <row r="271" spans="1:101" x14ac:dyDescent="0.25">
      <c r="A271" s="98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Y271" s="191"/>
      <c r="Z271" s="191"/>
      <c r="AA271" s="191"/>
    </row>
    <row r="272" spans="1:101" x14ac:dyDescent="0.25">
      <c r="A272" s="98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Y272" s="191"/>
      <c r="Z272" s="191"/>
      <c r="AA272" s="191"/>
    </row>
    <row r="273" spans="1:27" x14ac:dyDescent="0.25">
      <c r="A273" s="98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Y273" s="191"/>
      <c r="Z273" s="191"/>
      <c r="AA273" s="191"/>
    </row>
    <row r="274" spans="1:27" x14ac:dyDescent="0.25">
      <c r="A274" s="98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Y274" s="191"/>
      <c r="Z274" s="191"/>
      <c r="AA274" s="191"/>
    </row>
    <row r="275" spans="1:27" x14ac:dyDescent="0.25">
      <c r="A275" s="98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Y275" s="191"/>
      <c r="Z275" s="191"/>
      <c r="AA275" s="191"/>
    </row>
    <row r="276" spans="1:27" x14ac:dyDescent="0.25">
      <c r="Y276" s="191"/>
      <c r="Z276" s="191"/>
      <c r="AA276" s="191"/>
    </row>
    <row r="277" spans="1:27" x14ac:dyDescent="0.25">
      <c r="Y277" s="191"/>
      <c r="Z277" s="191"/>
      <c r="AA277" s="191"/>
    </row>
    <row r="278" spans="1:27" x14ac:dyDescent="0.25">
      <c r="Y278" s="191"/>
      <c r="Z278" s="191"/>
      <c r="AA278" s="191"/>
    </row>
    <row r="279" spans="1:27" x14ac:dyDescent="0.25">
      <c r="Y279" s="191"/>
      <c r="Z279" s="191"/>
      <c r="AA279" s="191"/>
    </row>
    <row r="280" spans="1:27" x14ac:dyDescent="0.25">
      <c r="Y280" s="191"/>
      <c r="Z280" s="191"/>
      <c r="AA280" s="191"/>
    </row>
    <row r="281" spans="1:27" x14ac:dyDescent="0.25">
      <c r="Y281" s="191"/>
      <c r="Z281" s="191"/>
      <c r="AA281" s="191"/>
    </row>
    <row r="282" spans="1:27" x14ac:dyDescent="0.25">
      <c r="Y282" s="191"/>
      <c r="Z282" s="191"/>
      <c r="AA282" s="191"/>
    </row>
    <row r="283" spans="1:27" x14ac:dyDescent="0.25">
      <c r="Y283" s="191"/>
      <c r="Z283" s="191"/>
      <c r="AA283" s="191"/>
    </row>
    <row r="284" spans="1:27" x14ac:dyDescent="0.25">
      <c r="Y284" s="191"/>
      <c r="Z284" s="191"/>
      <c r="AA284" s="191"/>
    </row>
    <row r="285" spans="1:27" x14ac:dyDescent="0.25">
      <c r="Y285" s="191"/>
      <c r="Z285" s="191"/>
      <c r="AA285" s="191"/>
    </row>
    <row r="286" spans="1:27" x14ac:dyDescent="0.25">
      <c r="Y286" s="191"/>
      <c r="Z286" s="191"/>
      <c r="AA286" s="191"/>
    </row>
    <row r="287" spans="1:27" x14ac:dyDescent="0.25">
      <c r="Y287" s="191"/>
      <c r="Z287" s="191"/>
      <c r="AA287" s="191"/>
    </row>
    <row r="304" spans="2:8" ht="15.75" thickBot="1" x14ac:dyDescent="0.3">
      <c r="B304" s="229" t="s">
        <v>75</v>
      </c>
      <c r="D304" s="191"/>
      <c r="F304" s="230" t="s">
        <v>79</v>
      </c>
      <c r="G304" s="137"/>
      <c r="H304" s="137"/>
    </row>
    <row r="305" spans="2:8" x14ac:dyDescent="0.25">
      <c r="D305" s="191"/>
    </row>
    <row r="306" spans="2:8" x14ac:dyDescent="0.25">
      <c r="B306" s="209" t="s">
        <v>42</v>
      </c>
      <c r="C306" s="207" t="s">
        <v>76</v>
      </c>
      <c r="D306" s="208" t="s">
        <v>77</v>
      </c>
      <c r="F306" s="209" t="s">
        <v>36</v>
      </c>
      <c r="G306" s="209" t="s">
        <v>76</v>
      </c>
      <c r="H306" s="209" t="s">
        <v>77</v>
      </c>
    </row>
    <row r="307" spans="2:8" x14ac:dyDescent="0.25">
      <c r="B307" s="210">
        <f t="shared" ref="B307:B330" si="112">B234</f>
        <v>1996</v>
      </c>
      <c r="C307" s="215">
        <f t="shared" ref="C307:C330" ca="1" si="113">OFFSET($C$258,0,CT42)</f>
        <v>1</v>
      </c>
      <c r="D307" s="218">
        <f t="shared" ref="D307:D329" ca="1" si="114">1/C307</f>
        <v>1</v>
      </c>
      <c r="F307" s="205">
        <v>0</v>
      </c>
      <c r="G307" s="233">
        <v>0</v>
      </c>
      <c r="H307" s="231">
        <v>1</v>
      </c>
    </row>
    <row r="308" spans="2:8" x14ac:dyDescent="0.25">
      <c r="B308" s="205">
        <f t="shared" si="112"/>
        <v>1997</v>
      </c>
      <c r="C308" s="216">
        <f t="shared" ca="1" si="113"/>
        <v>1</v>
      </c>
      <c r="D308" s="219">
        <f t="shared" ca="1" si="114"/>
        <v>1</v>
      </c>
      <c r="F308" s="205">
        <v>1</v>
      </c>
      <c r="G308" s="234">
        <f ca="1">INDEX($D$259:$CS$259,1,F308)</f>
        <v>0.36196361125603499</v>
      </c>
      <c r="H308" s="231">
        <f ca="1">1/G308</f>
        <v>2.7627086505462284</v>
      </c>
    </row>
    <row r="309" spans="2:8" x14ac:dyDescent="0.25">
      <c r="B309" s="205">
        <f t="shared" si="112"/>
        <v>1998</v>
      </c>
      <c r="C309" s="216">
        <f t="shared" ca="1" si="113"/>
        <v>1</v>
      </c>
      <c r="D309" s="219">
        <f t="shared" ca="1" si="114"/>
        <v>1</v>
      </c>
      <c r="F309" s="205">
        <f>F308+1</f>
        <v>2</v>
      </c>
      <c r="G309" s="234">
        <f t="shared" ref="G309:G372" ca="1" si="115">INDEX($D$259:$CS$259,1,F309)</f>
        <v>0.92477830760361712</v>
      </c>
      <c r="H309" s="231">
        <f t="shared" ref="H309:H372" ca="1" si="116">1/G309</f>
        <v>1.0813402431457386</v>
      </c>
    </row>
    <row r="310" spans="2:8" x14ac:dyDescent="0.25">
      <c r="B310" s="205">
        <f t="shared" si="112"/>
        <v>1999</v>
      </c>
      <c r="C310" s="216">
        <f t="shared" ca="1" si="113"/>
        <v>1</v>
      </c>
      <c r="D310" s="219">
        <f t="shared" ca="1" si="114"/>
        <v>1</v>
      </c>
      <c r="F310" s="205">
        <f t="shared" ref="F310:F325" si="117">F309+1</f>
        <v>3</v>
      </c>
      <c r="G310" s="234">
        <f t="shared" ca="1" si="115"/>
        <v>1.2468829812737623</v>
      </c>
      <c r="H310" s="231">
        <f t="shared" ca="1" si="116"/>
        <v>0.80199987891280933</v>
      </c>
    </row>
    <row r="311" spans="2:8" x14ac:dyDescent="0.25">
      <c r="B311" s="205">
        <f t="shared" si="112"/>
        <v>2000</v>
      </c>
      <c r="C311" s="216">
        <f t="shared" ca="1" si="113"/>
        <v>1</v>
      </c>
      <c r="D311" s="219">
        <f t="shared" ca="1" si="114"/>
        <v>1</v>
      </c>
      <c r="F311" s="205">
        <f t="shared" si="117"/>
        <v>4</v>
      </c>
      <c r="G311" s="234">
        <f t="shared" ca="1" si="115"/>
        <v>1.3715257321066554</v>
      </c>
      <c r="H311" s="231">
        <f t="shared" ca="1" si="116"/>
        <v>0.72911501154557701</v>
      </c>
    </row>
    <row r="312" spans="2:8" x14ac:dyDescent="0.25">
      <c r="B312" s="205">
        <f t="shared" si="112"/>
        <v>2001</v>
      </c>
      <c r="C312" s="216">
        <f t="shared" ca="1" si="113"/>
        <v>1</v>
      </c>
      <c r="D312" s="219">
        <f t="shared" ca="1" si="114"/>
        <v>1</v>
      </c>
      <c r="F312" s="205">
        <f t="shared" si="117"/>
        <v>5</v>
      </c>
      <c r="G312" s="234">
        <f t="shared" ca="1" si="115"/>
        <v>1.3297306344399178</v>
      </c>
      <c r="H312" s="231">
        <f t="shared" ca="1" si="116"/>
        <v>0.75203200866407038</v>
      </c>
    </row>
    <row r="313" spans="2:8" x14ac:dyDescent="0.25">
      <c r="B313" s="205">
        <f t="shared" si="112"/>
        <v>2002</v>
      </c>
      <c r="C313" s="216">
        <f t="shared" ca="1" si="113"/>
        <v>1</v>
      </c>
      <c r="D313" s="219">
        <f t="shared" ca="1" si="114"/>
        <v>1</v>
      </c>
      <c r="F313" s="205">
        <f t="shared" si="117"/>
        <v>6</v>
      </c>
      <c r="G313" s="234">
        <f t="shared" ca="1" si="115"/>
        <v>1.1142698480592821</v>
      </c>
      <c r="H313" s="231">
        <f t="shared" ca="1" si="116"/>
        <v>0.89744867613683954</v>
      </c>
    </row>
    <row r="314" spans="2:8" x14ac:dyDescent="0.25">
      <c r="B314" s="205">
        <f t="shared" si="112"/>
        <v>2003</v>
      </c>
      <c r="C314" s="216">
        <f t="shared" ca="1" si="113"/>
        <v>1</v>
      </c>
      <c r="D314" s="219">
        <f t="shared" ca="1" si="114"/>
        <v>1</v>
      </c>
      <c r="F314" s="205">
        <f t="shared" si="117"/>
        <v>7</v>
      </c>
      <c r="G314" s="234">
        <f t="shared" ca="1" si="115"/>
        <v>1.0294354248331066</v>
      </c>
      <c r="H314" s="231">
        <f t="shared" ca="1" si="116"/>
        <v>0.97140624450739232</v>
      </c>
    </row>
    <row r="315" spans="2:8" x14ac:dyDescent="0.25">
      <c r="B315" s="205">
        <f t="shared" si="112"/>
        <v>2004</v>
      </c>
      <c r="C315" s="216">
        <f t="shared" ca="1" si="113"/>
        <v>1</v>
      </c>
      <c r="D315" s="219">
        <f t="shared" ca="1" si="114"/>
        <v>1</v>
      </c>
      <c r="F315" s="205">
        <f t="shared" si="117"/>
        <v>8</v>
      </c>
      <c r="G315" s="234">
        <f t="shared" ca="1" si="115"/>
        <v>1.0291164899546705</v>
      </c>
      <c r="H315" s="231">
        <f t="shared" ca="1" si="116"/>
        <v>0.97170729432588043</v>
      </c>
    </row>
    <row r="316" spans="2:8" x14ac:dyDescent="0.25">
      <c r="B316" s="205">
        <f t="shared" si="112"/>
        <v>2005</v>
      </c>
      <c r="C316" s="216">
        <f t="shared" ca="1" si="113"/>
        <v>1</v>
      </c>
      <c r="D316" s="219">
        <f t="shared" ca="1" si="114"/>
        <v>1</v>
      </c>
      <c r="F316" s="205">
        <f t="shared" si="117"/>
        <v>9</v>
      </c>
      <c r="G316" s="234">
        <f t="shared" ca="1" si="115"/>
        <v>1</v>
      </c>
      <c r="H316" s="231">
        <f t="shared" ca="1" si="116"/>
        <v>1</v>
      </c>
    </row>
    <row r="317" spans="2:8" x14ac:dyDescent="0.25">
      <c r="B317" s="205">
        <f t="shared" si="112"/>
        <v>2006</v>
      </c>
      <c r="C317" s="216">
        <f t="shared" ca="1" si="113"/>
        <v>1</v>
      </c>
      <c r="D317" s="219">
        <f t="shared" ca="1" si="114"/>
        <v>1</v>
      </c>
      <c r="F317" s="205">
        <f t="shared" si="117"/>
        <v>10</v>
      </c>
      <c r="G317" s="234">
        <f t="shared" ca="1" si="115"/>
        <v>1</v>
      </c>
      <c r="H317" s="231">
        <f t="shared" ca="1" si="116"/>
        <v>1</v>
      </c>
    </row>
    <row r="318" spans="2:8" x14ac:dyDescent="0.25">
      <c r="B318" s="205">
        <f t="shared" si="112"/>
        <v>2007</v>
      </c>
      <c r="C318" s="216">
        <f t="shared" ca="1" si="113"/>
        <v>1</v>
      </c>
      <c r="D318" s="219">
        <f t="shared" ca="1" si="114"/>
        <v>1</v>
      </c>
      <c r="F318" s="205">
        <f t="shared" si="117"/>
        <v>11</v>
      </c>
      <c r="G318" s="234">
        <f t="shared" ca="1" si="115"/>
        <v>1</v>
      </c>
      <c r="H318" s="231">
        <f t="shared" ca="1" si="116"/>
        <v>1</v>
      </c>
    </row>
    <row r="319" spans="2:8" x14ac:dyDescent="0.25">
      <c r="B319" s="205">
        <f t="shared" si="112"/>
        <v>2008</v>
      </c>
      <c r="C319" s="216">
        <f t="shared" ca="1" si="113"/>
        <v>1</v>
      </c>
      <c r="D319" s="219">
        <f t="shared" ca="1" si="114"/>
        <v>1</v>
      </c>
      <c r="F319" s="205">
        <f t="shared" si="117"/>
        <v>12</v>
      </c>
      <c r="G319" s="234">
        <f t="shared" ca="1" si="115"/>
        <v>1</v>
      </c>
      <c r="H319" s="231">
        <f t="shared" ca="1" si="116"/>
        <v>1</v>
      </c>
    </row>
    <row r="320" spans="2:8" x14ac:dyDescent="0.25">
      <c r="B320" s="205">
        <f t="shared" si="112"/>
        <v>2009</v>
      </c>
      <c r="C320" s="216">
        <f t="shared" ca="1" si="113"/>
        <v>1</v>
      </c>
      <c r="D320" s="219">
        <f t="shared" ca="1" si="114"/>
        <v>1</v>
      </c>
      <c r="F320" s="205">
        <f t="shared" si="117"/>
        <v>13</v>
      </c>
      <c r="G320" s="234">
        <f t="shared" ca="1" si="115"/>
        <v>1</v>
      </c>
      <c r="H320" s="231">
        <f t="shared" ca="1" si="116"/>
        <v>1</v>
      </c>
    </row>
    <row r="321" spans="2:8" x14ac:dyDescent="0.25">
      <c r="B321" s="205">
        <f t="shared" si="112"/>
        <v>2010</v>
      </c>
      <c r="C321" s="216">
        <f t="shared" ca="1" si="113"/>
        <v>1</v>
      </c>
      <c r="D321" s="219">
        <f t="shared" ca="1" si="114"/>
        <v>1</v>
      </c>
      <c r="F321" s="205">
        <f t="shared" si="117"/>
        <v>14</v>
      </c>
      <c r="G321" s="234">
        <f t="shared" ca="1" si="115"/>
        <v>1</v>
      </c>
      <c r="H321" s="231">
        <f t="shared" ca="1" si="116"/>
        <v>1</v>
      </c>
    </row>
    <row r="322" spans="2:8" x14ac:dyDescent="0.25">
      <c r="B322" s="205">
        <f t="shared" si="112"/>
        <v>2011</v>
      </c>
      <c r="C322" s="216">
        <f t="shared" ca="1" si="113"/>
        <v>1</v>
      </c>
      <c r="D322" s="219">
        <f t="shared" ca="1" si="114"/>
        <v>1</v>
      </c>
      <c r="F322" s="205">
        <f t="shared" si="117"/>
        <v>15</v>
      </c>
      <c r="G322" s="234">
        <f t="shared" ca="1" si="115"/>
        <v>1</v>
      </c>
      <c r="H322" s="231">
        <f t="shared" ca="1" si="116"/>
        <v>1</v>
      </c>
    </row>
    <row r="323" spans="2:8" x14ac:dyDescent="0.25">
      <c r="B323" s="205">
        <f t="shared" si="112"/>
        <v>2012</v>
      </c>
      <c r="C323" s="216">
        <f t="shared" ca="1" si="113"/>
        <v>1</v>
      </c>
      <c r="D323" s="219">
        <f t="shared" ca="1" si="114"/>
        <v>1</v>
      </c>
      <c r="F323" s="205">
        <f t="shared" si="117"/>
        <v>16</v>
      </c>
      <c r="G323" s="234">
        <f t="shared" ca="1" si="115"/>
        <v>1</v>
      </c>
      <c r="H323" s="231">
        <f t="shared" ca="1" si="116"/>
        <v>1</v>
      </c>
    </row>
    <row r="324" spans="2:8" x14ac:dyDescent="0.25">
      <c r="B324" s="205">
        <f t="shared" si="112"/>
        <v>2013</v>
      </c>
      <c r="C324" s="216">
        <f t="shared" ca="1" si="113"/>
        <v>1.0003099113477911</v>
      </c>
      <c r="D324" s="219">
        <f t="shared" ca="1" si="114"/>
        <v>0.99969018466749615</v>
      </c>
      <c r="F324" s="205">
        <f t="shared" si="117"/>
        <v>17</v>
      </c>
      <c r="G324" s="234">
        <f t="shared" ca="1" si="115"/>
        <v>1</v>
      </c>
      <c r="H324" s="231">
        <f t="shared" ca="1" si="116"/>
        <v>1</v>
      </c>
    </row>
    <row r="325" spans="2:8" x14ac:dyDescent="0.25">
      <c r="B325" s="205">
        <f t="shared" si="112"/>
        <v>2014</v>
      </c>
      <c r="C325" s="216">
        <f t="shared" ca="1" si="113"/>
        <v>1.0827441392065948</v>
      </c>
      <c r="D325" s="219">
        <f t="shared" ca="1" si="114"/>
        <v>0.92357923150041021</v>
      </c>
      <c r="F325" s="205">
        <f t="shared" si="117"/>
        <v>18</v>
      </c>
      <c r="G325" s="234">
        <f t="shared" ca="1" si="115"/>
        <v>1</v>
      </c>
      <c r="H325" s="231">
        <f t="shared" ca="1" si="116"/>
        <v>1</v>
      </c>
    </row>
    <row r="326" spans="2:8" x14ac:dyDescent="0.25">
      <c r="B326" s="205">
        <f t="shared" si="112"/>
        <v>2015</v>
      </c>
      <c r="C326" s="216">
        <f t="shared" ca="1" si="113"/>
        <v>1.2921089569738489</v>
      </c>
      <c r="D326" s="219">
        <f t="shared" ca="1" si="114"/>
        <v>0.77392854108992848</v>
      </c>
      <c r="F326" s="205">
        <f>F325+1</f>
        <v>19</v>
      </c>
      <c r="G326" s="234">
        <f t="shared" ca="1" si="115"/>
        <v>1</v>
      </c>
      <c r="H326" s="231">
        <f t="shared" ca="1" si="116"/>
        <v>1</v>
      </c>
    </row>
    <row r="327" spans="2:8" x14ac:dyDescent="0.25">
      <c r="B327" s="205">
        <f t="shared" si="112"/>
        <v>2016</v>
      </c>
      <c r="C327" s="216">
        <f t="shared" ca="1" si="113"/>
        <v>1.3327215582436804</v>
      </c>
      <c r="D327" s="219">
        <f t="shared" ca="1" si="114"/>
        <v>0.75034428145504328</v>
      </c>
      <c r="F327" s="205">
        <f t="shared" ref="F327:F386" si="118">F326+1</f>
        <v>20</v>
      </c>
      <c r="G327" s="234">
        <f t="shared" ca="1" si="115"/>
        <v>1</v>
      </c>
      <c r="H327" s="231">
        <f t="shared" ca="1" si="116"/>
        <v>1</v>
      </c>
    </row>
    <row r="328" spans="2:8" x14ac:dyDescent="0.25">
      <c r="B328" s="205">
        <f t="shared" si="112"/>
        <v>2017</v>
      </c>
      <c r="C328" s="216">
        <f t="shared" ca="1" si="113"/>
        <v>1.211605288074515</v>
      </c>
      <c r="D328" s="219">
        <f t="shared" ca="1" si="114"/>
        <v>0.82535130033082105</v>
      </c>
      <c r="F328" s="205">
        <f t="shared" si="118"/>
        <v>21</v>
      </c>
      <c r="G328" s="234">
        <f t="shared" ca="1" si="115"/>
        <v>1</v>
      </c>
      <c r="H328" s="231">
        <f t="shared" ca="1" si="116"/>
        <v>1</v>
      </c>
    </row>
    <row r="329" spans="2:8" x14ac:dyDescent="0.25">
      <c r="B329" s="205">
        <f t="shared" si="112"/>
        <v>2018</v>
      </c>
      <c r="C329" s="216">
        <f t="shared" ca="1" si="113"/>
        <v>0.89861382713277738</v>
      </c>
      <c r="D329" s="220">
        <f t="shared" ca="1" si="114"/>
        <v>1.1128250754728728</v>
      </c>
      <c r="F329" s="205">
        <f t="shared" si="118"/>
        <v>22</v>
      </c>
      <c r="G329" s="234">
        <f t="shared" ca="1" si="115"/>
        <v>1</v>
      </c>
      <c r="H329" s="231">
        <f t="shared" ca="1" si="116"/>
        <v>1</v>
      </c>
    </row>
    <row r="330" spans="2:8" x14ac:dyDescent="0.25">
      <c r="B330" s="206">
        <f t="shared" si="112"/>
        <v>2019</v>
      </c>
      <c r="C330" s="217">
        <f t="shared" ca="1" si="113"/>
        <v>0.35172268133802653</v>
      </c>
      <c r="D330" s="221">
        <f ca="1">1/C330</f>
        <v>2.843149029217539</v>
      </c>
      <c r="F330" s="205">
        <f t="shared" si="118"/>
        <v>23</v>
      </c>
      <c r="G330" s="234">
        <f t="shared" ca="1" si="115"/>
        <v>1</v>
      </c>
      <c r="H330" s="231">
        <f t="shared" ca="1" si="116"/>
        <v>1</v>
      </c>
    </row>
    <row r="331" spans="2:8" x14ac:dyDescent="0.25">
      <c r="F331" s="205">
        <f t="shared" si="118"/>
        <v>24</v>
      </c>
      <c r="G331" s="234">
        <f t="shared" ca="1" si="115"/>
        <v>1</v>
      </c>
      <c r="H331" s="231">
        <f t="shared" ca="1" si="116"/>
        <v>1</v>
      </c>
    </row>
    <row r="332" spans="2:8" x14ac:dyDescent="0.25">
      <c r="F332" s="205">
        <f t="shared" si="118"/>
        <v>25</v>
      </c>
      <c r="G332" s="234">
        <f t="shared" ca="1" si="115"/>
        <v>1</v>
      </c>
      <c r="H332" s="231">
        <f t="shared" ca="1" si="116"/>
        <v>1</v>
      </c>
    </row>
    <row r="333" spans="2:8" x14ac:dyDescent="0.25">
      <c r="F333" s="205">
        <f t="shared" si="118"/>
        <v>26</v>
      </c>
      <c r="G333" s="234">
        <f t="shared" ca="1" si="115"/>
        <v>1</v>
      </c>
      <c r="H333" s="231">
        <f t="shared" ca="1" si="116"/>
        <v>1</v>
      </c>
    </row>
    <row r="334" spans="2:8" x14ac:dyDescent="0.25">
      <c r="F334" s="205">
        <f t="shared" si="118"/>
        <v>27</v>
      </c>
      <c r="G334" s="234">
        <f t="shared" ca="1" si="115"/>
        <v>1</v>
      </c>
      <c r="H334" s="231">
        <f t="shared" ca="1" si="116"/>
        <v>1</v>
      </c>
    </row>
    <row r="335" spans="2:8" x14ac:dyDescent="0.25">
      <c r="F335" s="205">
        <f t="shared" si="118"/>
        <v>28</v>
      </c>
      <c r="G335" s="234">
        <f t="shared" ca="1" si="115"/>
        <v>1</v>
      </c>
      <c r="H335" s="231">
        <f t="shared" ca="1" si="116"/>
        <v>1</v>
      </c>
    </row>
    <row r="336" spans="2:8" x14ac:dyDescent="0.25">
      <c r="F336" s="205">
        <f t="shared" si="118"/>
        <v>29</v>
      </c>
      <c r="G336" s="234">
        <f t="shared" ca="1" si="115"/>
        <v>1</v>
      </c>
      <c r="H336" s="231">
        <f t="shared" ca="1" si="116"/>
        <v>1</v>
      </c>
    </row>
    <row r="337" spans="6:8" x14ac:dyDescent="0.25">
      <c r="F337" s="205">
        <f t="shared" si="118"/>
        <v>30</v>
      </c>
      <c r="G337" s="234">
        <f t="shared" ca="1" si="115"/>
        <v>1</v>
      </c>
      <c r="H337" s="231">
        <f t="shared" ca="1" si="116"/>
        <v>1</v>
      </c>
    </row>
    <row r="338" spans="6:8" x14ac:dyDescent="0.25">
      <c r="F338" s="205">
        <f t="shared" si="118"/>
        <v>31</v>
      </c>
      <c r="G338" s="234">
        <f t="shared" ca="1" si="115"/>
        <v>1</v>
      </c>
      <c r="H338" s="231">
        <f t="shared" ca="1" si="116"/>
        <v>1</v>
      </c>
    </row>
    <row r="339" spans="6:8" x14ac:dyDescent="0.25">
      <c r="F339" s="205">
        <f t="shared" si="118"/>
        <v>32</v>
      </c>
      <c r="G339" s="234">
        <f t="shared" ca="1" si="115"/>
        <v>1</v>
      </c>
      <c r="H339" s="231">
        <f t="shared" ca="1" si="116"/>
        <v>1</v>
      </c>
    </row>
    <row r="340" spans="6:8" x14ac:dyDescent="0.25">
      <c r="F340" s="205">
        <f t="shared" si="118"/>
        <v>33</v>
      </c>
      <c r="G340" s="234">
        <f t="shared" ca="1" si="115"/>
        <v>1</v>
      </c>
      <c r="H340" s="231">
        <f t="shared" ca="1" si="116"/>
        <v>1</v>
      </c>
    </row>
    <row r="341" spans="6:8" x14ac:dyDescent="0.25">
      <c r="F341" s="205">
        <f t="shared" si="118"/>
        <v>34</v>
      </c>
      <c r="G341" s="234">
        <f t="shared" ca="1" si="115"/>
        <v>1</v>
      </c>
      <c r="H341" s="231">
        <f t="shared" ca="1" si="116"/>
        <v>1</v>
      </c>
    </row>
    <row r="342" spans="6:8" x14ac:dyDescent="0.25">
      <c r="F342" s="205">
        <f t="shared" si="118"/>
        <v>35</v>
      </c>
      <c r="G342" s="234">
        <f t="shared" ca="1" si="115"/>
        <v>1</v>
      </c>
      <c r="H342" s="231">
        <f t="shared" ca="1" si="116"/>
        <v>1</v>
      </c>
    </row>
    <row r="343" spans="6:8" x14ac:dyDescent="0.25">
      <c r="F343" s="205">
        <f t="shared" si="118"/>
        <v>36</v>
      </c>
      <c r="G343" s="234">
        <f t="shared" ca="1" si="115"/>
        <v>1</v>
      </c>
      <c r="H343" s="231">
        <f t="shared" ca="1" si="116"/>
        <v>1</v>
      </c>
    </row>
    <row r="344" spans="6:8" x14ac:dyDescent="0.25">
      <c r="F344" s="205">
        <f t="shared" si="118"/>
        <v>37</v>
      </c>
      <c r="G344" s="234">
        <f t="shared" ca="1" si="115"/>
        <v>1</v>
      </c>
      <c r="H344" s="231">
        <f t="shared" ca="1" si="116"/>
        <v>1</v>
      </c>
    </row>
    <row r="345" spans="6:8" x14ac:dyDescent="0.25">
      <c r="F345" s="205">
        <f t="shared" si="118"/>
        <v>38</v>
      </c>
      <c r="G345" s="234">
        <f t="shared" ca="1" si="115"/>
        <v>1</v>
      </c>
      <c r="H345" s="231">
        <f t="shared" ca="1" si="116"/>
        <v>1</v>
      </c>
    </row>
    <row r="346" spans="6:8" x14ac:dyDescent="0.25">
      <c r="F346" s="205">
        <f t="shared" si="118"/>
        <v>39</v>
      </c>
      <c r="G346" s="234">
        <f t="shared" ca="1" si="115"/>
        <v>1</v>
      </c>
      <c r="H346" s="231">
        <f t="shared" ca="1" si="116"/>
        <v>1</v>
      </c>
    </row>
    <row r="347" spans="6:8" x14ac:dyDescent="0.25">
      <c r="F347" s="205">
        <f t="shared" si="118"/>
        <v>40</v>
      </c>
      <c r="G347" s="234">
        <f t="shared" ca="1" si="115"/>
        <v>1</v>
      </c>
      <c r="H347" s="231">
        <f t="shared" ca="1" si="116"/>
        <v>1</v>
      </c>
    </row>
    <row r="348" spans="6:8" x14ac:dyDescent="0.25">
      <c r="F348" s="205">
        <f t="shared" si="118"/>
        <v>41</v>
      </c>
      <c r="G348" s="234">
        <f t="shared" ca="1" si="115"/>
        <v>1</v>
      </c>
      <c r="H348" s="231">
        <f t="shared" ca="1" si="116"/>
        <v>1</v>
      </c>
    </row>
    <row r="349" spans="6:8" x14ac:dyDescent="0.25">
      <c r="F349" s="205">
        <f t="shared" si="118"/>
        <v>42</v>
      </c>
      <c r="G349" s="234">
        <f t="shared" ca="1" si="115"/>
        <v>1</v>
      </c>
      <c r="H349" s="231">
        <f t="shared" ca="1" si="116"/>
        <v>1</v>
      </c>
    </row>
    <row r="350" spans="6:8" x14ac:dyDescent="0.25">
      <c r="F350" s="205">
        <f t="shared" si="118"/>
        <v>43</v>
      </c>
      <c r="G350" s="234">
        <f t="shared" ca="1" si="115"/>
        <v>1</v>
      </c>
      <c r="H350" s="231">
        <f t="shared" ca="1" si="116"/>
        <v>1</v>
      </c>
    </row>
    <row r="351" spans="6:8" x14ac:dyDescent="0.25">
      <c r="F351" s="205">
        <f t="shared" si="118"/>
        <v>44</v>
      </c>
      <c r="G351" s="234">
        <f t="shared" ca="1" si="115"/>
        <v>1</v>
      </c>
      <c r="H351" s="231">
        <f t="shared" ca="1" si="116"/>
        <v>1</v>
      </c>
    </row>
    <row r="352" spans="6:8" x14ac:dyDescent="0.25">
      <c r="F352" s="205">
        <f t="shared" si="118"/>
        <v>45</v>
      </c>
      <c r="G352" s="234">
        <f t="shared" ca="1" si="115"/>
        <v>1</v>
      </c>
      <c r="H352" s="231">
        <f t="shared" ca="1" si="116"/>
        <v>1</v>
      </c>
    </row>
    <row r="353" spans="6:8" x14ac:dyDescent="0.25">
      <c r="F353" s="205">
        <f t="shared" si="118"/>
        <v>46</v>
      </c>
      <c r="G353" s="234">
        <f t="shared" ca="1" si="115"/>
        <v>1</v>
      </c>
      <c r="H353" s="231">
        <f t="shared" ca="1" si="116"/>
        <v>1</v>
      </c>
    </row>
    <row r="354" spans="6:8" x14ac:dyDescent="0.25">
      <c r="F354" s="205">
        <f t="shared" si="118"/>
        <v>47</v>
      </c>
      <c r="G354" s="234">
        <f t="shared" ca="1" si="115"/>
        <v>1</v>
      </c>
      <c r="H354" s="231">
        <f t="shared" ca="1" si="116"/>
        <v>1</v>
      </c>
    </row>
    <row r="355" spans="6:8" x14ac:dyDescent="0.25">
      <c r="F355" s="205">
        <f t="shared" si="118"/>
        <v>48</v>
      </c>
      <c r="G355" s="234">
        <f t="shared" ca="1" si="115"/>
        <v>1</v>
      </c>
      <c r="H355" s="231">
        <f t="shared" ca="1" si="116"/>
        <v>1</v>
      </c>
    </row>
    <row r="356" spans="6:8" x14ac:dyDescent="0.25">
      <c r="F356" s="205">
        <f t="shared" si="118"/>
        <v>49</v>
      </c>
      <c r="G356" s="234">
        <f t="shared" ca="1" si="115"/>
        <v>1</v>
      </c>
      <c r="H356" s="231">
        <f t="shared" ca="1" si="116"/>
        <v>1</v>
      </c>
    </row>
    <row r="357" spans="6:8" x14ac:dyDescent="0.25">
      <c r="F357" s="205">
        <f t="shared" si="118"/>
        <v>50</v>
      </c>
      <c r="G357" s="234">
        <f t="shared" ca="1" si="115"/>
        <v>1</v>
      </c>
      <c r="H357" s="231">
        <f t="shared" ca="1" si="116"/>
        <v>1</v>
      </c>
    </row>
    <row r="358" spans="6:8" x14ac:dyDescent="0.25">
      <c r="F358" s="205">
        <f t="shared" si="118"/>
        <v>51</v>
      </c>
      <c r="G358" s="234">
        <f t="shared" ca="1" si="115"/>
        <v>1</v>
      </c>
      <c r="H358" s="231">
        <f t="shared" ca="1" si="116"/>
        <v>1</v>
      </c>
    </row>
    <row r="359" spans="6:8" x14ac:dyDescent="0.25">
      <c r="F359" s="205">
        <f t="shared" si="118"/>
        <v>52</v>
      </c>
      <c r="G359" s="234">
        <f t="shared" ca="1" si="115"/>
        <v>1</v>
      </c>
      <c r="H359" s="231">
        <f t="shared" ca="1" si="116"/>
        <v>1</v>
      </c>
    </row>
    <row r="360" spans="6:8" x14ac:dyDescent="0.25">
      <c r="F360" s="205">
        <f t="shared" si="118"/>
        <v>53</v>
      </c>
      <c r="G360" s="234">
        <f t="shared" ca="1" si="115"/>
        <v>1</v>
      </c>
      <c r="H360" s="231">
        <f t="shared" ca="1" si="116"/>
        <v>1</v>
      </c>
    </row>
    <row r="361" spans="6:8" x14ac:dyDescent="0.25">
      <c r="F361" s="205">
        <f t="shared" si="118"/>
        <v>54</v>
      </c>
      <c r="G361" s="234">
        <f t="shared" ca="1" si="115"/>
        <v>1</v>
      </c>
      <c r="H361" s="231">
        <f t="shared" ca="1" si="116"/>
        <v>1</v>
      </c>
    </row>
    <row r="362" spans="6:8" x14ac:dyDescent="0.25">
      <c r="F362" s="205">
        <f t="shared" si="118"/>
        <v>55</v>
      </c>
      <c r="G362" s="234">
        <f t="shared" ca="1" si="115"/>
        <v>1</v>
      </c>
      <c r="H362" s="231">
        <f t="shared" ca="1" si="116"/>
        <v>1</v>
      </c>
    </row>
    <row r="363" spans="6:8" x14ac:dyDescent="0.25">
      <c r="F363" s="205">
        <f t="shared" si="118"/>
        <v>56</v>
      </c>
      <c r="G363" s="234">
        <f t="shared" ca="1" si="115"/>
        <v>1</v>
      </c>
      <c r="H363" s="231">
        <f t="shared" ca="1" si="116"/>
        <v>1</v>
      </c>
    </row>
    <row r="364" spans="6:8" x14ac:dyDescent="0.25">
      <c r="F364" s="205">
        <f t="shared" si="118"/>
        <v>57</v>
      </c>
      <c r="G364" s="234">
        <f t="shared" ca="1" si="115"/>
        <v>1</v>
      </c>
      <c r="H364" s="231">
        <f t="shared" ca="1" si="116"/>
        <v>1</v>
      </c>
    </row>
    <row r="365" spans="6:8" x14ac:dyDescent="0.25">
      <c r="F365" s="205">
        <f t="shared" si="118"/>
        <v>58</v>
      </c>
      <c r="G365" s="234">
        <f t="shared" ca="1" si="115"/>
        <v>1</v>
      </c>
      <c r="H365" s="231">
        <f t="shared" ca="1" si="116"/>
        <v>1</v>
      </c>
    </row>
    <row r="366" spans="6:8" x14ac:dyDescent="0.25">
      <c r="F366" s="205">
        <f t="shared" si="118"/>
        <v>59</v>
      </c>
      <c r="G366" s="234">
        <f t="shared" ca="1" si="115"/>
        <v>1</v>
      </c>
      <c r="H366" s="231">
        <f t="shared" ca="1" si="116"/>
        <v>1</v>
      </c>
    </row>
    <row r="367" spans="6:8" x14ac:dyDescent="0.25">
      <c r="F367" s="205">
        <f t="shared" si="118"/>
        <v>60</v>
      </c>
      <c r="G367" s="234">
        <f t="shared" ca="1" si="115"/>
        <v>1</v>
      </c>
      <c r="H367" s="231">
        <f t="shared" ca="1" si="116"/>
        <v>1</v>
      </c>
    </row>
    <row r="368" spans="6:8" x14ac:dyDescent="0.25">
      <c r="F368" s="205">
        <f t="shared" si="118"/>
        <v>61</v>
      </c>
      <c r="G368" s="234">
        <f t="shared" ca="1" si="115"/>
        <v>1</v>
      </c>
      <c r="H368" s="231">
        <f t="shared" ca="1" si="116"/>
        <v>1</v>
      </c>
    </row>
    <row r="369" spans="6:8" x14ac:dyDescent="0.25">
      <c r="F369" s="205">
        <f t="shared" si="118"/>
        <v>62</v>
      </c>
      <c r="G369" s="234">
        <f t="shared" ca="1" si="115"/>
        <v>1</v>
      </c>
      <c r="H369" s="231">
        <f t="shared" ca="1" si="116"/>
        <v>1</v>
      </c>
    </row>
    <row r="370" spans="6:8" x14ac:dyDescent="0.25">
      <c r="F370" s="205">
        <f t="shared" si="118"/>
        <v>63</v>
      </c>
      <c r="G370" s="234">
        <f t="shared" ca="1" si="115"/>
        <v>1</v>
      </c>
      <c r="H370" s="231">
        <f t="shared" ca="1" si="116"/>
        <v>1</v>
      </c>
    </row>
    <row r="371" spans="6:8" x14ac:dyDescent="0.25">
      <c r="F371" s="205">
        <f t="shared" si="118"/>
        <v>64</v>
      </c>
      <c r="G371" s="234">
        <f t="shared" ca="1" si="115"/>
        <v>1</v>
      </c>
      <c r="H371" s="231">
        <f t="shared" ca="1" si="116"/>
        <v>1</v>
      </c>
    </row>
    <row r="372" spans="6:8" x14ac:dyDescent="0.25">
      <c r="F372" s="205">
        <f t="shared" si="118"/>
        <v>65</v>
      </c>
      <c r="G372" s="234">
        <f t="shared" ca="1" si="115"/>
        <v>1</v>
      </c>
      <c r="H372" s="231">
        <f t="shared" ca="1" si="116"/>
        <v>1</v>
      </c>
    </row>
    <row r="373" spans="6:8" x14ac:dyDescent="0.25">
      <c r="F373" s="205">
        <f t="shared" si="118"/>
        <v>66</v>
      </c>
      <c r="G373" s="234">
        <f t="shared" ref="G373:G387" ca="1" si="119">INDEX($D$259:$CS$259,1,F373)</f>
        <v>1</v>
      </c>
      <c r="H373" s="231">
        <f t="shared" ref="H373:H387" ca="1" si="120">1/G373</f>
        <v>1</v>
      </c>
    </row>
    <row r="374" spans="6:8" x14ac:dyDescent="0.25">
      <c r="F374" s="205">
        <f t="shared" si="118"/>
        <v>67</v>
      </c>
      <c r="G374" s="234">
        <f t="shared" ca="1" si="119"/>
        <v>1</v>
      </c>
      <c r="H374" s="231">
        <f t="shared" ca="1" si="120"/>
        <v>1</v>
      </c>
    </row>
    <row r="375" spans="6:8" x14ac:dyDescent="0.25">
      <c r="F375" s="205">
        <f t="shared" si="118"/>
        <v>68</v>
      </c>
      <c r="G375" s="234">
        <f t="shared" ca="1" si="119"/>
        <v>1</v>
      </c>
      <c r="H375" s="231">
        <f t="shared" ca="1" si="120"/>
        <v>1</v>
      </c>
    </row>
    <row r="376" spans="6:8" x14ac:dyDescent="0.25">
      <c r="F376" s="205">
        <f t="shared" si="118"/>
        <v>69</v>
      </c>
      <c r="G376" s="234">
        <f t="shared" ca="1" si="119"/>
        <v>1</v>
      </c>
      <c r="H376" s="231">
        <f t="shared" ca="1" si="120"/>
        <v>1</v>
      </c>
    </row>
    <row r="377" spans="6:8" x14ac:dyDescent="0.25">
      <c r="F377" s="205">
        <f>F376+1</f>
        <v>70</v>
      </c>
      <c r="G377" s="234">
        <f t="shared" ca="1" si="119"/>
        <v>1</v>
      </c>
      <c r="H377" s="231">
        <f t="shared" ca="1" si="120"/>
        <v>1</v>
      </c>
    </row>
    <row r="378" spans="6:8" x14ac:dyDescent="0.25">
      <c r="F378" s="205">
        <f t="shared" si="118"/>
        <v>71</v>
      </c>
      <c r="G378" s="234">
        <f t="shared" ca="1" si="119"/>
        <v>1</v>
      </c>
      <c r="H378" s="231">
        <f t="shared" ca="1" si="120"/>
        <v>1</v>
      </c>
    </row>
    <row r="379" spans="6:8" x14ac:dyDescent="0.25">
      <c r="F379" s="205">
        <f t="shared" si="118"/>
        <v>72</v>
      </c>
      <c r="G379" s="234">
        <f t="shared" ca="1" si="119"/>
        <v>1</v>
      </c>
      <c r="H379" s="231">
        <f t="shared" ca="1" si="120"/>
        <v>1</v>
      </c>
    </row>
    <row r="380" spans="6:8" x14ac:dyDescent="0.25">
      <c r="F380" s="205">
        <f t="shared" si="118"/>
        <v>73</v>
      </c>
      <c r="G380" s="234">
        <f t="shared" ca="1" si="119"/>
        <v>1</v>
      </c>
      <c r="H380" s="231">
        <f t="shared" ca="1" si="120"/>
        <v>1</v>
      </c>
    </row>
    <row r="381" spans="6:8" x14ac:dyDescent="0.25">
      <c r="F381" s="205">
        <f t="shared" si="118"/>
        <v>74</v>
      </c>
      <c r="G381" s="234">
        <f t="shared" ca="1" si="119"/>
        <v>1</v>
      </c>
      <c r="H381" s="231">
        <f t="shared" ca="1" si="120"/>
        <v>1</v>
      </c>
    </row>
    <row r="382" spans="6:8" x14ac:dyDescent="0.25">
      <c r="F382" s="205">
        <f t="shared" si="118"/>
        <v>75</v>
      </c>
      <c r="G382" s="234">
        <f t="shared" ca="1" si="119"/>
        <v>1</v>
      </c>
      <c r="H382" s="231">
        <f t="shared" ca="1" si="120"/>
        <v>1</v>
      </c>
    </row>
    <row r="383" spans="6:8" x14ac:dyDescent="0.25">
      <c r="F383" s="205">
        <f t="shared" si="118"/>
        <v>76</v>
      </c>
      <c r="G383" s="234">
        <f t="shared" ca="1" si="119"/>
        <v>1</v>
      </c>
      <c r="H383" s="231">
        <f t="shared" ca="1" si="120"/>
        <v>1</v>
      </c>
    </row>
    <row r="384" spans="6:8" x14ac:dyDescent="0.25">
      <c r="F384" s="205">
        <f t="shared" si="118"/>
        <v>77</v>
      </c>
      <c r="G384" s="234">
        <f t="shared" ca="1" si="119"/>
        <v>1</v>
      </c>
      <c r="H384" s="231">
        <f t="shared" ca="1" si="120"/>
        <v>1</v>
      </c>
    </row>
    <row r="385" spans="6:8" x14ac:dyDescent="0.25">
      <c r="F385" s="205">
        <f t="shared" si="118"/>
        <v>78</v>
      </c>
      <c r="G385" s="234">
        <f t="shared" ca="1" si="119"/>
        <v>1</v>
      </c>
      <c r="H385" s="231">
        <f t="shared" ca="1" si="120"/>
        <v>1</v>
      </c>
    </row>
    <row r="386" spans="6:8" x14ac:dyDescent="0.25">
      <c r="F386" s="205">
        <f t="shared" si="118"/>
        <v>79</v>
      </c>
      <c r="G386" s="234">
        <f t="shared" ca="1" si="119"/>
        <v>1</v>
      </c>
      <c r="H386" s="231">
        <f t="shared" ca="1" si="120"/>
        <v>1</v>
      </c>
    </row>
    <row r="387" spans="6:8" x14ac:dyDescent="0.25">
      <c r="F387" s="206">
        <f>F386+1</f>
        <v>80</v>
      </c>
      <c r="G387" s="235">
        <f t="shared" ca="1" si="119"/>
        <v>1</v>
      </c>
      <c r="H387" s="232">
        <f t="shared" ca="1" si="120"/>
        <v>1</v>
      </c>
    </row>
  </sheetData>
  <mergeCells count="2">
    <mergeCell ref="B8:C8"/>
    <mergeCell ref="B9:C9"/>
  </mergeCells>
  <conditionalFormatting sqref="H206:H229">
    <cfRule type="expression" dxfId="58" priority="8" stopIfTrue="1">
      <formula>$I206="Other"</formula>
    </cfRule>
  </conditionalFormatting>
  <conditionalFormatting sqref="F206:F229">
    <cfRule type="expression" dxfId="57" priority="9" stopIfTrue="1">
      <formula>$I206="CL"</formula>
    </cfRule>
  </conditionalFormatting>
  <conditionalFormatting sqref="J206:J229 G206:G229">
    <cfRule type="expression" dxfId="56" priority="10" stopIfTrue="1">
      <formula>$I206="BF"</formula>
    </cfRule>
  </conditionalFormatting>
  <conditionalFormatting sqref="C263:M273 D234:CV257">
    <cfRule type="expression" dxfId="55" priority="11" stopIfTrue="1">
      <formula>ISNA(C234)</formula>
    </cfRule>
  </conditionalFormatting>
  <conditionalFormatting sqref="D150:CS173">
    <cfRule type="expression" dxfId="54" priority="12" stopIfTrue="1">
      <formula>AND(D150&lt;&gt;"",D150=0)</formula>
    </cfRule>
  </conditionalFormatting>
  <conditionalFormatting sqref="G10:G11">
    <cfRule type="cellIs" dxfId="53" priority="7" operator="equal">
      <formula>"CHECK DATA!"</formula>
    </cfRule>
  </conditionalFormatting>
  <conditionalFormatting sqref="C14:CS37">
    <cfRule type="expression" dxfId="52" priority="13">
      <formula>IF(C42=0,TRUE,FALSE)</formula>
    </cfRule>
  </conditionalFormatting>
  <conditionalFormatting sqref="D96:CS119">
    <cfRule type="expression" dxfId="51" priority="6">
      <formula>IF(D42=0,TRUE,FALSE)</formula>
    </cfRule>
  </conditionalFormatting>
  <conditionalFormatting sqref="D177:CS180 D182:CS184">
    <cfRule type="expression" dxfId="50" priority="14" stopIfTrue="1">
      <formula>D177=#REF!</formula>
    </cfRule>
    <cfRule type="expression" dxfId="49" priority="15" stopIfTrue="1">
      <formula>IF(ISERROR(D177),1,FALSE)</formula>
    </cfRule>
  </conditionalFormatting>
  <conditionalFormatting sqref="D181:D184 E181:BJ181 E182:O182">
    <cfRule type="expression" dxfId="48" priority="16" stopIfTrue="1">
      <formula>D181=#REF!</formula>
    </cfRule>
    <cfRule type="expression" dxfId="47" priority="17" stopIfTrue="1">
      <formula>IF(ISERROR(D181),1,FALSE)</formula>
    </cfRule>
  </conditionalFormatting>
  <conditionalFormatting sqref="AF183:AF184">
    <cfRule type="expression" dxfId="46" priority="18" stopIfTrue="1">
      <formula>AF183=#REF!</formula>
    </cfRule>
    <cfRule type="expression" dxfId="45" priority="19" stopIfTrue="1">
      <formula>IF(ISERROR(AF183),1,FALSE)</formula>
    </cfRule>
  </conditionalFormatting>
  <conditionalFormatting sqref="X183:X184">
    <cfRule type="expression" dxfId="44" priority="20" stopIfTrue="1">
      <formula>X183=#REF!</formula>
    </cfRule>
    <cfRule type="expression" dxfId="43" priority="21" stopIfTrue="1">
      <formula>IF(ISERROR(X183),1,FALSE)</formula>
    </cfRule>
  </conditionalFormatting>
  <conditionalFormatting sqref="E182:CR184 BK181:CR181 CS181:CS184">
    <cfRule type="expression" dxfId="42" priority="22" stopIfTrue="1">
      <formula>E181=#REF!</formula>
    </cfRule>
    <cfRule type="expression" dxfId="41" priority="23" stopIfTrue="1">
      <formula>IF(ISERROR(E181),1,FALSE)</formula>
    </cfRule>
  </conditionalFormatting>
  <conditionalFormatting sqref="BK181:CS181">
    <cfRule type="expression" dxfId="40" priority="24" stopIfTrue="1">
      <formula>BK181=#REF!</formula>
    </cfRule>
    <cfRule type="expression" dxfId="39" priority="25" stopIfTrue="1">
      <formula>IF(ISERROR(BK181),1,FALSE)</formula>
    </cfRule>
  </conditionalFormatting>
  <conditionalFormatting sqref="AC183:AD184">
    <cfRule type="expression" dxfId="38" priority="26" stopIfTrue="1">
      <formula>AC183=#REF!</formula>
    </cfRule>
    <cfRule type="expression" dxfId="37" priority="27" stopIfTrue="1">
      <formula>IF(ISERROR(AC183),1,FALSE)</formula>
    </cfRule>
  </conditionalFormatting>
  <conditionalFormatting sqref="AB183:AB184">
    <cfRule type="expression" dxfId="36" priority="28" stopIfTrue="1">
      <formula>AB183=#REF!</formula>
    </cfRule>
    <cfRule type="expression" dxfId="35" priority="29" stopIfTrue="1">
      <formula>IF(ISERROR(AB183),1,FALSE)</formula>
    </cfRule>
  </conditionalFormatting>
  <conditionalFormatting sqref="AA183:AA184">
    <cfRule type="expression" dxfId="34" priority="30" stopIfTrue="1">
      <formula>AA183=#REF!</formula>
    </cfRule>
    <cfRule type="expression" dxfId="33" priority="31" stopIfTrue="1">
      <formula>IF(ISERROR(AA183),1,FALSE)</formula>
    </cfRule>
  </conditionalFormatting>
  <conditionalFormatting sqref="Z183:Z184">
    <cfRule type="expression" dxfId="32" priority="32" stopIfTrue="1">
      <formula>Z183=#REF!</formula>
    </cfRule>
    <cfRule type="expression" dxfId="31" priority="33" stopIfTrue="1">
      <formula>IF(ISERROR(Z183),1,FALSE)</formula>
    </cfRule>
  </conditionalFormatting>
  <conditionalFormatting sqref="Y183:Y184">
    <cfRule type="expression" dxfId="30" priority="34" stopIfTrue="1">
      <formula>Y183=#REF!</formula>
    </cfRule>
    <cfRule type="expression" dxfId="29" priority="35" stopIfTrue="1">
      <formula>IF(ISERROR(Y183),1,FALSE)</formula>
    </cfRule>
  </conditionalFormatting>
  <conditionalFormatting sqref="AK183:AK184">
    <cfRule type="expression" dxfId="28" priority="36" stopIfTrue="1">
      <formula>AK183=#REF!</formula>
    </cfRule>
    <cfRule type="expression" dxfId="27" priority="37" stopIfTrue="1">
      <formula>IF(ISERROR(AK183),1,FALSE)</formula>
    </cfRule>
  </conditionalFormatting>
  <conditionalFormatting sqref="AI183:CS184 BK181:CS181">
    <cfRule type="expression" dxfId="26" priority="38" stopIfTrue="1">
      <formula>AI181=#REF!</formula>
    </cfRule>
    <cfRule type="expression" dxfId="25" priority="39" stopIfTrue="1">
      <formula>IF(ISERROR(AI181),1,FALSE)</formula>
    </cfRule>
  </conditionalFormatting>
  <conditionalFormatting sqref="AH183:AH184">
    <cfRule type="expression" dxfId="24" priority="40" stopIfTrue="1">
      <formula>AH183=#REF!</formula>
    </cfRule>
    <cfRule type="expression" dxfId="23" priority="41" stopIfTrue="1">
      <formula>IF(ISERROR(AH183),1,FALSE)</formula>
    </cfRule>
  </conditionalFormatting>
  <conditionalFormatting sqref="AG183:CS184 BK181:CS181">
    <cfRule type="expression" dxfId="22" priority="42" stopIfTrue="1">
      <formula>AG181=#REF!</formula>
    </cfRule>
    <cfRule type="expression" dxfId="21" priority="43" stopIfTrue="1">
      <formula>IF(ISERROR(AG181),1,FALSE)</formula>
    </cfRule>
  </conditionalFormatting>
  <conditionalFormatting sqref="BK181:CS181">
    <cfRule type="expression" dxfId="20" priority="44" stopIfTrue="1">
      <formula>BK181=#REF!</formula>
    </cfRule>
    <cfRule type="expression" dxfId="19" priority="45" stopIfTrue="1">
      <formula>IF(ISERROR(BK181),1,FALSE)</formula>
    </cfRule>
  </conditionalFormatting>
  <conditionalFormatting sqref="AE183:AE184">
    <cfRule type="expression" dxfId="18" priority="46" stopIfTrue="1">
      <formula>AE183=#REF!</formula>
    </cfRule>
    <cfRule type="expression" dxfId="17" priority="47" stopIfTrue="1">
      <formula>IF(ISERROR(AE183),1,FALSE)</formula>
    </cfRule>
  </conditionalFormatting>
  <conditionalFormatting sqref="CU187:CV194">
    <cfRule type="expression" dxfId="16" priority="48" stopIfTrue="1">
      <formula>AND(ISERROR(#REF!),$A187=CU$197)</formula>
    </cfRule>
    <cfRule type="expression" dxfId="15" priority="49" stopIfTrue="1">
      <formula>$A187=CU$197</formula>
    </cfRule>
    <cfRule type="expression" dxfId="14" priority="50" stopIfTrue="1">
      <formula>ISERROR(#REF!)</formula>
    </cfRule>
  </conditionalFormatting>
  <conditionalFormatting sqref="D69:CS92">
    <cfRule type="expression" dxfId="13" priority="4">
      <formula>IF(D96=1,TRUE,FALSE)</formula>
    </cfRule>
  </conditionalFormatting>
  <conditionalFormatting sqref="CU69:CV92">
    <cfRule type="expression" dxfId="12" priority="52">
      <formula>AND(CU69&lt;&gt;"",#REF!=0)</formula>
    </cfRule>
  </conditionalFormatting>
  <conditionalFormatting sqref="D123:CS146">
    <cfRule type="expression" dxfId="11" priority="5">
      <formula>IF(D42=0,TRUE,FALSE)</formula>
    </cfRule>
  </conditionalFormatting>
  <conditionalFormatting sqref="D69:CS92">
    <cfRule type="expression" dxfId="10" priority="51">
      <formula>IF(D42=0,TRUE,FALSE)</formula>
    </cfRule>
  </conditionalFormatting>
  <conditionalFormatting sqref="D187:CS194">
    <cfRule type="expression" dxfId="9" priority="53" stopIfTrue="1">
      <formula>AND(ISERROR(D177),$A187=D$197)</formula>
    </cfRule>
    <cfRule type="expression" dxfId="8" priority="54" stopIfTrue="1">
      <formula>$A187=D$197</formula>
    </cfRule>
    <cfRule type="expression" dxfId="7" priority="55" stopIfTrue="1">
      <formula>ISERROR(D177)</formula>
    </cfRule>
  </conditionalFormatting>
  <conditionalFormatting sqref="CS187:CS194">
    <cfRule type="expression" dxfId="6" priority="56" stopIfTrue="1">
      <formula>AND(ISERROR(CR177),$A187=CS$197)</formula>
    </cfRule>
    <cfRule type="expression" dxfId="5" priority="57" stopIfTrue="1">
      <formula>$A187=CS$197</formula>
    </cfRule>
    <cfRule type="expression" dxfId="4" priority="58" stopIfTrue="1">
      <formula>ISERROR(CR177)</formula>
    </cfRule>
  </conditionalFormatting>
  <conditionalFormatting sqref="D234:CS257">
    <cfRule type="expression" dxfId="3" priority="3">
      <formula>IF(C42=0,TRUE,FALSE)</formula>
    </cfRule>
  </conditionalFormatting>
  <conditionalFormatting sqref="D5">
    <cfRule type="expression" dxfId="2" priority="59">
      <formula>IF($X$5="Bespoke",TRUE,FALSE)</formula>
    </cfRule>
  </conditionalFormatting>
  <conditionalFormatting sqref="CV14:CV37">
    <cfRule type="expression" dxfId="1" priority="2">
      <formula>IF(CV14&gt;0,TRUE,FALSE)</formula>
    </cfRule>
  </conditionalFormatting>
  <conditionalFormatting sqref="CV14:CV37">
    <cfRule type="expression" dxfId="0" priority="1">
      <formula>IF(CV14&lt;0,TRUE,FALSE)</formula>
    </cfRule>
  </conditionalFormatting>
  <dataValidations disablePrompts="1" count="4">
    <dataValidation type="list" allowBlank="1" showInputMessage="1" showErrorMessage="1" sqref="D6" xr:uid="{5E27023A-0716-44AE-9FB2-F754BD7CCD1C}">
      <formula1>List_Period</formula1>
    </dataValidation>
    <dataValidation type="list" allowBlank="1" showInputMessage="1" showErrorMessage="1" sqref="D4" xr:uid="{05DDBC4E-50E9-44BD-993E-28DF94B2E2AD}">
      <formula1>List_DevPeriod</formula1>
    </dataValidation>
    <dataValidation type="list" allowBlank="1" showInputMessage="1" showErrorMessage="1" sqref="D197:CV197" xr:uid="{E7916246-9A19-47B6-9BFC-A0FA91F51462}">
      <formula1>"1,2,3,4,5,6,7,8,9"</formula1>
    </dataValidation>
    <dataValidation type="list" allowBlank="1" showInputMessage="1" showErrorMessage="1" sqref="I206:I229" xr:uid="{6C273B06-20D7-4E53-92DE-23E3DC6CA66F}">
      <formula1>"CL,BF,Other"</formula1>
    </dataValidation>
  </dataValidations>
  <hyperlinks>
    <hyperlink ref="CW38" r:id="rId1" xr:uid="{0CCE1133-39B3-4BC7-9959-37DFE80CA2C8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556A0-82CE-4640-BCDC-FAE8741D1767}">
  <sheetPr codeName="Sheet3"/>
  <dimension ref="B2:F15"/>
  <sheetViews>
    <sheetView showGridLines="0" zoomScale="80" zoomScaleNormal="80" workbookViewId="0">
      <selection activeCell="H41" sqref="H41"/>
    </sheetView>
  </sheetViews>
  <sheetFormatPr defaultRowHeight="15" x14ac:dyDescent="0.25"/>
  <cols>
    <col min="2" max="2" width="6" bestFit="1" customWidth="1"/>
    <col min="3" max="3" width="2.140625" customWidth="1"/>
    <col min="4" max="4" width="10" customWidth="1"/>
    <col min="5" max="5" width="8.5703125" customWidth="1"/>
  </cols>
  <sheetData>
    <row r="2" spans="2:6" x14ac:dyDescent="0.25">
      <c r="C2" s="5"/>
    </row>
    <row r="3" spans="2:6" x14ac:dyDescent="0.25">
      <c r="B3" s="6" t="s">
        <v>31</v>
      </c>
      <c r="C3" s="5"/>
      <c r="D3" s="6" t="s">
        <v>36</v>
      </c>
      <c r="E3" s="6" t="s">
        <v>37</v>
      </c>
    </row>
    <row r="4" spans="2:6" x14ac:dyDescent="0.25">
      <c r="B4" s="2">
        <v>1</v>
      </c>
      <c r="C4" s="5"/>
      <c r="D4" s="3" t="s">
        <v>32</v>
      </c>
      <c r="E4" s="2">
        <v>12</v>
      </c>
      <c r="F4">
        <v>12</v>
      </c>
    </row>
    <row r="5" spans="2:6" x14ac:dyDescent="0.25">
      <c r="B5" s="3">
        <v>2</v>
      </c>
      <c r="C5" s="5"/>
      <c r="D5" s="3" t="s">
        <v>33</v>
      </c>
      <c r="E5" s="3">
        <v>4</v>
      </c>
      <c r="F5">
        <v>4</v>
      </c>
    </row>
    <row r="6" spans="2:6" x14ac:dyDescent="0.25">
      <c r="B6" s="3">
        <v>3</v>
      </c>
      <c r="C6" s="5"/>
      <c r="D6" s="3" t="s">
        <v>34</v>
      </c>
      <c r="E6" s="3">
        <v>1</v>
      </c>
      <c r="F6">
        <v>1</v>
      </c>
    </row>
    <row r="7" spans="2:6" x14ac:dyDescent="0.25">
      <c r="B7" s="3">
        <v>4</v>
      </c>
      <c r="C7" s="5"/>
      <c r="D7" s="4" t="s">
        <v>35</v>
      </c>
      <c r="E7" s="4">
        <f>InputTriangles!D5</f>
        <v>0</v>
      </c>
    </row>
    <row r="8" spans="2:6" x14ac:dyDescent="0.25">
      <c r="B8" s="3">
        <v>5</v>
      </c>
      <c r="C8" s="5"/>
    </row>
    <row r="9" spans="2:6" x14ac:dyDescent="0.25">
      <c r="B9" s="3">
        <v>6</v>
      </c>
      <c r="C9" s="5"/>
    </row>
    <row r="10" spans="2:6" x14ac:dyDescent="0.25">
      <c r="B10" s="3">
        <v>7</v>
      </c>
      <c r="C10" s="5"/>
    </row>
    <row r="11" spans="2:6" x14ac:dyDescent="0.25">
      <c r="B11" s="3">
        <v>8</v>
      </c>
      <c r="C11" s="5"/>
    </row>
    <row r="12" spans="2:6" x14ac:dyDescent="0.25">
      <c r="B12" s="3">
        <v>9</v>
      </c>
      <c r="C12" s="5"/>
    </row>
    <row r="13" spans="2:6" x14ac:dyDescent="0.25">
      <c r="B13" s="3">
        <v>10</v>
      </c>
      <c r="C13" s="5"/>
    </row>
    <row r="14" spans="2:6" x14ac:dyDescent="0.25">
      <c r="B14" s="3">
        <v>11</v>
      </c>
      <c r="C14" s="5"/>
    </row>
    <row r="15" spans="2:6" x14ac:dyDescent="0.25">
      <c r="B15" s="4">
        <v>12</v>
      </c>
      <c r="C15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AuditTrail</vt:lpstr>
      <vt:lpstr>InputTriangles</vt:lpstr>
      <vt:lpstr>InputTrianglesCount</vt:lpstr>
      <vt:lpstr>InputTrianglesACPC</vt:lpstr>
      <vt:lpstr>Mappings</vt:lpstr>
      <vt:lpstr>InputTriangles!Cuml_ShowHideCol</vt:lpstr>
      <vt:lpstr>InputTrianglesACPC!Cuml_ShowHideCol</vt:lpstr>
      <vt:lpstr>InputTrianglesCount!Cuml_ShowHideCol</vt:lpstr>
      <vt:lpstr>InputTriangles!Cuml_ShowHideRow</vt:lpstr>
      <vt:lpstr>InputTrianglesACPC!Cuml_ShowHideRow</vt:lpstr>
      <vt:lpstr>InputTrianglesCount!Cuml_ShowHideRow</vt:lpstr>
      <vt:lpstr>InputTriangles!CumulativeTrianglesStart</vt:lpstr>
      <vt:lpstr>InputTrianglesACPC!CumulativeTrianglesStart</vt:lpstr>
      <vt:lpstr>InputTrianglesCount!CumulativeTrianglesStart</vt:lpstr>
      <vt:lpstr>InputTriangles!FormatTrianglesStart</vt:lpstr>
      <vt:lpstr>InputTrianglesACPC!FormatTrianglesStart</vt:lpstr>
      <vt:lpstr>InputTrianglesCount!FormatTrianglesStart</vt:lpstr>
      <vt:lpstr>InputTriangles!LinkRatiosStart</vt:lpstr>
      <vt:lpstr>InputTrianglesACPC!LinkRatiosStart</vt:lpstr>
      <vt:lpstr>InputTrianglesCount!LinkRatiosStart</vt:lpstr>
      <vt:lpstr>InputTriangles!LinkRatiosStartDelete</vt:lpstr>
      <vt:lpstr>InputTrianglesACPC!LinkRatiosStartDelete</vt:lpstr>
      <vt:lpstr>InputTrianglesCount!LinkRatiosStartDelete</vt:lpstr>
      <vt:lpstr>InputTriangles!LinkRatiosStartSmooth</vt:lpstr>
      <vt:lpstr>InputTrianglesACPC!LinkRatiosStartSmooth</vt:lpstr>
      <vt:lpstr>InputTrianglesCount!LinkRatiosStartSmooth</vt:lpstr>
      <vt:lpstr>List_DevPeriod</vt:lpstr>
      <vt:lpstr>List_Period</vt:lpstr>
      <vt:lpstr>InputTriangles!Max_Width</vt:lpstr>
      <vt:lpstr>InputTrianglesACPC!Max_Width</vt:lpstr>
      <vt:lpstr>InputTrianglesCount!Max_Width</vt:lpstr>
      <vt:lpstr>InputTriangles!MaxOfSmoothValue</vt:lpstr>
      <vt:lpstr>InputTrianglesACPC!MaxOfSmoothValue</vt:lpstr>
      <vt:lpstr>InputTrianglesCount!MaxOfSmoothValue</vt:lpstr>
      <vt:lpstr>InputTriangles!StartX</vt:lpstr>
      <vt:lpstr>InputTrianglesACPC!StartX</vt:lpstr>
      <vt:lpstr>InputTrianglesCount!StartX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Gallagher</dc:creator>
  <cp:lastModifiedBy>Christopher Gallagher</cp:lastModifiedBy>
  <dcterms:created xsi:type="dcterms:W3CDTF">2020-02-13T14:05:12Z</dcterms:created>
  <dcterms:modified xsi:type="dcterms:W3CDTF">2020-02-18T17:49:43Z</dcterms:modified>
</cp:coreProperties>
</file>